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queryTables/queryTable4.xml" ContentType="application/vnd.openxmlformats-officedocument.spreadsheetml.queryTable+xml"/>
  <Override PartName="/xl/tables/table7.xml" ContentType="application/vnd.openxmlformats-officedocument.spreadsheetml.table+xml"/>
  <Override PartName="/xl/queryTables/queryTable5.xml" ContentType="application/vnd.openxmlformats-officedocument.spreadsheetml.queryTable+xml"/>
  <Override PartName="/xl/tables/table8.xml" ContentType="application/vnd.openxmlformats-officedocument.spreadsheetml.table+xml"/>
  <Override PartName="/xl/queryTables/queryTable6.xml" ContentType="application/vnd.openxmlformats-officedocument.spreadsheetml.queryTable+xml"/>
  <Override PartName="/xl/tables/table9.xml" ContentType="application/vnd.openxmlformats-officedocument.spreadsheetml.table+xml"/>
  <Override PartName="/xl/queryTables/queryTable7.xml" ContentType="application/vnd.openxmlformats-officedocument.spreadsheetml.queryTable+xml"/>
  <Override PartName="/xl/drawings/drawing1.xml" ContentType="application/vnd.openxmlformats-officedocument.drawing+xml"/>
  <Override PartName="/xl/tables/table10.xml" ContentType="application/vnd.openxmlformats-officedocument.spreadsheetml.table+xml"/>
  <Override PartName="/xl/queryTables/queryTable8.xml" ContentType="application/vnd.openxmlformats-officedocument.spreadsheetml.queryTable+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C:\Users\Alex\CentriNOTSYNC\ResidentialCare\CLIENT\DATExx-Whiddon\2. Calculations\Cost\"/>
    </mc:Choice>
  </mc:AlternateContent>
  <xr:revisionPtr revIDLastSave="0" documentId="13_ncr:1_{6FEAD3FF-BF2E-4BDB-BE40-75B5B0D04261}" xr6:coauthVersionLast="47" xr6:coauthVersionMax="47" xr10:uidLastSave="{00000000-0000-0000-0000-000000000000}"/>
  <bookViews>
    <workbookView xWindow="-120" yWindow="-120" windowWidth="38640" windowHeight="21120" tabRatio="770" xr2:uid="{B7D79E9A-E966-4872-9B1C-2D8EC0687B6D}"/>
  </bookViews>
  <sheets>
    <sheet name="Unit1Path" sheetId="14" r:id="rId1"/>
    <sheet name="Rates" sheetId="1" r:id="rId2"/>
    <sheet name="EffortOutcomesAG1_1DayShiftAB" sheetId="4" r:id="rId3"/>
    <sheet name="CostAG1_1DayShiftAB" sheetId="5" r:id="rId4"/>
    <sheet name="CostPerDay" sheetId="12" r:id="rId5"/>
    <sheet name="TargetRatebyDate" sheetId="10" r:id="rId6"/>
    <sheet name="SavingFacilityDay" sheetId="13" r:id="rId7"/>
    <sheet name="Saving" sheetId="11" r:id="rId8"/>
    <sheet name="Summary" sheetId="8" r:id="rId9"/>
    <sheet name="Benhome Actuals Last fn" sheetId="7" r:id="rId10"/>
  </sheets>
  <externalReferences>
    <externalReference r:id="rId11"/>
    <externalReference r:id="rId12"/>
  </externalReferences>
  <definedNames>
    <definedName name="a">#REF!</definedName>
    <definedName name="ABCap" localSheetId="0">#REF!</definedName>
    <definedName name="ABCap">[1]Factors!$B$6</definedName>
    <definedName name="ABGoal" localSheetId="0">#REF!</definedName>
    <definedName name="ABGoal">[1]Factors!$B$10</definedName>
    <definedName name="b">#REF!</definedName>
    <definedName name="c_">#REF!</definedName>
    <definedName name="Client" localSheetId="0">Unit1Path!$B$19</definedName>
    <definedName name="Client">#REF!</definedName>
    <definedName name="Contractor_Margin" localSheetId="0">#REF!</definedName>
    <definedName name="Contractor_Margin">[1]Factors!$B$35</definedName>
    <definedName name="Date">#REF!</definedName>
    <definedName name="Directory">#REF!</definedName>
    <definedName name="EFCap" localSheetId="0">#REF!</definedName>
    <definedName name="EFCap">[1]Factors!$B$7</definedName>
    <definedName name="EFGoal" localSheetId="0">#REF!</definedName>
    <definedName name="EFGoal">[1]Factors!$B$11</definedName>
    <definedName name="ExternalData_1" localSheetId="3" hidden="1">'CostAG1_1DayShiftAB'!$A$1:$S$766</definedName>
    <definedName name="ExternalData_1" localSheetId="2" hidden="1">EffortOutcomesAG1_1DayShiftAB!$A$1:$AI$766</definedName>
    <definedName name="ExternalData_1" localSheetId="8" hidden="1">Summary!$A$1:$G$10</definedName>
    <definedName name="ExternalData_1" localSheetId="0" hidden="1">Unit1Path!$A$3:$B$10</definedName>
    <definedName name="ExternalData_2" localSheetId="4" hidden="1">CostPerDay!$A$1:$B$4</definedName>
    <definedName name="ExternalData_2" localSheetId="7" hidden="1">Saving!$A$1:$C$29</definedName>
    <definedName name="ExternalData_2" localSheetId="5" hidden="1">TargetRatebyDate!$A$1:$B$29</definedName>
    <definedName name="ExternalData_3" localSheetId="6" hidden="1">SavingFacilityDay!$A$1:$C$29</definedName>
    <definedName name="Facility">#REF!</definedName>
    <definedName name="FilePathUrl">Unit1Path!$B$1</definedName>
    <definedName name="FTE">#REF!</definedName>
    <definedName name="HeadFolder">#REF!</definedName>
    <definedName name="HRS">#REF!</definedName>
    <definedName name="INCap" localSheetId="0">#REF!</definedName>
    <definedName name="INCap">[1]Factors!$B$8</definedName>
    <definedName name="INGoal" localSheetId="0">#REF!</definedName>
    <definedName name="INGoal">[1]Factors!$B$12</definedName>
    <definedName name="KSa">#REF!</definedName>
    <definedName name="KSb">#REF!</definedName>
    <definedName name="KSc">#REF!</definedName>
    <definedName name="Ksmag">#REF!</definedName>
    <definedName name="KTa">#REF!</definedName>
    <definedName name="KTb">#REF!</definedName>
    <definedName name="KTc">#REF!</definedName>
    <definedName name="KTmag">#REF!</definedName>
    <definedName name="Kx">#REF!</definedName>
    <definedName name="Ky">#REF!</definedName>
    <definedName name="Kz">#REF!</definedName>
    <definedName name="LabourCost" localSheetId="0">#REF!</definedName>
    <definedName name="LabourCost">[1]Factors!$B$21</definedName>
    <definedName name="LabourStretchCost" localSheetId="0">#REF!</definedName>
    <definedName name="LabourStretchCost">[1]Factors!$B$22</definedName>
    <definedName name="Location" localSheetId="0">Unit1Path!#REF!</definedName>
    <definedName name="Location">#REF!</definedName>
    <definedName name="MAIT_date_adjusted_for_example">#REF!</definedName>
    <definedName name="Max_HRS">#REF!</definedName>
    <definedName name="MaxCapacityFactor">[2]MaxCapacity!$A$2</definedName>
    <definedName name="Overtime" localSheetId="0">#REF!</definedName>
    <definedName name="Overtime">[1]Factors!$B$4</definedName>
    <definedName name="Revenue_per_labour_factor" localSheetId="0">#REF!</definedName>
    <definedName name="Revenue_per_labour_factor">[1]Factors!$B$19</definedName>
    <definedName name="RevenueRate" localSheetId="0">#REF!</definedName>
    <definedName name="RevenueRate">[1]Factors!$B$23</definedName>
    <definedName name="RevPerWorker" localSheetId="0">#REF!</definedName>
    <definedName name="RevPerWorker">[1]Factors!$E$23</definedName>
    <definedName name="Role" localSheetId="0">Unit1Path!$B$40</definedName>
    <definedName name="Role">#REF!</definedName>
    <definedName name="ROLE_TITLE">#REF!</definedName>
    <definedName name="Scale">#REF!</definedName>
    <definedName name="Slicer_Facility">#N/A</definedName>
    <definedName name="Slicer_Version">#N/A</definedName>
    <definedName name="Type">#REF!</definedName>
    <definedName name="UNIT">#REF!</definedName>
    <definedName name="xxxxRange">#REF!</definedName>
  </definedNames>
  <calcPr calcId="191029" iterateDelta="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4:slicerCache r:id="rId1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8" l="1"/>
  <c r="B1" i="14" a="1"/>
  <c r="B1" i="14" s="1"/>
  <c r="D3" i="12"/>
  <c r="D2" i="12"/>
  <c r="J18" i="1"/>
  <c r="J19" i="1"/>
  <c r="J20" i="1"/>
  <c r="J21" i="1"/>
  <c r="J24" i="1" s="1"/>
  <c r="J22" i="1"/>
  <c r="J25" i="1" s="1"/>
  <c r="J23" i="1"/>
  <c r="J26" i="1" s="1"/>
  <c r="P14" i="1"/>
  <c r="P16" i="1" s="1"/>
  <c r="O14" i="1"/>
  <c r="P11" i="1"/>
  <c r="P12" i="1" s="1"/>
  <c r="O11" i="1"/>
  <c r="O12" i="1" s="1"/>
  <c r="K12" i="1"/>
  <c r="L12" i="1"/>
  <c r="M12" i="1"/>
  <c r="N12" i="1"/>
  <c r="K13" i="1"/>
  <c r="L13" i="1"/>
  <c r="M13" i="1"/>
  <c r="N13" i="1"/>
  <c r="J13" i="1"/>
  <c r="J12" i="1"/>
  <c r="K15" i="1"/>
  <c r="L15" i="1"/>
  <c r="M15" i="1"/>
  <c r="N15" i="1"/>
  <c r="K16" i="1"/>
  <c r="L16" i="1"/>
  <c r="M16" i="1"/>
  <c r="N16" i="1"/>
  <c r="J16" i="1"/>
  <c r="J15" i="1"/>
  <c r="O15" i="1" l="1"/>
  <c r="O16" i="1"/>
  <c r="P13" i="1"/>
  <c r="P15" i="1"/>
  <c r="O13" i="1"/>
  <c r="K18" i="1" l="1"/>
  <c r="L18" i="1"/>
  <c r="M18" i="1"/>
  <c r="N18" i="1"/>
  <c r="O18" i="1"/>
  <c r="P18" i="1"/>
  <c r="K19" i="1"/>
  <c r="L19" i="1"/>
  <c r="M19" i="1"/>
  <c r="N19" i="1"/>
  <c r="O19" i="1"/>
  <c r="P19" i="1"/>
  <c r="K20" i="1"/>
  <c r="L20" i="1"/>
  <c r="M20" i="1"/>
  <c r="N20" i="1"/>
  <c r="O20" i="1"/>
  <c r="P20" i="1"/>
  <c r="K21" i="1"/>
  <c r="K24" i="1" s="1"/>
  <c r="L21" i="1"/>
  <c r="L24" i="1" s="1"/>
  <c r="M21" i="1"/>
  <c r="M24" i="1" s="1"/>
  <c r="N21" i="1"/>
  <c r="N24" i="1" s="1"/>
  <c r="O21" i="1"/>
  <c r="O24" i="1" s="1"/>
  <c r="P21" i="1"/>
  <c r="P24" i="1" s="1"/>
  <c r="K22" i="1"/>
  <c r="K25" i="1" s="1"/>
  <c r="L22" i="1"/>
  <c r="L25" i="1" s="1"/>
  <c r="M22" i="1"/>
  <c r="M25" i="1" s="1"/>
  <c r="N22" i="1"/>
  <c r="N25" i="1" s="1"/>
  <c r="O22" i="1"/>
  <c r="O25" i="1" s="1"/>
  <c r="P22" i="1"/>
  <c r="P25" i="1" s="1"/>
  <c r="K23" i="1"/>
  <c r="K26" i="1" s="1"/>
  <c r="L23" i="1"/>
  <c r="L26" i="1" s="1"/>
  <c r="M23" i="1"/>
  <c r="M26" i="1" s="1"/>
  <c r="N23" i="1"/>
  <c r="N26" i="1" s="1"/>
  <c r="O23" i="1"/>
  <c r="O26" i="1" s="1"/>
  <c r="P23" i="1"/>
  <c r="P26" i="1" s="1"/>
  <c r="Z34" i="7"/>
  <c r="Y34" i="7"/>
  <c r="X34" i="7"/>
  <c r="W34" i="7"/>
  <c r="G34" i="7" s="1"/>
  <c r="V34" i="7"/>
  <c r="U34" i="7"/>
  <c r="T34" i="7"/>
  <c r="S34" i="7"/>
  <c r="R34" i="7"/>
  <c r="Q34" i="7"/>
  <c r="P34" i="7"/>
  <c r="O34" i="7"/>
  <c r="N34" i="7"/>
  <c r="M34" i="7"/>
  <c r="L34" i="7"/>
  <c r="K34" i="7"/>
  <c r="J34" i="7"/>
  <c r="I34" i="7"/>
  <c r="H34" i="7"/>
  <c r="U33" i="7"/>
  <c r="T33" i="7"/>
  <c r="S33" i="7"/>
  <c r="R33" i="7"/>
  <c r="Q33" i="7"/>
  <c r="P33" i="7"/>
  <c r="O33" i="7"/>
  <c r="N33" i="7"/>
  <c r="M33" i="7"/>
  <c r="L33" i="7"/>
  <c r="K33" i="7"/>
  <c r="J33" i="7"/>
  <c r="I33" i="7"/>
  <c r="H33" i="7"/>
  <c r="Z32" i="7"/>
  <c r="Y32" i="7"/>
  <c r="X32" i="7"/>
  <c r="W32" i="7"/>
  <c r="V32" i="7"/>
  <c r="U32" i="7"/>
  <c r="T32" i="7"/>
  <c r="S32" i="7"/>
  <c r="R32" i="7"/>
  <c r="Q32" i="7"/>
  <c r="P32" i="7"/>
  <c r="O32" i="7"/>
  <c r="N32" i="7"/>
  <c r="M32" i="7"/>
  <c r="L32" i="7"/>
  <c r="K32" i="7"/>
  <c r="J32" i="7"/>
  <c r="I32" i="7"/>
  <c r="H32" i="7"/>
  <c r="G32" i="7"/>
  <c r="Z31" i="7"/>
  <c r="Y31" i="7"/>
  <c r="X31" i="7"/>
  <c r="W31" i="7"/>
  <c r="V31" i="7"/>
  <c r="U31" i="7"/>
  <c r="T31" i="7"/>
  <c r="S31" i="7"/>
  <c r="R31" i="7"/>
  <c r="Q31" i="7"/>
  <c r="P31" i="7"/>
  <c r="O31" i="7"/>
  <c r="N31" i="7"/>
  <c r="M31" i="7"/>
  <c r="L31" i="7"/>
  <c r="K31" i="7"/>
  <c r="J31" i="7"/>
  <c r="I31" i="7"/>
  <c r="H31" i="7"/>
  <c r="U30" i="7"/>
  <c r="T30" i="7"/>
  <c r="S30" i="7"/>
  <c r="R30" i="7"/>
  <c r="Q30" i="7"/>
  <c r="P30" i="7"/>
  <c r="O30" i="7"/>
  <c r="N30" i="7"/>
  <c r="M30" i="7"/>
  <c r="L30" i="7"/>
  <c r="K30" i="7"/>
  <c r="J30" i="7"/>
  <c r="I30" i="7"/>
  <c r="H30" i="7"/>
  <c r="V29" i="7"/>
  <c r="W29" i="7" s="1"/>
  <c r="X29" i="7" s="1"/>
  <c r="Y29" i="7" s="1"/>
  <c r="Z29" i="7" s="1"/>
  <c r="V28" i="7"/>
  <c r="W28" i="7" s="1"/>
  <c r="V27" i="7"/>
  <c r="W27" i="7" s="1"/>
  <c r="V26" i="7"/>
  <c r="W26" i="7" s="1"/>
  <c r="V25" i="7"/>
  <c r="W25" i="7" s="1"/>
  <c r="X25" i="7" s="1"/>
  <c r="Y25" i="7" s="1"/>
  <c r="Z25" i="7" s="1"/>
  <c r="V24" i="7"/>
  <c r="W24" i="7" s="1"/>
  <c r="X24" i="7" s="1"/>
  <c r="Y24" i="7" s="1"/>
  <c r="Z24" i="7" s="1"/>
  <c r="V23" i="7"/>
  <c r="W23" i="7" s="1"/>
  <c r="X23" i="7" s="1"/>
  <c r="Y23" i="7" s="1"/>
  <c r="Z23" i="7" s="1"/>
  <c r="V22" i="7"/>
  <c r="W22" i="7" s="1"/>
  <c r="X22" i="7" s="1"/>
  <c r="Y22" i="7" s="1"/>
  <c r="Z22" i="7" s="1"/>
  <c r="V21" i="7"/>
  <c r="W21" i="7" s="1"/>
  <c r="X21" i="7" s="1"/>
  <c r="Y21" i="7" s="1"/>
  <c r="Z21" i="7" s="1"/>
  <c r="V20" i="7"/>
  <c r="W20" i="7" s="1"/>
  <c r="X20" i="7" s="1"/>
  <c r="Y20" i="7" s="1"/>
  <c r="Z20" i="7" s="1"/>
  <c r="V19" i="7"/>
  <c r="W19" i="7" s="1"/>
  <c r="X19" i="7" s="1"/>
  <c r="Y19" i="7" s="1"/>
  <c r="Z19" i="7" s="1"/>
  <c r="W18" i="7"/>
  <c r="V17" i="7"/>
  <c r="W17" i="7" s="1"/>
  <c r="X17" i="7" s="1"/>
  <c r="Y17" i="7" s="1"/>
  <c r="Z17" i="7" s="1"/>
  <c r="V16" i="7"/>
  <c r="W16" i="7" s="1"/>
  <c r="X16" i="7" s="1"/>
  <c r="Y16" i="7" s="1"/>
  <c r="Z16" i="7" s="1"/>
  <c r="V15" i="7"/>
  <c r="W15" i="7" s="1"/>
  <c r="X15" i="7" s="1"/>
  <c r="Y15" i="7" s="1"/>
  <c r="Z15" i="7" s="1"/>
  <c r="V14" i="7"/>
  <c r="W14" i="7" s="1"/>
  <c r="X14" i="7" s="1"/>
  <c r="Y14" i="7" s="1"/>
  <c r="V13" i="7"/>
  <c r="W13" i="7" s="1"/>
  <c r="V12" i="7"/>
  <c r="W12" i="7" s="1"/>
  <c r="V11" i="7"/>
  <c r="W11" i="7" s="1"/>
  <c r="V10" i="7"/>
  <c r="W10" i="7" s="1"/>
  <c r="H35" i="7" l="1"/>
  <c r="K35" i="7"/>
  <c r="N35" i="7"/>
  <c r="O35" i="7"/>
  <c r="T35" i="7"/>
  <c r="U35" i="7"/>
  <c r="V30" i="7"/>
  <c r="J35" i="7"/>
  <c r="M35" i="7"/>
  <c r="P35" i="7"/>
  <c r="Q35" i="7"/>
  <c r="R35" i="7"/>
  <c r="I35" i="7"/>
  <c r="L35" i="7"/>
  <c r="S35" i="7"/>
  <c r="Y30" i="7"/>
  <c r="Y33" i="7"/>
  <c r="Y35" i="7" s="1"/>
  <c r="Z14" i="7"/>
  <c r="X13" i="7"/>
  <c r="Z13" i="7"/>
  <c r="Z12" i="7"/>
  <c r="X12" i="7"/>
  <c r="X10" i="7"/>
  <c r="Z10" i="7"/>
  <c r="W30" i="7"/>
  <c r="W33" i="7"/>
  <c r="G33" i="7" s="1"/>
  <c r="X11" i="7"/>
  <c r="Z11" i="7"/>
  <c r="V33" i="7"/>
  <c r="V35" i="7" s="1"/>
  <c r="X33" i="7" l="1"/>
  <c r="X35" i="7" s="1"/>
  <c r="X30" i="7"/>
  <c r="W35" i="7"/>
  <c r="Z30" i="7"/>
  <c r="Z33" i="7"/>
  <c r="Z35" i="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99F23F-7172-4AB1-852F-0239D57AF1B9}" keepAlive="1" name="Query - CostAG1_1DayShiftAB" description="Connection to the 'CostAG1_1DayShiftAB' query in the workbook." type="5" refreshedVersion="8" background="1" saveData="1">
    <dbPr connection="Provider=Microsoft.Mashup.OleDb.1;Data Source=$Workbook$;Location=CostAG1_1DayShiftAB;Extended Properties=&quot;&quot;" command="SELECT * FROM [CostAG1_1DayShiftAB]"/>
  </connection>
  <connection id="2" xr16:uid="{1E224CE4-F2D0-458C-868F-78AE15BE2593}" keepAlive="1" name="Query - CostAG1_1DayShiftABSummary" description="Connection to the 'CostAG1_1DayShiftABSummary' query in the workbook." type="5" refreshedVersion="8" background="1" saveData="1">
    <dbPr connection="Provider=Microsoft.Mashup.OleDb.1;Data Source=$Workbook$;Location=CostAG1_1DayShiftABSummary;Extended Properties=&quot;&quot;" command="SELECT * FROM [CostAG1_1DayShiftABSummary]"/>
  </connection>
  <connection id="3" xr16:uid="{4F9158E3-E150-4E76-AE67-F811C6BB12CF}" keepAlive="1" name="Query - CostPerDay" description="Connection to the 'CostPerDay' query in the workbook." type="5" refreshedVersion="8" background="1" saveData="1">
    <dbPr connection="Provider=Microsoft.Mashup.OleDb.1;Data Source=$Workbook$;Location=CostPerDay;Extended Properties=&quot;&quot;" command="SELECT * FROM [CostPerDay]"/>
  </connection>
  <connection id="4" xr16:uid="{7C7DD9F5-2C84-4A2E-9004-2CE2DC0395D7}" keepAlive="1" name="Query - EffortOutcomesAG1_1DayShiftAB" description="Connection to the 'EffortOutcomesAG1_1DayShiftAB' query in the workbook." type="5" refreshedVersion="8" background="1" saveData="1">
    <dbPr connection="Provider=Microsoft.Mashup.OleDb.1;Data Source=$Workbook$;Location=EffortOutcomesAG1_1DayShiftAB;Extended Properties=&quot;&quot;" command="SELECT * FROM [EffortOutcomesAG1_1DayShiftAB]"/>
  </connection>
  <connection id="5" xr16:uid="{C4D1A26F-25A3-41E9-AD72-66A401EF7212}" keepAlive="1" name="Query - PermutationDimensions" description="Connection to the 'PermutationDimensions' query in the workbook." type="5" refreshedVersion="0" background="1">
    <dbPr connection="Provider=Microsoft.Mashup.OleDb.1;Data Source=$Workbook$;Location=PermutationDimensions;Extended Properties=&quot;&quot;" command="SELECT * FROM [PermutationDimensions]"/>
  </connection>
  <connection id="6" xr16:uid="{1C1776CB-B819-473A-8FF3-14A4463C74E1}" keepAlive="1" name="Query - Rates" description="Connection to the 'Rates' query in the workbook." type="5" refreshedVersion="0" background="1">
    <dbPr connection="Provider=Microsoft.Mashup.OleDb.1;Data Source=$Workbook$;Location=Rates;Extended Properties=&quot;&quot;" command="SELECT * FROM [Rates]"/>
  </connection>
  <connection id="7" xr16:uid="{468E6618-46A5-44BA-8DDE-8522C6640A98}" keepAlive="1" name="Query - RatesDelta" description="Connection to the 'RatesDelta' query in the workbook." type="5" refreshedVersion="0" background="1">
    <dbPr connection="Provider=Microsoft.Mashup.OleDb.1;Data Source=$Workbook$;Location=RatesDelta;Extended Properties=&quot;&quot;" command="SELECT * FROM [RatesDelta]"/>
  </connection>
  <connection id="8" xr16:uid="{E5C010AB-6A87-4A7F-9860-56A32126BD0B}" keepAlive="1" name="Query - Saving" description="Connection to the 'Saving' query in the workbook." type="5" refreshedVersion="8" background="1" saveData="1">
    <dbPr connection="Provider=Microsoft.Mashup.OleDb.1;Data Source=$Workbook$;Location=Saving;Extended Properties=&quot;&quot;" command="SELECT * FROM [Saving]"/>
  </connection>
  <connection id="9" xr16:uid="{E01485BC-F39A-4B1E-9C7D-CFA878F2B9D4}" keepAlive="1" name="Query - SavingFacilityDay" description="Connection to the 'SavingFacilityDay' query in the workbook." type="5" refreshedVersion="8" background="1" saveData="1">
    <dbPr connection="Provider=Microsoft.Mashup.OleDb.1;Data Source=$Workbook$;Location=SavingFacilityDay;Extended Properties=&quot;&quot;" command="SELECT * FROM [SavingFacilityDay]"/>
  </connection>
  <connection id="10" xr16:uid="{7A26F0C0-E53B-475D-93E1-4F732E8420AF}" keepAlive="1" name="Query - ShiftHrs" description="Connection to the 'ShiftHrs' query in the workbook." type="5" refreshedVersion="0" background="1">
    <dbPr connection="Provider=Microsoft.Mashup.OleDb.1;Data Source=$Workbook$;Location=ShiftHrs;Extended Properties=&quot;&quot;" command="SELECT * FROM [ShiftHrs]"/>
  </connection>
  <connection id="11" xr16:uid="{4DF768C6-540A-42F7-A7E5-BE742E1C5FBB}" keepAlive="1" name="Query - TargetDailyRate" description="Connection to the 'TargetDailyRate' query in the workbook." type="5" refreshedVersion="0" background="1">
    <dbPr connection="Provider=Microsoft.Mashup.OleDb.1;Data Source=$Workbook$;Location=TargetDailyRate;Extended Properties=&quot;&quot;" command="SELECT * FROM [TargetDailyRate]"/>
  </connection>
  <connection id="12" xr16:uid="{B39ACE7F-62E7-4A03-B8E3-991D45780D4C}" keepAlive="1" name="Query - TargetRatebyDate" description="Connection to the 'TargetRatebyDate' query in the workbook." type="5" refreshedVersion="8" background="1" saveData="1">
    <dbPr connection="Provider=Microsoft.Mashup.OleDb.1;Data Source=$Workbook$;Location=TargetRatebyDate;Extended Properties=&quot;&quot;" command="SELECT * FROM [TargetRatebyDate]"/>
  </connection>
  <connection id="13" xr16:uid="{BEFAF6F0-05A7-4F41-B388-0E5925AAA7E0}" keepAlive="1" name="Query - UnitL1PathTABLE" description="Connection to the 'UnitL1PathTABLE' query in the workbook." type="5" refreshedVersion="8" background="1" saveData="1">
    <dbPr connection="Provider=Microsoft.Mashup.OleDb.1;Data Source=$Workbook$;Location=UnitL1PathTABLE;Extended Properties=&quot;&quot;" command="SELECT * FROM [UnitL1PathTABL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<sst xmlns="http://schemas.openxmlformats.org/spreadsheetml/2006/main" count="8320" uniqueCount="251">
  <si>
    <t>Date</t>
  </si>
  <si>
    <t>Role</t>
  </si>
  <si>
    <t>D</t>
  </si>
  <si>
    <t>Cs</t>
  </si>
  <si>
    <t>CX</t>
  </si>
  <si>
    <t>A</t>
  </si>
  <si>
    <t>Apn</t>
  </si>
  <si>
    <t>Apx</t>
  </si>
  <si>
    <t>Ai</t>
  </si>
  <si>
    <t>AB Potential</t>
  </si>
  <si>
    <t>AM</t>
  </si>
  <si>
    <t>NIGHT</t>
  </si>
  <si>
    <t>PM</t>
  </si>
  <si>
    <t>RN</t>
  </si>
  <si>
    <t>L1.1</t>
  </si>
  <si>
    <t>L1.2</t>
  </si>
  <si>
    <t>EXCESS OVER-ALLOCATION</t>
  </si>
  <si>
    <t>SPARE STRETCH</t>
  </si>
  <si>
    <t>SPARE SLACK</t>
  </si>
  <si>
    <t>SPARE STRETCH ALLOCATED</t>
  </si>
  <si>
    <t>SPARE SLACK ALLOCATED</t>
  </si>
  <si>
    <t>EXCESS STRETCH (ALLOCATED)</t>
  </si>
  <si>
    <t>EXCESS ALLOCATED SLACK</t>
  </si>
  <si>
    <t>EXCESS STRETCH</t>
  </si>
  <si>
    <t>EXCESS SLACK</t>
  </si>
  <si>
    <t>POTENTIAL SHORTFALL (OVER-ALLOCATED)</t>
  </si>
  <si>
    <t>POTENTIAL SHORTFALL</t>
  </si>
  <si>
    <t>WASTED STRETCH</t>
  </si>
  <si>
    <t>WASTED SLACK</t>
  </si>
  <si>
    <t>ALLOCATED STRETCH</t>
  </si>
  <si>
    <t>ALLOCATED SLACK</t>
  </si>
  <si>
    <t>UNALLOCATED SLACK</t>
  </si>
  <si>
    <t>LATENT</t>
  </si>
  <si>
    <t>LATENT.ALLOCATED</t>
  </si>
  <si>
    <t>LATENT.OVERALLOCATED</t>
  </si>
  <si>
    <t>Rate</t>
  </si>
  <si>
    <t>OTLoading</t>
  </si>
  <si>
    <t>AgencyPremium</t>
  </si>
  <si>
    <t>ExcessAllocation</t>
  </si>
  <si>
    <t>Shortage</t>
  </si>
  <si>
    <t>PlannedOvertime</t>
  </si>
  <si>
    <t>UnnecessaryAllocation$</t>
  </si>
  <si>
    <t>ShortageReplacement$</t>
  </si>
  <si>
    <t>Overtime$</t>
  </si>
  <si>
    <t>InefficiencyCost</t>
  </si>
  <si>
    <t>CapacityMaxHC</t>
  </si>
  <si>
    <t>DATESHIFT</t>
  </si>
  <si>
    <t>Carer</t>
  </si>
  <si>
    <t>Registered Nurse</t>
  </si>
  <si>
    <t>Use of Agency Labour</t>
  </si>
  <si>
    <t>Village:</t>
  </si>
  <si>
    <t>BENHOME</t>
  </si>
  <si>
    <t>Variance to GST</t>
  </si>
  <si>
    <t>For the fortnight ending:</t>
  </si>
  <si>
    <t>4.6.2023</t>
  </si>
  <si>
    <t>Must complete all shaded cells</t>
  </si>
  <si>
    <t>Incl / Excl Invoice?</t>
  </si>
  <si>
    <t>22.5.23</t>
  </si>
  <si>
    <t>23.5.23</t>
  </si>
  <si>
    <t>24.5.23</t>
  </si>
  <si>
    <t>25.5.23</t>
  </si>
  <si>
    <t>26.5.23</t>
  </si>
  <si>
    <t>27.5.23</t>
  </si>
  <si>
    <t>28.5.23</t>
  </si>
  <si>
    <t>29.5.23</t>
  </si>
  <si>
    <t>30.5.23</t>
  </si>
  <si>
    <t>31.5.23</t>
  </si>
  <si>
    <t>1.6.23</t>
  </si>
  <si>
    <t>2.6.23</t>
  </si>
  <si>
    <t>3.6.23</t>
  </si>
  <si>
    <t>4.6.23</t>
  </si>
  <si>
    <t>Variance to GST Excl. Inv</t>
  </si>
  <si>
    <t>Name of Agency Company</t>
  </si>
  <si>
    <t>Agency staff name</t>
  </si>
  <si>
    <t>Classication</t>
  </si>
  <si>
    <t>Shift</t>
  </si>
  <si>
    <t>Billable Hourly Rate</t>
  </si>
  <si>
    <t>Mon</t>
  </si>
  <si>
    <t>Tue</t>
  </si>
  <si>
    <t>Wed</t>
  </si>
  <si>
    <t>Thu</t>
  </si>
  <si>
    <t>Fri</t>
  </si>
  <si>
    <t>Sat</t>
  </si>
  <si>
    <t>Sun</t>
  </si>
  <si>
    <t>Total Hours</t>
  </si>
  <si>
    <t>Total Cost Excl. GST</t>
  </si>
  <si>
    <r>
      <t xml:space="preserve">Total Cost </t>
    </r>
    <r>
      <rPr>
        <b/>
        <sz val="13"/>
        <color rgb="FF0000FF"/>
        <rFont val="Calibri"/>
        <family val="2"/>
        <scheme val="minor"/>
      </rPr>
      <t>Incl. GST</t>
    </r>
  </si>
  <si>
    <t>Cost per Invoice</t>
  </si>
  <si>
    <t>Variance</t>
  </si>
  <si>
    <t>Explanation</t>
  </si>
  <si>
    <t>NN</t>
  </si>
  <si>
    <t>Sarah Hamilton</t>
  </si>
  <si>
    <t>Rate should have been $80/hr</t>
  </si>
  <si>
    <t>Vacant Shift</t>
  </si>
  <si>
    <t>HCA</t>
  </si>
  <si>
    <t>Suzanne Asquith</t>
  </si>
  <si>
    <t>Night</t>
  </si>
  <si>
    <t>EN</t>
  </si>
  <si>
    <t>Raj Tung</t>
  </si>
  <si>
    <t>Extra hour worked due to buddy shifts</t>
  </si>
  <si>
    <t>Other</t>
  </si>
  <si>
    <t>Anna Sithole</t>
  </si>
  <si>
    <t>Kathryn Bevan</t>
  </si>
  <si>
    <t>PH</t>
  </si>
  <si>
    <t>Brenda Karmi</t>
  </si>
  <si>
    <t>Divia Sitoula</t>
  </si>
  <si>
    <t>Terry Surjan</t>
  </si>
  <si>
    <t>Megala Devi</t>
  </si>
  <si>
    <t>Hardeep Kaur</t>
  </si>
  <si>
    <t>Raman Kaur</t>
  </si>
  <si>
    <t>Total</t>
  </si>
  <si>
    <t>Completed By:</t>
  </si>
  <si>
    <t>Kristin Smith</t>
  </si>
  <si>
    <t>Date:</t>
  </si>
  <si>
    <t>5.6.23</t>
  </si>
  <si>
    <t>General Manager</t>
  </si>
  <si>
    <t>Approved By:</t>
  </si>
  <si>
    <t>Regional General Manager</t>
  </si>
  <si>
    <t>Weekday</t>
  </si>
  <si>
    <t>Saturday</t>
  </si>
  <si>
    <t>Sunday</t>
  </si>
  <si>
    <t>Agency</t>
  </si>
  <si>
    <t>Workers</t>
  </si>
  <si>
    <t>Period</t>
  </si>
  <si>
    <t>Day Name</t>
  </si>
  <si>
    <t>Monday</t>
  </si>
  <si>
    <t>Tuesday</t>
  </si>
  <si>
    <t>Wednesday</t>
  </si>
  <si>
    <t>Thursday</t>
  </si>
  <si>
    <t>Friday</t>
  </si>
  <si>
    <t xml:space="preserve">Saturday </t>
  </si>
  <si>
    <t xml:space="preserve">Sunday </t>
  </si>
  <si>
    <t>Rates.Attribute</t>
  </si>
  <si>
    <t>Rates.Value</t>
  </si>
  <si>
    <t>RoleCost</t>
  </si>
  <si>
    <t>Facility</t>
  </si>
  <si>
    <t>Berry</t>
  </si>
  <si>
    <t>MAIT</t>
  </si>
  <si>
    <t>ExcessAllocation-Reaslistic</t>
  </si>
  <si>
    <t>Shortage-Realistic</t>
  </si>
  <si>
    <t>UnnecessaryAllocation</t>
  </si>
  <si>
    <t>Shortage Replacement</t>
  </si>
  <si>
    <t>OT</t>
  </si>
  <si>
    <t>SharedPath</t>
  </si>
  <si>
    <t>Client</t>
  </si>
  <si>
    <t>Version</t>
  </si>
  <si>
    <t>TargetRate</t>
  </si>
  <si>
    <t>Savings</t>
  </si>
  <si>
    <t>AIN</t>
  </si>
  <si>
    <t>X</t>
  </si>
  <si>
    <t>AINC4</t>
  </si>
  <si>
    <t>Count</t>
  </si>
  <si>
    <t>Cost per Resident</t>
  </si>
  <si>
    <t>DateX</t>
  </si>
  <si>
    <t>Variable Name</t>
  </si>
  <si>
    <t>Value</t>
  </si>
  <si>
    <t>UserName</t>
  </si>
  <si>
    <t>Root Path</t>
  </si>
  <si>
    <t>FilePathUrl</t>
  </si>
  <si>
    <t>Unit</t>
  </si>
  <si>
    <t>FileName</t>
  </si>
  <si>
    <t>BD</t>
  </si>
  <si>
    <t>JH-RY</t>
  </si>
  <si>
    <t>TE</t>
  </si>
  <si>
    <t>28/09/2026PM</t>
  </si>
  <si>
    <t>28/09/2026NIGHT</t>
  </si>
  <si>
    <t>28/09/2026AM</t>
  </si>
  <si>
    <t>29/09/2026AM</t>
  </si>
  <si>
    <t>29/09/2026NIGHT</t>
  </si>
  <si>
    <t>29/09/2026PM</t>
  </si>
  <si>
    <t>30/09/2026AM</t>
  </si>
  <si>
    <t>30/09/2026NIGHT</t>
  </si>
  <si>
    <t>30/09/2026PM</t>
  </si>
  <si>
    <t>1/10/2026AM</t>
  </si>
  <si>
    <t>1/10/2026PM</t>
  </si>
  <si>
    <t>1/10/2026NIGHT</t>
  </si>
  <si>
    <t>2/10/2026AM</t>
  </si>
  <si>
    <t>2/10/2026NIGHT</t>
  </si>
  <si>
    <t>2/10/2026PM</t>
  </si>
  <si>
    <t>3/10/2026NIGHT</t>
  </si>
  <si>
    <t>3/10/2026AM</t>
  </si>
  <si>
    <t>3/10/2026PM</t>
  </si>
  <si>
    <t>4/10/2026AM</t>
  </si>
  <si>
    <t>4/10/2026NIGHT</t>
  </si>
  <si>
    <t>4/10/2026PM</t>
  </si>
  <si>
    <t>5/10/2026NIGHT</t>
  </si>
  <si>
    <t>5/10/2026AM</t>
  </si>
  <si>
    <t>5/10/2026PM</t>
  </si>
  <si>
    <t>6/10/2026PM</t>
  </si>
  <si>
    <t>6/10/2026NIGHT</t>
  </si>
  <si>
    <t>6/10/2026AM</t>
  </si>
  <si>
    <t>7/10/2026PM</t>
  </si>
  <si>
    <t>7/10/2026NIGHT</t>
  </si>
  <si>
    <t>7/10/2026AM</t>
  </si>
  <si>
    <t>8/10/2026PM</t>
  </si>
  <si>
    <t>8/10/2026NIGHT</t>
  </si>
  <si>
    <t>8/10/2026AM</t>
  </si>
  <si>
    <t>9/10/2026PM</t>
  </si>
  <si>
    <t>9/10/2026AM</t>
  </si>
  <si>
    <t>9/10/2026NIGHT</t>
  </si>
  <si>
    <t>10/10/2026AM</t>
  </si>
  <si>
    <t>10/10/2026NIGHT</t>
  </si>
  <si>
    <t>10/10/2026PM</t>
  </si>
  <si>
    <t>11/10/2026NIGHT</t>
  </si>
  <si>
    <t>11/10/2026AM</t>
  </si>
  <si>
    <t>11/10/2026PM</t>
  </si>
  <si>
    <t>12/10/2026NIGHT</t>
  </si>
  <si>
    <t>12/10/2026PM</t>
  </si>
  <si>
    <t>12/10/2026AM</t>
  </si>
  <si>
    <t>13/10/2026PM</t>
  </si>
  <si>
    <t>13/10/2026AM</t>
  </si>
  <si>
    <t>13/10/2026NIGHT</t>
  </si>
  <si>
    <t>14/10/2026NIGHT</t>
  </si>
  <si>
    <t>14/10/2026PM</t>
  </si>
  <si>
    <t>14/10/2026AM</t>
  </si>
  <si>
    <t>15/10/2026PM</t>
  </si>
  <si>
    <t>15/10/2026NIGHT</t>
  </si>
  <si>
    <t>15/10/2026AM</t>
  </si>
  <si>
    <t>16/10/2026NIGHT</t>
  </si>
  <si>
    <t>16/10/2026PM</t>
  </si>
  <si>
    <t>16/10/2026AM</t>
  </si>
  <si>
    <t>17/10/2026PM</t>
  </si>
  <si>
    <t>17/10/2026AM</t>
  </si>
  <si>
    <t>17/10/2026NIGHT</t>
  </si>
  <si>
    <t>18/10/2026AM</t>
  </si>
  <si>
    <t>18/10/2026NIGHT</t>
  </si>
  <si>
    <t>18/10/2026PM</t>
  </si>
  <si>
    <t>19/10/2026PM</t>
  </si>
  <si>
    <t>19/10/2026NIGHT</t>
  </si>
  <si>
    <t>19/10/2026AM</t>
  </si>
  <si>
    <t>20/10/2026AM</t>
  </si>
  <si>
    <t>20/10/2026NIGHT</t>
  </si>
  <si>
    <t>20/10/2026PM</t>
  </si>
  <si>
    <t>21/10/2026PM</t>
  </si>
  <si>
    <t>21/10/2026NIGHT</t>
  </si>
  <si>
    <t>21/10/2026AM</t>
  </si>
  <si>
    <t>22/10/2026AM</t>
  </si>
  <si>
    <t>22/10/2026NIGHT</t>
  </si>
  <si>
    <t>22/10/2026PM</t>
  </si>
  <si>
    <t>23/10/2026AM</t>
  </si>
  <si>
    <t>23/10/2026NIGHT</t>
  </si>
  <si>
    <t>23/10/2026PM</t>
  </si>
  <si>
    <t>24/10/2026PM</t>
  </si>
  <si>
    <t>24/10/2026NIGHT</t>
  </si>
  <si>
    <t>24/10/2026AM</t>
  </si>
  <si>
    <t>25/10/2026PM</t>
  </si>
  <si>
    <t>25/10/2026AM</t>
  </si>
  <si>
    <t>25/10/2026NIGHT</t>
  </si>
  <si>
    <t>26/10/2026PM</t>
  </si>
  <si>
    <t>26/10/2026AM</t>
  </si>
  <si>
    <t>26/10/2026NIGHT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</si>
</sst>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8" formatCode="&quot;$&quot;#,##0.00;[Red]\-&quot;$&quot;#,##0.00"/>
    <numFmt numFmtId="44" formatCode="_-&quot;$&quot;* #,##0.00_-;\-&quot;$&quot;* #,##0.00_-;_-&quot;$&quot;* &quot;-&quot;??_-;_-@_-"/>
    <numFmt numFmtId="43" formatCode="_-* #,##0.00_-;\-* #,##0.00_-;_-* &quot;-&quot;??_-;_-@_-"/>
    <numFmt numFmtId="164" formatCode="_-* #,##0.0_-;\-* #,##0.0_-;_-* &quot;-&quot;??_-;_-@_-"/>
    <numFmt numFmtId="165" formatCode="_-&quot;$&quot;* #,##0_-;\-&quot;$&quot;* #,##0_-;_-&quot;$&quot;* &quot;-&quot;??_-;_-@_-"/>
    <numFmt numFmtId="166" formatCode="0.0%"/>
  </numFmts>
  <fonts count="27" x14ac:knownFonts="1">
    <font>
      <sz val="11"/>
      <color theme="1"/>
      <name val="Calibri"/>
      <family val="2"/>
      <scheme val="minor"/>
    </font>
    <font>
      <sz val="10"/>
      <color rgb="FF000000"/>
      <name val="Times New Roman"/>
      <family val="1"/>
    </font>
    <font>
      <sz val="10"/>
      <color rgb="FFFF0000"/>
      <name val="Times New Roman"/>
      <family val="1"/>
    </font>
    <font>
      <sz val="10"/>
      <color theme="4"/>
      <name val="Times New Roman"/>
      <family val="1"/>
    </font>
    <font>
      <sz val="10"/>
      <color theme="0" tint="-0.499984740745262"/>
      <name val="Times New Roman"/>
      <family val="1"/>
    </font>
    <font>
      <sz val="10"/>
      <color theme="8"/>
      <name val="Times New Roman"/>
      <family val="1"/>
    </font>
    <font>
      <sz val="11"/>
      <color theme="1"/>
      <name val="Calibri"/>
      <family val="2"/>
      <scheme val="minor"/>
    </font>
    <font>
      <b/>
      <sz val="11"/>
      <color theme="1"/>
      <name val="Calibri"/>
      <family val="2"/>
      <scheme val="minor"/>
    </font>
    <font>
      <b/>
      <sz val="18"/>
      <color theme="1"/>
      <name val="Arial"/>
      <family val="2"/>
    </font>
    <font>
      <b/>
      <sz val="13"/>
      <color theme="1"/>
      <name val="Arial"/>
      <family val="2"/>
    </font>
    <font>
      <b/>
      <sz val="14"/>
      <color theme="1"/>
      <name val="Arial"/>
      <family val="2"/>
    </font>
    <font>
      <b/>
      <sz val="14"/>
      <color rgb="FF0000FF"/>
      <name val="Calibri"/>
      <family val="2"/>
      <scheme val="minor"/>
    </font>
    <font>
      <sz val="11"/>
      <color rgb="FF0000FF"/>
      <name val="Calibri"/>
      <family val="2"/>
      <scheme val="minor"/>
    </font>
    <font>
      <b/>
      <sz val="16"/>
      <color rgb="FF0000FF"/>
      <name val="Calibri"/>
      <family val="2"/>
      <scheme val="minor"/>
    </font>
    <font>
      <b/>
      <sz val="12"/>
      <color theme="1"/>
      <name val="Calibri"/>
      <family val="2"/>
      <scheme val="minor"/>
    </font>
    <font>
      <b/>
      <sz val="13"/>
      <color theme="1"/>
      <name val="Calibri"/>
      <family val="2"/>
      <scheme val="minor"/>
    </font>
    <font>
      <b/>
      <sz val="13"/>
      <color rgb="FF0000FF"/>
      <name val="Calibri"/>
      <family val="2"/>
      <scheme val="minor"/>
    </font>
    <font>
      <sz val="12"/>
      <color theme="1"/>
      <name val="Arial"/>
      <family val="2"/>
    </font>
    <font>
      <sz val="11"/>
      <color theme="1"/>
      <name val="Arial"/>
      <family val="2"/>
    </font>
    <font>
      <b/>
      <sz val="12"/>
      <color theme="1"/>
      <name val="Arial"/>
      <family val="2"/>
    </font>
    <font>
      <b/>
      <sz val="11"/>
      <color theme="1"/>
      <name val="Arial"/>
      <family val="2"/>
    </font>
    <font>
      <sz val="12"/>
      <color rgb="FF0000FF"/>
      <name val="Arial"/>
      <family val="2"/>
    </font>
    <font>
      <b/>
      <sz val="12"/>
      <color rgb="FF0000FF"/>
      <name val="Arial"/>
      <family val="2"/>
    </font>
    <font>
      <b/>
      <sz val="11"/>
      <color rgb="FF0000FF"/>
      <name val="Arial"/>
      <family val="2"/>
    </font>
    <font>
      <sz val="8"/>
      <name val="Calibri"/>
      <family val="2"/>
      <scheme val="minor"/>
    </font>
    <font>
      <sz val="11"/>
      <color theme="8"/>
      <name val="Calibri"/>
      <family val="2"/>
      <scheme val="minor"/>
    </font>
    <font>
      <sz val="5"/>
      <color theme="4"/>
      <name val="Muli"/>
    </font>
  </fonts>
  <fills count="6">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
      <patternFill patternType="solid">
        <fgColor theme="7" tint="0.79998168889431442"/>
        <bgColor indexed="64"/>
      </patternFill>
    </fill>
    <fill>
      <patternFill patternType="solid">
        <fgColor rgb="FFFFFF00"/>
        <bgColor indexed="64"/>
      </patternFill>
    </fill>
  </fills>
  <borders count="32">
    <border>
      <left/>
      <right/>
      <top/>
      <bottom/>
      <diagonal/>
    </border>
    <border>
      <left/>
      <right/>
      <top style="thin">
        <color theme="4" tint="0.39997558519241921"/>
      </top>
      <bottom style="thin">
        <color theme="4" tint="0.3999755851924192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double">
        <color indexed="64"/>
      </right>
      <top style="hair">
        <color indexed="64"/>
      </top>
      <bottom/>
      <diagonal/>
    </border>
    <border>
      <left style="thin">
        <color indexed="64"/>
      </left>
      <right style="thin">
        <color indexed="64"/>
      </right>
      <top style="hair">
        <color indexed="64"/>
      </top>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double">
        <color indexed="64"/>
      </right>
      <top style="hair">
        <color indexed="64"/>
      </top>
      <bottom style="hair">
        <color indexed="64"/>
      </bottom>
      <diagonal/>
    </border>
    <border>
      <left/>
      <right style="thin">
        <color indexed="64"/>
      </right>
      <top/>
      <bottom style="hair">
        <color indexed="64"/>
      </bottom>
      <diagonal/>
    </border>
    <border>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double">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double">
        <color indexed="64"/>
      </bottom>
      <diagonal/>
    </border>
    <border>
      <left style="thin">
        <color indexed="64"/>
      </left>
      <right style="double">
        <color indexed="64"/>
      </right>
      <top/>
      <bottom style="double">
        <color indexed="64"/>
      </bottom>
      <diagonal/>
    </border>
    <border>
      <left/>
      <right style="thin">
        <color indexed="64"/>
      </right>
      <top/>
      <bottom style="double">
        <color indexed="64"/>
      </bottom>
      <diagonal/>
    </border>
    <border>
      <left style="thin">
        <color indexed="64"/>
      </left>
      <right style="double">
        <color indexed="64"/>
      </right>
      <top/>
      <bottom style="hair">
        <color indexed="64"/>
      </bottom>
      <diagonal/>
    </border>
    <border>
      <left style="double">
        <color indexed="64"/>
      </left>
      <right style="thin">
        <color indexed="64"/>
      </right>
      <top style="hair">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s>
  <cellStyleXfs count="5">
    <xf numFmtId="0" fontId="0" fillId="0" borderId="0"/>
    <xf numFmtId="0" fontId="1"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cellStyleXfs>
  <cellXfs count="144">
    <xf numFmtId="0" fontId="0" fillId="0" borderId="0" xfId="0"/>
    <xf numFmtId="14" fontId="0" fillId="0" borderId="0" xfId="0" applyNumberFormat="1"/>
    <xf numFmtId="0" fontId="2" fillId="0" borderId="0" xfId="1" applyFont="1" applyAlignment="1">
      <alignment horizontal="left" vertical="top"/>
    </xf>
    <xf numFmtId="0" fontId="1" fillId="0" borderId="0" xfId="1" applyAlignment="1">
      <alignment horizontal="left" vertical="top"/>
    </xf>
    <xf numFmtId="0" fontId="3" fillId="0" borderId="0" xfId="1" applyFont="1" applyAlignment="1">
      <alignment horizontal="left" vertical="top"/>
    </xf>
    <xf numFmtId="0" fontId="4" fillId="0" borderId="0" xfId="1" applyFont="1" applyAlignment="1">
      <alignment horizontal="left" vertical="top"/>
    </xf>
    <xf numFmtId="0" fontId="5" fillId="0" borderId="0" xfId="1" applyFont="1" applyAlignment="1">
      <alignment horizontal="left" vertical="top"/>
    </xf>
    <xf numFmtId="0" fontId="0" fillId="2" borderId="1" xfId="0" applyFill="1" applyBorder="1"/>
    <xf numFmtId="0" fontId="0" fillId="0" borderId="1" xfId="0" applyBorder="1"/>
    <xf numFmtId="0" fontId="0" fillId="3" borderId="0" xfId="0" applyFill="1"/>
    <xf numFmtId="0" fontId="9" fillId="3" borderId="2" xfId="0" applyFont="1" applyFill="1" applyBorder="1" applyAlignment="1">
      <alignment horizontal="left" indent="1"/>
    </xf>
    <xf numFmtId="0" fontId="10" fillId="4" borderId="3" xfId="0" applyFont="1" applyFill="1" applyBorder="1" applyAlignment="1" applyProtection="1">
      <alignment horizontal="center"/>
      <protection locked="0"/>
    </xf>
    <xf numFmtId="0" fontId="11" fillId="3" borderId="0" xfId="0" applyFont="1" applyFill="1" applyAlignment="1">
      <alignment horizontal="left"/>
    </xf>
    <xf numFmtId="0" fontId="0" fillId="3" borderId="0" xfId="0" applyFill="1" applyAlignment="1">
      <alignment horizontal="center"/>
    </xf>
    <xf numFmtId="0" fontId="12" fillId="3" borderId="0" xfId="0" applyFont="1" applyFill="1" applyAlignment="1">
      <alignment horizontal="center"/>
    </xf>
    <xf numFmtId="0" fontId="9" fillId="3" borderId="4" xfId="0" applyFont="1" applyFill="1" applyBorder="1" applyAlignment="1">
      <alignment horizontal="left" indent="1"/>
    </xf>
    <xf numFmtId="14" fontId="10" fillId="4" borderId="5" xfId="0" applyNumberFormat="1" applyFont="1" applyFill="1" applyBorder="1" applyAlignment="1" applyProtection="1">
      <alignment horizontal="center"/>
      <protection locked="0"/>
    </xf>
    <xf numFmtId="0" fontId="13" fillId="3" borderId="0" xfId="0" applyFont="1" applyFill="1" applyAlignment="1">
      <alignment horizontal="left"/>
    </xf>
    <xf numFmtId="14" fontId="0" fillId="3" borderId="0" xfId="0" applyNumberFormat="1" applyFill="1" applyAlignment="1">
      <alignment horizontal="center"/>
    </xf>
    <xf numFmtId="0" fontId="14" fillId="3" borderId="0" xfId="0" applyFont="1" applyFill="1"/>
    <xf numFmtId="0" fontId="0" fillId="5" borderId="0" xfId="0" applyFill="1" applyAlignment="1" applyProtection="1">
      <alignment horizontal="center"/>
      <protection locked="0"/>
    </xf>
    <xf numFmtId="0" fontId="15" fillId="0" borderId="6" xfId="0" applyFont="1" applyBorder="1" applyAlignment="1">
      <alignment horizontal="center" vertical="center" wrapText="1"/>
    </xf>
    <xf numFmtId="0" fontId="14" fillId="0" borderId="7" xfId="0" applyFont="1" applyBorder="1" applyAlignment="1">
      <alignment horizontal="center" vertical="center" wrapText="1"/>
    </xf>
    <xf numFmtId="0" fontId="15" fillId="0" borderId="8" xfId="0" applyFont="1" applyBorder="1" applyAlignment="1">
      <alignment horizontal="center" vertical="center"/>
    </xf>
    <xf numFmtId="0" fontId="15" fillId="0" borderId="6" xfId="0" applyFont="1" applyBorder="1" applyAlignment="1">
      <alignment horizontal="center" vertical="center"/>
    </xf>
    <xf numFmtId="0" fontId="15" fillId="0" borderId="7" xfId="0" applyFont="1" applyBorder="1" applyAlignment="1">
      <alignment horizontal="center" vertical="center"/>
    </xf>
    <xf numFmtId="0" fontId="15" fillId="0" borderId="8" xfId="0" applyFont="1" applyBorder="1" applyAlignment="1">
      <alignment horizontal="center" vertical="center" wrapText="1"/>
    </xf>
    <xf numFmtId="0" fontId="14" fillId="3" borderId="0" xfId="0" applyFont="1" applyFill="1" applyAlignment="1">
      <alignment vertical="center"/>
    </xf>
    <xf numFmtId="0" fontId="14" fillId="0" borderId="0" xfId="0" applyFont="1" applyAlignment="1">
      <alignment vertical="center"/>
    </xf>
    <xf numFmtId="0" fontId="17" fillId="4" borderId="9" xfId="0" applyFont="1" applyFill="1" applyBorder="1" applyAlignment="1" applyProtection="1">
      <alignment horizontal="left" indent="1"/>
      <protection locked="0"/>
    </xf>
    <xf numFmtId="0" fontId="18" fillId="4" borderId="9" xfId="0" applyFont="1" applyFill="1" applyBorder="1" applyAlignment="1" applyProtection="1">
      <alignment horizontal="left" indent="1"/>
      <protection locked="0"/>
    </xf>
    <xf numFmtId="44" fontId="19" fillId="4" borderId="10" xfId="3" applyFont="1" applyFill="1" applyBorder="1" applyProtection="1">
      <protection locked="0"/>
    </xf>
    <xf numFmtId="164" fontId="17" fillId="4" borderId="11" xfId="2" applyNumberFormat="1" applyFont="1" applyFill="1" applyBorder="1" applyProtection="1">
      <protection locked="0"/>
    </xf>
    <xf numFmtId="164" fontId="17" fillId="4" borderId="10" xfId="2" applyNumberFormat="1" applyFont="1" applyFill="1" applyBorder="1" applyProtection="1">
      <protection locked="0"/>
    </xf>
    <xf numFmtId="164" fontId="17" fillId="0" borderId="12" xfId="0" applyNumberFormat="1" applyFont="1" applyBorder="1"/>
    <xf numFmtId="165" fontId="17" fillId="0" borderId="9" xfId="3" applyNumberFormat="1" applyFont="1" applyBorder="1" applyProtection="1"/>
    <xf numFmtId="165" fontId="19" fillId="4" borderId="13" xfId="3" applyNumberFormat="1" applyFont="1" applyFill="1" applyBorder="1" applyProtection="1">
      <protection locked="0"/>
    </xf>
    <xf numFmtId="6" fontId="19" fillId="3" borderId="9" xfId="3" applyNumberFormat="1" applyFont="1" applyFill="1" applyBorder="1" applyProtection="1"/>
    <xf numFmtId="164" fontId="17" fillId="4" borderId="12" xfId="2" applyNumberFormat="1" applyFont="1" applyFill="1" applyBorder="1" applyAlignment="1" applyProtection="1">
      <alignment horizontal="left" wrapText="1"/>
      <protection locked="0"/>
    </xf>
    <xf numFmtId="164" fontId="17" fillId="0" borderId="14" xfId="0" applyNumberFormat="1" applyFont="1" applyBorder="1"/>
    <xf numFmtId="165" fontId="19" fillId="4" borderId="9" xfId="3" applyNumberFormat="1" applyFont="1" applyFill="1" applyBorder="1" applyProtection="1">
      <protection locked="0"/>
    </xf>
    <xf numFmtId="164" fontId="17" fillId="4" borderId="14" xfId="2" applyNumberFormat="1" applyFont="1" applyFill="1" applyBorder="1" applyAlignment="1" applyProtection="1">
      <alignment horizontal="left" wrapText="1"/>
      <protection locked="0"/>
    </xf>
    <xf numFmtId="0" fontId="17" fillId="4" borderId="15" xfId="0" applyFont="1" applyFill="1" applyBorder="1" applyAlignment="1" applyProtection="1">
      <alignment horizontal="left" indent="1"/>
      <protection locked="0"/>
    </xf>
    <xf numFmtId="44" fontId="19" fillId="4" borderId="16" xfId="3" applyFont="1" applyFill="1" applyBorder="1" applyProtection="1">
      <protection locked="0"/>
    </xf>
    <xf numFmtId="164" fontId="17" fillId="4" borderId="14" xfId="2" applyNumberFormat="1" applyFont="1" applyFill="1" applyBorder="1" applyProtection="1">
      <protection locked="0"/>
    </xf>
    <xf numFmtId="164" fontId="17" fillId="4" borderId="9" xfId="2" applyNumberFormat="1" applyFont="1" applyFill="1" applyBorder="1" applyProtection="1">
      <protection locked="0"/>
    </xf>
    <xf numFmtId="164" fontId="17" fillId="4" borderId="16" xfId="2" applyNumberFormat="1" applyFont="1" applyFill="1" applyBorder="1" applyProtection="1">
      <protection locked="0"/>
    </xf>
    <xf numFmtId="164" fontId="17" fillId="0" borderId="17" xfId="0" applyNumberFormat="1" applyFont="1" applyBorder="1"/>
    <xf numFmtId="165" fontId="17" fillId="0" borderId="15" xfId="3" applyNumberFormat="1" applyFont="1" applyBorder="1" applyProtection="1"/>
    <xf numFmtId="165" fontId="19" fillId="4" borderId="15" xfId="3" applyNumberFormat="1" applyFont="1" applyFill="1" applyBorder="1" applyProtection="1">
      <protection locked="0"/>
    </xf>
    <xf numFmtId="6" fontId="19" fillId="3" borderId="15" xfId="3" applyNumberFormat="1" applyFont="1" applyFill="1" applyBorder="1" applyProtection="1"/>
    <xf numFmtId="164" fontId="17" fillId="4" borderId="17" xfId="2" applyNumberFormat="1" applyFont="1" applyFill="1" applyBorder="1" applyAlignment="1" applyProtection="1">
      <alignment horizontal="left" wrapText="1"/>
      <protection locked="0"/>
    </xf>
    <xf numFmtId="8" fontId="19" fillId="4" borderId="16" xfId="3" applyNumberFormat="1" applyFont="1" applyFill="1" applyBorder="1" applyProtection="1">
      <protection locked="0"/>
    </xf>
    <xf numFmtId="0" fontId="17" fillId="4" borderId="11" xfId="0" applyFont="1" applyFill="1" applyBorder="1" applyAlignment="1" applyProtection="1">
      <alignment horizontal="left" indent="1"/>
      <protection locked="0"/>
    </xf>
    <xf numFmtId="164" fontId="17" fillId="4" borderId="18" xfId="2" applyNumberFormat="1" applyFont="1" applyFill="1" applyBorder="1" applyProtection="1">
      <protection locked="0"/>
    </xf>
    <xf numFmtId="165" fontId="17" fillId="0" borderId="11" xfId="3" applyNumberFormat="1" applyFont="1" applyBorder="1" applyProtection="1"/>
    <xf numFmtId="165" fontId="19" fillId="4" borderId="11" xfId="3" applyNumberFormat="1" applyFont="1" applyFill="1" applyBorder="1" applyProtection="1">
      <protection locked="0"/>
    </xf>
    <xf numFmtId="6" fontId="19" fillId="3" borderId="11" xfId="3" applyNumberFormat="1" applyFont="1" applyFill="1" applyBorder="1" applyProtection="1"/>
    <xf numFmtId="164" fontId="17" fillId="4" borderId="18" xfId="2" applyNumberFormat="1" applyFont="1" applyFill="1" applyBorder="1" applyAlignment="1" applyProtection="1">
      <alignment horizontal="left" wrapText="1"/>
      <protection locked="0"/>
    </xf>
    <xf numFmtId="0" fontId="17" fillId="4" borderId="19" xfId="0" applyFont="1" applyFill="1" applyBorder="1" applyAlignment="1" applyProtection="1">
      <alignment horizontal="left" indent="1"/>
      <protection locked="0"/>
    </xf>
    <xf numFmtId="44" fontId="19" fillId="4" borderId="20" xfId="3" applyFont="1" applyFill="1" applyBorder="1" applyProtection="1">
      <protection locked="0"/>
    </xf>
    <xf numFmtId="164" fontId="17" fillId="4" borderId="21" xfId="2" applyNumberFormat="1" applyFont="1" applyFill="1" applyBorder="1" applyProtection="1">
      <protection locked="0"/>
    </xf>
    <xf numFmtId="164" fontId="17" fillId="4" borderId="19" xfId="2" applyNumberFormat="1" applyFont="1" applyFill="1" applyBorder="1" applyProtection="1">
      <protection locked="0"/>
    </xf>
    <xf numFmtId="164" fontId="17" fillId="4" borderId="20" xfId="2" applyNumberFormat="1" applyFont="1" applyFill="1" applyBorder="1" applyProtection="1">
      <protection locked="0"/>
    </xf>
    <xf numFmtId="164" fontId="17" fillId="0" borderId="21" xfId="0" applyNumberFormat="1" applyFont="1" applyBorder="1"/>
    <xf numFmtId="165" fontId="17" fillId="0" borderId="19" xfId="3" applyNumberFormat="1" applyFont="1" applyBorder="1" applyProtection="1"/>
    <xf numFmtId="165" fontId="19" fillId="4" borderId="19" xfId="3" applyNumberFormat="1" applyFont="1" applyFill="1" applyBorder="1" applyProtection="1">
      <protection locked="0"/>
    </xf>
    <xf numFmtId="6" fontId="19" fillId="3" borderId="19" xfId="3" applyNumberFormat="1" applyFont="1" applyFill="1" applyBorder="1" applyProtection="1"/>
    <xf numFmtId="164" fontId="17" fillId="4" borderId="21" xfId="2" applyNumberFormat="1" applyFont="1" applyFill="1" applyBorder="1" applyAlignment="1" applyProtection="1">
      <alignment horizontal="left" wrapText="1"/>
      <protection locked="0"/>
    </xf>
    <xf numFmtId="0" fontId="20" fillId="0" borderId="22" xfId="0" applyFont="1" applyBorder="1"/>
    <xf numFmtId="0" fontId="19" fillId="0" borderId="22" xfId="0" applyFont="1" applyBorder="1" applyAlignment="1">
      <alignment horizontal="right" indent="1"/>
    </xf>
    <xf numFmtId="44" fontId="20" fillId="0" borderId="23" xfId="3" applyFont="1" applyBorder="1" applyProtection="1"/>
    <xf numFmtId="164" fontId="19" fillId="0" borderId="24" xfId="2" applyNumberFormat="1" applyFont="1" applyBorder="1" applyProtection="1"/>
    <xf numFmtId="164" fontId="19" fillId="0" borderId="22" xfId="2" applyNumberFormat="1" applyFont="1" applyBorder="1" applyProtection="1"/>
    <xf numFmtId="164" fontId="19" fillId="0" borderId="23" xfId="2" applyNumberFormat="1" applyFont="1" applyBorder="1" applyProtection="1"/>
    <xf numFmtId="164" fontId="19" fillId="0" borderId="24" xfId="0" applyNumberFormat="1" applyFont="1" applyBorder="1"/>
    <xf numFmtId="165" fontId="19" fillId="0" borderId="22" xfId="3" applyNumberFormat="1" applyFont="1" applyBorder="1" applyProtection="1"/>
    <xf numFmtId="6" fontId="19" fillId="0" borderId="22" xfId="3" applyNumberFormat="1" applyFont="1" applyBorder="1" applyProtection="1"/>
    <xf numFmtId="0" fontId="21" fillId="3" borderId="15" xfId="0" applyFont="1" applyFill="1" applyBorder="1" applyAlignment="1">
      <alignment horizontal="left" indent="1"/>
    </xf>
    <xf numFmtId="0" fontId="22" fillId="3" borderId="15" xfId="0" applyFont="1" applyFill="1" applyBorder="1" applyAlignment="1">
      <alignment horizontal="right" indent="1"/>
    </xf>
    <xf numFmtId="0" fontId="22" fillId="3" borderId="15" xfId="0" applyFont="1" applyFill="1" applyBorder="1" applyAlignment="1">
      <alignment horizontal="left" indent="1"/>
    </xf>
    <xf numFmtId="44" fontId="22" fillId="3" borderId="25" xfId="3" applyFont="1" applyFill="1" applyBorder="1" applyProtection="1"/>
    <xf numFmtId="164" fontId="22" fillId="3" borderId="17" xfId="2" applyNumberFormat="1" applyFont="1" applyFill="1" applyBorder="1" applyProtection="1"/>
    <xf numFmtId="164" fontId="22" fillId="3" borderId="15" xfId="2" applyNumberFormat="1" applyFont="1" applyFill="1" applyBorder="1" applyProtection="1"/>
    <xf numFmtId="164" fontId="22" fillId="3" borderId="25" xfId="2" applyNumberFormat="1" applyFont="1" applyFill="1" applyBorder="1" applyProtection="1"/>
    <xf numFmtId="164" fontId="22" fillId="0" borderId="17" xfId="0" applyNumberFormat="1" applyFont="1" applyBorder="1"/>
    <xf numFmtId="165" fontId="22" fillId="0" borderId="15" xfId="3" applyNumberFormat="1" applyFont="1" applyBorder="1" applyProtection="1"/>
    <xf numFmtId="6" fontId="22" fillId="0" borderId="15" xfId="3" applyNumberFormat="1" applyFont="1" applyBorder="1" applyProtection="1"/>
    <xf numFmtId="0" fontId="21" fillId="3" borderId="9" xfId="0" applyFont="1" applyFill="1" applyBorder="1" applyAlignment="1">
      <alignment horizontal="left" indent="1"/>
    </xf>
    <xf numFmtId="0" fontId="22" fillId="3" borderId="9" xfId="0" applyFont="1" applyFill="1" applyBorder="1" applyAlignment="1">
      <alignment horizontal="right" indent="1"/>
    </xf>
    <xf numFmtId="0" fontId="22" fillId="3" borderId="9" xfId="0" applyFont="1" applyFill="1" applyBorder="1" applyAlignment="1">
      <alignment horizontal="left" indent="1"/>
    </xf>
    <xf numFmtId="44" fontId="22" fillId="3" borderId="16" xfId="3" applyFont="1" applyFill="1" applyBorder="1" applyProtection="1"/>
    <xf numFmtId="164" fontId="22" fillId="3" borderId="14" xfId="2" applyNumberFormat="1" applyFont="1" applyFill="1" applyBorder="1" applyProtection="1"/>
    <xf numFmtId="164" fontId="22" fillId="3" borderId="9" xfId="2" applyNumberFormat="1" applyFont="1" applyFill="1" applyBorder="1" applyProtection="1"/>
    <xf numFmtId="164" fontId="22" fillId="3" borderId="16" xfId="2" applyNumberFormat="1" applyFont="1" applyFill="1" applyBorder="1" applyProtection="1"/>
    <xf numFmtId="164" fontId="22" fillId="0" borderId="14" xfId="0" applyNumberFormat="1" applyFont="1" applyBorder="1"/>
    <xf numFmtId="165" fontId="22" fillId="0" borderId="9" xfId="3" applyNumberFormat="1" applyFont="1" applyBorder="1" applyProtection="1"/>
    <xf numFmtId="6" fontId="22" fillId="0" borderId="9" xfId="3" applyNumberFormat="1" applyFont="1" applyBorder="1" applyProtection="1"/>
    <xf numFmtId="0" fontId="21" fillId="3" borderId="19" xfId="0" applyFont="1" applyFill="1" applyBorder="1" applyAlignment="1">
      <alignment horizontal="left" indent="1"/>
    </xf>
    <xf numFmtId="0" fontId="22" fillId="3" borderId="19" xfId="0" applyFont="1" applyFill="1" applyBorder="1" applyAlignment="1">
      <alignment horizontal="right" indent="1"/>
    </xf>
    <xf numFmtId="0" fontId="22" fillId="3" borderId="19" xfId="0" applyFont="1" applyFill="1" applyBorder="1" applyAlignment="1">
      <alignment horizontal="left" indent="1"/>
    </xf>
    <xf numFmtId="44" fontId="22" fillId="3" borderId="20" xfId="3" applyFont="1" applyFill="1" applyBorder="1" applyProtection="1"/>
    <xf numFmtId="164" fontId="22" fillId="3" borderId="21" xfId="2" applyNumberFormat="1" applyFont="1" applyFill="1" applyBorder="1" applyProtection="1"/>
    <xf numFmtId="164" fontId="22" fillId="3" borderId="19" xfId="2" applyNumberFormat="1" applyFont="1" applyFill="1" applyBorder="1" applyProtection="1"/>
    <xf numFmtId="164" fontId="22" fillId="3" borderId="20" xfId="2" applyNumberFormat="1" applyFont="1" applyFill="1" applyBorder="1" applyProtection="1"/>
    <xf numFmtId="164" fontId="22" fillId="0" borderId="26" xfId="0" applyNumberFormat="1" applyFont="1" applyBorder="1"/>
    <xf numFmtId="165" fontId="22" fillId="0" borderId="19" xfId="3" applyNumberFormat="1" applyFont="1" applyBorder="1" applyProtection="1"/>
    <xf numFmtId="6" fontId="22" fillId="0" borderId="19" xfId="3" applyNumberFormat="1" applyFont="1" applyBorder="1" applyProtection="1"/>
    <xf numFmtId="0" fontId="23" fillId="0" borderId="22" xfId="0" applyFont="1" applyBorder="1"/>
    <xf numFmtId="0" fontId="22" fillId="0" borderId="22" xfId="0" applyFont="1" applyBorder="1" applyAlignment="1">
      <alignment horizontal="right" indent="1"/>
    </xf>
    <xf numFmtId="44" fontId="23" fillId="0" borderId="23" xfId="3" applyFont="1" applyBorder="1" applyProtection="1"/>
    <xf numFmtId="164" fontId="22" fillId="0" borderId="24" xfId="2" applyNumberFormat="1" applyFont="1" applyBorder="1" applyProtection="1"/>
    <xf numFmtId="164" fontId="22" fillId="0" borderId="22" xfId="2" applyNumberFormat="1" applyFont="1" applyBorder="1" applyProtection="1"/>
    <xf numFmtId="164" fontId="22" fillId="0" borderId="23" xfId="2" applyNumberFormat="1" applyFont="1" applyBorder="1" applyProtection="1"/>
    <xf numFmtId="164" fontId="22" fillId="0" borderId="24" xfId="0" applyNumberFormat="1" applyFont="1" applyBorder="1"/>
    <xf numFmtId="165" fontId="22" fillId="0" borderId="22" xfId="3" applyNumberFormat="1" applyFont="1" applyBorder="1" applyProtection="1"/>
    <xf numFmtId="6" fontId="22" fillId="0" borderId="22" xfId="3" applyNumberFormat="1" applyFont="1" applyBorder="1" applyProtection="1"/>
    <xf numFmtId="0" fontId="7" fillId="3" borderId="0" xfId="0" applyFont="1" applyFill="1"/>
    <xf numFmtId="0" fontId="7" fillId="0" borderId="0" xfId="0" applyFont="1"/>
    <xf numFmtId="0" fontId="19" fillId="3" borderId="2" xfId="0" applyFont="1" applyFill="1" applyBorder="1" applyAlignment="1">
      <alignment horizontal="left" indent="1"/>
    </xf>
    <xf numFmtId="0" fontId="19" fillId="3" borderId="27" xfId="0" applyFont="1" applyFill="1" applyBorder="1"/>
    <xf numFmtId="0" fontId="19" fillId="3" borderId="27" xfId="0" applyFont="1" applyFill="1" applyBorder="1" applyAlignment="1">
      <alignment horizontal="right"/>
    </xf>
    <xf numFmtId="0" fontId="0" fillId="3" borderId="27" xfId="0" applyFill="1" applyBorder="1"/>
    <xf numFmtId="0" fontId="0" fillId="3" borderId="3" xfId="0" applyFill="1" applyBorder="1"/>
    <xf numFmtId="0" fontId="19" fillId="3" borderId="4" xfId="0" applyFont="1" applyFill="1" applyBorder="1" applyAlignment="1">
      <alignment horizontal="left" vertical="top" indent="1"/>
    </xf>
    <xf numFmtId="0" fontId="19" fillId="3" borderId="28" xfId="0" applyFont="1" applyFill="1" applyBorder="1"/>
    <xf numFmtId="0" fontId="19" fillId="3" borderId="28" xfId="0" applyFont="1" applyFill="1" applyBorder="1" applyAlignment="1">
      <alignment horizontal="right"/>
    </xf>
    <xf numFmtId="0" fontId="0" fillId="3" borderId="28" xfId="0" applyFill="1" applyBorder="1"/>
    <xf numFmtId="0" fontId="0" fillId="3" borderId="5" xfId="0" applyFill="1" applyBorder="1"/>
    <xf numFmtId="0" fontId="19" fillId="3" borderId="29" xfId="0" applyFont="1" applyFill="1" applyBorder="1" applyAlignment="1">
      <alignment horizontal="left" indent="1"/>
    </xf>
    <xf numFmtId="0" fontId="19" fillId="3" borderId="0" xfId="0" applyFont="1" applyFill="1"/>
    <xf numFmtId="0" fontId="19" fillId="3" borderId="0" xfId="0" applyFont="1" applyFill="1" applyAlignment="1">
      <alignment horizontal="right"/>
    </xf>
    <xf numFmtId="0" fontId="0" fillId="3" borderId="30" xfId="0" applyFill="1" applyBorder="1"/>
    <xf numFmtId="0" fontId="19" fillId="3" borderId="29" xfId="0" applyFont="1" applyFill="1" applyBorder="1" applyAlignment="1">
      <alignment horizontal="left" vertical="top" indent="1"/>
    </xf>
    <xf numFmtId="9" fontId="0" fillId="0" borderId="0" xfId="4" applyFont="1"/>
    <xf numFmtId="0" fontId="0" fillId="5" borderId="0" xfId="0" applyFill="1"/>
    <xf numFmtId="2" fontId="0" fillId="0" borderId="0" xfId="0" applyNumberFormat="1"/>
    <xf numFmtId="2" fontId="0" fillId="5" borderId="0" xfId="0" applyNumberFormat="1" applyFill="1"/>
    <xf numFmtId="166" fontId="0" fillId="0" borderId="0" xfId="4" applyNumberFormat="1" applyFont="1"/>
    <xf numFmtId="0" fontId="25" fillId="0" borderId="31" xfId="0" applyFont="1" applyBorder="1"/>
    <xf numFmtId="0" fontId="26" fillId="0" borderId="0" xfId="1" applyFont="1" applyAlignment="1">
      <alignment horizontal="left" vertical="top"/>
    </xf>
    <xf numFmtId="0" fontId="1" fillId="0" borderId="0" xfId="1" applyAlignment="1">
      <alignment horizontal="right" vertical="top"/>
    </xf>
    <xf numFmtId="0" fontId="1" fillId="0" borderId="28" xfId="1" applyBorder="1" applyAlignment="1">
      <alignment horizontal="right" vertical="top"/>
    </xf>
    <xf numFmtId="0" fontId="8" fillId="3" borderId="0" xfId="0" applyFont="1" applyFill="1" applyAlignment="1">
      <alignment horizontal="center"/>
    </xf>
  </cellXfs>
  <cellStyles count="5">
    <cellStyle name="Comma" xfId="2" builtinId="3"/>
    <cellStyle name="Currency" xfId="3" builtinId="4"/>
    <cellStyle name="Normal" xfId="0" builtinId="0"/>
    <cellStyle name="Normal 2" xfId="1" xr:uid="{0914B392-064C-476E-9A9E-06F3640EF578}"/>
    <cellStyle name="Percent" xfId="4" builtinId="5"/>
  </cellStyles>
  <dxfs count="23">
    <dxf>
      <numFmt numFmtId="19" formatCode="d/mm/yyyy"/>
    </dxf>
    <dxf>
      <numFmt numFmtId="19" formatCode="d/mm/yyyy"/>
    </dxf>
    <dxf>
      <numFmt numFmtId="0" formatCode="General"/>
    </dxf>
    <dxf>
      <numFmt numFmtId="19" formatCode="d/mm/yyyy"/>
    </dxf>
    <dxf>
      <numFmt numFmtId="19" formatCode="d/mm/yyyy"/>
    </dxf>
    <dxf>
      <numFmt numFmtId="19" formatCode="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0"/>
        <color theme="4"/>
        <name val="Times New Roman"/>
        <family val="1"/>
        <scheme val="none"/>
      </font>
      <alignment horizontal="left" vertical="top" textRotation="0" wrapText="0" indent="0" justifyLastLine="0" shrinkToFit="0" readingOrder="0"/>
    </dxf>
    <dxf>
      <font>
        <b val="0"/>
        <i val="0"/>
        <strike val="0"/>
        <condense val="0"/>
        <extend val="0"/>
        <outline val="0"/>
        <shadow val="0"/>
        <u val="none"/>
        <vertAlign val="baseline"/>
        <sz val="10"/>
        <color theme="4"/>
        <name val="Times New Roman"/>
        <family val="1"/>
        <scheme val="none"/>
      </font>
      <alignment horizontal="left" vertical="top" textRotation="0" wrapText="0" indent="0" justifyLastLine="0" shrinkToFit="0" readingOrder="0"/>
    </dxf>
    <dxf>
      <font>
        <b val="0"/>
        <i val="0"/>
        <strike val="0"/>
        <condense val="0"/>
        <extend val="0"/>
        <outline val="0"/>
        <shadow val="0"/>
        <u val="none"/>
        <vertAlign val="baseline"/>
        <sz val="10"/>
        <color theme="4"/>
        <name val="Times New Roman"/>
        <family val="1"/>
        <scheme val="none"/>
      </font>
      <alignment horizontal="left" vertical="top" textRotation="0" wrapText="0" indent="0" justifyLastLine="0" shrinkToFit="0" readingOrder="0"/>
    </dxf>
    <dxf>
      <font>
        <b val="0"/>
        <i val="0"/>
        <strike val="0"/>
        <condense val="0"/>
        <extend val="0"/>
        <outline val="0"/>
        <shadow val="0"/>
        <u val="none"/>
        <vertAlign val="baseline"/>
        <sz val="10"/>
        <color theme="4"/>
        <name val="Times New Roman"/>
        <family val="1"/>
        <scheme val="none"/>
      </font>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editAs="absolute">
    <xdr:from>
      <xdr:col>11</xdr:col>
      <xdr:colOff>123825</xdr:colOff>
      <xdr:row>10</xdr:row>
      <xdr:rowOff>142875</xdr:rowOff>
    </xdr:from>
    <xdr:to>
      <xdr:col>14</xdr:col>
      <xdr:colOff>123825</xdr:colOff>
      <xdr:row>24</xdr:row>
      <xdr:rowOff>0</xdr:rowOff>
    </xdr:to>
    <mc:AlternateContent xmlns:mc="http://schemas.openxmlformats.org/markup-compatibility/2006" xmlns:sle15="http://schemas.microsoft.com/office/drawing/2012/slicer">
      <mc:Choice Requires="sle15">
        <xdr:graphicFrame macro="">
          <xdr:nvGraphicFramePr>
            <xdr:cNvPr id="2" name="Version">
              <a:extLst>
                <a:ext uri="{FF2B5EF4-FFF2-40B4-BE49-F238E27FC236}">
                  <a16:creationId xmlns:a16="http://schemas.microsoft.com/office/drawing/2014/main" id="{5135AEF9-DD6A-C278-DF4B-3DDD0092D9E6}"/>
                </a:ext>
              </a:extLst>
            </xdr:cNvPr>
            <xdr:cNvGraphicFramePr/>
          </xdr:nvGraphicFramePr>
          <xdr:xfrm>
            <a:off x="0" y="0"/>
            <a:ext cx="0" cy="0"/>
          </xdr:xfrm>
          <a:graphic>
            <a:graphicData uri="http://schemas.microsoft.com/office/drawing/2010/slicer">
              <sle:slicer xmlns:sle="http://schemas.microsoft.com/office/drawing/2010/slicer" name="Version"/>
            </a:graphicData>
          </a:graphic>
        </xdr:graphicFrame>
      </mc:Choice>
      <mc:Fallback xmlns="">
        <xdr:sp macro="" textlink="">
          <xdr:nvSpPr>
            <xdr:cNvPr id="0" name=""/>
            <xdr:cNvSpPr>
              <a:spLocks noTextEdit="1"/>
            </xdr:cNvSpPr>
          </xdr:nvSpPr>
          <xdr:spPr>
            <a:xfrm>
              <a:off x="8629650" y="333375"/>
              <a:ext cx="1828800" cy="2524125"/>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457200</xdr:colOff>
      <xdr:row>10</xdr:row>
      <xdr:rowOff>104775</xdr:rowOff>
    </xdr:from>
    <xdr:to>
      <xdr:col>17</xdr:col>
      <xdr:colOff>457200</xdr:colOff>
      <xdr:row>23</xdr:row>
      <xdr:rowOff>152400</xdr:rowOff>
    </xdr:to>
    <mc:AlternateContent xmlns:mc="http://schemas.openxmlformats.org/markup-compatibility/2006" xmlns:sle15="http://schemas.microsoft.com/office/drawing/2012/slicer">
      <mc:Choice Requires="sle15">
        <xdr:graphicFrame macro="">
          <xdr:nvGraphicFramePr>
            <xdr:cNvPr id="4" name="Facility">
              <a:extLst>
                <a:ext uri="{FF2B5EF4-FFF2-40B4-BE49-F238E27FC236}">
                  <a16:creationId xmlns:a16="http://schemas.microsoft.com/office/drawing/2014/main" id="{90597407-53FA-75E9-95CA-A8B8B4C71785}"/>
                </a:ext>
              </a:extLst>
            </xdr:cNvPr>
            <xdr:cNvGraphicFramePr/>
          </xdr:nvGraphicFramePr>
          <xdr:xfrm>
            <a:off x="0" y="0"/>
            <a:ext cx="0" cy="0"/>
          </xdr:xfrm>
          <a:graphic>
            <a:graphicData uri="http://schemas.microsoft.com/office/drawing/2010/slicer">
              <sle:slicer xmlns:sle="http://schemas.microsoft.com/office/drawing/2010/slicer" name="Facility"/>
            </a:graphicData>
          </a:graphic>
        </xdr:graphicFrame>
      </mc:Choice>
      <mc:Fallback xmlns="">
        <xdr:sp macro="" textlink="">
          <xdr:nvSpPr>
            <xdr:cNvPr id="0" name=""/>
            <xdr:cNvSpPr>
              <a:spLocks noTextEdit="1"/>
            </xdr:cNvSpPr>
          </xdr:nvSpPr>
          <xdr:spPr>
            <a:xfrm>
              <a:off x="10791825" y="295275"/>
              <a:ext cx="1828800" cy="2524125"/>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entri001.sharepoint.com/sites/2.0Accounts/Shared%20Documents/IndoChinese%20Aged%20Care/4.%20Analysis/221223/2.%20Calculations/P6%20AEM-InefficiencyCheck.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centri001.sharepoint.com/sites/4.Production/Shared%20Documents/WFEffectiveness/4.1.1%20AGED%20CARE/01%20Christadelphian%20Aged%20Care/240715/FACILITIES/ASHB/2.%20Calculations/Settings%20Data.xlsx" TargetMode="External"/><Relationship Id="rId1" Type="http://schemas.openxmlformats.org/officeDocument/2006/relationships/externalLinkPath" Target="https://centri001.sharepoint.com/sites/4.Production/Shared%20Documents/WFEffectiveness/4.1.1%20AGED%20CARE/01%20Christadelphian%20Aged%20Care/240715/FACILITIES/ASHB/2.%20Calculations/Settings%20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NSITY"/>
      <sheetName val="Months Days"/>
      <sheetName val="Input"/>
      <sheetName val="Factors"/>
      <sheetName val="Role Consol"/>
      <sheetName val="Names"/>
      <sheetName val="Transpose"/>
      <sheetName val="Demand"/>
      <sheetName val="NamesXPeriod"/>
      <sheetName val="NamesByDate+Leave"/>
      <sheetName val="Capacity"/>
      <sheetName val="Allocation"/>
      <sheetName val="Effort+Outcomes"/>
      <sheetName val="Pivot Check"/>
      <sheetName val="1Pool-AB-Op"/>
      <sheetName val="1Pool-EF-Op"/>
      <sheetName val="1Pool-IN-Op"/>
      <sheetName val="2Pond-Unit-AB"/>
      <sheetName val="2Pond-Unit-EF"/>
      <sheetName val="2Pond-Unit-IN"/>
      <sheetName val="2Pond-Role-AB"/>
      <sheetName val="2Pond-Role-EF"/>
      <sheetName val="2Pond-Role-IN"/>
      <sheetName val="3LakeAB"/>
      <sheetName val="3LakeEF"/>
      <sheetName val="3LakeIN"/>
      <sheetName val="SDTX PoolREG.ROLE"/>
      <sheetName val="SD PondROLE+IMP"/>
      <sheetName val="SD PondROLEBase"/>
      <sheetName val="SD PondROLES1"/>
      <sheetName val="IMP PondROLE"/>
      <sheetName val="WGT PondROLESBaseLake"/>
      <sheetName val="WGT PondROLES1Lake"/>
      <sheetName val="SD LakeBase"/>
      <sheetName val="SD LakeS1"/>
      <sheetName val="IMP Lake"/>
      <sheetName val="INTERVENTIONS"/>
      <sheetName val="Value"/>
      <sheetName val="$PoolMPACT"/>
      <sheetName val="$PoolIMPACTTranspose"/>
      <sheetName val="Sheet1"/>
      <sheetName val="Check"/>
    </sheetNames>
    <sheetDataSet>
      <sheetData sheetId="0" refreshError="1"/>
      <sheetData sheetId="1" refreshError="1"/>
      <sheetData sheetId="2" refreshError="1"/>
      <sheetData sheetId="3" refreshError="1">
        <row r="4">
          <cell r="B4">
            <v>1.25</v>
          </cell>
        </row>
        <row r="6">
          <cell r="B6">
            <v>1.25</v>
          </cell>
        </row>
        <row r="7">
          <cell r="B7">
            <v>1.5</v>
          </cell>
        </row>
        <row r="8">
          <cell r="B8">
            <v>1.5</v>
          </cell>
        </row>
        <row r="10">
          <cell r="B10">
            <v>1</v>
          </cell>
        </row>
        <row r="11">
          <cell r="B11">
            <v>1</v>
          </cell>
        </row>
        <row r="12">
          <cell r="B12">
            <v>1</v>
          </cell>
        </row>
        <row r="19">
          <cell r="B19">
            <v>2.5</v>
          </cell>
        </row>
        <row r="21">
          <cell r="B21">
            <v>12500</v>
          </cell>
        </row>
        <row r="22">
          <cell r="B22">
            <v>18750</v>
          </cell>
        </row>
        <row r="23">
          <cell r="B23">
            <v>31250</v>
          </cell>
          <cell r="E23">
            <v>3000000</v>
          </cell>
        </row>
        <row r="35">
          <cell r="B35">
            <v>0.02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LEPATH-Facility"/>
      <sheetName val="MaxCapacity"/>
      <sheetName val="ShiftHours"/>
      <sheetName val="PermutationDimensions (2)"/>
      <sheetName val="DimensionPermutations"/>
      <sheetName val="Metadata"/>
      <sheetName val="AllocationExtracted"/>
    </sheetNames>
    <sheetDataSet>
      <sheetData sheetId="0" refreshError="1"/>
      <sheetData sheetId="1">
        <row r="2">
          <cell r="A2">
            <v>1</v>
          </cell>
        </row>
      </sheetData>
      <sheetData sheetId="2" refreshError="1"/>
      <sheetData sheetId="3" refreshError="1"/>
      <sheetData sheetId="4" refreshError="1"/>
      <sheetData sheetId="5" refreshError="1"/>
      <sheetData sheetId="6" refreshError="1"/>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3" xr16:uid="{BA0970F7-F3D3-4EA1-A31E-4F3417AD4500}" autoFormatId="16" applyNumberFormats="0" applyBorderFormats="0" applyFontFormats="0" applyPatternFormats="0" applyAlignmentFormats="0" applyWidthHeightFormats="0">
  <queryTableRefresh nextId="3">
    <queryTableFields count="2">
      <queryTableField id="1" name="Variable Name" tableColumnId="1"/>
      <queryTableField id="2" name="Value"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7292CFF5-EC16-459B-A3C4-6FA6BF6283F5}" autoFormatId="16" applyNumberFormats="0" applyBorderFormats="0" applyFontFormats="0" applyPatternFormats="0" applyAlignmentFormats="0" applyWidthHeightFormats="0">
  <queryTableRefresh nextId="63">
    <queryTableFields count="35">
      <queryTableField id="1" name="Date" tableColumnId="1"/>
      <queryTableField id="2" name="L1.1" tableColumnId="2"/>
      <queryTableField id="3" name="L1.2" tableColumnId="3"/>
      <queryTableField id="4" name="D" tableColumnId="4"/>
      <queryTableField id="5" name="Cs" tableColumnId="5"/>
      <queryTableField id="6" name="CX" tableColumnId="6"/>
      <queryTableField id="7" name="A" tableColumnId="7"/>
      <queryTableField id="8" name="Apn" tableColumnId="8"/>
      <queryTableField id="9" name="Apx" tableColumnId="9"/>
      <queryTableField id="10" name="Ai" tableColumnId="10"/>
      <queryTableField id="11" name="EXCESS OVER-ALLOCATION" tableColumnId="11"/>
      <queryTableField id="12" name="SPARE STRETCH" tableColumnId="12"/>
      <queryTableField id="13" name="SPARE SLACK" tableColumnId="13"/>
      <queryTableField id="14" name="SPARE STRETCH ALLOCATED" tableColumnId="14"/>
      <queryTableField id="15" name="SPARE SLACK ALLOCATED" tableColumnId="15"/>
      <queryTableField id="16" name="EXCESS STRETCH (ALLOCATED)" tableColumnId="16"/>
      <queryTableField id="17" name="EXCESS ALLOCATED SLACK" tableColumnId="17"/>
      <queryTableField id="18" name="EXCESS STRETCH" tableColumnId="18"/>
      <queryTableField id="19" name="EXCESS SLACK" tableColumnId="19"/>
      <queryTableField id="20" name="POTENTIAL SHORTFALL (OVER-ALLOCATED)" tableColumnId="20"/>
      <queryTableField id="21" name="POTENTIAL SHORTFALL" tableColumnId="21"/>
      <queryTableField id="22" name="WASTED STRETCH" tableColumnId="22"/>
      <queryTableField id="23" name="WASTED SLACK" tableColumnId="23"/>
      <queryTableField id="24" name="ALLOCATED STRETCH" tableColumnId="24"/>
      <queryTableField id="25" name="ALLOCATED SLACK" tableColumnId="25"/>
      <queryTableField id="26" name="UNALLOCATED SLACK" tableColumnId="26"/>
      <queryTableField id="27" name="LATENT" tableColumnId="27"/>
      <queryTableField id="28" name="LATENT.ALLOCATED" tableColumnId="28"/>
      <queryTableField id="29" name="LATENT.OVERALLOCATED" tableColumnId="29"/>
      <queryTableField id="30" name="AB Potential" tableColumnId="30"/>
      <queryTableField id="56" name="Facility" tableColumnId="33"/>
      <queryTableField id="54" name="CapacityMaxHC" tableColumnId="31"/>
      <queryTableField id="55" name="DATESHIFT" tableColumnId="32"/>
      <queryTableField id="61" name="DateX" tableColumnId="36"/>
      <queryTableField id="58" name="Version" tableColumnId="3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CC18ABC4-C46F-4174-8C25-7541C6CE0519}" autoFormatId="16" applyNumberFormats="0" applyBorderFormats="0" applyFontFormats="0" applyPatternFormats="0" applyAlignmentFormats="0" applyWidthHeightFormats="0">
  <queryTableRefresh nextId="37">
    <queryTableFields count="19">
      <queryTableField id="1" name="Date" tableColumnId="1"/>
      <queryTableField id="2" name="L1.1" tableColumnId="2"/>
      <queryTableField id="3" name="L1.2" tableColumnId="3"/>
      <queryTableField id="4" name="D" tableColumnId="4"/>
      <queryTableField id="25" name="Facility" tableColumnId="8"/>
      <queryTableField id="35" name="DateX" tableColumnId="20"/>
      <queryTableField id="31" name="Version" tableColumnId="15"/>
      <queryTableField id="5" name="ExcessAllocation" tableColumnId="5"/>
      <queryTableField id="26" name="ExcessAllocation-Reaslistic" tableColumnId="9"/>
      <queryTableField id="6" name="Shortage" tableColumnId="6"/>
      <queryTableField id="27" name="Shortage-Realistic" tableColumnId="10"/>
      <queryTableField id="7" name="PlannedOvertime" tableColumnId="7"/>
      <queryTableField id="19" name="Day Name" tableColumnId="17"/>
      <queryTableField id="21" name="Rates.Attribute" tableColumnId="18"/>
      <queryTableField id="22" name="Rates.Value" tableColumnId="19"/>
      <queryTableField id="11" name="UnnecessaryAllocation$" tableColumnId="11"/>
      <queryTableField id="12" name="ShortageReplacement$" tableColumnId="12"/>
      <queryTableField id="13" name="Overtime$" tableColumnId="13"/>
      <queryTableField id="14" name="InefficiencyCost" tableColumnId="1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3" xr16:uid="{35FC7701-A5DC-47E2-8BB3-49AA480CC22A}" autoFormatId="16" applyNumberFormats="0" applyBorderFormats="0" applyFontFormats="0" applyPatternFormats="0" applyAlignmentFormats="0" applyWidthHeightFormats="0">
  <queryTableRefresh nextId="9">
    <queryTableFields count="2">
      <queryTableField id="6" name="Facility" tableColumnId="2"/>
      <queryTableField id="8" name="Count" tableColumnId="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12" xr16:uid="{335401E7-88DC-44AE-909F-D0610D4A51F2}" autoFormatId="16" applyNumberFormats="0" applyBorderFormats="0" applyFontFormats="0" applyPatternFormats="0" applyAlignmentFormats="0" applyWidthHeightFormats="0">
  <queryTableRefresh nextId="4">
    <queryTableFields count="2">
      <queryTableField id="1" name="Date" tableColumnId="1"/>
      <queryTableField id="3" name="TargetRate" tableColumnId="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9" xr16:uid="{757BBF4D-674E-43ED-ADA2-473ECD86D717}" autoFormatId="16" applyNumberFormats="0" applyBorderFormats="0" applyFontFormats="0" applyPatternFormats="0" applyAlignmentFormats="0" applyWidthHeightFormats="0">
  <queryTableRefresh nextId="4">
    <queryTableFields count="3">
      <queryTableField id="1" name="Date" tableColumnId="1"/>
      <queryTableField id="2" name="Facility" tableColumnId="2"/>
      <queryTableField id="3" name="Savings" tableColumnId="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8" xr16:uid="{B07D0A94-5249-415B-9D1C-07DE963795CD}" autoFormatId="16" applyNumberFormats="0" applyBorderFormats="0" applyFontFormats="0" applyPatternFormats="0" applyAlignmentFormats="0" applyWidthHeightFormats="0">
  <queryTableRefresh nextId="10">
    <queryTableFields count="3">
      <queryTableField id="3" name="Date" tableColumnId="3"/>
      <queryTableField id="8" name="Facility" tableColumnId="1"/>
      <queryTableField id="5" name="Savings" tableColumnId="4"/>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2" xr16:uid="{9015033E-780C-46B0-A0C1-FD28BC5A5D63}" autoFormatId="16" applyNumberFormats="0" applyBorderFormats="0" applyFontFormats="0" applyPatternFormats="0" applyAlignmentFormats="0" applyWidthHeightFormats="0">
  <queryTableRefresh nextId="12">
    <queryTableFields count="7">
      <queryTableField id="8" name="Version" tableColumnId="7"/>
      <queryTableField id="3" name="Facility" tableColumnId="3"/>
      <queryTableField id="1" name="L1.1" tableColumnId="1"/>
      <queryTableField id="2" name="RoleCost" tableColumnId="2"/>
      <queryTableField id="4" name="UnnecessaryAllocation" tableColumnId="4"/>
      <queryTableField id="5" name="Shortage Replacement" tableColumnId="5"/>
      <queryTableField id="6" name="OT"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rsion" xr10:uid="{F1A2611F-78AC-4B3A-9614-AB40398F26AC}" sourceName="Version">
  <extLst>
    <x:ext xmlns:x15="http://schemas.microsoft.com/office/spreadsheetml/2010/11/main" uri="{2F2917AC-EB37-4324-AD4E-5DD8C200BD13}">
      <x15:tableSlicerCache tableId="6" column="7"/>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ility" xr10:uid="{2E61C122-84A6-4381-9CFE-981C3EABAC5C}" sourceName="Facility">
  <extLst>
    <x:ext xmlns:x15="http://schemas.microsoft.com/office/spreadsheetml/2010/11/main" uri="{2F2917AC-EB37-4324-AD4E-5DD8C200BD13}">
      <x15:tableSlicerCache tableId="6"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rsion" xr10:uid="{683CBF66-8254-4A7C-B5B5-02415849F6F2}" cache="Slicer_Version" caption="Version" rowHeight="241300"/>
  <slicer name="Facility" xr10:uid="{7144B479-9DCA-4BCD-918B-1C0E9679EF23}" cache="Slicer_Facility" caption="Facilit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160228-5AEF-46C1-9B0B-70F1102021D4}" name="UnitL1PathTABLE" displayName="UnitL1PathTABLE" ref="A3:B10" tableType="queryTable" totalsRowShown="0" headerRowDxfId="22" dataDxfId="21" headerRowCellStyle="Normal 2" dataCellStyle="Normal 2">
  <autoFilter ref="A3:B10" xr:uid="{4DEC0CF8-226F-4A41-80C6-7A1A66A55922}"/>
  <tableColumns count="2">
    <tableColumn id="1" xr3:uid="{28E8BD38-852E-477E-9290-C12CB72A8FC8}" uniqueName="1" name="Variable Name" queryTableFieldId="1" dataDxfId="20" dataCellStyle="Normal 2"/>
    <tableColumn id="2" xr3:uid="{2EAEF9C6-9000-40DA-B6EE-5D40B44F8B59}" uniqueName="2" name="Value" queryTableFieldId="2" dataDxfId="19" dataCellStyle="Normal 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692DBF6-3ECD-4F63-AEE1-C82BCE687309}" name="Rates" displayName="Rates" ref="A1:D3" totalsRowShown="0">
  <autoFilter ref="A1:D3" xr:uid="{C692DBF6-3ECD-4F63-AEE1-C82BCE687309}"/>
  <tableColumns count="4">
    <tableColumn id="1" xr3:uid="{39D88134-2B37-41F0-9262-5665D235DAB7}" name="Role"/>
    <tableColumn id="2" xr3:uid="{D3392DC6-62F7-4C41-AC65-10D4F6A01223}" name="Rate"/>
    <tableColumn id="3" xr3:uid="{A436EC23-10C2-4E83-9612-A3D799F5A5A0}" name="OTLoading"/>
    <tableColumn id="4" xr3:uid="{C90CAEC0-F0AF-4992-9FB9-D83CE55A06F3}" name="AgencyPremium"/>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98B0CBE-73A2-4F8B-A2EF-F58A37A724C7}" name="RatesDelta" displayName="RatesDelta" ref="H17:P26" totalsRowShown="0">
  <autoFilter ref="H17:P26" xr:uid="{B98B0CBE-73A2-4F8B-A2EF-F58A37A724C7}"/>
  <tableColumns count="9">
    <tableColumn id="1" xr3:uid="{0219450F-0F42-4906-8CB2-537BA17757A7}" name="Role"/>
    <tableColumn id="2" xr3:uid="{1A5B7ECF-0047-4BF8-AD72-CC836C44713D}" name="Period"/>
    <tableColumn id="3" xr3:uid="{84D5F6B9-C429-464C-BBB5-5FF39FBD6D25}" name="Monday" dataDxfId="18">
      <calculatedColumnFormula>J5-J11</calculatedColumnFormula>
    </tableColumn>
    <tableColumn id="11" xr3:uid="{80B48055-AB60-450A-A7A9-0C72040BD618}" name="Tuesday" dataDxfId="17">
      <calculatedColumnFormula>K5-K11</calculatedColumnFormula>
    </tableColumn>
    <tableColumn id="8" xr3:uid="{B19E5108-AB19-4C8B-BE0B-A75C5BA72773}" name="Wednesday" dataDxfId="16">
      <calculatedColumnFormula>L5-L11</calculatedColumnFormula>
    </tableColumn>
    <tableColumn id="7" xr3:uid="{095DCEC0-46D8-4C5D-ABDA-DE63455512A6}" name="Thursday" dataDxfId="15">
      <calculatedColumnFormula>M5-M11</calculatedColumnFormula>
    </tableColumn>
    <tableColumn id="6" xr3:uid="{E12B68C0-6919-4030-A3DF-D8DCB6C47C74}" name="Friday" dataDxfId="14">
      <calculatedColumnFormula>N5-N11</calculatedColumnFormula>
    </tableColumn>
    <tableColumn id="4" xr3:uid="{508E353A-32EF-4061-AEAA-51798F465D5E}" name="Saturday" dataDxfId="13">
      <calculatedColumnFormula>O5-O11</calculatedColumnFormula>
    </tableColumn>
    <tableColumn id="5" xr3:uid="{AC78659E-4681-4498-85DA-614053AD52F5}" name="Sunday" dataDxfId="12">
      <calculatedColumnFormula>P5-P11</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952DAD-7A59-4980-B6A4-7A4ADC63A1EA}" name="EffortOutcomesAG1_1DayShiftAB" displayName="EffortOutcomesAG1_1DayShiftAB" ref="A1:AI766" tableType="queryTable" totalsRowShown="0">
  <autoFilter ref="A1:AI766" xr:uid="{5F952DAD-7A59-4980-B6A4-7A4ADC63A1EA}"/>
  <tableColumns count="35">
    <tableColumn id="1" xr3:uid="{49A5B1F7-F483-4249-88FD-2EC30066A0AD}" uniqueName="1" name="Date" queryTableFieldId="1" dataDxfId="1"/>
    <tableColumn id="2" xr3:uid="{12A61FDC-7E6E-4D9C-8A09-0038AAD2B190}" uniqueName="2" name="L1.1" queryTableFieldId="2" dataDxfId="11"/>
    <tableColumn id="3" xr3:uid="{C71D5555-DC4E-48D7-BF46-7B8564840DC5}" uniqueName="3" name="L1.2" queryTableFieldId="3" dataDxfId="10"/>
    <tableColumn id="4" xr3:uid="{287A5614-D3DF-43ED-B4EE-45B4417136BA}" uniqueName="4" name="D" queryTableFieldId="4"/>
    <tableColumn id="5" xr3:uid="{BA218B9B-CF5E-4372-9589-29749DE4D0BE}" uniqueName="5" name="Cs" queryTableFieldId="5"/>
    <tableColumn id="6" xr3:uid="{C34D28BB-B978-4C45-9172-7C6189522DCB}" uniqueName="6" name="CX" queryTableFieldId="6"/>
    <tableColumn id="7" xr3:uid="{2A8B4AEB-E1CA-4014-8EC0-38A2F19FEB1C}" uniqueName="7" name="A" queryTableFieldId="7"/>
    <tableColumn id="8" xr3:uid="{8DC059DC-5B2D-477C-ABAE-2C0F05F383A6}" uniqueName="8" name="Apn" queryTableFieldId="8"/>
    <tableColumn id="9" xr3:uid="{5EB29CD2-9798-4C81-93CA-EAB2610809A6}" uniqueName="9" name="Apx" queryTableFieldId="9"/>
    <tableColumn id="10" xr3:uid="{F58C45E2-16C5-4D76-B8BD-FB0F5E9C06E4}" uniqueName="10" name="Ai" queryTableFieldId="10"/>
    <tableColumn id="11" xr3:uid="{5F4E18AA-B61D-4AA8-B22B-77D8970FC75E}" uniqueName="11" name="EXCESS OVER-ALLOCATION" queryTableFieldId="11"/>
    <tableColumn id="12" xr3:uid="{540436A0-1BDE-4875-977E-9987A9912907}" uniqueName="12" name="SPARE STRETCH" queryTableFieldId="12"/>
    <tableColumn id="13" xr3:uid="{FE733059-C24F-430B-9D0C-A3E21E6C3A76}" uniqueName="13" name="SPARE SLACK" queryTableFieldId="13"/>
    <tableColumn id="14" xr3:uid="{BB39C41D-0531-4428-AADE-7160EB14E9E5}" uniqueName="14" name="SPARE STRETCH ALLOCATED" queryTableFieldId="14"/>
    <tableColumn id="15" xr3:uid="{2D7BD112-D4D1-46EE-A643-6F03CA4ABCAD}" uniqueName="15" name="SPARE SLACK ALLOCATED" queryTableFieldId="15"/>
    <tableColumn id="16" xr3:uid="{6D2BCC02-4BE7-4304-A3FD-615287857D7B}" uniqueName="16" name="EXCESS STRETCH (ALLOCATED)" queryTableFieldId="16"/>
    <tableColumn id="17" xr3:uid="{5A146505-B454-4B05-BC58-05170D185FE3}" uniqueName="17" name="EXCESS ALLOCATED SLACK" queryTableFieldId="17"/>
    <tableColumn id="18" xr3:uid="{E8694FA9-38BC-4A85-9233-875D6F48DF9B}" uniqueName="18" name="EXCESS STRETCH" queryTableFieldId="18"/>
    <tableColumn id="19" xr3:uid="{7D893BF1-A76A-4874-B8A1-3AAA4F06B98D}" uniqueName="19" name="EXCESS SLACK" queryTableFieldId="19"/>
    <tableColumn id="20" xr3:uid="{6A6ED00A-B39F-49A9-B523-8166C2474C5B}" uniqueName="20" name="POTENTIAL SHORTFALL (OVER-ALLOCATED)" queryTableFieldId="20"/>
    <tableColumn id="21" xr3:uid="{2376D8DD-52DF-46D4-BB13-896EEDBD94AC}" uniqueName="21" name="POTENTIAL SHORTFALL" queryTableFieldId="21"/>
    <tableColumn id="22" xr3:uid="{8CDEDD44-2773-466C-8463-2E0BD9F51B70}" uniqueName="22" name="WASTED STRETCH" queryTableFieldId="22"/>
    <tableColumn id="23" xr3:uid="{DC63AB13-95EF-4073-9BA8-6FB384E29762}" uniqueName="23" name="WASTED SLACK" queryTableFieldId="23"/>
    <tableColumn id="24" xr3:uid="{5DD0D563-994E-4D3C-91A4-E631AFC1BED2}" uniqueName="24" name="ALLOCATED STRETCH" queryTableFieldId="24"/>
    <tableColumn id="25" xr3:uid="{2567B960-8524-4D6B-98A7-6DD2DD832138}" uniqueName="25" name="ALLOCATED SLACK" queryTableFieldId="25"/>
    <tableColumn id="26" xr3:uid="{CF4E13B1-8EE4-4E78-8F52-F442A4B0CA15}" uniqueName="26" name="UNALLOCATED SLACK" queryTableFieldId="26"/>
    <tableColumn id="27" xr3:uid="{9A0204B0-ED78-43EC-A5AF-0E92FDCAB64C}" uniqueName="27" name="LATENT" queryTableFieldId="27"/>
    <tableColumn id="28" xr3:uid="{806BBAC1-3EB2-4342-81EF-5520B75FA09E}" uniqueName="28" name="LATENT.ALLOCATED" queryTableFieldId="28"/>
    <tableColumn id="29" xr3:uid="{7B96071A-C004-4C2A-BE50-F199223CAEAB}" uniqueName="29" name="LATENT.OVERALLOCATED" queryTableFieldId="29"/>
    <tableColumn id="30" xr3:uid="{42F671FF-00B8-43E2-9402-A8B7970656FC}" uniqueName="30" name="AB Potential" queryTableFieldId="30"/>
    <tableColumn id="33" xr3:uid="{3DBA7D14-D8C9-451F-9E8E-8C1E62B25B76}" uniqueName="33" name="Facility" queryTableFieldId="56"/>
    <tableColumn id="31" xr3:uid="{6B39F351-E660-442C-86FC-3382E9A79FFE}" uniqueName="31" name="CapacityMaxHC" queryTableFieldId="54"/>
    <tableColumn id="32" xr3:uid="{5CDC34E0-1BEB-4E8D-A470-6C811D92539D}" uniqueName="32" name="DATESHIFT" queryTableFieldId="55"/>
    <tableColumn id="36" xr3:uid="{78C539ED-2202-4C8B-8550-B39007897D8C}" uniqueName="36" name="DateX" queryTableFieldId="61"/>
    <tableColumn id="34" xr3:uid="{4674B705-81A1-4620-B5E4-82928626AE7A}" uniqueName="34" name="Version" queryTableFieldId="5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DD4E535-FE73-48B5-A524-EDB13EC0802C}" name="CostAG1_1DayShiftAB" displayName="CostAG1_1DayShiftAB" ref="A1:S766" tableType="queryTable" totalsRowShown="0">
  <autoFilter ref="A1:S766" xr:uid="{1DD4E535-FE73-48B5-A524-EDB13EC0802C}"/>
  <tableColumns count="19">
    <tableColumn id="1" xr3:uid="{23163B4F-FCD7-431E-8586-92A042DDF304}" uniqueName="1" name="Date" queryTableFieldId="1" dataDxfId="0"/>
    <tableColumn id="2" xr3:uid="{E7B49204-66DD-4FCE-AAB1-EB4A6AE61421}" uniqueName="2" name="L1.1" queryTableFieldId="2" dataDxfId="9"/>
    <tableColumn id="3" xr3:uid="{9E4432ED-375C-41C7-9071-8C6D62D8E7C7}" uniqueName="3" name="L1.2" queryTableFieldId="3" dataDxfId="8"/>
    <tableColumn id="4" xr3:uid="{ED3545DB-E0D4-4634-A01A-83077F64CEAA}" uniqueName="4" name="D" queryTableFieldId="4"/>
    <tableColumn id="8" xr3:uid="{59A202F4-7EE1-4968-9F4B-75E19CE9BE40}" uniqueName="8" name="Facility" queryTableFieldId="25"/>
    <tableColumn id="20" xr3:uid="{9337E68A-067F-4497-9E47-757E335D764D}" uniqueName="20" name="DateX" queryTableFieldId="35"/>
    <tableColumn id="15" xr3:uid="{4DD5C1E9-5F02-4127-BBD9-C2C2DB00B57A}" uniqueName="15" name="Version" queryTableFieldId="31"/>
    <tableColumn id="5" xr3:uid="{9C8F0DB2-5A63-4593-BF86-EC04265AF34B}" uniqueName="5" name="ExcessAllocation" queryTableFieldId="5"/>
    <tableColumn id="9" xr3:uid="{666FA46F-20D0-4ADC-B768-BBC0C0BB3375}" uniqueName="9" name="ExcessAllocation-Reaslistic" queryTableFieldId="26"/>
    <tableColumn id="6" xr3:uid="{4C43B9EF-CBE7-482C-BDDC-8AF4EB02279E}" uniqueName="6" name="Shortage" queryTableFieldId="6"/>
    <tableColumn id="10" xr3:uid="{6DE5B5E2-B413-482B-B931-37473E42A784}" uniqueName="10" name="Shortage-Realistic" queryTableFieldId="27"/>
    <tableColumn id="7" xr3:uid="{0C4145FC-E490-4C03-8DE9-B698552F3FA9}" uniqueName="7" name="PlannedOvertime" queryTableFieldId="7"/>
    <tableColumn id="17" xr3:uid="{DCFF978F-3CB3-4005-95A0-3A48D033E208}" uniqueName="17" name="Day Name" queryTableFieldId="19" dataDxfId="7"/>
    <tableColumn id="18" xr3:uid="{3F81B64B-10B4-466C-B2A1-2E56C2C8C9D9}" uniqueName="18" name="Rates.Attribute" queryTableFieldId="21" dataDxfId="6"/>
    <tableColumn id="19" xr3:uid="{B7E605B9-3E9C-46CC-96EC-FA1B7380A5B2}" uniqueName="19" name="Rates.Value" queryTableFieldId="22"/>
    <tableColumn id="11" xr3:uid="{CBA09C3F-F159-4B66-95A0-4FBD70A4A4D1}" uniqueName="11" name="UnnecessaryAllocation$" queryTableFieldId="11"/>
    <tableColumn id="12" xr3:uid="{D77CD316-16F0-45CA-ADA1-8603AA8ACC36}" uniqueName="12" name="ShortageReplacement$" queryTableFieldId="12"/>
    <tableColumn id="13" xr3:uid="{01313F32-A6F9-456C-82B9-E69F1C4675C7}" uniqueName="13" name="Overtime$" queryTableFieldId="13"/>
    <tableColumn id="14" xr3:uid="{45C24500-F627-40A2-978D-D478DDEAFBEC}" uniqueName="14" name="InefficiencyCost" queryTableFieldId="1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7402B85-4613-4B85-A0D4-F82D42BF8A53}" name="Table_CostPerDay" displayName="Table_CostPerDay" ref="A1:B4" tableType="queryTable" totalsRowShown="0">
  <autoFilter ref="A1:B4" xr:uid="{67402B85-4613-4B85-A0D4-F82D42BF8A53}"/>
  <tableColumns count="2">
    <tableColumn id="2" xr3:uid="{A234161E-48A1-47A4-8282-5F7D53ADA238}" uniqueName="2" name="Facility" queryTableFieldId="6"/>
    <tableColumn id="1" xr3:uid="{B1426501-2716-4211-908F-F1474325A794}" uniqueName="1" name="Count" queryTableFieldId="8"/>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F3F85F4-17DF-4EA1-8A77-E4A2D558D89B}" name="Table_TargetRatebyDate" displayName="Table_TargetRatebyDate" ref="A1:B29" tableType="queryTable" totalsRowShown="0">
  <autoFilter ref="A1:B29" xr:uid="{2F3F85F4-17DF-4EA1-8A77-E4A2D558D89B}"/>
  <tableColumns count="2">
    <tableColumn id="1" xr3:uid="{737168CC-969B-46C5-A74D-2E8EF1A40EFD}" uniqueName="1" name="Date" queryTableFieldId="1" dataDxfId="5"/>
    <tableColumn id="3" xr3:uid="{34255EEE-188C-426A-9281-1B104FB09B8C}" uniqueName="3" name="TargetRate" queryTableFieldId="3"/>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42040AB-78F7-4A03-B25E-38D984DE46AF}" name="Table_SavingFacilityDay" displayName="Table_SavingFacilityDay" ref="A1:C29" tableType="queryTable" totalsRowShown="0">
  <autoFilter ref="A1:C29" xr:uid="{042040AB-78F7-4A03-B25E-38D984DE46AF}"/>
  <tableColumns count="3">
    <tableColumn id="1" xr3:uid="{92D367CC-525A-43C0-9E65-164C2ED8C263}" uniqueName="1" name="Date" queryTableFieldId="1" dataDxfId="4"/>
    <tableColumn id="2" xr3:uid="{CFAFBDD9-1E00-432F-8377-7FC875753DD0}" uniqueName="2" name="Facility" queryTableFieldId="2"/>
    <tableColumn id="3" xr3:uid="{2F2D5019-67EE-4016-8595-EDE3BA3F58D5}" uniqueName="3" name="Savings" queryTableFieldId="3"/>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9C4BC0F-78F6-4F98-81C8-0EBCED377C79}" name="Table_Saving" displayName="Table_Saving" ref="A1:C29" tableType="queryTable" totalsRowShown="0">
  <autoFilter ref="A1:C29" xr:uid="{E9C4BC0F-78F6-4F98-81C8-0EBCED377C79}"/>
  <tableColumns count="3">
    <tableColumn id="3" xr3:uid="{29C97FFD-C884-44ED-BBF6-05EDDA059EDE}" uniqueName="3" name="Date" queryTableFieldId="3" dataDxfId="3"/>
    <tableColumn id="1" xr3:uid="{0FEEE663-0DE4-45AC-B514-A26AC81F3322}" uniqueName="1" name="Facility" queryTableFieldId="8"/>
    <tableColumn id="4" xr3:uid="{4C9BA048-1FA5-4EA1-988B-ADD0E7F905BF}" uniqueName="4" name="Savings" queryTableFieldId="5"/>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3D50C43-EB2A-4D16-8B49-70207D1F2643}" name="Table_CostAG1_1DayShiftABSummary" displayName="Table_CostAG1_1DayShiftABSummary" ref="A1:G11" tableType="queryTable" totalsRowCount="1">
  <autoFilter ref="A1:G10" xr:uid="{C3D50C43-EB2A-4D16-8B49-70207D1F2643}">
    <filterColumn colId="0">
      <filters>
        <filter val="Base"/>
      </filters>
    </filterColumn>
  </autoFilter>
  <tableColumns count="7">
    <tableColumn id="7" xr3:uid="{9243356B-F7B2-4457-8F6F-B48A184BABFC}" uniqueName="7" name="Version" queryTableFieldId="8"/>
    <tableColumn id="3" xr3:uid="{A1B82DA1-D94B-49AA-9B3F-E7363FF51344}" uniqueName="3" name="Facility" queryTableFieldId="3"/>
    <tableColumn id="1" xr3:uid="{842AD35A-1AD4-4788-B4E8-F5D7C7214194}" uniqueName="1" name="L1.1" queryTableFieldId="1" dataDxfId="2"/>
    <tableColumn id="2" xr3:uid="{879E251D-6825-40AE-A010-7147A11B88F0}" uniqueName="2" name="RoleCost" totalsRowFunction="sum" queryTableFieldId="2"/>
    <tableColumn id="4" xr3:uid="{77229F25-B5EE-47C7-AAA7-434AF0D41E02}" uniqueName="4" name="UnnecessaryAllocation" queryTableFieldId="4"/>
    <tableColumn id="5" xr3:uid="{BC5E91B1-5EB6-4BB8-B25C-0427AA4B1623}" uniqueName="5" name="Shortage Replacement" queryTableFieldId="5"/>
    <tableColumn id="6" xr3:uid="{E96F41E8-8E6E-455B-B27B-36BD9670AF07}" uniqueName="6" name="OT" queryTableFieldId="6"/>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0.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3AA5F-719C-4DF3-A49D-5709DC886B4E}">
  <sheetPr>
    <tabColor rgb="FFFFFF00"/>
  </sheetPr>
  <dimension ref="A1:C31"/>
  <sheetViews>
    <sheetView tabSelected="1" workbookViewId="0">
      <selection activeCell="G7" sqref="G7"/>
    </sheetView>
  </sheetViews>
  <sheetFormatPr defaultColWidth="8" defaultRowHeight="12.75" x14ac:dyDescent="0.25"/>
  <cols>
    <col min="1" max="1" width="14.85546875" style="3" bestFit="1" customWidth="1"/>
    <col min="2" max="2" width="7.85546875" style="3" bestFit="1" customWidth="1"/>
    <col min="3" max="3" width="14.85546875" style="3" customWidth="1"/>
    <col min="4" max="16384" width="8" style="3"/>
  </cols>
  <sheetData>
    <row r="1" spans="1:2" ht="15" x14ac:dyDescent="0.25">
      <c r="A1" s="139" t="s">
        <v>143</v>
      </c>
      <c r="B1" s="139" t="str" cm="1">
        <f t="array" aca="1" ref="B1" ca="1">CELL("filename")</f>
        <v>C:\Users\Alex\CentriNOTSYNC\ResidentialCare\CLIENT\DATExx-Whiddon\2. Calculations\Cost\[Cost..xlsx]Unit1Path</v>
      </c>
    </row>
    <row r="2" spans="1:2" x14ac:dyDescent="0.25">
      <c r="A2" s="4"/>
      <c r="B2" s="4"/>
    </row>
    <row r="3" spans="1:2" x14ac:dyDescent="0.25">
      <c r="A3" s="4" t="s">
        <v>154</v>
      </c>
      <c r="B3" s="4" t="s">
        <v>155</v>
      </c>
    </row>
    <row r="4" spans="1:2" ht="15" x14ac:dyDescent="0.25">
      <c r="A4" t="s">
        <v>156</v>
      </c>
      <c r="B4"/>
    </row>
    <row r="5" spans="1:2" ht="15" x14ac:dyDescent="0.25">
      <c r="A5" t="s">
        <v>157</v>
      </c>
      <c r="B5"/>
    </row>
    <row r="6" spans="1:2" ht="15" x14ac:dyDescent="0.25">
      <c r="A6" t="s">
        <v>158</v>
      </c>
      <c r="B6"/>
    </row>
    <row r="7" spans="1:2" ht="15" x14ac:dyDescent="0.25">
      <c r="A7" t="s">
        <v>144</v>
      </c>
      <c r="B7"/>
    </row>
    <row r="8" spans="1:2" ht="15" x14ac:dyDescent="0.25">
      <c r="A8" t="s">
        <v>0</v>
      </c>
      <c r="B8"/>
    </row>
    <row r="9" spans="1:2" ht="15" x14ac:dyDescent="0.25">
      <c r="A9" t="s">
        <v>159</v>
      </c>
      <c r="B9"/>
    </row>
    <row r="10" spans="1:2" ht="15" x14ac:dyDescent="0.25">
      <c r="A10" t="s">
        <v>160</v>
      </c>
      <c r="B10"/>
    </row>
    <row r="11" spans="1:2" x14ac:dyDescent="0.25">
      <c r="A11" s="4"/>
      <c r="B11" s="4"/>
    </row>
    <row r="12" spans="1:2" x14ac:dyDescent="0.25">
      <c r="A12" s="4"/>
      <c r="B12" s="4"/>
    </row>
    <row r="15" spans="1:2" x14ac:dyDescent="0.25">
      <c r="A15" s="4"/>
      <c r="B15" s="4"/>
    </row>
    <row r="16" spans="1:2" x14ac:dyDescent="0.25">
      <c r="A16" s="140"/>
      <c r="B16" s="4"/>
    </row>
    <row r="17" spans="1:3" x14ac:dyDescent="0.25">
      <c r="A17" s="4"/>
      <c r="B17" s="4"/>
    </row>
    <row r="18" spans="1:3" x14ac:dyDescent="0.25">
      <c r="A18" s="4"/>
      <c r="B18" s="4"/>
    </row>
    <row r="19" spans="1:3" ht="15" x14ac:dyDescent="0.25">
      <c r="A19" s="5"/>
      <c r="B19"/>
    </row>
    <row r="20" spans="1:3" x14ac:dyDescent="0.25">
      <c r="A20" s="4"/>
      <c r="B20" s="4"/>
      <c r="C20" s="141"/>
    </row>
    <row r="21" spans="1:3" x14ac:dyDescent="0.25">
      <c r="C21" s="141"/>
    </row>
    <row r="22" spans="1:3" x14ac:dyDescent="0.25">
      <c r="C22" s="141"/>
    </row>
    <row r="23" spans="1:3" x14ac:dyDescent="0.25">
      <c r="C23" s="141"/>
    </row>
    <row r="24" spans="1:3" x14ac:dyDescent="0.25">
      <c r="A24" s="2"/>
      <c r="B24" s="2"/>
      <c r="C24" s="142"/>
    </row>
    <row r="25" spans="1:3" x14ac:dyDescent="0.25">
      <c r="C25" s="141"/>
    </row>
    <row r="26" spans="1:3" x14ac:dyDescent="0.25">
      <c r="A26" s="141"/>
      <c r="B26" s="141"/>
      <c r="C26" s="141"/>
    </row>
    <row r="27" spans="1:3" x14ac:dyDescent="0.25">
      <c r="A27" s="141"/>
      <c r="B27" s="141"/>
      <c r="C27" s="141"/>
    </row>
    <row r="31" spans="1:3" x14ac:dyDescent="0.25">
      <c r="B31" s="6"/>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12BBE-902F-4251-A7D7-D522F85D3658}">
  <dimension ref="A1:R26"/>
  <sheetViews>
    <sheetView topLeftCell="D4" zoomScale="205" zoomScaleNormal="205" workbookViewId="0">
      <selection activeCell="J18" sqref="J18"/>
    </sheetView>
  </sheetViews>
  <sheetFormatPr defaultRowHeight="15" x14ac:dyDescent="0.25"/>
  <cols>
    <col min="1" max="1" width="16" customWidth="1"/>
    <col min="3" max="3" width="12.42578125" customWidth="1"/>
    <col min="4" max="4" width="17.7109375" customWidth="1"/>
    <col min="8" max="8" width="17.28515625" customWidth="1"/>
    <col min="10" max="16" width="9.5703125" customWidth="1"/>
    <col min="17" max="17" width="14.42578125" customWidth="1"/>
    <col min="18" max="18" width="13" customWidth="1"/>
  </cols>
  <sheetData>
    <row r="1" spans="1:18" x14ac:dyDescent="0.25">
      <c r="A1" t="s">
        <v>1</v>
      </c>
      <c r="B1" t="s">
        <v>35</v>
      </c>
      <c r="C1" t="s">
        <v>36</v>
      </c>
      <c r="D1" t="s">
        <v>37</v>
      </c>
    </row>
    <row r="2" spans="1:18" x14ac:dyDescent="0.25">
      <c r="A2" t="s">
        <v>47</v>
      </c>
      <c r="B2">
        <v>23</v>
      </c>
      <c r="C2">
        <v>0.5</v>
      </c>
      <c r="D2">
        <v>0.85</v>
      </c>
    </row>
    <row r="3" spans="1:18" x14ac:dyDescent="0.25">
      <c r="A3" t="s">
        <v>48</v>
      </c>
      <c r="B3">
        <v>44</v>
      </c>
      <c r="C3">
        <v>0.5</v>
      </c>
      <c r="D3">
        <v>0.75</v>
      </c>
      <c r="O3" s="134">
        <v>1.5</v>
      </c>
      <c r="P3" s="134">
        <v>1.75</v>
      </c>
    </row>
    <row r="4" spans="1:18" x14ac:dyDescent="0.25">
      <c r="J4" t="s">
        <v>118</v>
      </c>
      <c r="O4" t="s">
        <v>130</v>
      </c>
      <c r="P4" t="s">
        <v>131</v>
      </c>
    </row>
    <row r="5" spans="1:18" x14ac:dyDescent="0.25">
      <c r="G5" t="s">
        <v>121</v>
      </c>
      <c r="H5" t="s">
        <v>13</v>
      </c>
      <c r="I5" s="7" t="s">
        <v>10</v>
      </c>
      <c r="J5">
        <v>66</v>
      </c>
      <c r="K5">
        <v>66</v>
      </c>
      <c r="L5">
        <v>66</v>
      </c>
      <c r="M5">
        <v>66</v>
      </c>
      <c r="N5">
        <v>66</v>
      </c>
      <c r="O5">
        <v>122.16</v>
      </c>
      <c r="P5">
        <v>142.53</v>
      </c>
    </row>
    <row r="6" spans="1:18" x14ac:dyDescent="0.25">
      <c r="G6" t="s">
        <v>121</v>
      </c>
      <c r="H6" t="s">
        <v>13</v>
      </c>
      <c r="I6" s="8" t="s">
        <v>12</v>
      </c>
      <c r="J6">
        <v>93</v>
      </c>
      <c r="K6">
        <v>93</v>
      </c>
      <c r="L6">
        <v>93</v>
      </c>
      <c r="M6">
        <v>93</v>
      </c>
      <c r="N6">
        <v>93</v>
      </c>
      <c r="O6">
        <v>122.16</v>
      </c>
      <c r="P6">
        <v>142.53</v>
      </c>
    </row>
    <row r="7" spans="1:18" x14ac:dyDescent="0.25">
      <c r="G7" t="s">
        <v>121</v>
      </c>
      <c r="H7" t="s">
        <v>13</v>
      </c>
      <c r="I7" s="7" t="s">
        <v>96</v>
      </c>
      <c r="J7">
        <v>95.02</v>
      </c>
      <c r="K7">
        <v>95.02</v>
      </c>
      <c r="L7">
        <v>95.02</v>
      </c>
      <c r="M7">
        <v>95.02</v>
      </c>
      <c r="N7">
        <v>95.02</v>
      </c>
      <c r="O7">
        <v>122.16</v>
      </c>
      <c r="P7">
        <v>142.53</v>
      </c>
    </row>
    <row r="8" spans="1:18" x14ac:dyDescent="0.25">
      <c r="G8" t="s">
        <v>121</v>
      </c>
      <c r="H8" t="s">
        <v>148</v>
      </c>
      <c r="I8" s="7" t="s">
        <v>10</v>
      </c>
      <c r="J8">
        <v>51.25</v>
      </c>
      <c r="K8">
        <v>51.25</v>
      </c>
      <c r="L8">
        <v>51.25</v>
      </c>
      <c r="M8">
        <v>51.25</v>
      </c>
      <c r="N8">
        <v>51.25</v>
      </c>
      <c r="O8">
        <v>73.12</v>
      </c>
      <c r="P8">
        <v>84.23</v>
      </c>
    </row>
    <row r="9" spans="1:18" x14ac:dyDescent="0.25">
      <c r="G9" t="s">
        <v>121</v>
      </c>
      <c r="H9" t="s">
        <v>148</v>
      </c>
      <c r="I9" s="8" t="s">
        <v>12</v>
      </c>
      <c r="J9">
        <v>55</v>
      </c>
      <c r="K9">
        <v>55</v>
      </c>
      <c r="L9">
        <v>55</v>
      </c>
      <c r="M9">
        <v>55</v>
      </c>
      <c r="N9">
        <v>55</v>
      </c>
      <c r="O9">
        <v>73.12</v>
      </c>
      <c r="P9">
        <v>84.23</v>
      </c>
    </row>
    <row r="10" spans="1:18" x14ac:dyDescent="0.25">
      <c r="G10" t="s">
        <v>121</v>
      </c>
      <c r="H10" t="s">
        <v>148</v>
      </c>
      <c r="I10" s="7" t="s">
        <v>96</v>
      </c>
      <c r="J10">
        <v>56.65</v>
      </c>
      <c r="K10">
        <v>56.65</v>
      </c>
      <c r="L10">
        <v>56.65</v>
      </c>
      <c r="M10">
        <v>56.65</v>
      </c>
      <c r="N10">
        <v>56.65</v>
      </c>
      <c r="O10">
        <v>73.12</v>
      </c>
      <c r="P10">
        <v>84.23</v>
      </c>
    </row>
    <row r="11" spans="1:18" x14ac:dyDescent="0.25">
      <c r="G11" t="s">
        <v>122</v>
      </c>
      <c r="H11" t="s">
        <v>13</v>
      </c>
      <c r="I11" s="7" t="s">
        <v>10</v>
      </c>
      <c r="J11">
        <v>42.88</v>
      </c>
      <c r="K11">
        <v>42.88</v>
      </c>
      <c r="L11">
        <v>42.88</v>
      </c>
      <c r="M11">
        <v>42.88</v>
      </c>
      <c r="N11">
        <v>42.88</v>
      </c>
      <c r="O11" s="135">
        <f>$O$3*J11</f>
        <v>64.320000000000007</v>
      </c>
      <c r="P11" s="135">
        <f>J11*$P$3</f>
        <v>75.040000000000006</v>
      </c>
    </row>
    <row r="12" spans="1:18" x14ac:dyDescent="0.25">
      <c r="G12" t="s">
        <v>122</v>
      </c>
      <c r="H12" t="s">
        <v>13</v>
      </c>
      <c r="I12" s="8" t="s">
        <v>12</v>
      </c>
      <c r="J12">
        <f>J11*$Q$15</f>
        <v>48.24</v>
      </c>
      <c r="K12">
        <f t="shared" ref="K12:P12" si="0">K11*$Q$15</f>
        <v>48.24</v>
      </c>
      <c r="L12">
        <f t="shared" si="0"/>
        <v>48.24</v>
      </c>
      <c r="M12">
        <f t="shared" si="0"/>
        <v>48.24</v>
      </c>
      <c r="N12">
        <f t="shared" si="0"/>
        <v>48.24</v>
      </c>
      <c r="O12">
        <f t="shared" si="0"/>
        <v>72.360000000000014</v>
      </c>
      <c r="P12">
        <f t="shared" si="0"/>
        <v>84.42</v>
      </c>
    </row>
    <row r="13" spans="1:18" x14ac:dyDescent="0.25">
      <c r="G13" t="s">
        <v>122</v>
      </c>
      <c r="H13" t="s">
        <v>13</v>
      </c>
      <c r="I13" s="7" t="s">
        <v>96</v>
      </c>
      <c r="J13">
        <f>J11*$Q$16</f>
        <v>49.311999999999998</v>
      </c>
      <c r="K13">
        <f t="shared" ref="K13:P13" si="1">K11*$Q$16</f>
        <v>49.311999999999998</v>
      </c>
      <c r="L13">
        <f t="shared" si="1"/>
        <v>49.311999999999998</v>
      </c>
      <c r="M13">
        <f t="shared" si="1"/>
        <v>49.311999999999998</v>
      </c>
      <c r="N13">
        <f t="shared" si="1"/>
        <v>49.311999999999998</v>
      </c>
      <c r="O13">
        <f t="shared" si="1"/>
        <v>73.968000000000004</v>
      </c>
      <c r="P13">
        <f t="shared" si="1"/>
        <v>86.296000000000006</v>
      </c>
    </row>
    <row r="14" spans="1:18" x14ac:dyDescent="0.25">
      <c r="G14" t="s">
        <v>122</v>
      </c>
      <c r="H14" t="s">
        <v>148</v>
      </c>
      <c r="I14" s="7" t="s">
        <v>10</v>
      </c>
      <c r="J14">
        <v>23.68</v>
      </c>
      <c r="K14">
        <v>23.68</v>
      </c>
      <c r="L14">
        <v>23.68</v>
      </c>
      <c r="M14">
        <v>23.68</v>
      </c>
      <c r="N14">
        <v>23.68</v>
      </c>
      <c r="O14" s="135">
        <f>$O$3*J14</f>
        <v>35.519999999999996</v>
      </c>
      <c r="P14" s="135">
        <f>J14*$P$3</f>
        <v>41.44</v>
      </c>
    </row>
    <row r="15" spans="1:18" x14ac:dyDescent="0.25">
      <c r="G15" t="s">
        <v>122</v>
      </c>
      <c r="H15" t="s">
        <v>148</v>
      </c>
      <c r="I15" s="8" t="s">
        <v>12</v>
      </c>
      <c r="J15" s="136">
        <f>J14*$Q$15</f>
        <v>26.64</v>
      </c>
      <c r="K15" s="136">
        <f t="shared" ref="K15:P15" si="2">K14*$Q$15</f>
        <v>26.64</v>
      </c>
      <c r="L15" s="136">
        <f t="shared" si="2"/>
        <v>26.64</v>
      </c>
      <c r="M15" s="136">
        <f t="shared" si="2"/>
        <v>26.64</v>
      </c>
      <c r="N15" s="136">
        <f t="shared" si="2"/>
        <v>26.64</v>
      </c>
      <c r="O15" s="136">
        <f t="shared" si="2"/>
        <v>39.959999999999994</v>
      </c>
      <c r="P15" s="136">
        <f t="shared" si="2"/>
        <v>46.62</v>
      </c>
      <c r="Q15" s="138">
        <v>1.125</v>
      </c>
      <c r="R15" t="s">
        <v>12</v>
      </c>
    </row>
    <row r="16" spans="1:18" x14ac:dyDescent="0.25">
      <c r="G16" t="s">
        <v>122</v>
      </c>
      <c r="H16" t="s">
        <v>148</v>
      </c>
      <c r="I16" s="7" t="s">
        <v>96</v>
      </c>
      <c r="J16" s="136">
        <f>J14*$Q$16</f>
        <v>27.231999999999999</v>
      </c>
      <c r="K16" s="136">
        <f t="shared" ref="K16:P16" si="3">K14*$Q$16</f>
        <v>27.231999999999999</v>
      </c>
      <c r="L16" s="136">
        <f t="shared" si="3"/>
        <v>27.231999999999999</v>
      </c>
      <c r="M16" s="136">
        <f t="shared" si="3"/>
        <v>27.231999999999999</v>
      </c>
      <c r="N16" s="136">
        <f t="shared" si="3"/>
        <v>27.231999999999999</v>
      </c>
      <c r="O16" s="136">
        <f t="shared" si="3"/>
        <v>40.847999999999992</v>
      </c>
      <c r="P16" s="136">
        <f t="shared" si="3"/>
        <v>47.655999999999992</v>
      </c>
      <c r="Q16" s="138">
        <v>1.1499999999999999</v>
      </c>
      <c r="R16" t="s">
        <v>96</v>
      </c>
    </row>
    <row r="17" spans="8:16" x14ac:dyDescent="0.25">
      <c r="H17" t="s">
        <v>1</v>
      </c>
      <c r="I17" t="s">
        <v>123</v>
      </c>
      <c r="J17" t="s">
        <v>125</v>
      </c>
      <c r="K17" t="s">
        <v>126</v>
      </c>
      <c r="L17" t="s">
        <v>127</v>
      </c>
      <c r="M17" t="s">
        <v>128</v>
      </c>
      <c r="N17" t="s">
        <v>129</v>
      </c>
      <c r="O17" t="s">
        <v>119</v>
      </c>
      <c r="P17" t="s">
        <v>120</v>
      </c>
    </row>
    <row r="18" spans="8:16" x14ac:dyDescent="0.25">
      <c r="H18" t="s">
        <v>48</v>
      </c>
      <c r="I18" t="s">
        <v>10</v>
      </c>
      <c r="J18" s="136">
        <f>J5-J11</f>
        <v>23.119999999999997</v>
      </c>
      <c r="K18" s="136">
        <f t="shared" ref="K18:P18" si="4">K5-K11</f>
        <v>23.119999999999997</v>
      </c>
      <c r="L18" s="136">
        <f t="shared" si="4"/>
        <v>23.119999999999997</v>
      </c>
      <c r="M18" s="136">
        <f t="shared" si="4"/>
        <v>23.119999999999997</v>
      </c>
      <c r="N18" s="136">
        <f t="shared" si="4"/>
        <v>23.119999999999997</v>
      </c>
      <c r="O18" s="136">
        <f t="shared" si="4"/>
        <v>57.839999999999989</v>
      </c>
      <c r="P18" s="136">
        <f t="shared" si="4"/>
        <v>67.489999999999995</v>
      </c>
    </row>
    <row r="19" spans="8:16" x14ac:dyDescent="0.25">
      <c r="H19" t="s">
        <v>48</v>
      </c>
      <c r="I19" t="s">
        <v>12</v>
      </c>
      <c r="J19" s="136">
        <f t="shared" ref="J19:P23" si="5">J6-J12</f>
        <v>44.76</v>
      </c>
      <c r="K19" s="136">
        <f t="shared" si="5"/>
        <v>44.76</v>
      </c>
      <c r="L19" s="136">
        <f t="shared" si="5"/>
        <v>44.76</v>
      </c>
      <c r="M19" s="136">
        <f t="shared" si="5"/>
        <v>44.76</v>
      </c>
      <c r="N19" s="136">
        <f t="shared" si="5"/>
        <v>44.76</v>
      </c>
      <c r="O19" s="136">
        <f t="shared" si="5"/>
        <v>49.799999999999983</v>
      </c>
      <c r="P19" s="136">
        <f t="shared" si="5"/>
        <v>58.11</v>
      </c>
    </row>
    <row r="20" spans="8:16" x14ac:dyDescent="0.25">
      <c r="H20" t="s">
        <v>48</v>
      </c>
      <c r="I20" t="s">
        <v>11</v>
      </c>
      <c r="J20" s="136">
        <f>J7-J13</f>
        <v>45.707999999999998</v>
      </c>
      <c r="K20" s="136">
        <f t="shared" si="5"/>
        <v>45.707999999999998</v>
      </c>
      <c r="L20" s="136">
        <f t="shared" si="5"/>
        <v>45.707999999999998</v>
      </c>
      <c r="M20" s="136">
        <f t="shared" si="5"/>
        <v>45.707999999999998</v>
      </c>
      <c r="N20" s="136">
        <f t="shared" si="5"/>
        <v>45.707999999999998</v>
      </c>
      <c r="O20" s="136">
        <f t="shared" si="5"/>
        <v>48.191999999999993</v>
      </c>
      <c r="P20" s="136">
        <f t="shared" si="5"/>
        <v>56.233999999999995</v>
      </c>
    </row>
    <row r="21" spans="8:16" x14ac:dyDescent="0.25">
      <c r="H21" t="s">
        <v>148</v>
      </c>
      <c r="I21" t="s">
        <v>10</v>
      </c>
      <c r="J21" s="136">
        <f t="shared" si="5"/>
        <v>27.57</v>
      </c>
      <c r="K21" s="136">
        <f t="shared" si="5"/>
        <v>27.57</v>
      </c>
      <c r="L21" s="136">
        <f t="shared" si="5"/>
        <v>27.57</v>
      </c>
      <c r="M21" s="136">
        <f t="shared" si="5"/>
        <v>27.57</v>
      </c>
      <c r="N21" s="136">
        <f t="shared" si="5"/>
        <v>27.57</v>
      </c>
      <c r="O21" s="136">
        <f t="shared" si="5"/>
        <v>37.600000000000009</v>
      </c>
      <c r="P21" s="136">
        <f t="shared" si="5"/>
        <v>42.790000000000006</v>
      </c>
    </row>
    <row r="22" spans="8:16" x14ac:dyDescent="0.25">
      <c r="H22" t="s">
        <v>148</v>
      </c>
      <c r="I22" t="s">
        <v>12</v>
      </c>
      <c r="J22" s="136">
        <f t="shared" si="5"/>
        <v>28.36</v>
      </c>
      <c r="K22" s="136">
        <f t="shared" si="5"/>
        <v>28.36</v>
      </c>
      <c r="L22" s="136">
        <f t="shared" si="5"/>
        <v>28.36</v>
      </c>
      <c r="M22" s="136">
        <f t="shared" si="5"/>
        <v>28.36</v>
      </c>
      <c r="N22" s="136">
        <f t="shared" si="5"/>
        <v>28.36</v>
      </c>
      <c r="O22" s="136">
        <f t="shared" si="5"/>
        <v>33.160000000000011</v>
      </c>
      <c r="P22" s="136">
        <f t="shared" si="5"/>
        <v>37.610000000000007</v>
      </c>
    </row>
    <row r="23" spans="8:16" x14ac:dyDescent="0.25">
      <c r="H23" t="s">
        <v>148</v>
      </c>
      <c r="I23" t="s">
        <v>11</v>
      </c>
      <c r="J23" s="136">
        <f t="shared" si="5"/>
        <v>29.417999999999999</v>
      </c>
      <c r="K23" s="136">
        <f t="shared" si="5"/>
        <v>29.417999999999999</v>
      </c>
      <c r="L23" s="136">
        <f t="shared" si="5"/>
        <v>29.417999999999999</v>
      </c>
      <c r="M23" s="136">
        <f t="shared" si="5"/>
        <v>29.417999999999999</v>
      </c>
      <c r="N23" s="136">
        <f t="shared" si="5"/>
        <v>29.417999999999999</v>
      </c>
      <c r="O23" s="136">
        <f t="shared" si="5"/>
        <v>32.272000000000013</v>
      </c>
      <c r="P23" s="136">
        <f t="shared" si="5"/>
        <v>36.574000000000012</v>
      </c>
    </row>
    <row r="24" spans="8:16" x14ac:dyDescent="0.25">
      <c r="H24" t="s">
        <v>150</v>
      </c>
      <c r="I24" t="s">
        <v>10</v>
      </c>
      <c r="J24" s="137">
        <f>J21</f>
        <v>27.57</v>
      </c>
      <c r="K24" s="137">
        <f t="shared" ref="K24:P24" si="6">K21</f>
        <v>27.57</v>
      </c>
      <c r="L24" s="137">
        <f t="shared" si="6"/>
        <v>27.57</v>
      </c>
      <c r="M24" s="137">
        <f t="shared" si="6"/>
        <v>27.57</v>
      </c>
      <c r="N24" s="137">
        <f t="shared" si="6"/>
        <v>27.57</v>
      </c>
      <c r="O24" s="137">
        <f t="shared" si="6"/>
        <v>37.600000000000009</v>
      </c>
      <c r="P24" s="137">
        <f t="shared" si="6"/>
        <v>42.790000000000006</v>
      </c>
    </row>
    <row r="25" spans="8:16" x14ac:dyDescent="0.25">
      <c r="H25" t="s">
        <v>150</v>
      </c>
      <c r="I25" t="s">
        <v>12</v>
      </c>
      <c r="J25" s="137">
        <f t="shared" ref="J25:P26" si="7">J22</f>
        <v>28.36</v>
      </c>
      <c r="K25" s="137">
        <f t="shared" si="7"/>
        <v>28.36</v>
      </c>
      <c r="L25" s="137">
        <f t="shared" si="7"/>
        <v>28.36</v>
      </c>
      <c r="M25" s="137">
        <f t="shared" si="7"/>
        <v>28.36</v>
      </c>
      <c r="N25" s="137">
        <f t="shared" si="7"/>
        <v>28.36</v>
      </c>
      <c r="O25" s="137">
        <f t="shared" si="7"/>
        <v>33.160000000000011</v>
      </c>
      <c r="P25" s="137">
        <f t="shared" si="7"/>
        <v>37.610000000000007</v>
      </c>
    </row>
    <row r="26" spans="8:16" x14ac:dyDescent="0.25">
      <c r="H26" t="s">
        <v>150</v>
      </c>
      <c r="I26" t="s">
        <v>11</v>
      </c>
      <c r="J26" s="137">
        <f t="shared" si="7"/>
        <v>29.417999999999999</v>
      </c>
      <c r="K26" s="137">
        <f t="shared" si="7"/>
        <v>29.417999999999999</v>
      </c>
      <c r="L26" s="137">
        <f t="shared" si="7"/>
        <v>29.417999999999999</v>
      </c>
      <c r="M26" s="137">
        <f t="shared" si="7"/>
        <v>29.417999999999999</v>
      </c>
      <c r="N26" s="137">
        <f t="shared" si="7"/>
        <v>29.417999999999999</v>
      </c>
      <c r="O26" s="137">
        <f t="shared" si="7"/>
        <v>32.272000000000013</v>
      </c>
      <c r="P26" s="137">
        <f t="shared" si="7"/>
        <v>36.574000000000012</v>
      </c>
    </row>
  </sheetData>
  <phoneticPr fontId="24" type="noConversion"/>
  <pageMargins left="0.7" right="0.7" top="0.75" bottom="0.75" header="0.3" footer="0.3"/>
  <pageSetup orientation="portrait"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03C76-498B-44E8-9E14-E59FE46B3892}">
  <dimension ref="A1:AI766"/>
  <sheetViews>
    <sheetView topLeftCell="D1" workbookViewId="0">
      <selection activeCell="V26" sqref="V26"/>
    </sheetView>
  </sheetViews>
  <sheetFormatPr defaultRowHeight="15" x14ac:dyDescent="0.25"/>
  <cols>
    <col min="1" max="1" width="10.7109375" bestFit="1" customWidth="1"/>
    <col min="2" max="3" width="6.7109375" bestFit="1" customWidth="1"/>
    <col min="4" max="4" width="12" bestFit="1" customWidth="1"/>
    <col min="5" max="5" width="5.28515625" bestFit="1" customWidth="1"/>
    <col min="6" max="6" width="5.5703125" bestFit="1" customWidth="1"/>
    <col min="7" max="7" width="12" bestFit="1" customWidth="1"/>
    <col min="8" max="8" width="6.85546875" bestFit="1" customWidth="1"/>
    <col min="9" max="9" width="6.7109375" bestFit="1" customWidth="1"/>
    <col min="10" max="10" width="12" bestFit="1" customWidth="1"/>
    <col min="11" max="11" width="27.28515625" bestFit="1" customWidth="1"/>
    <col min="12" max="12" width="17" bestFit="1" customWidth="1"/>
    <col min="13" max="13" width="14.7109375" bestFit="1" customWidth="1"/>
    <col min="14" max="14" width="28" bestFit="1" customWidth="1"/>
    <col min="15" max="15" width="25.7109375" bestFit="1" customWidth="1"/>
    <col min="16" max="16" width="30.140625" bestFit="1" customWidth="1"/>
    <col min="17" max="17" width="26.42578125" bestFit="1" customWidth="1"/>
    <col min="18" max="18" width="17.7109375" bestFit="1" customWidth="1"/>
    <col min="19" max="19" width="15.5703125" bestFit="1" customWidth="1"/>
    <col min="20" max="20" width="41.85546875" bestFit="1" customWidth="1"/>
    <col min="21" max="21" width="23.7109375" bestFit="1" customWidth="1"/>
    <col min="22" max="22" width="19" bestFit="1" customWidth="1"/>
    <col min="23" max="23" width="16.85546875" bestFit="1" customWidth="1"/>
    <col min="24" max="24" width="21.7109375" bestFit="1" customWidth="1"/>
    <col min="25" max="25" width="19.5703125" bestFit="1" customWidth="1"/>
    <col min="26" max="26" width="22.42578125" bestFit="1" customWidth="1"/>
    <col min="27" max="27" width="9.85546875" bestFit="1" customWidth="1"/>
    <col min="28" max="28" width="20.85546875" bestFit="1" customWidth="1"/>
    <col min="29" max="29" width="25.85546875" bestFit="1" customWidth="1"/>
    <col min="30" max="30" width="14.28515625" bestFit="1" customWidth="1"/>
    <col min="31" max="31" width="9.5703125" bestFit="1" customWidth="1"/>
    <col min="32" max="32" width="17.140625" bestFit="1" customWidth="1"/>
    <col min="33" max="33" width="16.42578125" customWidth="1"/>
    <col min="34" max="34" width="8.5703125" bestFit="1" customWidth="1"/>
    <col min="35" max="35" width="10.140625" bestFit="1" customWidth="1"/>
    <col min="36" max="36" width="10.140625" customWidth="1"/>
    <col min="37" max="37" width="8.5703125" bestFit="1" customWidth="1"/>
    <col min="38" max="38" width="32" bestFit="1" customWidth="1"/>
    <col min="39" max="39" width="21.5703125" bestFit="1" customWidth="1"/>
    <col min="40" max="40" width="19.28515625" bestFit="1" customWidth="1"/>
    <col min="41" max="41" width="32.5703125" bestFit="1" customWidth="1"/>
    <col min="42" max="42" width="30.28515625" bestFit="1" customWidth="1"/>
    <col min="43" max="43" width="34.7109375" bestFit="1" customWidth="1"/>
    <col min="44" max="44" width="31" bestFit="1" customWidth="1"/>
    <col min="45" max="45" width="22.28515625" bestFit="1" customWidth="1"/>
    <col min="46" max="46" width="20.140625" bestFit="1" customWidth="1"/>
    <col min="47" max="47" width="46.42578125" bestFit="1" customWidth="1"/>
    <col min="48" max="48" width="28.28515625" bestFit="1" customWidth="1"/>
    <col min="49" max="49" width="23.7109375" bestFit="1" customWidth="1"/>
    <col min="50" max="50" width="21.42578125" bestFit="1" customWidth="1"/>
    <col min="51" max="51" width="26.28515625" bestFit="1" customWidth="1"/>
    <col min="52" max="52" width="24.140625" bestFit="1" customWidth="1"/>
    <col min="53" max="53" width="26.42578125" bestFit="1" customWidth="1"/>
    <col min="54" max="54" width="14.28515625" bestFit="1" customWidth="1"/>
    <col min="55" max="55" width="25.42578125" bestFit="1" customWidth="1"/>
    <col min="56" max="56" width="30.42578125" bestFit="1" customWidth="1"/>
    <col min="57" max="57" width="13" bestFit="1" customWidth="1"/>
    <col min="58" max="59" width="11.140625" bestFit="1" customWidth="1"/>
  </cols>
  <sheetData>
    <row r="1" spans="1:35" x14ac:dyDescent="0.25">
      <c r="A1" t="s">
        <v>0</v>
      </c>
      <c r="B1" t="s">
        <v>14</v>
      </c>
      <c r="C1" t="s">
        <v>15</v>
      </c>
      <c r="D1" t="s">
        <v>2</v>
      </c>
      <c r="E1" t="s">
        <v>3</v>
      </c>
      <c r="F1" t="s">
        <v>4</v>
      </c>
      <c r="G1" t="s">
        <v>5</v>
      </c>
      <c r="H1" t="s">
        <v>6</v>
      </c>
      <c r="I1" t="s">
        <v>7</v>
      </c>
      <c r="J1" t="s">
        <v>8</v>
      </c>
      <c r="K1" t="s">
        <v>16</v>
      </c>
      <c r="L1" t="s">
        <v>17</v>
      </c>
      <c r="M1" t="s">
        <v>18</v>
      </c>
      <c r="N1" t="s">
        <v>19</v>
      </c>
      <c r="O1" t="s">
        <v>20</v>
      </c>
      <c r="P1" t="s">
        <v>21</v>
      </c>
      <c r="Q1" t="s">
        <v>22</v>
      </c>
      <c r="R1" t="s">
        <v>23</v>
      </c>
      <c r="S1" t="s">
        <v>24</v>
      </c>
      <c r="T1" t="s">
        <v>25</v>
      </c>
      <c r="U1" t="s">
        <v>26</v>
      </c>
      <c r="V1" t="s">
        <v>27</v>
      </c>
      <c r="W1" t="s">
        <v>28</v>
      </c>
      <c r="X1" t="s">
        <v>29</v>
      </c>
      <c r="Y1" t="s">
        <v>30</v>
      </c>
      <c r="Z1" t="s">
        <v>31</v>
      </c>
      <c r="AA1" t="s">
        <v>32</v>
      </c>
      <c r="AB1" t="s">
        <v>33</v>
      </c>
      <c r="AC1" t="s">
        <v>34</v>
      </c>
      <c r="AD1" t="s">
        <v>9</v>
      </c>
      <c r="AE1" t="s">
        <v>135</v>
      </c>
      <c r="AF1" t="s">
        <v>45</v>
      </c>
      <c r="AG1" t="s">
        <v>46</v>
      </c>
      <c r="AH1" t="s">
        <v>153</v>
      </c>
      <c r="AI1" t="s">
        <v>145</v>
      </c>
    </row>
    <row r="2" spans="1:35" x14ac:dyDescent="0.25">
      <c r="A2" s="1">
        <v>46293</v>
      </c>
      <c r="B2" t="s">
        <v>148</v>
      </c>
      <c r="C2" t="s">
        <v>12</v>
      </c>
      <c r="D2">
        <v>10.668662966820335</v>
      </c>
      <c r="E2">
        <v>0</v>
      </c>
      <c r="F2">
        <v>0</v>
      </c>
      <c r="G2">
        <v>11.540073529411764</v>
      </c>
      <c r="H2">
        <v>0</v>
      </c>
      <c r="I2">
        <v>0</v>
      </c>
      <c r="J2">
        <v>1.0816794536767658</v>
      </c>
      <c r="K2">
        <v>8.1679453676765768E-2</v>
      </c>
      <c r="L2">
        <v>0</v>
      </c>
      <c r="M2">
        <v>0</v>
      </c>
      <c r="N2">
        <v>0</v>
      </c>
      <c r="O2">
        <v>0</v>
      </c>
      <c r="P2">
        <v>0</v>
      </c>
      <c r="Q2">
        <v>0</v>
      </c>
      <c r="R2">
        <v>0</v>
      </c>
      <c r="S2">
        <v>0</v>
      </c>
      <c r="T2">
        <v>0</v>
      </c>
      <c r="U2">
        <v>0</v>
      </c>
      <c r="V2">
        <v>0</v>
      </c>
      <c r="W2">
        <v>0</v>
      </c>
      <c r="X2">
        <v>0</v>
      </c>
      <c r="Y2">
        <v>0</v>
      </c>
      <c r="Z2">
        <v>0</v>
      </c>
      <c r="AA2">
        <v>0</v>
      </c>
      <c r="AB2">
        <v>0</v>
      </c>
      <c r="AC2">
        <v>1</v>
      </c>
      <c r="AD2">
        <v>0</v>
      </c>
      <c r="AE2" t="s">
        <v>161</v>
      </c>
      <c r="AF2">
        <v>0</v>
      </c>
      <c r="AG2" t="s">
        <v>164</v>
      </c>
      <c r="AH2">
        <v>46293</v>
      </c>
      <c r="AI2" t="s">
        <v>149</v>
      </c>
    </row>
    <row r="3" spans="1:35" x14ac:dyDescent="0.25">
      <c r="A3" s="1">
        <v>46293</v>
      </c>
      <c r="B3" t="s">
        <v>148</v>
      </c>
      <c r="C3" t="s">
        <v>11</v>
      </c>
      <c r="D3">
        <v>4.1033319103155144</v>
      </c>
      <c r="E3">
        <v>0</v>
      </c>
      <c r="F3">
        <v>0</v>
      </c>
      <c r="G3">
        <v>3.75</v>
      </c>
      <c r="H3">
        <v>0</v>
      </c>
      <c r="I3">
        <v>0</v>
      </c>
      <c r="J3">
        <v>0.91389146234374541</v>
      </c>
      <c r="K3">
        <v>0</v>
      </c>
      <c r="L3">
        <v>0</v>
      </c>
      <c r="M3">
        <v>0</v>
      </c>
      <c r="N3">
        <v>0</v>
      </c>
      <c r="O3">
        <v>0</v>
      </c>
      <c r="P3">
        <v>0</v>
      </c>
      <c r="Q3">
        <v>0</v>
      </c>
      <c r="R3">
        <v>0</v>
      </c>
      <c r="S3">
        <v>0</v>
      </c>
      <c r="T3">
        <v>0.91389146234374541</v>
      </c>
      <c r="U3">
        <v>8.6108537656254591E-2</v>
      </c>
      <c r="V3">
        <v>0</v>
      </c>
      <c r="W3">
        <v>0</v>
      </c>
      <c r="X3">
        <v>0</v>
      </c>
      <c r="Y3">
        <v>0</v>
      </c>
      <c r="Z3">
        <v>0</v>
      </c>
      <c r="AA3">
        <v>0</v>
      </c>
      <c r="AB3">
        <v>0</v>
      </c>
      <c r="AC3">
        <v>0</v>
      </c>
      <c r="AD3">
        <v>0</v>
      </c>
      <c r="AE3" t="s">
        <v>161</v>
      </c>
      <c r="AF3">
        <v>0</v>
      </c>
      <c r="AG3" t="s">
        <v>165</v>
      </c>
      <c r="AH3">
        <v>46293</v>
      </c>
      <c r="AI3" t="s">
        <v>149</v>
      </c>
    </row>
    <row r="4" spans="1:35" x14ac:dyDescent="0.25">
      <c r="A4" s="1">
        <v>46293</v>
      </c>
      <c r="B4" t="s">
        <v>148</v>
      </c>
      <c r="C4" t="s">
        <v>10</v>
      </c>
      <c r="D4">
        <v>11.544040441020975</v>
      </c>
      <c r="E4">
        <v>0</v>
      </c>
      <c r="F4">
        <v>0</v>
      </c>
      <c r="G4">
        <v>10.889093137254902</v>
      </c>
      <c r="H4">
        <v>0</v>
      </c>
      <c r="I4">
        <v>0</v>
      </c>
      <c r="J4">
        <v>0.94326533182968053</v>
      </c>
      <c r="K4">
        <v>0</v>
      </c>
      <c r="L4">
        <v>0</v>
      </c>
      <c r="M4">
        <v>0</v>
      </c>
      <c r="N4">
        <v>0</v>
      </c>
      <c r="O4">
        <v>0</v>
      </c>
      <c r="P4">
        <v>0</v>
      </c>
      <c r="Q4">
        <v>0</v>
      </c>
      <c r="R4">
        <v>0</v>
      </c>
      <c r="S4">
        <v>0</v>
      </c>
      <c r="T4">
        <v>0.94326533182968053</v>
      </c>
      <c r="U4">
        <v>5.6734668170319469E-2</v>
      </c>
      <c r="V4">
        <v>0</v>
      </c>
      <c r="W4">
        <v>0</v>
      </c>
      <c r="X4">
        <v>0</v>
      </c>
      <c r="Y4">
        <v>0</v>
      </c>
      <c r="Z4">
        <v>0</v>
      </c>
      <c r="AA4">
        <v>0</v>
      </c>
      <c r="AB4">
        <v>0</v>
      </c>
      <c r="AC4">
        <v>0</v>
      </c>
      <c r="AD4">
        <v>0</v>
      </c>
      <c r="AE4" t="s">
        <v>161</v>
      </c>
      <c r="AF4">
        <v>0</v>
      </c>
      <c r="AG4" t="s">
        <v>166</v>
      </c>
      <c r="AH4">
        <v>46293</v>
      </c>
      <c r="AI4" t="s">
        <v>149</v>
      </c>
    </row>
    <row r="5" spans="1:35" x14ac:dyDescent="0.25">
      <c r="A5" s="1">
        <v>46294</v>
      </c>
      <c r="B5" t="s">
        <v>148</v>
      </c>
      <c r="C5" t="s">
        <v>10</v>
      </c>
      <c r="D5">
        <v>12.665617829840553</v>
      </c>
      <c r="E5">
        <v>0</v>
      </c>
      <c r="F5">
        <v>0</v>
      </c>
      <c r="G5">
        <v>12.162181020733652</v>
      </c>
      <c r="H5">
        <v>0</v>
      </c>
      <c r="I5">
        <v>0</v>
      </c>
      <c r="J5">
        <v>0.9602516974797084</v>
      </c>
      <c r="K5">
        <v>0</v>
      </c>
      <c r="L5">
        <v>0</v>
      </c>
      <c r="M5">
        <v>0</v>
      </c>
      <c r="N5">
        <v>0</v>
      </c>
      <c r="O5">
        <v>0</v>
      </c>
      <c r="P5">
        <v>0</v>
      </c>
      <c r="Q5">
        <v>0</v>
      </c>
      <c r="R5">
        <v>0</v>
      </c>
      <c r="S5">
        <v>0</v>
      </c>
      <c r="T5">
        <v>0.9602516974797084</v>
      </c>
      <c r="U5">
        <v>3.9748302520291601E-2</v>
      </c>
      <c r="V5">
        <v>0</v>
      </c>
      <c r="W5">
        <v>0</v>
      </c>
      <c r="X5">
        <v>0</v>
      </c>
      <c r="Y5">
        <v>0</v>
      </c>
      <c r="Z5">
        <v>0</v>
      </c>
      <c r="AA5">
        <v>0</v>
      </c>
      <c r="AB5">
        <v>0</v>
      </c>
      <c r="AC5">
        <v>0</v>
      </c>
      <c r="AD5">
        <v>0</v>
      </c>
      <c r="AE5" t="s">
        <v>161</v>
      </c>
      <c r="AF5">
        <v>0</v>
      </c>
      <c r="AG5" t="s">
        <v>167</v>
      </c>
      <c r="AH5">
        <v>46294</v>
      </c>
      <c r="AI5" t="s">
        <v>149</v>
      </c>
    </row>
    <row r="6" spans="1:35" x14ac:dyDescent="0.25">
      <c r="A6" s="1">
        <v>46294</v>
      </c>
      <c r="B6" t="s">
        <v>148</v>
      </c>
      <c r="C6" t="s">
        <v>11</v>
      </c>
      <c r="D6">
        <v>4.1033319103155144</v>
      </c>
      <c r="E6">
        <v>0</v>
      </c>
      <c r="F6">
        <v>0</v>
      </c>
      <c r="G6">
        <v>4.6875</v>
      </c>
      <c r="H6">
        <v>0</v>
      </c>
      <c r="I6">
        <v>0</v>
      </c>
      <c r="J6">
        <v>1.1423643279296818</v>
      </c>
      <c r="K6">
        <v>0.14236432792968179</v>
      </c>
      <c r="L6">
        <v>0</v>
      </c>
      <c r="M6">
        <v>0</v>
      </c>
      <c r="N6">
        <v>0</v>
      </c>
      <c r="O6">
        <v>0</v>
      </c>
      <c r="P6">
        <v>0</v>
      </c>
      <c r="Q6">
        <v>0</v>
      </c>
      <c r="R6">
        <v>0</v>
      </c>
      <c r="S6">
        <v>0</v>
      </c>
      <c r="T6">
        <v>0</v>
      </c>
      <c r="U6">
        <v>0</v>
      </c>
      <c r="V6">
        <v>0</v>
      </c>
      <c r="W6">
        <v>0</v>
      </c>
      <c r="X6">
        <v>0</v>
      </c>
      <c r="Y6">
        <v>0</v>
      </c>
      <c r="Z6">
        <v>0</v>
      </c>
      <c r="AA6">
        <v>0</v>
      </c>
      <c r="AB6">
        <v>0</v>
      </c>
      <c r="AC6">
        <v>1</v>
      </c>
      <c r="AD6">
        <v>0</v>
      </c>
      <c r="AE6" t="s">
        <v>161</v>
      </c>
      <c r="AF6">
        <v>0</v>
      </c>
      <c r="AG6" t="s">
        <v>168</v>
      </c>
      <c r="AH6">
        <v>46294</v>
      </c>
      <c r="AI6" t="s">
        <v>149</v>
      </c>
    </row>
    <row r="7" spans="1:35" x14ac:dyDescent="0.25">
      <c r="A7" s="1">
        <v>46294</v>
      </c>
      <c r="B7" t="s">
        <v>148</v>
      </c>
      <c r="C7" t="s">
        <v>12</v>
      </c>
      <c r="D7">
        <v>10.668662966820335</v>
      </c>
      <c r="E7">
        <v>0</v>
      </c>
      <c r="F7">
        <v>0</v>
      </c>
      <c r="G7">
        <v>11.448639354066986</v>
      </c>
      <c r="H7">
        <v>0</v>
      </c>
      <c r="I7">
        <v>0</v>
      </c>
      <c r="J7">
        <v>1.0731091037060956</v>
      </c>
      <c r="K7">
        <v>7.310910370609558E-2</v>
      </c>
      <c r="L7">
        <v>0</v>
      </c>
      <c r="M7">
        <v>0</v>
      </c>
      <c r="N7">
        <v>0</v>
      </c>
      <c r="O7">
        <v>0</v>
      </c>
      <c r="P7">
        <v>0</v>
      </c>
      <c r="Q7">
        <v>0</v>
      </c>
      <c r="R7">
        <v>0</v>
      </c>
      <c r="S7">
        <v>0</v>
      </c>
      <c r="T7">
        <v>0</v>
      </c>
      <c r="U7">
        <v>0</v>
      </c>
      <c r="V7">
        <v>0</v>
      </c>
      <c r="W7">
        <v>0</v>
      </c>
      <c r="X7">
        <v>0</v>
      </c>
      <c r="Y7">
        <v>0</v>
      </c>
      <c r="Z7">
        <v>0</v>
      </c>
      <c r="AA7">
        <v>0</v>
      </c>
      <c r="AB7">
        <v>0</v>
      </c>
      <c r="AC7">
        <v>1</v>
      </c>
      <c r="AD7">
        <v>0</v>
      </c>
      <c r="AE7" t="s">
        <v>161</v>
      </c>
      <c r="AF7">
        <v>0</v>
      </c>
      <c r="AG7" t="s">
        <v>169</v>
      </c>
      <c r="AH7">
        <v>46294</v>
      </c>
      <c r="AI7" t="s">
        <v>149</v>
      </c>
    </row>
    <row r="8" spans="1:35" x14ac:dyDescent="0.25">
      <c r="A8" s="1">
        <v>46295</v>
      </c>
      <c r="B8" t="s">
        <v>148</v>
      </c>
      <c r="C8" t="s">
        <v>10</v>
      </c>
      <c r="D8">
        <v>12.227929092740233</v>
      </c>
      <c r="E8">
        <v>0</v>
      </c>
      <c r="F8">
        <v>0</v>
      </c>
      <c r="G8">
        <v>11.308823529411764</v>
      </c>
      <c r="H8">
        <v>0</v>
      </c>
      <c r="I8">
        <v>0</v>
      </c>
      <c r="J8">
        <v>0.92483555012809615</v>
      </c>
      <c r="K8">
        <v>0</v>
      </c>
      <c r="L8">
        <v>0</v>
      </c>
      <c r="M8">
        <v>0</v>
      </c>
      <c r="N8">
        <v>0</v>
      </c>
      <c r="O8">
        <v>0</v>
      </c>
      <c r="P8">
        <v>0</v>
      </c>
      <c r="Q8">
        <v>0</v>
      </c>
      <c r="R8">
        <v>0</v>
      </c>
      <c r="S8">
        <v>0</v>
      </c>
      <c r="T8">
        <v>0.92483555012809615</v>
      </c>
      <c r="U8">
        <v>7.5164449871903849E-2</v>
      </c>
      <c r="V8">
        <v>0</v>
      </c>
      <c r="W8">
        <v>0</v>
      </c>
      <c r="X8">
        <v>0</v>
      </c>
      <c r="Y8">
        <v>0</v>
      </c>
      <c r="Z8">
        <v>0</v>
      </c>
      <c r="AA8">
        <v>0</v>
      </c>
      <c r="AB8">
        <v>0</v>
      </c>
      <c r="AC8">
        <v>0</v>
      </c>
      <c r="AD8">
        <v>0</v>
      </c>
      <c r="AE8" t="s">
        <v>161</v>
      </c>
      <c r="AF8">
        <v>0</v>
      </c>
      <c r="AG8" t="s">
        <v>170</v>
      </c>
      <c r="AH8">
        <v>46295</v>
      </c>
      <c r="AI8" t="s">
        <v>149</v>
      </c>
    </row>
    <row r="9" spans="1:35" x14ac:dyDescent="0.25">
      <c r="A9" s="1">
        <v>46295</v>
      </c>
      <c r="B9" t="s">
        <v>148</v>
      </c>
      <c r="C9" t="s">
        <v>11</v>
      </c>
      <c r="D9">
        <v>4.1033319103155144</v>
      </c>
      <c r="E9">
        <v>0</v>
      </c>
      <c r="F9">
        <v>0</v>
      </c>
      <c r="G9">
        <v>4.6875</v>
      </c>
      <c r="H9">
        <v>0</v>
      </c>
      <c r="I9">
        <v>0</v>
      </c>
      <c r="J9">
        <v>1.1423643279296818</v>
      </c>
      <c r="K9">
        <v>0.14236432792968179</v>
      </c>
      <c r="L9">
        <v>0</v>
      </c>
      <c r="M9">
        <v>0</v>
      </c>
      <c r="N9">
        <v>0</v>
      </c>
      <c r="O9">
        <v>0</v>
      </c>
      <c r="P9">
        <v>0</v>
      </c>
      <c r="Q9">
        <v>0</v>
      </c>
      <c r="R9">
        <v>0</v>
      </c>
      <c r="S9">
        <v>0</v>
      </c>
      <c r="T9">
        <v>0</v>
      </c>
      <c r="U9">
        <v>0</v>
      </c>
      <c r="V9">
        <v>0</v>
      </c>
      <c r="W9">
        <v>0</v>
      </c>
      <c r="X9">
        <v>0</v>
      </c>
      <c r="Y9">
        <v>0</v>
      </c>
      <c r="Z9">
        <v>0</v>
      </c>
      <c r="AA9">
        <v>0</v>
      </c>
      <c r="AB9">
        <v>0</v>
      </c>
      <c r="AC9">
        <v>1</v>
      </c>
      <c r="AD9">
        <v>0</v>
      </c>
      <c r="AE9" t="s">
        <v>161</v>
      </c>
      <c r="AF9">
        <v>0</v>
      </c>
      <c r="AG9" t="s">
        <v>171</v>
      </c>
      <c r="AH9">
        <v>46295</v>
      </c>
      <c r="AI9" t="s">
        <v>149</v>
      </c>
    </row>
    <row r="10" spans="1:35" x14ac:dyDescent="0.25">
      <c r="A10" s="1">
        <v>46295</v>
      </c>
      <c r="B10" t="s">
        <v>148</v>
      </c>
      <c r="C10" t="s">
        <v>12</v>
      </c>
      <c r="D10">
        <v>10.504529690407711</v>
      </c>
      <c r="E10">
        <v>0</v>
      </c>
      <c r="F10">
        <v>0</v>
      </c>
      <c r="G10">
        <v>11.253676470588236</v>
      </c>
      <c r="H10">
        <v>0</v>
      </c>
      <c r="I10">
        <v>0</v>
      </c>
      <c r="J10">
        <v>1.0713165465051342</v>
      </c>
      <c r="K10">
        <v>7.1316546505134193E-2</v>
      </c>
      <c r="L10">
        <v>0</v>
      </c>
      <c r="M10">
        <v>0</v>
      </c>
      <c r="N10">
        <v>0</v>
      </c>
      <c r="O10">
        <v>0</v>
      </c>
      <c r="P10">
        <v>0</v>
      </c>
      <c r="Q10">
        <v>0</v>
      </c>
      <c r="R10">
        <v>0</v>
      </c>
      <c r="S10">
        <v>0</v>
      </c>
      <c r="T10">
        <v>0</v>
      </c>
      <c r="U10">
        <v>0</v>
      </c>
      <c r="V10">
        <v>0</v>
      </c>
      <c r="W10">
        <v>0</v>
      </c>
      <c r="X10">
        <v>0</v>
      </c>
      <c r="Y10">
        <v>0</v>
      </c>
      <c r="Z10">
        <v>0</v>
      </c>
      <c r="AA10">
        <v>0</v>
      </c>
      <c r="AB10">
        <v>0</v>
      </c>
      <c r="AC10">
        <v>1</v>
      </c>
      <c r="AD10">
        <v>0</v>
      </c>
      <c r="AE10" t="s">
        <v>161</v>
      </c>
      <c r="AF10">
        <v>0</v>
      </c>
      <c r="AG10" t="s">
        <v>172</v>
      </c>
      <c r="AH10">
        <v>46295</v>
      </c>
      <c r="AI10" t="s">
        <v>149</v>
      </c>
    </row>
    <row r="11" spans="1:35" x14ac:dyDescent="0.25">
      <c r="A11" s="1">
        <v>46296</v>
      </c>
      <c r="B11" t="s">
        <v>148</v>
      </c>
      <c r="C11" t="s">
        <v>10</v>
      </c>
      <c r="D11">
        <v>11.407262710677127</v>
      </c>
      <c r="E11">
        <v>0</v>
      </c>
      <c r="F11">
        <v>0</v>
      </c>
      <c r="G11">
        <v>12.09375</v>
      </c>
      <c r="H11">
        <v>0</v>
      </c>
      <c r="I11">
        <v>0</v>
      </c>
      <c r="J11">
        <v>1.060179843905964</v>
      </c>
      <c r="K11">
        <v>6.0179843905963981E-2</v>
      </c>
      <c r="L11">
        <v>0</v>
      </c>
      <c r="M11">
        <v>0</v>
      </c>
      <c r="N11">
        <v>0</v>
      </c>
      <c r="O11">
        <v>0</v>
      </c>
      <c r="P11">
        <v>0</v>
      </c>
      <c r="Q11">
        <v>0</v>
      </c>
      <c r="R11">
        <v>0</v>
      </c>
      <c r="S11">
        <v>0</v>
      </c>
      <c r="T11">
        <v>0</v>
      </c>
      <c r="U11">
        <v>0</v>
      </c>
      <c r="V11">
        <v>0</v>
      </c>
      <c r="W11">
        <v>0</v>
      </c>
      <c r="X11">
        <v>0</v>
      </c>
      <c r="Y11">
        <v>0</v>
      </c>
      <c r="Z11">
        <v>0</v>
      </c>
      <c r="AA11">
        <v>0</v>
      </c>
      <c r="AB11">
        <v>0</v>
      </c>
      <c r="AC11">
        <v>1</v>
      </c>
      <c r="AD11">
        <v>0</v>
      </c>
      <c r="AE11" t="s">
        <v>161</v>
      </c>
      <c r="AF11">
        <v>0</v>
      </c>
      <c r="AG11" t="s">
        <v>173</v>
      </c>
      <c r="AH11">
        <v>46296</v>
      </c>
      <c r="AI11" t="s">
        <v>149</v>
      </c>
    </row>
    <row r="12" spans="1:35" x14ac:dyDescent="0.25">
      <c r="A12" s="1">
        <v>46296</v>
      </c>
      <c r="B12" t="s">
        <v>148</v>
      </c>
      <c r="C12" t="s">
        <v>12</v>
      </c>
      <c r="D12">
        <v>10.668662966820335</v>
      </c>
      <c r="E12">
        <v>0</v>
      </c>
      <c r="F12">
        <v>0</v>
      </c>
      <c r="G12">
        <v>11.25</v>
      </c>
      <c r="H12">
        <v>0</v>
      </c>
      <c r="I12">
        <v>0</v>
      </c>
      <c r="J12">
        <v>1.0544901488581679</v>
      </c>
      <c r="K12">
        <v>5.4490148858167942E-2</v>
      </c>
      <c r="L12">
        <v>0</v>
      </c>
      <c r="M12">
        <v>0</v>
      </c>
      <c r="N12">
        <v>0</v>
      </c>
      <c r="O12">
        <v>0</v>
      </c>
      <c r="P12">
        <v>0</v>
      </c>
      <c r="Q12">
        <v>0</v>
      </c>
      <c r="R12">
        <v>0</v>
      </c>
      <c r="S12">
        <v>0</v>
      </c>
      <c r="T12">
        <v>0</v>
      </c>
      <c r="U12">
        <v>0</v>
      </c>
      <c r="V12">
        <v>0</v>
      </c>
      <c r="W12">
        <v>0</v>
      </c>
      <c r="X12">
        <v>0</v>
      </c>
      <c r="Y12">
        <v>0</v>
      </c>
      <c r="Z12">
        <v>0</v>
      </c>
      <c r="AA12">
        <v>0</v>
      </c>
      <c r="AB12">
        <v>0</v>
      </c>
      <c r="AC12">
        <v>1</v>
      </c>
      <c r="AD12">
        <v>0</v>
      </c>
      <c r="AE12" t="s">
        <v>161</v>
      </c>
      <c r="AF12">
        <v>0</v>
      </c>
      <c r="AG12" t="s">
        <v>174</v>
      </c>
      <c r="AH12">
        <v>46296</v>
      </c>
      <c r="AI12" t="s">
        <v>149</v>
      </c>
    </row>
    <row r="13" spans="1:35" x14ac:dyDescent="0.25">
      <c r="A13" s="1">
        <v>46296</v>
      </c>
      <c r="B13" t="s">
        <v>148</v>
      </c>
      <c r="C13" t="s">
        <v>11</v>
      </c>
      <c r="D13">
        <v>4.1033319103155144</v>
      </c>
      <c r="E13">
        <v>0</v>
      </c>
      <c r="F13">
        <v>0</v>
      </c>
      <c r="G13">
        <v>4.6875</v>
      </c>
      <c r="H13">
        <v>0</v>
      </c>
      <c r="I13">
        <v>0</v>
      </c>
      <c r="J13">
        <v>1.1423643279296818</v>
      </c>
      <c r="K13">
        <v>0.14236432792968179</v>
      </c>
      <c r="L13">
        <v>0</v>
      </c>
      <c r="M13">
        <v>0</v>
      </c>
      <c r="N13">
        <v>0</v>
      </c>
      <c r="O13">
        <v>0</v>
      </c>
      <c r="P13">
        <v>0</v>
      </c>
      <c r="Q13">
        <v>0</v>
      </c>
      <c r="R13">
        <v>0</v>
      </c>
      <c r="S13">
        <v>0</v>
      </c>
      <c r="T13">
        <v>0</v>
      </c>
      <c r="U13">
        <v>0</v>
      </c>
      <c r="V13">
        <v>0</v>
      </c>
      <c r="W13">
        <v>0</v>
      </c>
      <c r="X13">
        <v>0</v>
      </c>
      <c r="Y13">
        <v>0</v>
      </c>
      <c r="Z13">
        <v>0</v>
      </c>
      <c r="AA13">
        <v>0</v>
      </c>
      <c r="AB13">
        <v>0</v>
      </c>
      <c r="AC13">
        <v>1</v>
      </c>
      <c r="AD13">
        <v>0</v>
      </c>
      <c r="AE13" t="s">
        <v>161</v>
      </c>
      <c r="AF13">
        <v>0</v>
      </c>
      <c r="AG13" t="s">
        <v>175</v>
      </c>
      <c r="AH13">
        <v>46296</v>
      </c>
      <c r="AI13" t="s">
        <v>149</v>
      </c>
    </row>
    <row r="14" spans="1:35" x14ac:dyDescent="0.25">
      <c r="A14" s="1">
        <v>46297</v>
      </c>
      <c r="B14" t="s">
        <v>148</v>
      </c>
      <c r="C14" t="s">
        <v>10</v>
      </c>
      <c r="D14">
        <v>10.668662966820335</v>
      </c>
      <c r="E14">
        <v>0</v>
      </c>
      <c r="F14">
        <v>0</v>
      </c>
      <c r="G14">
        <v>10.996323529411764</v>
      </c>
      <c r="H14">
        <v>0</v>
      </c>
      <c r="I14">
        <v>0</v>
      </c>
      <c r="J14">
        <v>1.0307124298152877</v>
      </c>
      <c r="K14">
        <v>3.0712429815287656E-2</v>
      </c>
      <c r="L14">
        <v>0</v>
      </c>
      <c r="M14">
        <v>0</v>
      </c>
      <c r="N14">
        <v>0</v>
      </c>
      <c r="O14">
        <v>0</v>
      </c>
      <c r="P14">
        <v>0</v>
      </c>
      <c r="Q14">
        <v>0</v>
      </c>
      <c r="R14">
        <v>0</v>
      </c>
      <c r="S14">
        <v>0</v>
      </c>
      <c r="T14">
        <v>0</v>
      </c>
      <c r="U14">
        <v>0</v>
      </c>
      <c r="V14">
        <v>0</v>
      </c>
      <c r="W14">
        <v>0</v>
      </c>
      <c r="X14">
        <v>0</v>
      </c>
      <c r="Y14">
        <v>0</v>
      </c>
      <c r="Z14">
        <v>0</v>
      </c>
      <c r="AA14">
        <v>0</v>
      </c>
      <c r="AB14">
        <v>0</v>
      </c>
      <c r="AC14">
        <v>1</v>
      </c>
      <c r="AD14">
        <v>0</v>
      </c>
      <c r="AE14" t="s">
        <v>161</v>
      </c>
      <c r="AF14">
        <v>0</v>
      </c>
      <c r="AG14" t="s">
        <v>176</v>
      </c>
      <c r="AH14">
        <v>46297</v>
      </c>
      <c r="AI14" t="s">
        <v>149</v>
      </c>
    </row>
    <row r="15" spans="1:35" x14ac:dyDescent="0.25">
      <c r="A15" s="1">
        <v>46297</v>
      </c>
      <c r="B15" t="s">
        <v>148</v>
      </c>
      <c r="C15" t="s">
        <v>11</v>
      </c>
      <c r="D15">
        <v>4.1033319103155144</v>
      </c>
      <c r="E15">
        <v>0</v>
      </c>
      <c r="F15">
        <v>0</v>
      </c>
      <c r="G15">
        <v>4.6875</v>
      </c>
      <c r="H15">
        <v>0</v>
      </c>
      <c r="I15">
        <v>0</v>
      </c>
      <c r="J15">
        <v>1.1423643279296818</v>
      </c>
      <c r="K15">
        <v>0.14236432792968179</v>
      </c>
      <c r="L15">
        <v>0</v>
      </c>
      <c r="M15">
        <v>0</v>
      </c>
      <c r="N15">
        <v>0</v>
      </c>
      <c r="O15">
        <v>0</v>
      </c>
      <c r="P15">
        <v>0</v>
      </c>
      <c r="Q15">
        <v>0</v>
      </c>
      <c r="R15">
        <v>0</v>
      </c>
      <c r="S15">
        <v>0</v>
      </c>
      <c r="T15">
        <v>0</v>
      </c>
      <c r="U15">
        <v>0</v>
      </c>
      <c r="V15">
        <v>0</v>
      </c>
      <c r="W15">
        <v>0</v>
      </c>
      <c r="X15">
        <v>0</v>
      </c>
      <c r="Y15">
        <v>0</v>
      </c>
      <c r="Z15">
        <v>0</v>
      </c>
      <c r="AA15">
        <v>0</v>
      </c>
      <c r="AB15">
        <v>0</v>
      </c>
      <c r="AC15">
        <v>1</v>
      </c>
      <c r="AD15">
        <v>0</v>
      </c>
      <c r="AE15" t="s">
        <v>161</v>
      </c>
      <c r="AF15">
        <v>0</v>
      </c>
      <c r="AG15" t="s">
        <v>177</v>
      </c>
      <c r="AH15">
        <v>46297</v>
      </c>
      <c r="AI15" t="s">
        <v>149</v>
      </c>
    </row>
    <row r="16" spans="1:35" x14ac:dyDescent="0.25">
      <c r="A16" s="1">
        <v>46297</v>
      </c>
      <c r="B16" t="s">
        <v>148</v>
      </c>
      <c r="C16" t="s">
        <v>12</v>
      </c>
      <c r="D16">
        <v>10.723374058957877</v>
      </c>
      <c r="E16">
        <v>0</v>
      </c>
      <c r="F16">
        <v>0</v>
      </c>
      <c r="G16">
        <v>12.628676470588236</v>
      </c>
      <c r="H16">
        <v>0</v>
      </c>
      <c r="I16">
        <v>0</v>
      </c>
      <c r="J16">
        <v>1.1776775109359117</v>
      </c>
      <c r="K16">
        <v>0.17767751093591166</v>
      </c>
      <c r="L16">
        <v>0</v>
      </c>
      <c r="M16">
        <v>0</v>
      </c>
      <c r="N16">
        <v>0</v>
      </c>
      <c r="O16">
        <v>0</v>
      </c>
      <c r="P16">
        <v>0</v>
      </c>
      <c r="Q16">
        <v>0</v>
      </c>
      <c r="R16">
        <v>0</v>
      </c>
      <c r="S16">
        <v>0</v>
      </c>
      <c r="T16">
        <v>0</v>
      </c>
      <c r="U16">
        <v>0</v>
      </c>
      <c r="V16">
        <v>0</v>
      </c>
      <c r="W16">
        <v>0</v>
      </c>
      <c r="X16">
        <v>0</v>
      </c>
      <c r="Y16">
        <v>0</v>
      </c>
      <c r="Z16">
        <v>0</v>
      </c>
      <c r="AA16">
        <v>0</v>
      </c>
      <c r="AB16">
        <v>0</v>
      </c>
      <c r="AC16">
        <v>1</v>
      </c>
      <c r="AD16">
        <v>0</v>
      </c>
      <c r="AE16" t="s">
        <v>161</v>
      </c>
      <c r="AF16">
        <v>0</v>
      </c>
      <c r="AG16" t="s">
        <v>178</v>
      </c>
      <c r="AH16">
        <v>46297</v>
      </c>
      <c r="AI16" t="s">
        <v>149</v>
      </c>
    </row>
    <row r="17" spans="1:35" x14ac:dyDescent="0.25">
      <c r="A17" s="1">
        <v>46298</v>
      </c>
      <c r="B17" t="s">
        <v>148</v>
      </c>
      <c r="C17" t="s">
        <v>11</v>
      </c>
      <c r="D17">
        <v>4.1033319103155144</v>
      </c>
      <c r="E17">
        <v>0</v>
      </c>
      <c r="F17">
        <v>0</v>
      </c>
      <c r="G17">
        <v>4.6875</v>
      </c>
      <c r="H17">
        <v>0</v>
      </c>
      <c r="I17">
        <v>0</v>
      </c>
      <c r="J17">
        <v>1.1423643279296818</v>
      </c>
      <c r="K17">
        <v>0.14236432792968179</v>
      </c>
      <c r="L17">
        <v>0</v>
      </c>
      <c r="M17">
        <v>0</v>
      </c>
      <c r="N17">
        <v>0</v>
      </c>
      <c r="O17">
        <v>0</v>
      </c>
      <c r="P17">
        <v>0</v>
      </c>
      <c r="Q17">
        <v>0</v>
      </c>
      <c r="R17">
        <v>0</v>
      </c>
      <c r="S17">
        <v>0</v>
      </c>
      <c r="T17">
        <v>0</v>
      </c>
      <c r="U17">
        <v>0</v>
      </c>
      <c r="V17">
        <v>0</v>
      </c>
      <c r="W17">
        <v>0</v>
      </c>
      <c r="X17">
        <v>0</v>
      </c>
      <c r="Y17">
        <v>0</v>
      </c>
      <c r="Z17">
        <v>0</v>
      </c>
      <c r="AA17">
        <v>0</v>
      </c>
      <c r="AB17">
        <v>0</v>
      </c>
      <c r="AC17">
        <v>1</v>
      </c>
      <c r="AD17">
        <v>0</v>
      </c>
      <c r="AE17" t="s">
        <v>161</v>
      </c>
      <c r="AF17">
        <v>0</v>
      </c>
      <c r="AG17" t="s">
        <v>179</v>
      </c>
      <c r="AH17">
        <v>46298</v>
      </c>
      <c r="AI17" t="s">
        <v>149</v>
      </c>
    </row>
    <row r="18" spans="1:35" x14ac:dyDescent="0.25">
      <c r="A18" s="1">
        <v>46298</v>
      </c>
      <c r="B18" t="s">
        <v>148</v>
      </c>
      <c r="C18" t="s">
        <v>10</v>
      </c>
      <c r="D18">
        <v>10.723374058957877</v>
      </c>
      <c r="E18">
        <v>0</v>
      </c>
      <c r="F18">
        <v>0</v>
      </c>
      <c r="G18">
        <v>11.653132992327365</v>
      </c>
      <c r="H18">
        <v>0</v>
      </c>
      <c r="I18">
        <v>0</v>
      </c>
      <c r="J18">
        <v>1.0867039542085921</v>
      </c>
      <c r="K18">
        <v>8.6703954208592116E-2</v>
      </c>
      <c r="L18">
        <v>0</v>
      </c>
      <c r="M18">
        <v>0</v>
      </c>
      <c r="N18">
        <v>0</v>
      </c>
      <c r="O18">
        <v>0</v>
      </c>
      <c r="P18">
        <v>0</v>
      </c>
      <c r="Q18">
        <v>0</v>
      </c>
      <c r="R18">
        <v>0</v>
      </c>
      <c r="S18">
        <v>0</v>
      </c>
      <c r="T18">
        <v>0</v>
      </c>
      <c r="U18">
        <v>0</v>
      </c>
      <c r="V18">
        <v>0</v>
      </c>
      <c r="W18">
        <v>0</v>
      </c>
      <c r="X18">
        <v>0</v>
      </c>
      <c r="Y18">
        <v>0</v>
      </c>
      <c r="Z18">
        <v>0</v>
      </c>
      <c r="AA18">
        <v>0</v>
      </c>
      <c r="AB18">
        <v>0</v>
      </c>
      <c r="AC18">
        <v>1</v>
      </c>
      <c r="AD18">
        <v>0</v>
      </c>
      <c r="AE18" t="s">
        <v>161</v>
      </c>
      <c r="AF18">
        <v>0</v>
      </c>
      <c r="AG18" t="s">
        <v>180</v>
      </c>
      <c r="AH18">
        <v>46298</v>
      </c>
      <c r="AI18" t="s">
        <v>149</v>
      </c>
    </row>
    <row r="19" spans="1:35" x14ac:dyDescent="0.25">
      <c r="A19" s="1">
        <v>46298</v>
      </c>
      <c r="B19" t="s">
        <v>148</v>
      </c>
      <c r="C19" t="s">
        <v>12</v>
      </c>
      <c r="D19">
        <v>10.668662966820335</v>
      </c>
      <c r="E19">
        <v>0</v>
      </c>
      <c r="F19">
        <v>0</v>
      </c>
      <c r="G19">
        <v>12.27893222506394</v>
      </c>
      <c r="H19">
        <v>0</v>
      </c>
      <c r="I19">
        <v>0</v>
      </c>
      <c r="J19">
        <v>1.1509344950957361</v>
      </c>
      <c r="K19">
        <v>0.15093449509573609</v>
      </c>
      <c r="L19">
        <v>0</v>
      </c>
      <c r="M19">
        <v>0</v>
      </c>
      <c r="N19">
        <v>0</v>
      </c>
      <c r="O19">
        <v>0</v>
      </c>
      <c r="P19">
        <v>0</v>
      </c>
      <c r="Q19">
        <v>0</v>
      </c>
      <c r="R19">
        <v>0</v>
      </c>
      <c r="S19">
        <v>0</v>
      </c>
      <c r="T19">
        <v>0</v>
      </c>
      <c r="U19">
        <v>0</v>
      </c>
      <c r="V19">
        <v>0</v>
      </c>
      <c r="W19">
        <v>0</v>
      </c>
      <c r="X19">
        <v>0</v>
      </c>
      <c r="Y19">
        <v>0</v>
      </c>
      <c r="Z19">
        <v>0</v>
      </c>
      <c r="AA19">
        <v>0</v>
      </c>
      <c r="AB19">
        <v>0</v>
      </c>
      <c r="AC19">
        <v>1</v>
      </c>
      <c r="AD19">
        <v>0</v>
      </c>
      <c r="AE19" t="s">
        <v>161</v>
      </c>
      <c r="AF19">
        <v>0</v>
      </c>
      <c r="AG19" t="s">
        <v>181</v>
      </c>
      <c r="AH19">
        <v>46298</v>
      </c>
      <c r="AI19" t="s">
        <v>149</v>
      </c>
    </row>
    <row r="20" spans="1:35" x14ac:dyDescent="0.25">
      <c r="A20" s="1">
        <v>46299</v>
      </c>
      <c r="B20" t="s">
        <v>148</v>
      </c>
      <c r="C20" t="s">
        <v>10</v>
      </c>
      <c r="D20">
        <v>10.668662966820335</v>
      </c>
      <c r="E20">
        <v>0</v>
      </c>
      <c r="F20">
        <v>0</v>
      </c>
      <c r="G20">
        <v>12.1875</v>
      </c>
      <c r="H20">
        <v>0</v>
      </c>
      <c r="I20">
        <v>0</v>
      </c>
      <c r="J20">
        <v>1.142364327929682</v>
      </c>
      <c r="K20">
        <v>0.14236432792968201</v>
      </c>
      <c r="L20">
        <v>0</v>
      </c>
      <c r="M20">
        <v>0</v>
      </c>
      <c r="N20">
        <v>0</v>
      </c>
      <c r="O20">
        <v>0</v>
      </c>
      <c r="P20">
        <v>0</v>
      </c>
      <c r="Q20">
        <v>0</v>
      </c>
      <c r="R20">
        <v>0</v>
      </c>
      <c r="S20">
        <v>0</v>
      </c>
      <c r="T20">
        <v>0</v>
      </c>
      <c r="U20">
        <v>0</v>
      </c>
      <c r="V20">
        <v>0</v>
      </c>
      <c r="W20">
        <v>0</v>
      </c>
      <c r="X20">
        <v>0</v>
      </c>
      <c r="Y20">
        <v>0</v>
      </c>
      <c r="Z20">
        <v>0</v>
      </c>
      <c r="AA20">
        <v>0</v>
      </c>
      <c r="AB20">
        <v>0</v>
      </c>
      <c r="AC20">
        <v>1</v>
      </c>
      <c r="AD20">
        <v>0</v>
      </c>
      <c r="AE20" t="s">
        <v>161</v>
      </c>
      <c r="AF20">
        <v>0</v>
      </c>
      <c r="AG20" t="s">
        <v>182</v>
      </c>
      <c r="AH20">
        <v>46299</v>
      </c>
      <c r="AI20" t="s">
        <v>149</v>
      </c>
    </row>
    <row r="21" spans="1:35" x14ac:dyDescent="0.25">
      <c r="A21" s="1">
        <v>46299</v>
      </c>
      <c r="B21" t="s">
        <v>148</v>
      </c>
      <c r="C21" t="s">
        <v>11</v>
      </c>
      <c r="D21">
        <v>4.1033319103155144</v>
      </c>
      <c r="E21">
        <v>0</v>
      </c>
      <c r="F21">
        <v>0</v>
      </c>
      <c r="G21">
        <v>4.6875</v>
      </c>
      <c r="H21">
        <v>0</v>
      </c>
      <c r="I21">
        <v>0</v>
      </c>
      <c r="J21">
        <v>1.1423643279296818</v>
      </c>
      <c r="K21">
        <v>0.14236432792968179</v>
      </c>
      <c r="L21">
        <v>0</v>
      </c>
      <c r="M21">
        <v>0</v>
      </c>
      <c r="N21">
        <v>0</v>
      </c>
      <c r="O21">
        <v>0</v>
      </c>
      <c r="P21">
        <v>0</v>
      </c>
      <c r="Q21">
        <v>0</v>
      </c>
      <c r="R21">
        <v>0</v>
      </c>
      <c r="S21">
        <v>0</v>
      </c>
      <c r="T21">
        <v>0</v>
      </c>
      <c r="U21">
        <v>0</v>
      </c>
      <c r="V21">
        <v>0</v>
      </c>
      <c r="W21">
        <v>0</v>
      </c>
      <c r="X21">
        <v>0</v>
      </c>
      <c r="Y21">
        <v>0</v>
      </c>
      <c r="Z21">
        <v>0</v>
      </c>
      <c r="AA21">
        <v>0</v>
      </c>
      <c r="AB21">
        <v>0</v>
      </c>
      <c r="AC21">
        <v>1</v>
      </c>
      <c r="AD21">
        <v>0</v>
      </c>
      <c r="AE21" t="s">
        <v>161</v>
      </c>
      <c r="AF21">
        <v>0</v>
      </c>
      <c r="AG21" t="s">
        <v>183</v>
      </c>
      <c r="AH21">
        <v>46299</v>
      </c>
      <c r="AI21" t="s">
        <v>149</v>
      </c>
    </row>
    <row r="22" spans="1:35" x14ac:dyDescent="0.25">
      <c r="A22" s="1">
        <v>46299</v>
      </c>
      <c r="B22" t="s">
        <v>148</v>
      </c>
      <c r="C22" t="s">
        <v>12</v>
      </c>
      <c r="D22">
        <v>11.489329348883439</v>
      </c>
      <c r="E22">
        <v>0</v>
      </c>
      <c r="F22">
        <v>0</v>
      </c>
      <c r="G22">
        <v>12.1875</v>
      </c>
      <c r="H22">
        <v>0</v>
      </c>
      <c r="I22">
        <v>0</v>
      </c>
      <c r="J22">
        <v>1.0607668759347046</v>
      </c>
      <c r="K22">
        <v>6.0766875934704645E-2</v>
      </c>
      <c r="L22">
        <v>0</v>
      </c>
      <c r="M22">
        <v>0</v>
      </c>
      <c r="N22">
        <v>0</v>
      </c>
      <c r="O22">
        <v>0</v>
      </c>
      <c r="P22">
        <v>0</v>
      </c>
      <c r="Q22">
        <v>0</v>
      </c>
      <c r="R22">
        <v>0</v>
      </c>
      <c r="S22">
        <v>0</v>
      </c>
      <c r="T22">
        <v>0</v>
      </c>
      <c r="U22">
        <v>0</v>
      </c>
      <c r="V22">
        <v>0</v>
      </c>
      <c r="W22">
        <v>0</v>
      </c>
      <c r="X22">
        <v>0</v>
      </c>
      <c r="Y22">
        <v>0</v>
      </c>
      <c r="Z22">
        <v>0</v>
      </c>
      <c r="AA22">
        <v>0</v>
      </c>
      <c r="AB22">
        <v>0</v>
      </c>
      <c r="AC22">
        <v>1</v>
      </c>
      <c r="AD22">
        <v>0</v>
      </c>
      <c r="AE22" t="s">
        <v>161</v>
      </c>
      <c r="AF22">
        <v>0</v>
      </c>
      <c r="AG22" t="s">
        <v>184</v>
      </c>
      <c r="AH22">
        <v>46299</v>
      </c>
      <c r="AI22" t="s">
        <v>149</v>
      </c>
    </row>
    <row r="23" spans="1:35" x14ac:dyDescent="0.25">
      <c r="A23" s="1">
        <v>46300</v>
      </c>
      <c r="B23" t="s">
        <v>148</v>
      </c>
      <c r="C23" t="s">
        <v>11</v>
      </c>
      <c r="D23">
        <v>4.1033319103155144</v>
      </c>
      <c r="E23">
        <v>0</v>
      </c>
      <c r="F23">
        <v>0</v>
      </c>
      <c r="G23">
        <v>4.7159090909090899</v>
      </c>
      <c r="H23">
        <v>0</v>
      </c>
      <c r="I23">
        <v>0</v>
      </c>
      <c r="J23">
        <v>1.1492877480989523</v>
      </c>
      <c r="K23">
        <v>0.14928774809895229</v>
      </c>
      <c r="L23">
        <v>0</v>
      </c>
      <c r="M23">
        <v>0</v>
      </c>
      <c r="N23">
        <v>0</v>
      </c>
      <c r="O23">
        <v>0</v>
      </c>
      <c r="P23">
        <v>0</v>
      </c>
      <c r="Q23">
        <v>0</v>
      </c>
      <c r="R23">
        <v>0</v>
      </c>
      <c r="S23">
        <v>0</v>
      </c>
      <c r="T23">
        <v>0</v>
      </c>
      <c r="U23">
        <v>0</v>
      </c>
      <c r="V23">
        <v>0</v>
      </c>
      <c r="W23">
        <v>0</v>
      </c>
      <c r="X23">
        <v>0</v>
      </c>
      <c r="Y23">
        <v>0</v>
      </c>
      <c r="Z23">
        <v>0</v>
      </c>
      <c r="AA23">
        <v>0</v>
      </c>
      <c r="AB23">
        <v>0</v>
      </c>
      <c r="AC23">
        <v>1</v>
      </c>
      <c r="AD23">
        <v>0</v>
      </c>
      <c r="AE23" t="s">
        <v>161</v>
      </c>
      <c r="AF23">
        <v>0</v>
      </c>
      <c r="AG23" t="s">
        <v>185</v>
      </c>
      <c r="AH23">
        <v>46300</v>
      </c>
      <c r="AI23" t="s">
        <v>149</v>
      </c>
    </row>
    <row r="24" spans="1:35" x14ac:dyDescent="0.25">
      <c r="A24" s="1">
        <v>46300</v>
      </c>
      <c r="B24" t="s">
        <v>148</v>
      </c>
      <c r="C24" t="s">
        <v>10</v>
      </c>
      <c r="D24">
        <v>11.544040441020975</v>
      </c>
      <c r="E24">
        <v>0</v>
      </c>
      <c r="F24">
        <v>0</v>
      </c>
      <c r="G24">
        <v>12.1875</v>
      </c>
      <c r="H24">
        <v>0</v>
      </c>
      <c r="I24">
        <v>0</v>
      </c>
      <c r="J24">
        <v>1.0557395447691378</v>
      </c>
      <c r="K24">
        <v>5.5739544769137783E-2</v>
      </c>
      <c r="L24">
        <v>0</v>
      </c>
      <c r="M24">
        <v>0</v>
      </c>
      <c r="N24">
        <v>0</v>
      </c>
      <c r="O24">
        <v>0</v>
      </c>
      <c r="P24">
        <v>0</v>
      </c>
      <c r="Q24">
        <v>0</v>
      </c>
      <c r="R24">
        <v>0</v>
      </c>
      <c r="S24">
        <v>0</v>
      </c>
      <c r="T24">
        <v>0</v>
      </c>
      <c r="U24">
        <v>0</v>
      </c>
      <c r="V24">
        <v>0</v>
      </c>
      <c r="W24">
        <v>0</v>
      </c>
      <c r="X24">
        <v>0</v>
      </c>
      <c r="Y24">
        <v>0</v>
      </c>
      <c r="Z24">
        <v>0</v>
      </c>
      <c r="AA24">
        <v>0</v>
      </c>
      <c r="AB24">
        <v>0</v>
      </c>
      <c r="AC24">
        <v>1</v>
      </c>
      <c r="AD24">
        <v>0</v>
      </c>
      <c r="AE24" t="s">
        <v>161</v>
      </c>
      <c r="AF24">
        <v>0</v>
      </c>
      <c r="AG24" t="s">
        <v>186</v>
      </c>
      <c r="AH24">
        <v>46300</v>
      </c>
      <c r="AI24" t="s">
        <v>149</v>
      </c>
    </row>
    <row r="25" spans="1:35" x14ac:dyDescent="0.25">
      <c r="A25" s="1">
        <v>46300</v>
      </c>
      <c r="B25" t="s">
        <v>148</v>
      </c>
      <c r="C25" t="s">
        <v>12</v>
      </c>
      <c r="D25">
        <v>10.668662966820332</v>
      </c>
      <c r="E25">
        <v>0</v>
      </c>
      <c r="F25">
        <v>0</v>
      </c>
      <c r="G25">
        <v>11.590909090909092</v>
      </c>
      <c r="H25">
        <v>0</v>
      </c>
      <c r="I25">
        <v>0</v>
      </c>
      <c r="J25">
        <v>1.0864443957932646</v>
      </c>
      <c r="K25">
        <v>8.6444395793264572E-2</v>
      </c>
      <c r="L25">
        <v>0</v>
      </c>
      <c r="M25">
        <v>0</v>
      </c>
      <c r="N25">
        <v>0</v>
      </c>
      <c r="O25">
        <v>0</v>
      </c>
      <c r="P25">
        <v>0</v>
      </c>
      <c r="Q25">
        <v>0</v>
      </c>
      <c r="R25">
        <v>0</v>
      </c>
      <c r="S25">
        <v>0</v>
      </c>
      <c r="T25">
        <v>0</v>
      </c>
      <c r="U25">
        <v>0</v>
      </c>
      <c r="V25">
        <v>0</v>
      </c>
      <c r="W25">
        <v>0</v>
      </c>
      <c r="X25">
        <v>0</v>
      </c>
      <c r="Y25">
        <v>0</v>
      </c>
      <c r="Z25">
        <v>0</v>
      </c>
      <c r="AA25">
        <v>0</v>
      </c>
      <c r="AB25">
        <v>0</v>
      </c>
      <c r="AC25">
        <v>1</v>
      </c>
      <c r="AD25">
        <v>0</v>
      </c>
      <c r="AE25" t="s">
        <v>161</v>
      </c>
      <c r="AF25">
        <v>0</v>
      </c>
      <c r="AG25" t="s">
        <v>187</v>
      </c>
      <c r="AH25">
        <v>46300</v>
      </c>
      <c r="AI25" t="s">
        <v>149</v>
      </c>
    </row>
    <row r="26" spans="1:35" x14ac:dyDescent="0.25">
      <c r="A26" s="1">
        <v>46301</v>
      </c>
      <c r="B26" t="s">
        <v>148</v>
      </c>
      <c r="C26" t="s">
        <v>12</v>
      </c>
      <c r="D26">
        <v>10.668662966820335</v>
      </c>
      <c r="E26">
        <v>0</v>
      </c>
      <c r="F26">
        <v>0</v>
      </c>
      <c r="G26">
        <v>12.1875</v>
      </c>
      <c r="H26">
        <v>0</v>
      </c>
      <c r="I26">
        <v>0</v>
      </c>
      <c r="J26">
        <v>1.142364327929682</v>
      </c>
      <c r="K26">
        <v>0.14236432792968201</v>
      </c>
      <c r="L26">
        <v>0</v>
      </c>
      <c r="M26">
        <v>0</v>
      </c>
      <c r="N26">
        <v>0</v>
      </c>
      <c r="O26">
        <v>0</v>
      </c>
      <c r="P26">
        <v>0</v>
      </c>
      <c r="Q26">
        <v>0</v>
      </c>
      <c r="R26">
        <v>0</v>
      </c>
      <c r="S26">
        <v>0</v>
      </c>
      <c r="T26">
        <v>0</v>
      </c>
      <c r="U26">
        <v>0</v>
      </c>
      <c r="V26">
        <v>0</v>
      </c>
      <c r="W26">
        <v>0</v>
      </c>
      <c r="X26">
        <v>0</v>
      </c>
      <c r="Y26">
        <v>0</v>
      </c>
      <c r="Z26">
        <v>0</v>
      </c>
      <c r="AA26">
        <v>0</v>
      </c>
      <c r="AB26">
        <v>0</v>
      </c>
      <c r="AC26">
        <v>1</v>
      </c>
      <c r="AD26">
        <v>0</v>
      </c>
      <c r="AE26" t="s">
        <v>161</v>
      </c>
      <c r="AF26">
        <v>0</v>
      </c>
      <c r="AG26" t="s">
        <v>188</v>
      </c>
      <c r="AH26">
        <v>46301</v>
      </c>
      <c r="AI26" t="s">
        <v>149</v>
      </c>
    </row>
    <row r="27" spans="1:35" x14ac:dyDescent="0.25">
      <c r="A27" s="1">
        <v>46301</v>
      </c>
      <c r="B27" t="s">
        <v>148</v>
      </c>
      <c r="C27" t="s">
        <v>11</v>
      </c>
      <c r="D27">
        <v>4.1033319103155144</v>
      </c>
      <c r="E27">
        <v>0</v>
      </c>
      <c r="F27">
        <v>0</v>
      </c>
      <c r="G27">
        <v>4.6875</v>
      </c>
      <c r="H27">
        <v>0</v>
      </c>
      <c r="I27">
        <v>0</v>
      </c>
      <c r="J27">
        <v>1.1423643279296818</v>
      </c>
      <c r="K27">
        <v>0.14236432792968179</v>
      </c>
      <c r="L27">
        <v>0</v>
      </c>
      <c r="M27">
        <v>0</v>
      </c>
      <c r="N27">
        <v>0</v>
      </c>
      <c r="O27">
        <v>0</v>
      </c>
      <c r="P27">
        <v>0</v>
      </c>
      <c r="Q27">
        <v>0</v>
      </c>
      <c r="R27">
        <v>0</v>
      </c>
      <c r="S27">
        <v>0</v>
      </c>
      <c r="T27">
        <v>0</v>
      </c>
      <c r="U27">
        <v>0</v>
      </c>
      <c r="V27">
        <v>0</v>
      </c>
      <c r="W27">
        <v>0</v>
      </c>
      <c r="X27">
        <v>0</v>
      </c>
      <c r="Y27">
        <v>0</v>
      </c>
      <c r="Z27">
        <v>0</v>
      </c>
      <c r="AA27">
        <v>0</v>
      </c>
      <c r="AB27">
        <v>0</v>
      </c>
      <c r="AC27">
        <v>1</v>
      </c>
      <c r="AD27">
        <v>0</v>
      </c>
      <c r="AE27" t="s">
        <v>161</v>
      </c>
      <c r="AF27">
        <v>0</v>
      </c>
      <c r="AG27" t="s">
        <v>189</v>
      </c>
      <c r="AH27">
        <v>46301</v>
      </c>
      <c r="AI27" t="s">
        <v>149</v>
      </c>
    </row>
    <row r="28" spans="1:35" x14ac:dyDescent="0.25">
      <c r="A28" s="1">
        <v>46301</v>
      </c>
      <c r="B28" t="s">
        <v>148</v>
      </c>
      <c r="C28" t="s">
        <v>10</v>
      </c>
      <c r="D28">
        <v>11.407262710677127</v>
      </c>
      <c r="E28">
        <v>0</v>
      </c>
      <c r="F28">
        <v>0</v>
      </c>
      <c r="G28">
        <v>9.375</v>
      </c>
      <c r="H28">
        <v>0</v>
      </c>
      <c r="I28">
        <v>0</v>
      </c>
      <c r="J28">
        <v>0.82184484023718141</v>
      </c>
      <c r="K28">
        <v>0</v>
      </c>
      <c r="L28">
        <v>0</v>
      </c>
      <c r="M28">
        <v>0</v>
      </c>
      <c r="N28">
        <v>0</v>
      </c>
      <c r="O28">
        <v>0</v>
      </c>
      <c r="P28">
        <v>0</v>
      </c>
      <c r="Q28">
        <v>0</v>
      </c>
      <c r="R28">
        <v>0</v>
      </c>
      <c r="S28">
        <v>0</v>
      </c>
      <c r="T28">
        <v>0.82184484023718141</v>
      </c>
      <c r="U28">
        <v>0.17815515976281859</v>
      </c>
      <c r="V28">
        <v>0</v>
      </c>
      <c r="W28">
        <v>0</v>
      </c>
      <c r="X28">
        <v>0</v>
      </c>
      <c r="Y28">
        <v>0</v>
      </c>
      <c r="Z28">
        <v>0</v>
      </c>
      <c r="AA28">
        <v>0</v>
      </c>
      <c r="AB28">
        <v>0</v>
      </c>
      <c r="AC28">
        <v>0</v>
      </c>
      <c r="AD28">
        <v>0</v>
      </c>
      <c r="AE28" t="s">
        <v>161</v>
      </c>
      <c r="AF28">
        <v>0</v>
      </c>
      <c r="AG28" t="s">
        <v>190</v>
      </c>
      <c r="AH28">
        <v>46301</v>
      </c>
      <c r="AI28" t="s">
        <v>149</v>
      </c>
    </row>
    <row r="29" spans="1:35" x14ac:dyDescent="0.25">
      <c r="A29" s="1">
        <v>46302</v>
      </c>
      <c r="B29" t="s">
        <v>148</v>
      </c>
      <c r="C29" t="s">
        <v>12</v>
      </c>
      <c r="D29">
        <v>10.504529690407711</v>
      </c>
      <c r="E29">
        <v>0</v>
      </c>
      <c r="F29">
        <v>0</v>
      </c>
      <c r="G29">
        <v>12.1875</v>
      </c>
      <c r="H29">
        <v>0</v>
      </c>
      <c r="I29">
        <v>0</v>
      </c>
      <c r="J29">
        <v>1.1602137705535838</v>
      </c>
      <c r="K29">
        <v>0.16021377055358377</v>
      </c>
      <c r="L29">
        <v>0</v>
      </c>
      <c r="M29">
        <v>0</v>
      </c>
      <c r="N29">
        <v>0</v>
      </c>
      <c r="O29">
        <v>0</v>
      </c>
      <c r="P29">
        <v>0</v>
      </c>
      <c r="Q29">
        <v>0</v>
      </c>
      <c r="R29">
        <v>0</v>
      </c>
      <c r="S29">
        <v>0</v>
      </c>
      <c r="T29">
        <v>0</v>
      </c>
      <c r="U29">
        <v>0</v>
      </c>
      <c r="V29">
        <v>0</v>
      </c>
      <c r="W29">
        <v>0</v>
      </c>
      <c r="X29">
        <v>0</v>
      </c>
      <c r="Y29">
        <v>0</v>
      </c>
      <c r="Z29">
        <v>0</v>
      </c>
      <c r="AA29">
        <v>0</v>
      </c>
      <c r="AB29">
        <v>0</v>
      </c>
      <c r="AC29">
        <v>1</v>
      </c>
      <c r="AD29">
        <v>0</v>
      </c>
      <c r="AE29" t="s">
        <v>161</v>
      </c>
      <c r="AF29">
        <v>0</v>
      </c>
      <c r="AG29" t="s">
        <v>191</v>
      </c>
      <c r="AH29">
        <v>46302</v>
      </c>
      <c r="AI29" t="s">
        <v>149</v>
      </c>
    </row>
    <row r="30" spans="1:35" x14ac:dyDescent="0.25">
      <c r="A30" s="1">
        <v>46302</v>
      </c>
      <c r="B30" t="s">
        <v>148</v>
      </c>
      <c r="C30" t="s">
        <v>11</v>
      </c>
      <c r="D30">
        <v>4.1033319103155144</v>
      </c>
      <c r="E30">
        <v>0</v>
      </c>
      <c r="F30">
        <v>0</v>
      </c>
      <c r="G30">
        <v>5.625</v>
      </c>
      <c r="H30">
        <v>0</v>
      </c>
      <c r="I30">
        <v>0</v>
      </c>
      <c r="J30">
        <v>1.3708371935156183</v>
      </c>
      <c r="K30">
        <v>0.37083719351561828</v>
      </c>
      <c r="L30">
        <v>0</v>
      </c>
      <c r="M30">
        <v>0</v>
      </c>
      <c r="N30">
        <v>0</v>
      </c>
      <c r="O30">
        <v>0</v>
      </c>
      <c r="P30">
        <v>0</v>
      </c>
      <c r="Q30">
        <v>0</v>
      </c>
      <c r="R30">
        <v>0</v>
      </c>
      <c r="S30">
        <v>0</v>
      </c>
      <c r="T30">
        <v>0</v>
      </c>
      <c r="U30">
        <v>0</v>
      </c>
      <c r="V30">
        <v>0</v>
      </c>
      <c r="W30">
        <v>0</v>
      </c>
      <c r="X30">
        <v>0</v>
      </c>
      <c r="Y30">
        <v>0</v>
      </c>
      <c r="Z30">
        <v>0</v>
      </c>
      <c r="AA30">
        <v>0</v>
      </c>
      <c r="AB30">
        <v>0</v>
      </c>
      <c r="AC30">
        <v>1</v>
      </c>
      <c r="AD30">
        <v>0</v>
      </c>
      <c r="AE30" t="s">
        <v>161</v>
      </c>
      <c r="AF30">
        <v>0</v>
      </c>
      <c r="AG30" t="s">
        <v>192</v>
      </c>
      <c r="AH30">
        <v>46302</v>
      </c>
      <c r="AI30" t="s">
        <v>149</v>
      </c>
    </row>
    <row r="31" spans="1:35" x14ac:dyDescent="0.25">
      <c r="A31" s="1">
        <v>46302</v>
      </c>
      <c r="B31" t="s">
        <v>148</v>
      </c>
      <c r="C31" t="s">
        <v>10</v>
      </c>
      <c r="D31">
        <v>11.407262710677127</v>
      </c>
      <c r="E31">
        <v>0</v>
      </c>
      <c r="F31">
        <v>0</v>
      </c>
      <c r="G31">
        <v>9.375</v>
      </c>
      <c r="H31">
        <v>0</v>
      </c>
      <c r="I31">
        <v>0</v>
      </c>
      <c r="J31">
        <v>0.82184484023718141</v>
      </c>
      <c r="K31">
        <v>0</v>
      </c>
      <c r="L31">
        <v>0</v>
      </c>
      <c r="M31">
        <v>0</v>
      </c>
      <c r="N31">
        <v>0</v>
      </c>
      <c r="O31">
        <v>0</v>
      </c>
      <c r="P31">
        <v>0</v>
      </c>
      <c r="Q31">
        <v>0</v>
      </c>
      <c r="R31">
        <v>0</v>
      </c>
      <c r="S31">
        <v>0</v>
      </c>
      <c r="T31">
        <v>0.82184484023718141</v>
      </c>
      <c r="U31">
        <v>0.17815515976281859</v>
      </c>
      <c r="V31">
        <v>0</v>
      </c>
      <c r="W31">
        <v>0</v>
      </c>
      <c r="X31">
        <v>0</v>
      </c>
      <c r="Y31">
        <v>0</v>
      </c>
      <c r="Z31">
        <v>0</v>
      </c>
      <c r="AA31">
        <v>0</v>
      </c>
      <c r="AB31">
        <v>0</v>
      </c>
      <c r="AC31">
        <v>0</v>
      </c>
      <c r="AD31">
        <v>0</v>
      </c>
      <c r="AE31" t="s">
        <v>161</v>
      </c>
      <c r="AF31">
        <v>0</v>
      </c>
      <c r="AG31" t="s">
        <v>193</v>
      </c>
      <c r="AH31">
        <v>46302</v>
      </c>
      <c r="AI31" t="s">
        <v>149</v>
      </c>
    </row>
    <row r="32" spans="1:35" x14ac:dyDescent="0.25">
      <c r="A32" s="1">
        <v>46303</v>
      </c>
      <c r="B32" t="s">
        <v>148</v>
      </c>
      <c r="C32" t="s">
        <v>12</v>
      </c>
      <c r="D32">
        <v>10.668662966820335</v>
      </c>
      <c r="E32">
        <v>0</v>
      </c>
      <c r="F32">
        <v>0</v>
      </c>
      <c r="G32">
        <v>13.125</v>
      </c>
      <c r="H32">
        <v>0</v>
      </c>
      <c r="I32">
        <v>0</v>
      </c>
      <c r="J32">
        <v>1.2302385070011961</v>
      </c>
      <c r="K32">
        <v>0.23023850700119608</v>
      </c>
      <c r="L32">
        <v>0</v>
      </c>
      <c r="M32">
        <v>0</v>
      </c>
      <c r="N32">
        <v>0</v>
      </c>
      <c r="O32">
        <v>0</v>
      </c>
      <c r="P32">
        <v>0</v>
      </c>
      <c r="Q32">
        <v>0</v>
      </c>
      <c r="R32">
        <v>0</v>
      </c>
      <c r="S32">
        <v>0</v>
      </c>
      <c r="T32">
        <v>0</v>
      </c>
      <c r="U32">
        <v>0</v>
      </c>
      <c r="V32">
        <v>0</v>
      </c>
      <c r="W32">
        <v>0</v>
      </c>
      <c r="X32">
        <v>0</v>
      </c>
      <c r="Y32">
        <v>0</v>
      </c>
      <c r="Z32">
        <v>0</v>
      </c>
      <c r="AA32">
        <v>0</v>
      </c>
      <c r="AB32">
        <v>0</v>
      </c>
      <c r="AC32">
        <v>1</v>
      </c>
      <c r="AD32">
        <v>0</v>
      </c>
      <c r="AE32" t="s">
        <v>161</v>
      </c>
      <c r="AF32">
        <v>0</v>
      </c>
      <c r="AG32" t="s">
        <v>194</v>
      </c>
      <c r="AH32">
        <v>46303</v>
      </c>
      <c r="AI32" t="s">
        <v>149</v>
      </c>
    </row>
    <row r="33" spans="1:35" x14ac:dyDescent="0.25">
      <c r="A33" s="1">
        <v>46303</v>
      </c>
      <c r="B33" t="s">
        <v>148</v>
      </c>
      <c r="C33" t="s">
        <v>11</v>
      </c>
      <c r="D33">
        <v>4.1033319103155135</v>
      </c>
      <c r="E33">
        <v>0</v>
      </c>
      <c r="F33">
        <v>0</v>
      </c>
      <c r="G33">
        <v>5.46875</v>
      </c>
      <c r="H33">
        <v>0</v>
      </c>
      <c r="I33">
        <v>0</v>
      </c>
      <c r="J33">
        <v>1.332758382584629</v>
      </c>
      <c r="K33">
        <v>0.33275838258462898</v>
      </c>
      <c r="L33">
        <v>0</v>
      </c>
      <c r="M33">
        <v>0</v>
      </c>
      <c r="N33">
        <v>0</v>
      </c>
      <c r="O33">
        <v>0</v>
      </c>
      <c r="P33">
        <v>0</v>
      </c>
      <c r="Q33">
        <v>0</v>
      </c>
      <c r="R33">
        <v>0</v>
      </c>
      <c r="S33">
        <v>0</v>
      </c>
      <c r="T33">
        <v>0</v>
      </c>
      <c r="U33">
        <v>0</v>
      </c>
      <c r="V33">
        <v>0</v>
      </c>
      <c r="W33">
        <v>0</v>
      </c>
      <c r="X33">
        <v>0</v>
      </c>
      <c r="Y33">
        <v>0</v>
      </c>
      <c r="Z33">
        <v>0</v>
      </c>
      <c r="AA33">
        <v>0</v>
      </c>
      <c r="AB33">
        <v>0</v>
      </c>
      <c r="AC33">
        <v>1</v>
      </c>
      <c r="AD33">
        <v>0</v>
      </c>
      <c r="AE33" t="s">
        <v>161</v>
      </c>
      <c r="AF33">
        <v>0</v>
      </c>
      <c r="AG33" t="s">
        <v>195</v>
      </c>
      <c r="AH33">
        <v>46303</v>
      </c>
      <c r="AI33" t="s">
        <v>149</v>
      </c>
    </row>
    <row r="34" spans="1:35" x14ac:dyDescent="0.25">
      <c r="A34" s="1">
        <v>46303</v>
      </c>
      <c r="B34" t="s">
        <v>148</v>
      </c>
      <c r="C34" t="s">
        <v>10</v>
      </c>
      <c r="D34">
        <v>11.407262710677127</v>
      </c>
      <c r="E34">
        <v>0</v>
      </c>
      <c r="F34">
        <v>0</v>
      </c>
      <c r="G34">
        <v>12.1875</v>
      </c>
      <c r="H34">
        <v>0</v>
      </c>
      <c r="I34">
        <v>0</v>
      </c>
      <c r="J34">
        <v>1.0683982923083357</v>
      </c>
      <c r="K34">
        <v>6.8398292308335717E-2</v>
      </c>
      <c r="L34">
        <v>0</v>
      </c>
      <c r="M34">
        <v>0</v>
      </c>
      <c r="N34">
        <v>0</v>
      </c>
      <c r="O34">
        <v>0</v>
      </c>
      <c r="P34">
        <v>0</v>
      </c>
      <c r="Q34">
        <v>0</v>
      </c>
      <c r="R34">
        <v>0</v>
      </c>
      <c r="S34">
        <v>0</v>
      </c>
      <c r="T34">
        <v>0</v>
      </c>
      <c r="U34">
        <v>0</v>
      </c>
      <c r="V34">
        <v>0</v>
      </c>
      <c r="W34">
        <v>0</v>
      </c>
      <c r="X34">
        <v>0</v>
      </c>
      <c r="Y34">
        <v>0</v>
      </c>
      <c r="Z34">
        <v>0</v>
      </c>
      <c r="AA34">
        <v>0</v>
      </c>
      <c r="AB34">
        <v>0</v>
      </c>
      <c r="AC34">
        <v>1</v>
      </c>
      <c r="AD34">
        <v>0</v>
      </c>
      <c r="AE34" t="s">
        <v>161</v>
      </c>
      <c r="AF34">
        <v>0</v>
      </c>
      <c r="AG34" t="s">
        <v>196</v>
      </c>
      <c r="AH34">
        <v>46303</v>
      </c>
      <c r="AI34" t="s">
        <v>149</v>
      </c>
    </row>
    <row r="35" spans="1:35" x14ac:dyDescent="0.25">
      <c r="A35" s="1">
        <v>46304</v>
      </c>
      <c r="B35" t="s">
        <v>148</v>
      </c>
      <c r="C35" t="s">
        <v>12</v>
      </c>
      <c r="D35">
        <v>10.723374058957877</v>
      </c>
      <c r="E35">
        <v>0</v>
      </c>
      <c r="F35">
        <v>0</v>
      </c>
      <c r="G35">
        <v>13.128676470588236</v>
      </c>
      <c r="H35">
        <v>0</v>
      </c>
      <c r="I35">
        <v>0</v>
      </c>
      <c r="J35">
        <v>1.2243046263616129</v>
      </c>
      <c r="K35">
        <v>0.22430462636161286</v>
      </c>
      <c r="L35">
        <v>0</v>
      </c>
      <c r="M35">
        <v>0</v>
      </c>
      <c r="N35">
        <v>0</v>
      </c>
      <c r="O35">
        <v>0</v>
      </c>
      <c r="P35">
        <v>0</v>
      </c>
      <c r="Q35">
        <v>0</v>
      </c>
      <c r="R35">
        <v>0</v>
      </c>
      <c r="S35">
        <v>0</v>
      </c>
      <c r="T35">
        <v>0</v>
      </c>
      <c r="U35">
        <v>0</v>
      </c>
      <c r="V35">
        <v>0</v>
      </c>
      <c r="W35">
        <v>0</v>
      </c>
      <c r="X35">
        <v>0</v>
      </c>
      <c r="Y35">
        <v>0</v>
      </c>
      <c r="Z35">
        <v>0</v>
      </c>
      <c r="AA35">
        <v>0</v>
      </c>
      <c r="AB35">
        <v>0</v>
      </c>
      <c r="AC35">
        <v>1</v>
      </c>
      <c r="AD35">
        <v>0</v>
      </c>
      <c r="AE35" t="s">
        <v>161</v>
      </c>
      <c r="AF35">
        <v>0</v>
      </c>
      <c r="AG35" t="s">
        <v>197</v>
      </c>
      <c r="AH35">
        <v>46304</v>
      </c>
      <c r="AI35" t="s">
        <v>149</v>
      </c>
    </row>
    <row r="36" spans="1:35" x14ac:dyDescent="0.25">
      <c r="A36" s="1">
        <v>46304</v>
      </c>
      <c r="B36" t="s">
        <v>148</v>
      </c>
      <c r="C36" t="s">
        <v>10</v>
      </c>
      <c r="D36">
        <v>10.668662966820335</v>
      </c>
      <c r="E36">
        <v>0</v>
      </c>
      <c r="F36">
        <v>0</v>
      </c>
      <c r="G36">
        <v>12.246323529411764</v>
      </c>
      <c r="H36">
        <v>0</v>
      </c>
      <c r="I36">
        <v>0</v>
      </c>
      <c r="J36">
        <v>1.1478780019106398</v>
      </c>
      <c r="K36">
        <v>0.14787800191063982</v>
      </c>
      <c r="L36">
        <v>0</v>
      </c>
      <c r="M36">
        <v>0</v>
      </c>
      <c r="N36">
        <v>0</v>
      </c>
      <c r="O36">
        <v>0</v>
      </c>
      <c r="P36">
        <v>0</v>
      </c>
      <c r="Q36">
        <v>0</v>
      </c>
      <c r="R36">
        <v>0</v>
      </c>
      <c r="S36">
        <v>0</v>
      </c>
      <c r="T36">
        <v>0</v>
      </c>
      <c r="U36">
        <v>0</v>
      </c>
      <c r="V36">
        <v>0</v>
      </c>
      <c r="W36">
        <v>0</v>
      </c>
      <c r="X36">
        <v>0</v>
      </c>
      <c r="Y36">
        <v>0</v>
      </c>
      <c r="Z36">
        <v>0</v>
      </c>
      <c r="AA36">
        <v>0</v>
      </c>
      <c r="AB36">
        <v>0</v>
      </c>
      <c r="AC36">
        <v>1</v>
      </c>
      <c r="AD36">
        <v>0</v>
      </c>
      <c r="AE36" t="s">
        <v>161</v>
      </c>
      <c r="AF36">
        <v>0</v>
      </c>
      <c r="AG36" t="s">
        <v>198</v>
      </c>
      <c r="AH36">
        <v>46304</v>
      </c>
      <c r="AI36" t="s">
        <v>149</v>
      </c>
    </row>
    <row r="37" spans="1:35" x14ac:dyDescent="0.25">
      <c r="A37" s="1">
        <v>46304</v>
      </c>
      <c r="B37" t="s">
        <v>148</v>
      </c>
      <c r="C37" t="s">
        <v>11</v>
      </c>
      <c r="D37">
        <v>4.1033319103155144</v>
      </c>
      <c r="E37">
        <v>0</v>
      </c>
      <c r="F37">
        <v>0</v>
      </c>
      <c r="G37">
        <v>5.625</v>
      </c>
      <c r="H37">
        <v>0</v>
      </c>
      <c r="I37">
        <v>0</v>
      </c>
      <c r="J37">
        <v>1.3708371935156183</v>
      </c>
      <c r="K37">
        <v>0.37083719351561828</v>
      </c>
      <c r="L37">
        <v>0</v>
      </c>
      <c r="M37">
        <v>0</v>
      </c>
      <c r="N37">
        <v>0</v>
      </c>
      <c r="O37">
        <v>0</v>
      </c>
      <c r="P37">
        <v>0</v>
      </c>
      <c r="Q37">
        <v>0</v>
      </c>
      <c r="R37">
        <v>0</v>
      </c>
      <c r="S37">
        <v>0</v>
      </c>
      <c r="T37">
        <v>0</v>
      </c>
      <c r="U37">
        <v>0</v>
      </c>
      <c r="V37">
        <v>0</v>
      </c>
      <c r="W37">
        <v>0</v>
      </c>
      <c r="X37">
        <v>0</v>
      </c>
      <c r="Y37">
        <v>0</v>
      </c>
      <c r="Z37">
        <v>0</v>
      </c>
      <c r="AA37">
        <v>0</v>
      </c>
      <c r="AB37">
        <v>0</v>
      </c>
      <c r="AC37">
        <v>1</v>
      </c>
      <c r="AD37">
        <v>0</v>
      </c>
      <c r="AE37" t="s">
        <v>161</v>
      </c>
      <c r="AF37">
        <v>0</v>
      </c>
      <c r="AG37" t="s">
        <v>199</v>
      </c>
      <c r="AH37">
        <v>46304</v>
      </c>
      <c r="AI37" t="s">
        <v>149</v>
      </c>
    </row>
    <row r="38" spans="1:35" x14ac:dyDescent="0.25">
      <c r="A38" s="1">
        <v>46305</v>
      </c>
      <c r="B38" t="s">
        <v>148</v>
      </c>
      <c r="C38" t="s">
        <v>10</v>
      </c>
      <c r="D38">
        <v>10.723374058957877</v>
      </c>
      <c r="E38">
        <v>0</v>
      </c>
      <c r="F38">
        <v>0</v>
      </c>
      <c r="G38">
        <v>11.25</v>
      </c>
      <c r="H38">
        <v>0</v>
      </c>
      <c r="I38">
        <v>0</v>
      </c>
      <c r="J38">
        <v>1.0491100970782794</v>
      </c>
      <c r="K38">
        <v>4.9110097078279402E-2</v>
      </c>
      <c r="L38">
        <v>0</v>
      </c>
      <c r="M38">
        <v>0</v>
      </c>
      <c r="N38">
        <v>0</v>
      </c>
      <c r="O38">
        <v>0</v>
      </c>
      <c r="P38">
        <v>0</v>
      </c>
      <c r="Q38">
        <v>0</v>
      </c>
      <c r="R38">
        <v>0</v>
      </c>
      <c r="S38">
        <v>0</v>
      </c>
      <c r="T38">
        <v>0</v>
      </c>
      <c r="U38">
        <v>0</v>
      </c>
      <c r="V38">
        <v>0</v>
      </c>
      <c r="W38">
        <v>0</v>
      </c>
      <c r="X38">
        <v>0</v>
      </c>
      <c r="Y38">
        <v>0</v>
      </c>
      <c r="Z38">
        <v>0</v>
      </c>
      <c r="AA38">
        <v>0</v>
      </c>
      <c r="AB38">
        <v>0</v>
      </c>
      <c r="AC38">
        <v>1</v>
      </c>
      <c r="AD38">
        <v>0</v>
      </c>
      <c r="AE38" t="s">
        <v>161</v>
      </c>
      <c r="AF38">
        <v>0</v>
      </c>
      <c r="AG38" t="s">
        <v>200</v>
      </c>
      <c r="AH38">
        <v>46305</v>
      </c>
      <c r="AI38" t="s">
        <v>149</v>
      </c>
    </row>
    <row r="39" spans="1:35" x14ac:dyDescent="0.25">
      <c r="A39" s="1">
        <v>46305</v>
      </c>
      <c r="B39" t="s">
        <v>148</v>
      </c>
      <c r="C39" t="s">
        <v>11</v>
      </c>
      <c r="D39">
        <v>4.1033319103155144</v>
      </c>
      <c r="E39">
        <v>0</v>
      </c>
      <c r="F39">
        <v>0</v>
      </c>
      <c r="G39">
        <v>4.6875</v>
      </c>
      <c r="H39">
        <v>0</v>
      </c>
      <c r="I39">
        <v>0</v>
      </c>
      <c r="J39">
        <v>1.1423643279296818</v>
      </c>
      <c r="K39">
        <v>0.14236432792968179</v>
      </c>
      <c r="L39">
        <v>0</v>
      </c>
      <c r="M39">
        <v>0</v>
      </c>
      <c r="N39">
        <v>0</v>
      </c>
      <c r="O39">
        <v>0</v>
      </c>
      <c r="P39">
        <v>0</v>
      </c>
      <c r="Q39">
        <v>0</v>
      </c>
      <c r="R39">
        <v>0</v>
      </c>
      <c r="S39">
        <v>0</v>
      </c>
      <c r="T39">
        <v>0</v>
      </c>
      <c r="U39">
        <v>0</v>
      </c>
      <c r="V39">
        <v>0</v>
      </c>
      <c r="W39">
        <v>0</v>
      </c>
      <c r="X39">
        <v>0</v>
      </c>
      <c r="Y39">
        <v>0</v>
      </c>
      <c r="Z39">
        <v>0</v>
      </c>
      <c r="AA39">
        <v>0</v>
      </c>
      <c r="AB39">
        <v>0</v>
      </c>
      <c r="AC39">
        <v>1</v>
      </c>
      <c r="AD39">
        <v>0</v>
      </c>
      <c r="AE39" t="s">
        <v>161</v>
      </c>
      <c r="AF39">
        <v>0</v>
      </c>
      <c r="AG39" t="s">
        <v>201</v>
      </c>
      <c r="AH39">
        <v>46305</v>
      </c>
      <c r="AI39" t="s">
        <v>149</v>
      </c>
    </row>
    <row r="40" spans="1:35" x14ac:dyDescent="0.25">
      <c r="A40" s="1">
        <v>46305</v>
      </c>
      <c r="B40" t="s">
        <v>148</v>
      </c>
      <c r="C40" t="s">
        <v>12</v>
      </c>
      <c r="D40">
        <v>10.668662966820335</v>
      </c>
      <c r="E40">
        <v>0</v>
      </c>
      <c r="F40">
        <v>0</v>
      </c>
      <c r="G40">
        <v>12.1875</v>
      </c>
      <c r="H40">
        <v>0</v>
      </c>
      <c r="I40">
        <v>0</v>
      </c>
      <c r="J40">
        <v>1.142364327929682</v>
      </c>
      <c r="K40">
        <v>0.14236432792968201</v>
      </c>
      <c r="L40">
        <v>0</v>
      </c>
      <c r="M40">
        <v>0</v>
      </c>
      <c r="N40">
        <v>0</v>
      </c>
      <c r="O40">
        <v>0</v>
      </c>
      <c r="P40">
        <v>0</v>
      </c>
      <c r="Q40">
        <v>0</v>
      </c>
      <c r="R40">
        <v>0</v>
      </c>
      <c r="S40">
        <v>0</v>
      </c>
      <c r="T40">
        <v>0</v>
      </c>
      <c r="U40">
        <v>0</v>
      </c>
      <c r="V40">
        <v>0</v>
      </c>
      <c r="W40">
        <v>0</v>
      </c>
      <c r="X40">
        <v>0</v>
      </c>
      <c r="Y40">
        <v>0</v>
      </c>
      <c r="Z40">
        <v>0</v>
      </c>
      <c r="AA40">
        <v>0</v>
      </c>
      <c r="AB40">
        <v>0</v>
      </c>
      <c r="AC40">
        <v>1</v>
      </c>
      <c r="AD40">
        <v>0</v>
      </c>
      <c r="AE40" t="s">
        <v>161</v>
      </c>
      <c r="AF40">
        <v>0</v>
      </c>
      <c r="AG40" t="s">
        <v>202</v>
      </c>
      <c r="AH40">
        <v>46305</v>
      </c>
      <c r="AI40" t="s">
        <v>149</v>
      </c>
    </row>
    <row r="41" spans="1:35" x14ac:dyDescent="0.25">
      <c r="A41" s="1">
        <v>46306</v>
      </c>
      <c r="B41" t="s">
        <v>148</v>
      </c>
      <c r="C41" t="s">
        <v>11</v>
      </c>
      <c r="D41">
        <v>4.1033319103155144</v>
      </c>
      <c r="E41">
        <v>0</v>
      </c>
      <c r="F41">
        <v>0</v>
      </c>
      <c r="G41">
        <v>4.6875</v>
      </c>
      <c r="H41">
        <v>0</v>
      </c>
      <c r="I41">
        <v>0</v>
      </c>
      <c r="J41">
        <v>1.1423643279296818</v>
      </c>
      <c r="K41">
        <v>0.14236432792968179</v>
      </c>
      <c r="L41">
        <v>0</v>
      </c>
      <c r="M41">
        <v>0</v>
      </c>
      <c r="N41">
        <v>0</v>
      </c>
      <c r="O41">
        <v>0</v>
      </c>
      <c r="P41">
        <v>0</v>
      </c>
      <c r="Q41">
        <v>0</v>
      </c>
      <c r="R41">
        <v>0</v>
      </c>
      <c r="S41">
        <v>0</v>
      </c>
      <c r="T41">
        <v>0</v>
      </c>
      <c r="U41">
        <v>0</v>
      </c>
      <c r="V41">
        <v>0</v>
      </c>
      <c r="W41">
        <v>0</v>
      </c>
      <c r="X41">
        <v>0</v>
      </c>
      <c r="Y41">
        <v>0</v>
      </c>
      <c r="Z41">
        <v>0</v>
      </c>
      <c r="AA41">
        <v>0</v>
      </c>
      <c r="AB41">
        <v>0</v>
      </c>
      <c r="AC41">
        <v>1</v>
      </c>
      <c r="AD41">
        <v>0</v>
      </c>
      <c r="AE41" t="s">
        <v>161</v>
      </c>
      <c r="AF41">
        <v>0</v>
      </c>
      <c r="AG41" t="s">
        <v>203</v>
      </c>
      <c r="AH41">
        <v>46306</v>
      </c>
      <c r="AI41" t="s">
        <v>149</v>
      </c>
    </row>
    <row r="42" spans="1:35" x14ac:dyDescent="0.25">
      <c r="A42" s="1">
        <v>46306</v>
      </c>
      <c r="B42" t="s">
        <v>148</v>
      </c>
      <c r="C42" t="s">
        <v>10</v>
      </c>
      <c r="D42">
        <v>10.668662966820335</v>
      </c>
      <c r="E42">
        <v>0</v>
      </c>
      <c r="F42">
        <v>0</v>
      </c>
      <c r="G42">
        <v>12.1875</v>
      </c>
      <c r="H42">
        <v>0</v>
      </c>
      <c r="I42">
        <v>0</v>
      </c>
      <c r="J42">
        <v>1.142364327929682</v>
      </c>
      <c r="K42">
        <v>0.14236432792968201</v>
      </c>
      <c r="L42">
        <v>0</v>
      </c>
      <c r="M42">
        <v>0</v>
      </c>
      <c r="N42">
        <v>0</v>
      </c>
      <c r="O42">
        <v>0</v>
      </c>
      <c r="P42">
        <v>0</v>
      </c>
      <c r="Q42">
        <v>0</v>
      </c>
      <c r="R42">
        <v>0</v>
      </c>
      <c r="S42">
        <v>0</v>
      </c>
      <c r="T42">
        <v>0</v>
      </c>
      <c r="U42">
        <v>0</v>
      </c>
      <c r="V42">
        <v>0</v>
      </c>
      <c r="W42">
        <v>0</v>
      </c>
      <c r="X42">
        <v>0</v>
      </c>
      <c r="Y42">
        <v>0</v>
      </c>
      <c r="Z42">
        <v>0</v>
      </c>
      <c r="AA42">
        <v>0</v>
      </c>
      <c r="AB42">
        <v>0</v>
      </c>
      <c r="AC42">
        <v>1</v>
      </c>
      <c r="AD42">
        <v>0</v>
      </c>
      <c r="AE42" t="s">
        <v>161</v>
      </c>
      <c r="AF42">
        <v>0</v>
      </c>
      <c r="AG42" t="s">
        <v>204</v>
      </c>
      <c r="AH42">
        <v>46306</v>
      </c>
      <c r="AI42" t="s">
        <v>149</v>
      </c>
    </row>
    <row r="43" spans="1:35" x14ac:dyDescent="0.25">
      <c r="A43" s="1">
        <v>46306</v>
      </c>
      <c r="B43" t="s">
        <v>148</v>
      </c>
      <c r="C43" t="s">
        <v>12</v>
      </c>
      <c r="D43">
        <v>10.668662966820335</v>
      </c>
      <c r="E43">
        <v>0</v>
      </c>
      <c r="F43">
        <v>0</v>
      </c>
      <c r="G43">
        <v>12.1875</v>
      </c>
      <c r="H43">
        <v>0</v>
      </c>
      <c r="I43">
        <v>0</v>
      </c>
      <c r="J43">
        <v>1.142364327929682</v>
      </c>
      <c r="K43">
        <v>0.14236432792968201</v>
      </c>
      <c r="L43">
        <v>0</v>
      </c>
      <c r="M43">
        <v>0</v>
      </c>
      <c r="N43">
        <v>0</v>
      </c>
      <c r="O43">
        <v>0</v>
      </c>
      <c r="P43">
        <v>0</v>
      </c>
      <c r="Q43">
        <v>0</v>
      </c>
      <c r="R43">
        <v>0</v>
      </c>
      <c r="S43">
        <v>0</v>
      </c>
      <c r="T43">
        <v>0</v>
      </c>
      <c r="U43">
        <v>0</v>
      </c>
      <c r="V43">
        <v>0</v>
      </c>
      <c r="W43">
        <v>0</v>
      </c>
      <c r="X43">
        <v>0</v>
      </c>
      <c r="Y43">
        <v>0</v>
      </c>
      <c r="Z43">
        <v>0</v>
      </c>
      <c r="AA43">
        <v>0</v>
      </c>
      <c r="AB43">
        <v>0</v>
      </c>
      <c r="AC43">
        <v>1</v>
      </c>
      <c r="AD43">
        <v>0</v>
      </c>
      <c r="AE43" t="s">
        <v>161</v>
      </c>
      <c r="AF43">
        <v>0</v>
      </c>
      <c r="AG43" t="s">
        <v>205</v>
      </c>
      <c r="AH43">
        <v>46306</v>
      </c>
      <c r="AI43" t="s">
        <v>149</v>
      </c>
    </row>
    <row r="44" spans="1:35" x14ac:dyDescent="0.25">
      <c r="A44" s="1">
        <v>46307</v>
      </c>
      <c r="B44" t="s">
        <v>148</v>
      </c>
      <c r="C44" t="s">
        <v>11</v>
      </c>
      <c r="D44">
        <v>4.1033319103155144</v>
      </c>
      <c r="E44">
        <v>0</v>
      </c>
      <c r="F44">
        <v>0</v>
      </c>
      <c r="G44">
        <v>4.6875</v>
      </c>
      <c r="H44">
        <v>0</v>
      </c>
      <c r="I44">
        <v>0</v>
      </c>
      <c r="J44">
        <v>1.1423643279296818</v>
      </c>
      <c r="K44">
        <v>0.14236432792968179</v>
      </c>
      <c r="L44">
        <v>0</v>
      </c>
      <c r="M44">
        <v>0</v>
      </c>
      <c r="N44">
        <v>0</v>
      </c>
      <c r="O44">
        <v>0</v>
      </c>
      <c r="P44">
        <v>0</v>
      </c>
      <c r="Q44">
        <v>0</v>
      </c>
      <c r="R44">
        <v>0</v>
      </c>
      <c r="S44">
        <v>0</v>
      </c>
      <c r="T44">
        <v>0</v>
      </c>
      <c r="U44">
        <v>0</v>
      </c>
      <c r="V44">
        <v>0</v>
      </c>
      <c r="W44">
        <v>0</v>
      </c>
      <c r="X44">
        <v>0</v>
      </c>
      <c r="Y44">
        <v>0</v>
      </c>
      <c r="Z44">
        <v>0</v>
      </c>
      <c r="AA44">
        <v>0</v>
      </c>
      <c r="AB44">
        <v>0</v>
      </c>
      <c r="AC44">
        <v>1</v>
      </c>
      <c r="AD44">
        <v>0</v>
      </c>
      <c r="AE44" t="s">
        <v>161</v>
      </c>
      <c r="AF44">
        <v>0</v>
      </c>
      <c r="AG44" t="s">
        <v>206</v>
      </c>
      <c r="AH44">
        <v>46307</v>
      </c>
      <c r="AI44" t="s">
        <v>149</v>
      </c>
    </row>
    <row r="45" spans="1:35" x14ac:dyDescent="0.25">
      <c r="A45" s="1">
        <v>46307</v>
      </c>
      <c r="B45" t="s">
        <v>148</v>
      </c>
      <c r="C45" t="s">
        <v>12</v>
      </c>
      <c r="D45">
        <v>10.668662966820335</v>
      </c>
      <c r="E45">
        <v>0</v>
      </c>
      <c r="F45">
        <v>0</v>
      </c>
      <c r="G45">
        <v>12.246323529411764</v>
      </c>
      <c r="H45">
        <v>0</v>
      </c>
      <c r="I45">
        <v>0</v>
      </c>
      <c r="J45">
        <v>1.1478780019106398</v>
      </c>
      <c r="K45">
        <v>0.14787800191063982</v>
      </c>
      <c r="L45">
        <v>0</v>
      </c>
      <c r="M45">
        <v>0</v>
      </c>
      <c r="N45">
        <v>0</v>
      </c>
      <c r="O45">
        <v>0</v>
      </c>
      <c r="P45">
        <v>0</v>
      </c>
      <c r="Q45">
        <v>0</v>
      </c>
      <c r="R45">
        <v>0</v>
      </c>
      <c r="S45">
        <v>0</v>
      </c>
      <c r="T45">
        <v>0</v>
      </c>
      <c r="U45">
        <v>0</v>
      </c>
      <c r="V45">
        <v>0</v>
      </c>
      <c r="W45">
        <v>0</v>
      </c>
      <c r="X45">
        <v>0</v>
      </c>
      <c r="Y45">
        <v>0</v>
      </c>
      <c r="Z45">
        <v>0</v>
      </c>
      <c r="AA45">
        <v>0</v>
      </c>
      <c r="AB45">
        <v>0</v>
      </c>
      <c r="AC45">
        <v>1</v>
      </c>
      <c r="AD45">
        <v>0</v>
      </c>
      <c r="AE45" t="s">
        <v>161</v>
      </c>
      <c r="AF45">
        <v>0</v>
      </c>
      <c r="AG45" t="s">
        <v>207</v>
      </c>
      <c r="AH45">
        <v>46307</v>
      </c>
      <c r="AI45" t="s">
        <v>149</v>
      </c>
    </row>
    <row r="46" spans="1:35" x14ac:dyDescent="0.25">
      <c r="A46" s="1">
        <v>46307</v>
      </c>
      <c r="B46" t="s">
        <v>148</v>
      </c>
      <c r="C46" t="s">
        <v>10</v>
      </c>
      <c r="D46">
        <v>11.544040441020975</v>
      </c>
      <c r="E46">
        <v>0</v>
      </c>
      <c r="F46">
        <v>0</v>
      </c>
      <c r="G46">
        <v>10.316176470588236</v>
      </c>
      <c r="H46">
        <v>0</v>
      </c>
      <c r="I46">
        <v>0</v>
      </c>
      <c r="J46">
        <v>0.89363654981061857</v>
      </c>
      <c r="K46">
        <v>0</v>
      </c>
      <c r="L46">
        <v>0</v>
      </c>
      <c r="M46">
        <v>0</v>
      </c>
      <c r="N46">
        <v>0</v>
      </c>
      <c r="O46">
        <v>0</v>
      </c>
      <c r="P46">
        <v>0</v>
      </c>
      <c r="Q46">
        <v>0</v>
      </c>
      <c r="R46">
        <v>0</v>
      </c>
      <c r="S46">
        <v>0</v>
      </c>
      <c r="T46">
        <v>0.89363654981061857</v>
      </c>
      <c r="U46">
        <v>0.10636345018938143</v>
      </c>
      <c r="V46">
        <v>0</v>
      </c>
      <c r="W46">
        <v>0</v>
      </c>
      <c r="X46">
        <v>0</v>
      </c>
      <c r="Y46">
        <v>0</v>
      </c>
      <c r="Z46">
        <v>0</v>
      </c>
      <c r="AA46">
        <v>0</v>
      </c>
      <c r="AB46">
        <v>0</v>
      </c>
      <c r="AC46">
        <v>0</v>
      </c>
      <c r="AD46">
        <v>0</v>
      </c>
      <c r="AE46" t="s">
        <v>161</v>
      </c>
      <c r="AF46">
        <v>0</v>
      </c>
      <c r="AG46" t="s">
        <v>208</v>
      </c>
      <c r="AH46">
        <v>46307</v>
      </c>
      <c r="AI46" t="s">
        <v>149</v>
      </c>
    </row>
    <row r="47" spans="1:35" x14ac:dyDescent="0.25">
      <c r="A47" s="1">
        <v>46308</v>
      </c>
      <c r="B47" t="s">
        <v>148</v>
      </c>
      <c r="C47" t="s">
        <v>12</v>
      </c>
      <c r="D47">
        <v>10.668662966820335</v>
      </c>
      <c r="E47">
        <v>0</v>
      </c>
      <c r="F47">
        <v>0</v>
      </c>
      <c r="G47">
        <v>12.1875</v>
      </c>
      <c r="H47">
        <v>0</v>
      </c>
      <c r="I47">
        <v>0</v>
      </c>
      <c r="J47">
        <v>1.142364327929682</v>
      </c>
      <c r="K47">
        <v>0.14236432792968201</v>
      </c>
      <c r="L47">
        <v>0</v>
      </c>
      <c r="M47">
        <v>0</v>
      </c>
      <c r="N47">
        <v>0</v>
      </c>
      <c r="O47">
        <v>0</v>
      </c>
      <c r="P47">
        <v>0</v>
      </c>
      <c r="Q47">
        <v>0</v>
      </c>
      <c r="R47">
        <v>0</v>
      </c>
      <c r="S47">
        <v>0</v>
      </c>
      <c r="T47">
        <v>0</v>
      </c>
      <c r="U47">
        <v>0</v>
      </c>
      <c r="V47">
        <v>0</v>
      </c>
      <c r="W47">
        <v>0</v>
      </c>
      <c r="X47">
        <v>0</v>
      </c>
      <c r="Y47">
        <v>0</v>
      </c>
      <c r="Z47">
        <v>0</v>
      </c>
      <c r="AA47">
        <v>0</v>
      </c>
      <c r="AB47">
        <v>0</v>
      </c>
      <c r="AC47">
        <v>1</v>
      </c>
      <c r="AD47">
        <v>0</v>
      </c>
      <c r="AE47" t="s">
        <v>161</v>
      </c>
      <c r="AF47">
        <v>0</v>
      </c>
      <c r="AG47" t="s">
        <v>209</v>
      </c>
      <c r="AH47">
        <v>46308</v>
      </c>
      <c r="AI47" t="s">
        <v>149</v>
      </c>
    </row>
    <row r="48" spans="1:35" x14ac:dyDescent="0.25">
      <c r="A48" s="1">
        <v>46308</v>
      </c>
      <c r="B48" t="s">
        <v>148</v>
      </c>
      <c r="C48" t="s">
        <v>10</v>
      </c>
      <c r="D48">
        <v>12.665617829840553</v>
      </c>
      <c r="E48">
        <v>0</v>
      </c>
      <c r="F48">
        <v>0</v>
      </c>
      <c r="G48">
        <v>13.531249999999998</v>
      </c>
      <c r="H48">
        <v>0</v>
      </c>
      <c r="I48">
        <v>0</v>
      </c>
      <c r="J48">
        <v>1.068345041022791</v>
      </c>
      <c r="K48">
        <v>6.8345041022791042E-2</v>
      </c>
      <c r="L48">
        <v>0</v>
      </c>
      <c r="M48">
        <v>0</v>
      </c>
      <c r="N48">
        <v>0</v>
      </c>
      <c r="O48">
        <v>0</v>
      </c>
      <c r="P48">
        <v>0</v>
      </c>
      <c r="Q48">
        <v>0</v>
      </c>
      <c r="R48">
        <v>0</v>
      </c>
      <c r="S48">
        <v>0</v>
      </c>
      <c r="T48">
        <v>0</v>
      </c>
      <c r="U48">
        <v>0</v>
      </c>
      <c r="V48">
        <v>0</v>
      </c>
      <c r="W48">
        <v>0</v>
      </c>
      <c r="X48">
        <v>0</v>
      </c>
      <c r="Y48">
        <v>0</v>
      </c>
      <c r="Z48">
        <v>0</v>
      </c>
      <c r="AA48">
        <v>0</v>
      </c>
      <c r="AB48">
        <v>0</v>
      </c>
      <c r="AC48">
        <v>1</v>
      </c>
      <c r="AD48">
        <v>0</v>
      </c>
      <c r="AE48" t="s">
        <v>161</v>
      </c>
      <c r="AF48">
        <v>0</v>
      </c>
      <c r="AG48" t="s">
        <v>210</v>
      </c>
      <c r="AH48">
        <v>46308</v>
      </c>
      <c r="AI48" t="s">
        <v>149</v>
      </c>
    </row>
    <row r="49" spans="1:35" x14ac:dyDescent="0.25">
      <c r="A49" s="1">
        <v>46308</v>
      </c>
      <c r="B49" t="s">
        <v>148</v>
      </c>
      <c r="C49" t="s">
        <v>11</v>
      </c>
      <c r="D49">
        <v>4.1033319103155144</v>
      </c>
      <c r="E49">
        <v>0</v>
      </c>
      <c r="F49">
        <v>0</v>
      </c>
      <c r="G49">
        <v>4.6875</v>
      </c>
      <c r="H49">
        <v>0</v>
      </c>
      <c r="I49">
        <v>0</v>
      </c>
      <c r="J49">
        <v>1.1423643279296818</v>
      </c>
      <c r="K49">
        <v>0.14236432792968179</v>
      </c>
      <c r="L49">
        <v>0</v>
      </c>
      <c r="M49">
        <v>0</v>
      </c>
      <c r="N49">
        <v>0</v>
      </c>
      <c r="O49">
        <v>0</v>
      </c>
      <c r="P49">
        <v>0</v>
      </c>
      <c r="Q49">
        <v>0</v>
      </c>
      <c r="R49">
        <v>0</v>
      </c>
      <c r="S49">
        <v>0</v>
      </c>
      <c r="T49">
        <v>0</v>
      </c>
      <c r="U49">
        <v>0</v>
      </c>
      <c r="V49">
        <v>0</v>
      </c>
      <c r="W49">
        <v>0</v>
      </c>
      <c r="X49">
        <v>0</v>
      </c>
      <c r="Y49">
        <v>0</v>
      </c>
      <c r="Z49">
        <v>0</v>
      </c>
      <c r="AA49">
        <v>0</v>
      </c>
      <c r="AB49">
        <v>0</v>
      </c>
      <c r="AC49">
        <v>1</v>
      </c>
      <c r="AD49">
        <v>0</v>
      </c>
      <c r="AE49" t="s">
        <v>161</v>
      </c>
      <c r="AF49">
        <v>0</v>
      </c>
      <c r="AG49" t="s">
        <v>211</v>
      </c>
      <c r="AH49">
        <v>46308</v>
      </c>
      <c r="AI49" t="s">
        <v>149</v>
      </c>
    </row>
    <row r="50" spans="1:35" x14ac:dyDescent="0.25">
      <c r="A50" s="1">
        <v>46309</v>
      </c>
      <c r="B50" t="s">
        <v>148</v>
      </c>
      <c r="C50" t="s">
        <v>11</v>
      </c>
      <c r="D50">
        <v>4.1033319103155144</v>
      </c>
      <c r="E50">
        <v>0</v>
      </c>
      <c r="F50">
        <v>0</v>
      </c>
      <c r="G50">
        <v>4.6875</v>
      </c>
      <c r="H50">
        <v>0</v>
      </c>
      <c r="I50">
        <v>0</v>
      </c>
      <c r="J50">
        <v>1.1423643279296818</v>
      </c>
      <c r="K50">
        <v>0.14236432792968179</v>
      </c>
      <c r="L50">
        <v>0</v>
      </c>
      <c r="M50">
        <v>0</v>
      </c>
      <c r="N50">
        <v>0</v>
      </c>
      <c r="O50">
        <v>0</v>
      </c>
      <c r="P50">
        <v>0</v>
      </c>
      <c r="Q50">
        <v>0</v>
      </c>
      <c r="R50">
        <v>0</v>
      </c>
      <c r="S50">
        <v>0</v>
      </c>
      <c r="T50">
        <v>0</v>
      </c>
      <c r="U50">
        <v>0</v>
      </c>
      <c r="V50">
        <v>0</v>
      </c>
      <c r="W50">
        <v>0</v>
      </c>
      <c r="X50">
        <v>0</v>
      </c>
      <c r="Y50">
        <v>0</v>
      </c>
      <c r="Z50">
        <v>0</v>
      </c>
      <c r="AA50">
        <v>0</v>
      </c>
      <c r="AB50">
        <v>0</v>
      </c>
      <c r="AC50">
        <v>1</v>
      </c>
      <c r="AD50">
        <v>0</v>
      </c>
      <c r="AE50" t="s">
        <v>161</v>
      </c>
      <c r="AF50">
        <v>0</v>
      </c>
      <c r="AG50" t="s">
        <v>212</v>
      </c>
      <c r="AH50">
        <v>46309</v>
      </c>
      <c r="AI50" t="s">
        <v>149</v>
      </c>
    </row>
    <row r="51" spans="1:35" x14ac:dyDescent="0.25">
      <c r="A51" s="1">
        <v>46309</v>
      </c>
      <c r="B51" t="s">
        <v>148</v>
      </c>
      <c r="C51" t="s">
        <v>12</v>
      </c>
      <c r="D51">
        <v>10.504529690407711</v>
      </c>
      <c r="E51">
        <v>0</v>
      </c>
      <c r="F51">
        <v>0</v>
      </c>
      <c r="G51">
        <v>11.691176470588236</v>
      </c>
      <c r="H51">
        <v>0</v>
      </c>
      <c r="I51">
        <v>0</v>
      </c>
      <c r="J51">
        <v>1.1129652459609038</v>
      </c>
      <c r="K51">
        <v>0.11296524596090385</v>
      </c>
      <c r="L51">
        <v>0</v>
      </c>
      <c r="M51">
        <v>0</v>
      </c>
      <c r="N51">
        <v>0</v>
      </c>
      <c r="O51">
        <v>0</v>
      </c>
      <c r="P51">
        <v>0</v>
      </c>
      <c r="Q51">
        <v>0</v>
      </c>
      <c r="R51">
        <v>0</v>
      </c>
      <c r="S51">
        <v>0</v>
      </c>
      <c r="T51">
        <v>0</v>
      </c>
      <c r="U51">
        <v>0</v>
      </c>
      <c r="V51">
        <v>0</v>
      </c>
      <c r="W51">
        <v>0</v>
      </c>
      <c r="X51">
        <v>0</v>
      </c>
      <c r="Y51">
        <v>0</v>
      </c>
      <c r="Z51">
        <v>0</v>
      </c>
      <c r="AA51">
        <v>0</v>
      </c>
      <c r="AB51">
        <v>0</v>
      </c>
      <c r="AC51">
        <v>1</v>
      </c>
      <c r="AD51">
        <v>0</v>
      </c>
      <c r="AE51" t="s">
        <v>161</v>
      </c>
      <c r="AF51">
        <v>0</v>
      </c>
      <c r="AG51" t="s">
        <v>213</v>
      </c>
      <c r="AH51">
        <v>46309</v>
      </c>
      <c r="AI51" t="s">
        <v>149</v>
      </c>
    </row>
    <row r="52" spans="1:35" x14ac:dyDescent="0.25">
      <c r="A52" s="1">
        <v>46309</v>
      </c>
      <c r="B52" t="s">
        <v>148</v>
      </c>
      <c r="C52" t="s">
        <v>10</v>
      </c>
      <c r="D52">
        <v>12.227929092740233</v>
      </c>
      <c r="E52">
        <v>0</v>
      </c>
      <c r="F52">
        <v>0</v>
      </c>
      <c r="G52">
        <v>13.090073529411764</v>
      </c>
      <c r="H52">
        <v>0</v>
      </c>
      <c r="I52">
        <v>0</v>
      </c>
      <c r="J52">
        <v>1.0705061691258408</v>
      </c>
      <c r="K52">
        <v>7.0506169125840845E-2</v>
      </c>
      <c r="L52">
        <v>0</v>
      </c>
      <c r="M52">
        <v>0</v>
      </c>
      <c r="N52">
        <v>0</v>
      </c>
      <c r="O52">
        <v>0</v>
      </c>
      <c r="P52">
        <v>0</v>
      </c>
      <c r="Q52">
        <v>0</v>
      </c>
      <c r="R52">
        <v>0</v>
      </c>
      <c r="S52">
        <v>0</v>
      </c>
      <c r="T52">
        <v>0</v>
      </c>
      <c r="U52">
        <v>0</v>
      </c>
      <c r="V52">
        <v>0</v>
      </c>
      <c r="W52">
        <v>0</v>
      </c>
      <c r="X52">
        <v>0</v>
      </c>
      <c r="Y52">
        <v>0</v>
      </c>
      <c r="Z52">
        <v>0</v>
      </c>
      <c r="AA52">
        <v>0</v>
      </c>
      <c r="AB52">
        <v>0</v>
      </c>
      <c r="AC52">
        <v>1</v>
      </c>
      <c r="AD52">
        <v>0</v>
      </c>
      <c r="AE52" t="s">
        <v>161</v>
      </c>
      <c r="AF52">
        <v>0</v>
      </c>
      <c r="AG52" t="s">
        <v>214</v>
      </c>
      <c r="AH52">
        <v>46309</v>
      </c>
      <c r="AI52" t="s">
        <v>149</v>
      </c>
    </row>
    <row r="53" spans="1:35" x14ac:dyDescent="0.25">
      <c r="A53" s="1">
        <v>46310</v>
      </c>
      <c r="B53" t="s">
        <v>148</v>
      </c>
      <c r="C53" t="s">
        <v>12</v>
      </c>
      <c r="D53">
        <v>10.668662966820335</v>
      </c>
      <c r="E53">
        <v>0</v>
      </c>
      <c r="F53">
        <v>0</v>
      </c>
      <c r="G53">
        <v>12.1875</v>
      </c>
      <c r="H53">
        <v>0</v>
      </c>
      <c r="I53">
        <v>0</v>
      </c>
      <c r="J53">
        <v>1.142364327929682</v>
      </c>
      <c r="K53">
        <v>0.14236432792968201</v>
      </c>
      <c r="L53">
        <v>0</v>
      </c>
      <c r="M53">
        <v>0</v>
      </c>
      <c r="N53">
        <v>0</v>
      </c>
      <c r="O53">
        <v>0</v>
      </c>
      <c r="P53">
        <v>0</v>
      </c>
      <c r="Q53">
        <v>0</v>
      </c>
      <c r="R53">
        <v>0</v>
      </c>
      <c r="S53">
        <v>0</v>
      </c>
      <c r="T53">
        <v>0</v>
      </c>
      <c r="U53">
        <v>0</v>
      </c>
      <c r="V53">
        <v>0</v>
      </c>
      <c r="W53">
        <v>0</v>
      </c>
      <c r="X53">
        <v>0</v>
      </c>
      <c r="Y53">
        <v>0</v>
      </c>
      <c r="Z53">
        <v>0</v>
      </c>
      <c r="AA53">
        <v>0</v>
      </c>
      <c r="AB53">
        <v>0</v>
      </c>
      <c r="AC53">
        <v>1</v>
      </c>
      <c r="AD53">
        <v>0</v>
      </c>
      <c r="AE53" t="s">
        <v>161</v>
      </c>
      <c r="AF53">
        <v>0</v>
      </c>
      <c r="AG53" t="s">
        <v>215</v>
      </c>
      <c r="AH53">
        <v>46310</v>
      </c>
      <c r="AI53" t="s">
        <v>149</v>
      </c>
    </row>
    <row r="54" spans="1:35" x14ac:dyDescent="0.25">
      <c r="A54" s="1">
        <v>46310</v>
      </c>
      <c r="B54" t="s">
        <v>148</v>
      </c>
      <c r="C54" t="s">
        <v>11</v>
      </c>
      <c r="D54">
        <v>4.1033319103155144</v>
      </c>
      <c r="E54">
        <v>0</v>
      </c>
      <c r="F54">
        <v>0</v>
      </c>
      <c r="G54">
        <v>4.6875</v>
      </c>
      <c r="H54">
        <v>0</v>
      </c>
      <c r="I54">
        <v>0</v>
      </c>
      <c r="J54">
        <v>1.1423643279296818</v>
      </c>
      <c r="K54">
        <v>0.14236432792968179</v>
      </c>
      <c r="L54">
        <v>0</v>
      </c>
      <c r="M54">
        <v>0</v>
      </c>
      <c r="N54">
        <v>0</v>
      </c>
      <c r="O54">
        <v>0</v>
      </c>
      <c r="P54">
        <v>0</v>
      </c>
      <c r="Q54">
        <v>0</v>
      </c>
      <c r="R54">
        <v>0</v>
      </c>
      <c r="S54">
        <v>0</v>
      </c>
      <c r="T54">
        <v>0</v>
      </c>
      <c r="U54">
        <v>0</v>
      </c>
      <c r="V54">
        <v>0</v>
      </c>
      <c r="W54">
        <v>0</v>
      </c>
      <c r="X54">
        <v>0</v>
      </c>
      <c r="Y54">
        <v>0</v>
      </c>
      <c r="Z54">
        <v>0</v>
      </c>
      <c r="AA54">
        <v>0</v>
      </c>
      <c r="AB54">
        <v>0</v>
      </c>
      <c r="AC54">
        <v>1</v>
      </c>
      <c r="AD54">
        <v>0</v>
      </c>
      <c r="AE54" t="s">
        <v>161</v>
      </c>
      <c r="AF54">
        <v>0</v>
      </c>
      <c r="AG54" t="s">
        <v>216</v>
      </c>
      <c r="AH54">
        <v>46310</v>
      </c>
      <c r="AI54" t="s">
        <v>149</v>
      </c>
    </row>
    <row r="55" spans="1:35" x14ac:dyDescent="0.25">
      <c r="A55" s="1">
        <v>46310</v>
      </c>
      <c r="B55" t="s">
        <v>148</v>
      </c>
      <c r="C55" t="s">
        <v>10</v>
      </c>
      <c r="D55">
        <v>11.407262710677127</v>
      </c>
      <c r="E55">
        <v>0</v>
      </c>
      <c r="F55">
        <v>0</v>
      </c>
      <c r="G55">
        <v>12.09375</v>
      </c>
      <c r="H55">
        <v>0</v>
      </c>
      <c r="I55">
        <v>0</v>
      </c>
      <c r="J55">
        <v>1.060179843905964</v>
      </c>
      <c r="K55">
        <v>6.0179843905963981E-2</v>
      </c>
      <c r="L55">
        <v>0</v>
      </c>
      <c r="M55">
        <v>0</v>
      </c>
      <c r="N55">
        <v>0</v>
      </c>
      <c r="O55">
        <v>0</v>
      </c>
      <c r="P55">
        <v>0</v>
      </c>
      <c r="Q55">
        <v>0</v>
      </c>
      <c r="R55">
        <v>0</v>
      </c>
      <c r="S55">
        <v>0</v>
      </c>
      <c r="T55">
        <v>0</v>
      </c>
      <c r="U55">
        <v>0</v>
      </c>
      <c r="V55">
        <v>0</v>
      </c>
      <c r="W55">
        <v>0</v>
      </c>
      <c r="X55">
        <v>0</v>
      </c>
      <c r="Y55">
        <v>0</v>
      </c>
      <c r="Z55">
        <v>0</v>
      </c>
      <c r="AA55">
        <v>0</v>
      </c>
      <c r="AB55">
        <v>0</v>
      </c>
      <c r="AC55">
        <v>1</v>
      </c>
      <c r="AD55">
        <v>0</v>
      </c>
      <c r="AE55" t="s">
        <v>161</v>
      </c>
      <c r="AF55">
        <v>0</v>
      </c>
      <c r="AG55" t="s">
        <v>217</v>
      </c>
      <c r="AH55">
        <v>46310</v>
      </c>
      <c r="AI55" t="s">
        <v>149</v>
      </c>
    </row>
    <row r="56" spans="1:35" x14ac:dyDescent="0.25">
      <c r="A56" s="1">
        <v>46311</v>
      </c>
      <c r="B56" t="s">
        <v>148</v>
      </c>
      <c r="C56" t="s">
        <v>11</v>
      </c>
      <c r="D56">
        <v>4.1033319103155144</v>
      </c>
      <c r="E56">
        <v>0</v>
      </c>
      <c r="F56">
        <v>0</v>
      </c>
      <c r="G56">
        <v>4.6875</v>
      </c>
      <c r="H56">
        <v>0</v>
      </c>
      <c r="I56">
        <v>0</v>
      </c>
      <c r="J56">
        <v>1.1423643279296818</v>
      </c>
      <c r="K56">
        <v>0.14236432792968179</v>
      </c>
      <c r="L56">
        <v>0</v>
      </c>
      <c r="M56">
        <v>0</v>
      </c>
      <c r="N56">
        <v>0</v>
      </c>
      <c r="O56">
        <v>0</v>
      </c>
      <c r="P56">
        <v>0</v>
      </c>
      <c r="Q56">
        <v>0</v>
      </c>
      <c r="R56">
        <v>0</v>
      </c>
      <c r="S56">
        <v>0</v>
      </c>
      <c r="T56">
        <v>0</v>
      </c>
      <c r="U56">
        <v>0</v>
      </c>
      <c r="V56">
        <v>0</v>
      </c>
      <c r="W56">
        <v>0</v>
      </c>
      <c r="X56">
        <v>0</v>
      </c>
      <c r="Y56">
        <v>0</v>
      </c>
      <c r="Z56">
        <v>0</v>
      </c>
      <c r="AA56">
        <v>0</v>
      </c>
      <c r="AB56">
        <v>0</v>
      </c>
      <c r="AC56">
        <v>1</v>
      </c>
      <c r="AD56">
        <v>0</v>
      </c>
      <c r="AE56" t="s">
        <v>161</v>
      </c>
      <c r="AF56">
        <v>0</v>
      </c>
      <c r="AG56" t="s">
        <v>218</v>
      </c>
      <c r="AH56">
        <v>46311</v>
      </c>
      <c r="AI56" t="s">
        <v>149</v>
      </c>
    </row>
    <row r="57" spans="1:35" x14ac:dyDescent="0.25">
      <c r="A57" s="1">
        <v>46311</v>
      </c>
      <c r="B57" t="s">
        <v>148</v>
      </c>
      <c r="C57" t="s">
        <v>12</v>
      </c>
      <c r="D57">
        <v>10.723374058957877</v>
      </c>
      <c r="E57">
        <v>0</v>
      </c>
      <c r="F57">
        <v>0</v>
      </c>
      <c r="G57">
        <v>11.253676470588236</v>
      </c>
      <c r="H57">
        <v>0</v>
      </c>
      <c r="I57">
        <v>0</v>
      </c>
      <c r="J57">
        <v>1.0494529435152331</v>
      </c>
      <c r="K57">
        <v>4.9452943515233105E-2</v>
      </c>
      <c r="L57">
        <v>0</v>
      </c>
      <c r="M57">
        <v>0</v>
      </c>
      <c r="N57">
        <v>0</v>
      </c>
      <c r="O57">
        <v>0</v>
      </c>
      <c r="P57">
        <v>0</v>
      </c>
      <c r="Q57">
        <v>0</v>
      </c>
      <c r="R57">
        <v>0</v>
      </c>
      <c r="S57">
        <v>0</v>
      </c>
      <c r="T57">
        <v>0</v>
      </c>
      <c r="U57">
        <v>0</v>
      </c>
      <c r="V57">
        <v>0</v>
      </c>
      <c r="W57">
        <v>0</v>
      </c>
      <c r="X57">
        <v>0</v>
      </c>
      <c r="Y57">
        <v>0</v>
      </c>
      <c r="Z57">
        <v>0</v>
      </c>
      <c r="AA57">
        <v>0</v>
      </c>
      <c r="AB57">
        <v>0</v>
      </c>
      <c r="AC57">
        <v>1</v>
      </c>
      <c r="AD57">
        <v>0</v>
      </c>
      <c r="AE57" t="s">
        <v>161</v>
      </c>
      <c r="AF57">
        <v>0</v>
      </c>
      <c r="AG57" t="s">
        <v>219</v>
      </c>
      <c r="AH57">
        <v>46311</v>
      </c>
      <c r="AI57" t="s">
        <v>149</v>
      </c>
    </row>
    <row r="58" spans="1:35" x14ac:dyDescent="0.25">
      <c r="A58" s="1">
        <v>46311</v>
      </c>
      <c r="B58" t="s">
        <v>148</v>
      </c>
      <c r="C58" t="s">
        <v>10</v>
      </c>
      <c r="D58">
        <v>10.668662966820335</v>
      </c>
      <c r="E58">
        <v>0</v>
      </c>
      <c r="F58">
        <v>0</v>
      </c>
      <c r="G58">
        <v>11.308823529411764</v>
      </c>
      <c r="H58">
        <v>0</v>
      </c>
      <c r="I58">
        <v>0</v>
      </c>
      <c r="J58">
        <v>1.0600038228391258</v>
      </c>
      <c r="K58">
        <v>6.0003822839125753E-2</v>
      </c>
      <c r="L58">
        <v>0</v>
      </c>
      <c r="M58">
        <v>0</v>
      </c>
      <c r="N58">
        <v>0</v>
      </c>
      <c r="O58">
        <v>0</v>
      </c>
      <c r="P58">
        <v>0</v>
      </c>
      <c r="Q58">
        <v>0</v>
      </c>
      <c r="R58">
        <v>0</v>
      </c>
      <c r="S58">
        <v>0</v>
      </c>
      <c r="T58">
        <v>0</v>
      </c>
      <c r="U58">
        <v>0</v>
      </c>
      <c r="V58">
        <v>0</v>
      </c>
      <c r="W58">
        <v>0</v>
      </c>
      <c r="X58">
        <v>0</v>
      </c>
      <c r="Y58">
        <v>0</v>
      </c>
      <c r="Z58">
        <v>0</v>
      </c>
      <c r="AA58">
        <v>0</v>
      </c>
      <c r="AB58">
        <v>0</v>
      </c>
      <c r="AC58">
        <v>1</v>
      </c>
      <c r="AD58">
        <v>0</v>
      </c>
      <c r="AE58" t="s">
        <v>161</v>
      </c>
      <c r="AF58">
        <v>0</v>
      </c>
      <c r="AG58" t="s">
        <v>220</v>
      </c>
      <c r="AH58">
        <v>46311</v>
      </c>
      <c r="AI58" t="s">
        <v>149</v>
      </c>
    </row>
    <row r="59" spans="1:35" x14ac:dyDescent="0.25">
      <c r="A59" s="1">
        <v>46312</v>
      </c>
      <c r="B59" t="s">
        <v>148</v>
      </c>
      <c r="C59" t="s">
        <v>12</v>
      </c>
      <c r="D59">
        <v>10.668662966820335</v>
      </c>
      <c r="E59">
        <v>0</v>
      </c>
      <c r="F59">
        <v>0</v>
      </c>
      <c r="G59">
        <v>12.246323529411764</v>
      </c>
      <c r="H59">
        <v>0</v>
      </c>
      <c r="I59">
        <v>0</v>
      </c>
      <c r="J59">
        <v>1.1478780019106398</v>
      </c>
      <c r="K59">
        <v>0.14787800191063982</v>
      </c>
      <c r="L59">
        <v>0</v>
      </c>
      <c r="M59">
        <v>0</v>
      </c>
      <c r="N59">
        <v>0</v>
      </c>
      <c r="O59">
        <v>0</v>
      </c>
      <c r="P59">
        <v>0</v>
      </c>
      <c r="Q59">
        <v>0</v>
      </c>
      <c r="R59">
        <v>0</v>
      </c>
      <c r="S59">
        <v>0</v>
      </c>
      <c r="T59">
        <v>0</v>
      </c>
      <c r="U59">
        <v>0</v>
      </c>
      <c r="V59">
        <v>0</v>
      </c>
      <c r="W59">
        <v>0</v>
      </c>
      <c r="X59">
        <v>0</v>
      </c>
      <c r="Y59">
        <v>0</v>
      </c>
      <c r="Z59">
        <v>0</v>
      </c>
      <c r="AA59">
        <v>0</v>
      </c>
      <c r="AB59">
        <v>0</v>
      </c>
      <c r="AC59">
        <v>1</v>
      </c>
      <c r="AD59">
        <v>0</v>
      </c>
      <c r="AE59" t="s">
        <v>161</v>
      </c>
      <c r="AF59">
        <v>0</v>
      </c>
      <c r="AG59" t="s">
        <v>221</v>
      </c>
      <c r="AH59">
        <v>46312</v>
      </c>
      <c r="AI59" t="s">
        <v>149</v>
      </c>
    </row>
    <row r="60" spans="1:35" x14ac:dyDescent="0.25">
      <c r="A60" s="1">
        <v>46312</v>
      </c>
      <c r="B60" t="s">
        <v>148</v>
      </c>
      <c r="C60" t="s">
        <v>10</v>
      </c>
      <c r="D60">
        <v>10.723374058957878</v>
      </c>
      <c r="E60">
        <v>0</v>
      </c>
      <c r="F60">
        <v>0</v>
      </c>
      <c r="G60">
        <v>11.941176470588234</v>
      </c>
      <c r="H60">
        <v>0</v>
      </c>
      <c r="I60">
        <v>0</v>
      </c>
      <c r="J60">
        <v>1.1135652272255721</v>
      </c>
      <c r="K60">
        <v>0.11356522722557205</v>
      </c>
      <c r="L60">
        <v>0</v>
      </c>
      <c r="M60">
        <v>0</v>
      </c>
      <c r="N60">
        <v>0</v>
      </c>
      <c r="O60">
        <v>0</v>
      </c>
      <c r="P60">
        <v>0</v>
      </c>
      <c r="Q60">
        <v>0</v>
      </c>
      <c r="R60">
        <v>0</v>
      </c>
      <c r="S60">
        <v>0</v>
      </c>
      <c r="T60">
        <v>0</v>
      </c>
      <c r="U60">
        <v>0</v>
      </c>
      <c r="V60">
        <v>0</v>
      </c>
      <c r="W60">
        <v>0</v>
      </c>
      <c r="X60">
        <v>0</v>
      </c>
      <c r="Y60">
        <v>0</v>
      </c>
      <c r="Z60">
        <v>0</v>
      </c>
      <c r="AA60">
        <v>0</v>
      </c>
      <c r="AB60">
        <v>0</v>
      </c>
      <c r="AC60">
        <v>1</v>
      </c>
      <c r="AD60">
        <v>0</v>
      </c>
      <c r="AE60" t="s">
        <v>161</v>
      </c>
      <c r="AF60">
        <v>0</v>
      </c>
      <c r="AG60" t="s">
        <v>222</v>
      </c>
      <c r="AH60">
        <v>46312</v>
      </c>
      <c r="AI60" t="s">
        <v>149</v>
      </c>
    </row>
    <row r="61" spans="1:35" x14ac:dyDescent="0.25">
      <c r="A61" s="1">
        <v>46312</v>
      </c>
      <c r="B61" t="s">
        <v>148</v>
      </c>
      <c r="C61" t="s">
        <v>11</v>
      </c>
      <c r="D61">
        <v>4.1033319103155144</v>
      </c>
      <c r="E61">
        <v>0</v>
      </c>
      <c r="F61">
        <v>0</v>
      </c>
      <c r="G61">
        <v>4.6875</v>
      </c>
      <c r="H61">
        <v>0</v>
      </c>
      <c r="I61">
        <v>0</v>
      </c>
      <c r="J61">
        <v>1.1423643279296818</v>
      </c>
      <c r="K61">
        <v>0.14236432792968179</v>
      </c>
      <c r="L61">
        <v>0</v>
      </c>
      <c r="M61">
        <v>0</v>
      </c>
      <c r="N61">
        <v>0</v>
      </c>
      <c r="O61">
        <v>0</v>
      </c>
      <c r="P61">
        <v>0</v>
      </c>
      <c r="Q61">
        <v>0</v>
      </c>
      <c r="R61">
        <v>0</v>
      </c>
      <c r="S61">
        <v>0</v>
      </c>
      <c r="T61">
        <v>0</v>
      </c>
      <c r="U61">
        <v>0</v>
      </c>
      <c r="V61">
        <v>0</v>
      </c>
      <c r="W61">
        <v>0</v>
      </c>
      <c r="X61">
        <v>0</v>
      </c>
      <c r="Y61">
        <v>0</v>
      </c>
      <c r="Z61">
        <v>0</v>
      </c>
      <c r="AA61">
        <v>0</v>
      </c>
      <c r="AB61">
        <v>0</v>
      </c>
      <c r="AC61">
        <v>1</v>
      </c>
      <c r="AD61">
        <v>0</v>
      </c>
      <c r="AE61" t="s">
        <v>161</v>
      </c>
      <c r="AF61">
        <v>0</v>
      </c>
      <c r="AG61" t="s">
        <v>223</v>
      </c>
      <c r="AH61">
        <v>46312</v>
      </c>
      <c r="AI61" t="s">
        <v>149</v>
      </c>
    </row>
    <row r="62" spans="1:35" x14ac:dyDescent="0.25">
      <c r="A62" s="1">
        <v>46313</v>
      </c>
      <c r="B62" t="s">
        <v>148</v>
      </c>
      <c r="C62" t="s">
        <v>10</v>
      </c>
      <c r="D62">
        <v>10.668662966820335</v>
      </c>
      <c r="E62">
        <v>0</v>
      </c>
      <c r="F62">
        <v>0</v>
      </c>
      <c r="G62">
        <v>12.1875</v>
      </c>
      <c r="H62">
        <v>0</v>
      </c>
      <c r="I62">
        <v>0</v>
      </c>
      <c r="J62">
        <v>1.142364327929682</v>
      </c>
      <c r="K62">
        <v>0.14236432792968201</v>
      </c>
      <c r="L62">
        <v>0</v>
      </c>
      <c r="M62">
        <v>0</v>
      </c>
      <c r="N62">
        <v>0</v>
      </c>
      <c r="O62">
        <v>0</v>
      </c>
      <c r="P62">
        <v>0</v>
      </c>
      <c r="Q62">
        <v>0</v>
      </c>
      <c r="R62">
        <v>0</v>
      </c>
      <c r="S62">
        <v>0</v>
      </c>
      <c r="T62">
        <v>0</v>
      </c>
      <c r="U62">
        <v>0</v>
      </c>
      <c r="V62">
        <v>0</v>
      </c>
      <c r="W62">
        <v>0</v>
      </c>
      <c r="X62">
        <v>0</v>
      </c>
      <c r="Y62">
        <v>0</v>
      </c>
      <c r="Z62">
        <v>0</v>
      </c>
      <c r="AA62">
        <v>0</v>
      </c>
      <c r="AB62">
        <v>0</v>
      </c>
      <c r="AC62">
        <v>1</v>
      </c>
      <c r="AD62">
        <v>0</v>
      </c>
      <c r="AE62" t="s">
        <v>161</v>
      </c>
      <c r="AF62">
        <v>0</v>
      </c>
      <c r="AG62" t="s">
        <v>224</v>
      </c>
      <c r="AH62">
        <v>46313</v>
      </c>
      <c r="AI62" t="s">
        <v>149</v>
      </c>
    </row>
    <row r="63" spans="1:35" x14ac:dyDescent="0.25">
      <c r="A63" s="1">
        <v>46313</v>
      </c>
      <c r="B63" t="s">
        <v>148</v>
      </c>
      <c r="C63" t="s">
        <v>11</v>
      </c>
      <c r="D63">
        <v>4.1033319103155144</v>
      </c>
      <c r="E63">
        <v>0</v>
      </c>
      <c r="F63">
        <v>0</v>
      </c>
      <c r="G63">
        <v>4.6875</v>
      </c>
      <c r="H63">
        <v>0</v>
      </c>
      <c r="I63">
        <v>0</v>
      </c>
      <c r="J63">
        <v>1.1423643279296818</v>
      </c>
      <c r="K63">
        <v>0.14236432792968179</v>
      </c>
      <c r="L63">
        <v>0</v>
      </c>
      <c r="M63">
        <v>0</v>
      </c>
      <c r="N63">
        <v>0</v>
      </c>
      <c r="O63">
        <v>0</v>
      </c>
      <c r="P63">
        <v>0</v>
      </c>
      <c r="Q63">
        <v>0</v>
      </c>
      <c r="R63">
        <v>0</v>
      </c>
      <c r="S63">
        <v>0</v>
      </c>
      <c r="T63">
        <v>0</v>
      </c>
      <c r="U63">
        <v>0</v>
      </c>
      <c r="V63">
        <v>0</v>
      </c>
      <c r="W63">
        <v>0</v>
      </c>
      <c r="X63">
        <v>0</v>
      </c>
      <c r="Y63">
        <v>0</v>
      </c>
      <c r="Z63">
        <v>0</v>
      </c>
      <c r="AA63">
        <v>0</v>
      </c>
      <c r="AB63">
        <v>0</v>
      </c>
      <c r="AC63">
        <v>1</v>
      </c>
      <c r="AD63">
        <v>0</v>
      </c>
      <c r="AE63" t="s">
        <v>161</v>
      </c>
      <c r="AF63">
        <v>0</v>
      </c>
      <c r="AG63" t="s">
        <v>225</v>
      </c>
      <c r="AH63">
        <v>46313</v>
      </c>
      <c r="AI63" t="s">
        <v>149</v>
      </c>
    </row>
    <row r="64" spans="1:35" x14ac:dyDescent="0.25">
      <c r="A64" s="1">
        <v>46313</v>
      </c>
      <c r="B64" t="s">
        <v>148</v>
      </c>
      <c r="C64" t="s">
        <v>12</v>
      </c>
      <c r="D64">
        <v>11.489329348883439</v>
      </c>
      <c r="E64">
        <v>0</v>
      </c>
      <c r="F64">
        <v>0</v>
      </c>
      <c r="G64">
        <v>13.125</v>
      </c>
      <c r="H64">
        <v>0</v>
      </c>
      <c r="I64">
        <v>0</v>
      </c>
      <c r="J64">
        <v>1.142364327929682</v>
      </c>
      <c r="K64">
        <v>0.14236432792968201</v>
      </c>
      <c r="L64">
        <v>0</v>
      </c>
      <c r="M64">
        <v>0</v>
      </c>
      <c r="N64">
        <v>0</v>
      </c>
      <c r="O64">
        <v>0</v>
      </c>
      <c r="P64">
        <v>0</v>
      </c>
      <c r="Q64">
        <v>0</v>
      </c>
      <c r="R64">
        <v>0</v>
      </c>
      <c r="S64">
        <v>0</v>
      </c>
      <c r="T64">
        <v>0</v>
      </c>
      <c r="U64">
        <v>0</v>
      </c>
      <c r="V64">
        <v>0</v>
      </c>
      <c r="W64">
        <v>0</v>
      </c>
      <c r="X64">
        <v>0</v>
      </c>
      <c r="Y64">
        <v>0</v>
      </c>
      <c r="Z64">
        <v>0</v>
      </c>
      <c r="AA64">
        <v>0</v>
      </c>
      <c r="AB64">
        <v>0</v>
      </c>
      <c r="AC64">
        <v>1</v>
      </c>
      <c r="AD64">
        <v>0</v>
      </c>
      <c r="AE64" t="s">
        <v>161</v>
      </c>
      <c r="AF64">
        <v>0</v>
      </c>
      <c r="AG64" t="s">
        <v>226</v>
      </c>
      <c r="AH64">
        <v>46313</v>
      </c>
      <c r="AI64" t="s">
        <v>149</v>
      </c>
    </row>
    <row r="65" spans="1:35" x14ac:dyDescent="0.25">
      <c r="A65" s="1">
        <v>46314</v>
      </c>
      <c r="B65" t="s">
        <v>148</v>
      </c>
      <c r="C65" t="s">
        <v>12</v>
      </c>
      <c r="D65">
        <v>10.668662966820335</v>
      </c>
      <c r="E65">
        <v>0</v>
      </c>
      <c r="F65">
        <v>0</v>
      </c>
      <c r="G65">
        <v>12.246323529411764</v>
      </c>
      <c r="H65">
        <v>0</v>
      </c>
      <c r="I65">
        <v>0</v>
      </c>
      <c r="J65">
        <v>1.1478780019106398</v>
      </c>
      <c r="K65">
        <v>0.14787800191063982</v>
      </c>
      <c r="L65">
        <v>0</v>
      </c>
      <c r="M65">
        <v>0</v>
      </c>
      <c r="N65">
        <v>0</v>
      </c>
      <c r="O65">
        <v>0</v>
      </c>
      <c r="P65">
        <v>0</v>
      </c>
      <c r="Q65">
        <v>0</v>
      </c>
      <c r="R65">
        <v>0</v>
      </c>
      <c r="S65">
        <v>0</v>
      </c>
      <c r="T65">
        <v>0</v>
      </c>
      <c r="U65">
        <v>0</v>
      </c>
      <c r="V65">
        <v>0</v>
      </c>
      <c r="W65">
        <v>0</v>
      </c>
      <c r="X65">
        <v>0</v>
      </c>
      <c r="Y65">
        <v>0</v>
      </c>
      <c r="Z65">
        <v>0</v>
      </c>
      <c r="AA65">
        <v>0</v>
      </c>
      <c r="AB65">
        <v>0</v>
      </c>
      <c r="AC65">
        <v>1</v>
      </c>
      <c r="AD65">
        <v>0</v>
      </c>
      <c r="AE65" t="s">
        <v>161</v>
      </c>
      <c r="AF65">
        <v>0</v>
      </c>
      <c r="AG65" t="s">
        <v>227</v>
      </c>
      <c r="AH65">
        <v>46314</v>
      </c>
      <c r="AI65" t="s">
        <v>149</v>
      </c>
    </row>
    <row r="66" spans="1:35" x14ac:dyDescent="0.25">
      <c r="A66" s="1">
        <v>46314</v>
      </c>
      <c r="B66" t="s">
        <v>148</v>
      </c>
      <c r="C66" t="s">
        <v>11</v>
      </c>
      <c r="D66">
        <v>4.1033319103155144</v>
      </c>
      <c r="E66">
        <v>0</v>
      </c>
      <c r="F66">
        <v>0</v>
      </c>
      <c r="G66">
        <v>4.6875</v>
      </c>
      <c r="H66">
        <v>0</v>
      </c>
      <c r="I66">
        <v>0</v>
      </c>
      <c r="J66">
        <v>1.1423643279296818</v>
      </c>
      <c r="K66">
        <v>0.14236432792968179</v>
      </c>
      <c r="L66">
        <v>0</v>
      </c>
      <c r="M66">
        <v>0</v>
      </c>
      <c r="N66">
        <v>0</v>
      </c>
      <c r="O66">
        <v>0</v>
      </c>
      <c r="P66">
        <v>0</v>
      </c>
      <c r="Q66">
        <v>0</v>
      </c>
      <c r="R66">
        <v>0</v>
      </c>
      <c r="S66">
        <v>0</v>
      </c>
      <c r="T66">
        <v>0</v>
      </c>
      <c r="U66">
        <v>0</v>
      </c>
      <c r="V66">
        <v>0</v>
      </c>
      <c r="W66">
        <v>0</v>
      </c>
      <c r="X66">
        <v>0</v>
      </c>
      <c r="Y66">
        <v>0</v>
      </c>
      <c r="Z66">
        <v>0</v>
      </c>
      <c r="AA66">
        <v>0</v>
      </c>
      <c r="AB66">
        <v>0</v>
      </c>
      <c r="AC66">
        <v>1</v>
      </c>
      <c r="AD66">
        <v>0</v>
      </c>
      <c r="AE66" t="s">
        <v>161</v>
      </c>
      <c r="AF66">
        <v>0</v>
      </c>
      <c r="AG66" t="s">
        <v>228</v>
      </c>
      <c r="AH66">
        <v>46314</v>
      </c>
      <c r="AI66" t="s">
        <v>149</v>
      </c>
    </row>
    <row r="67" spans="1:35" x14ac:dyDescent="0.25">
      <c r="A67" s="1">
        <v>46314</v>
      </c>
      <c r="B67" t="s">
        <v>148</v>
      </c>
      <c r="C67" t="s">
        <v>10</v>
      </c>
      <c r="D67">
        <v>11.544040441020975</v>
      </c>
      <c r="E67">
        <v>0</v>
      </c>
      <c r="F67">
        <v>0</v>
      </c>
      <c r="G67">
        <v>12.191176470588236</v>
      </c>
      <c r="H67">
        <v>0</v>
      </c>
      <c r="I67">
        <v>0</v>
      </c>
      <c r="J67">
        <v>1.0560580182366397</v>
      </c>
      <c r="K67">
        <v>5.6058018236639695E-2</v>
      </c>
      <c r="L67">
        <v>0</v>
      </c>
      <c r="M67">
        <v>0</v>
      </c>
      <c r="N67">
        <v>0</v>
      </c>
      <c r="O67">
        <v>0</v>
      </c>
      <c r="P67">
        <v>0</v>
      </c>
      <c r="Q67">
        <v>0</v>
      </c>
      <c r="R67">
        <v>0</v>
      </c>
      <c r="S67">
        <v>0</v>
      </c>
      <c r="T67">
        <v>0</v>
      </c>
      <c r="U67">
        <v>0</v>
      </c>
      <c r="V67">
        <v>0</v>
      </c>
      <c r="W67">
        <v>0</v>
      </c>
      <c r="X67">
        <v>0</v>
      </c>
      <c r="Y67">
        <v>0</v>
      </c>
      <c r="Z67">
        <v>0</v>
      </c>
      <c r="AA67">
        <v>0</v>
      </c>
      <c r="AB67">
        <v>0</v>
      </c>
      <c r="AC67">
        <v>1</v>
      </c>
      <c r="AD67">
        <v>0</v>
      </c>
      <c r="AE67" t="s">
        <v>161</v>
      </c>
      <c r="AF67">
        <v>0</v>
      </c>
      <c r="AG67" t="s">
        <v>229</v>
      </c>
      <c r="AH67">
        <v>46314</v>
      </c>
      <c r="AI67" t="s">
        <v>149</v>
      </c>
    </row>
    <row r="68" spans="1:35" x14ac:dyDescent="0.25">
      <c r="A68" s="1">
        <v>46315</v>
      </c>
      <c r="B68" t="s">
        <v>148</v>
      </c>
      <c r="C68" t="s">
        <v>10</v>
      </c>
      <c r="D68">
        <v>11.407262710677127</v>
      </c>
      <c r="E68">
        <v>0</v>
      </c>
      <c r="F68">
        <v>0</v>
      </c>
      <c r="G68">
        <v>12.09375</v>
      </c>
      <c r="H68">
        <v>0</v>
      </c>
      <c r="I68">
        <v>0</v>
      </c>
      <c r="J68">
        <v>1.060179843905964</v>
      </c>
      <c r="K68">
        <v>6.0179843905963981E-2</v>
      </c>
      <c r="L68">
        <v>0</v>
      </c>
      <c r="M68">
        <v>0</v>
      </c>
      <c r="N68">
        <v>0</v>
      </c>
      <c r="O68">
        <v>0</v>
      </c>
      <c r="P68">
        <v>0</v>
      </c>
      <c r="Q68">
        <v>0</v>
      </c>
      <c r="R68">
        <v>0</v>
      </c>
      <c r="S68">
        <v>0</v>
      </c>
      <c r="T68">
        <v>0</v>
      </c>
      <c r="U68">
        <v>0</v>
      </c>
      <c r="V68">
        <v>0</v>
      </c>
      <c r="W68">
        <v>0</v>
      </c>
      <c r="X68">
        <v>0</v>
      </c>
      <c r="Y68">
        <v>0</v>
      </c>
      <c r="Z68">
        <v>0</v>
      </c>
      <c r="AA68">
        <v>0</v>
      </c>
      <c r="AB68">
        <v>0</v>
      </c>
      <c r="AC68">
        <v>1</v>
      </c>
      <c r="AD68">
        <v>0</v>
      </c>
      <c r="AE68" t="s">
        <v>161</v>
      </c>
      <c r="AF68">
        <v>0</v>
      </c>
      <c r="AG68" t="s">
        <v>230</v>
      </c>
      <c r="AH68">
        <v>46315</v>
      </c>
      <c r="AI68" t="s">
        <v>149</v>
      </c>
    </row>
    <row r="69" spans="1:35" x14ac:dyDescent="0.25">
      <c r="A69" s="1">
        <v>46315</v>
      </c>
      <c r="B69" t="s">
        <v>148</v>
      </c>
      <c r="C69" t="s">
        <v>11</v>
      </c>
      <c r="D69">
        <v>4.1033319103155144</v>
      </c>
      <c r="E69">
        <v>0</v>
      </c>
      <c r="F69">
        <v>0</v>
      </c>
      <c r="G69">
        <v>4.6875</v>
      </c>
      <c r="H69">
        <v>0</v>
      </c>
      <c r="I69">
        <v>0</v>
      </c>
      <c r="J69">
        <v>1.1423643279296818</v>
      </c>
      <c r="K69">
        <v>0.14236432792968179</v>
      </c>
      <c r="L69">
        <v>0</v>
      </c>
      <c r="M69">
        <v>0</v>
      </c>
      <c r="N69">
        <v>0</v>
      </c>
      <c r="O69">
        <v>0</v>
      </c>
      <c r="P69">
        <v>0</v>
      </c>
      <c r="Q69">
        <v>0</v>
      </c>
      <c r="R69">
        <v>0</v>
      </c>
      <c r="S69">
        <v>0</v>
      </c>
      <c r="T69">
        <v>0</v>
      </c>
      <c r="U69">
        <v>0</v>
      </c>
      <c r="V69">
        <v>0</v>
      </c>
      <c r="W69">
        <v>0</v>
      </c>
      <c r="X69">
        <v>0</v>
      </c>
      <c r="Y69">
        <v>0</v>
      </c>
      <c r="Z69">
        <v>0</v>
      </c>
      <c r="AA69">
        <v>0</v>
      </c>
      <c r="AB69">
        <v>0</v>
      </c>
      <c r="AC69">
        <v>1</v>
      </c>
      <c r="AD69">
        <v>0</v>
      </c>
      <c r="AE69" t="s">
        <v>161</v>
      </c>
      <c r="AF69">
        <v>0</v>
      </c>
      <c r="AG69" t="s">
        <v>231</v>
      </c>
      <c r="AH69">
        <v>46315</v>
      </c>
      <c r="AI69" t="s">
        <v>149</v>
      </c>
    </row>
    <row r="70" spans="1:35" x14ac:dyDescent="0.25">
      <c r="A70" s="1">
        <v>46315</v>
      </c>
      <c r="B70" t="s">
        <v>148</v>
      </c>
      <c r="C70" t="s">
        <v>12</v>
      </c>
      <c r="D70">
        <v>10.668662966820335</v>
      </c>
      <c r="E70">
        <v>0</v>
      </c>
      <c r="F70">
        <v>0</v>
      </c>
      <c r="G70">
        <v>12.1875</v>
      </c>
      <c r="H70">
        <v>0</v>
      </c>
      <c r="I70">
        <v>0</v>
      </c>
      <c r="J70">
        <v>1.142364327929682</v>
      </c>
      <c r="K70">
        <v>0.14236432792968201</v>
      </c>
      <c r="L70">
        <v>0</v>
      </c>
      <c r="M70">
        <v>0</v>
      </c>
      <c r="N70">
        <v>0</v>
      </c>
      <c r="O70">
        <v>0</v>
      </c>
      <c r="P70">
        <v>0</v>
      </c>
      <c r="Q70">
        <v>0</v>
      </c>
      <c r="R70">
        <v>0</v>
      </c>
      <c r="S70">
        <v>0</v>
      </c>
      <c r="T70">
        <v>0</v>
      </c>
      <c r="U70">
        <v>0</v>
      </c>
      <c r="V70">
        <v>0</v>
      </c>
      <c r="W70">
        <v>0</v>
      </c>
      <c r="X70">
        <v>0</v>
      </c>
      <c r="Y70">
        <v>0</v>
      </c>
      <c r="Z70">
        <v>0</v>
      </c>
      <c r="AA70">
        <v>0</v>
      </c>
      <c r="AB70">
        <v>0</v>
      </c>
      <c r="AC70">
        <v>1</v>
      </c>
      <c r="AD70">
        <v>0</v>
      </c>
      <c r="AE70" t="s">
        <v>161</v>
      </c>
      <c r="AF70">
        <v>0</v>
      </c>
      <c r="AG70" t="s">
        <v>232</v>
      </c>
      <c r="AH70">
        <v>46315</v>
      </c>
      <c r="AI70" t="s">
        <v>149</v>
      </c>
    </row>
    <row r="71" spans="1:35" x14ac:dyDescent="0.25">
      <c r="A71" s="1">
        <v>46316</v>
      </c>
      <c r="B71" t="s">
        <v>148</v>
      </c>
      <c r="C71" t="s">
        <v>12</v>
      </c>
      <c r="D71">
        <v>10.504529690407711</v>
      </c>
      <c r="E71">
        <v>0</v>
      </c>
      <c r="F71">
        <v>0</v>
      </c>
      <c r="G71">
        <v>11.9375</v>
      </c>
      <c r="H71">
        <v>0</v>
      </c>
      <c r="I71">
        <v>0</v>
      </c>
      <c r="J71">
        <v>1.1364145137217154</v>
      </c>
      <c r="K71">
        <v>0.13641451372171542</v>
      </c>
      <c r="L71">
        <v>0</v>
      </c>
      <c r="M71">
        <v>0</v>
      </c>
      <c r="N71">
        <v>0</v>
      </c>
      <c r="O71">
        <v>0</v>
      </c>
      <c r="P71">
        <v>0</v>
      </c>
      <c r="Q71">
        <v>0</v>
      </c>
      <c r="R71">
        <v>0</v>
      </c>
      <c r="S71">
        <v>0</v>
      </c>
      <c r="T71">
        <v>0</v>
      </c>
      <c r="U71">
        <v>0</v>
      </c>
      <c r="V71">
        <v>0</v>
      </c>
      <c r="W71">
        <v>0</v>
      </c>
      <c r="X71">
        <v>0</v>
      </c>
      <c r="Y71">
        <v>0</v>
      </c>
      <c r="Z71">
        <v>0</v>
      </c>
      <c r="AA71">
        <v>0</v>
      </c>
      <c r="AB71">
        <v>0</v>
      </c>
      <c r="AC71">
        <v>1</v>
      </c>
      <c r="AD71">
        <v>0</v>
      </c>
      <c r="AE71" t="s">
        <v>161</v>
      </c>
      <c r="AF71">
        <v>0</v>
      </c>
      <c r="AG71" t="s">
        <v>233</v>
      </c>
      <c r="AH71">
        <v>46316</v>
      </c>
      <c r="AI71" t="s">
        <v>149</v>
      </c>
    </row>
    <row r="72" spans="1:35" x14ac:dyDescent="0.25">
      <c r="A72" s="1">
        <v>46316</v>
      </c>
      <c r="B72" t="s">
        <v>148</v>
      </c>
      <c r="C72" t="s">
        <v>11</v>
      </c>
      <c r="D72">
        <v>4.1033319103155144</v>
      </c>
      <c r="E72">
        <v>0</v>
      </c>
      <c r="F72">
        <v>0</v>
      </c>
      <c r="G72">
        <v>4.6875</v>
      </c>
      <c r="H72">
        <v>0</v>
      </c>
      <c r="I72">
        <v>0</v>
      </c>
      <c r="J72">
        <v>1.1423643279296818</v>
      </c>
      <c r="K72">
        <v>0.14236432792968179</v>
      </c>
      <c r="L72">
        <v>0</v>
      </c>
      <c r="M72">
        <v>0</v>
      </c>
      <c r="N72">
        <v>0</v>
      </c>
      <c r="O72">
        <v>0</v>
      </c>
      <c r="P72">
        <v>0</v>
      </c>
      <c r="Q72">
        <v>0</v>
      </c>
      <c r="R72">
        <v>0</v>
      </c>
      <c r="S72">
        <v>0</v>
      </c>
      <c r="T72">
        <v>0</v>
      </c>
      <c r="U72">
        <v>0</v>
      </c>
      <c r="V72">
        <v>0</v>
      </c>
      <c r="W72">
        <v>0</v>
      </c>
      <c r="X72">
        <v>0</v>
      </c>
      <c r="Y72">
        <v>0</v>
      </c>
      <c r="Z72">
        <v>0</v>
      </c>
      <c r="AA72">
        <v>0</v>
      </c>
      <c r="AB72">
        <v>0</v>
      </c>
      <c r="AC72">
        <v>1</v>
      </c>
      <c r="AD72">
        <v>0</v>
      </c>
      <c r="AE72" t="s">
        <v>161</v>
      </c>
      <c r="AF72">
        <v>0</v>
      </c>
      <c r="AG72" t="s">
        <v>234</v>
      </c>
      <c r="AH72">
        <v>46316</v>
      </c>
      <c r="AI72" t="s">
        <v>149</v>
      </c>
    </row>
    <row r="73" spans="1:35" x14ac:dyDescent="0.25">
      <c r="A73" s="1">
        <v>46316</v>
      </c>
      <c r="B73" t="s">
        <v>148</v>
      </c>
      <c r="C73" t="s">
        <v>10</v>
      </c>
      <c r="D73">
        <v>11.407262710677127</v>
      </c>
      <c r="E73">
        <v>0</v>
      </c>
      <c r="F73">
        <v>0</v>
      </c>
      <c r="G73">
        <v>12.09375</v>
      </c>
      <c r="H73">
        <v>0</v>
      </c>
      <c r="I73">
        <v>0</v>
      </c>
      <c r="J73">
        <v>1.060179843905964</v>
      </c>
      <c r="K73">
        <v>6.0179843905963981E-2</v>
      </c>
      <c r="L73">
        <v>0</v>
      </c>
      <c r="M73">
        <v>0</v>
      </c>
      <c r="N73">
        <v>0</v>
      </c>
      <c r="O73">
        <v>0</v>
      </c>
      <c r="P73">
        <v>0</v>
      </c>
      <c r="Q73">
        <v>0</v>
      </c>
      <c r="R73">
        <v>0</v>
      </c>
      <c r="S73">
        <v>0</v>
      </c>
      <c r="T73">
        <v>0</v>
      </c>
      <c r="U73">
        <v>0</v>
      </c>
      <c r="V73">
        <v>0</v>
      </c>
      <c r="W73">
        <v>0</v>
      </c>
      <c r="X73">
        <v>0</v>
      </c>
      <c r="Y73">
        <v>0</v>
      </c>
      <c r="Z73">
        <v>0</v>
      </c>
      <c r="AA73">
        <v>0</v>
      </c>
      <c r="AB73">
        <v>0</v>
      </c>
      <c r="AC73">
        <v>1</v>
      </c>
      <c r="AD73">
        <v>0</v>
      </c>
      <c r="AE73" t="s">
        <v>161</v>
      </c>
      <c r="AF73">
        <v>0</v>
      </c>
      <c r="AG73" t="s">
        <v>235</v>
      </c>
      <c r="AH73">
        <v>46316</v>
      </c>
      <c r="AI73" t="s">
        <v>149</v>
      </c>
    </row>
    <row r="74" spans="1:35" x14ac:dyDescent="0.25">
      <c r="A74" s="1">
        <v>46317</v>
      </c>
      <c r="B74" t="s">
        <v>148</v>
      </c>
      <c r="C74" t="s">
        <v>10</v>
      </c>
      <c r="D74">
        <v>11.407262710677127</v>
      </c>
      <c r="E74">
        <v>0</v>
      </c>
      <c r="F74">
        <v>0</v>
      </c>
      <c r="G74">
        <v>13.03125</v>
      </c>
      <c r="H74">
        <v>0</v>
      </c>
      <c r="I74">
        <v>0</v>
      </c>
      <c r="J74">
        <v>1.142364327929682</v>
      </c>
      <c r="K74">
        <v>0.14236432792968201</v>
      </c>
      <c r="L74">
        <v>0</v>
      </c>
      <c r="M74">
        <v>0</v>
      </c>
      <c r="N74">
        <v>0</v>
      </c>
      <c r="O74">
        <v>0</v>
      </c>
      <c r="P74">
        <v>0</v>
      </c>
      <c r="Q74">
        <v>0</v>
      </c>
      <c r="R74">
        <v>0</v>
      </c>
      <c r="S74">
        <v>0</v>
      </c>
      <c r="T74">
        <v>0</v>
      </c>
      <c r="U74">
        <v>0</v>
      </c>
      <c r="V74">
        <v>0</v>
      </c>
      <c r="W74">
        <v>0</v>
      </c>
      <c r="X74">
        <v>0</v>
      </c>
      <c r="Y74">
        <v>0</v>
      </c>
      <c r="Z74">
        <v>0</v>
      </c>
      <c r="AA74">
        <v>0</v>
      </c>
      <c r="AB74">
        <v>0</v>
      </c>
      <c r="AC74">
        <v>1</v>
      </c>
      <c r="AD74">
        <v>0</v>
      </c>
      <c r="AE74" t="s">
        <v>161</v>
      </c>
      <c r="AF74">
        <v>0</v>
      </c>
      <c r="AG74" t="s">
        <v>236</v>
      </c>
      <c r="AH74">
        <v>46317</v>
      </c>
      <c r="AI74" t="s">
        <v>149</v>
      </c>
    </row>
    <row r="75" spans="1:35" x14ac:dyDescent="0.25">
      <c r="A75" s="1">
        <v>46317</v>
      </c>
      <c r="B75" t="s">
        <v>148</v>
      </c>
      <c r="C75" t="s">
        <v>11</v>
      </c>
      <c r="D75">
        <v>4.1033319103155144</v>
      </c>
      <c r="E75">
        <v>0</v>
      </c>
      <c r="F75">
        <v>0</v>
      </c>
      <c r="G75">
        <v>4.6875</v>
      </c>
      <c r="H75">
        <v>0</v>
      </c>
      <c r="I75">
        <v>0</v>
      </c>
      <c r="J75">
        <v>1.1423643279296818</v>
      </c>
      <c r="K75">
        <v>0.14236432792968179</v>
      </c>
      <c r="L75">
        <v>0</v>
      </c>
      <c r="M75">
        <v>0</v>
      </c>
      <c r="N75">
        <v>0</v>
      </c>
      <c r="O75">
        <v>0</v>
      </c>
      <c r="P75">
        <v>0</v>
      </c>
      <c r="Q75">
        <v>0</v>
      </c>
      <c r="R75">
        <v>0</v>
      </c>
      <c r="S75">
        <v>0</v>
      </c>
      <c r="T75">
        <v>0</v>
      </c>
      <c r="U75">
        <v>0</v>
      </c>
      <c r="V75">
        <v>0</v>
      </c>
      <c r="W75">
        <v>0</v>
      </c>
      <c r="X75">
        <v>0</v>
      </c>
      <c r="Y75">
        <v>0</v>
      </c>
      <c r="Z75">
        <v>0</v>
      </c>
      <c r="AA75">
        <v>0</v>
      </c>
      <c r="AB75">
        <v>0</v>
      </c>
      <c r="AC75">
        <v>1</v>
      </c>
      <c r="AD75">
        <v>0</v>
      </c>
      <c r="AE75" t="s">
        <v>161</v>
      </c>
      <c r="AF75">
        <v>0</v>
      </c>
      <c r="AG75" t="s">
        <v>237</v>
      </c>
      <c r="AH75">
        <v>46317</v>
      </c>
      <c r="AI75" t="s">
        <v>149</v>
      </c>
    </row>
    <row r="76" spans="1:35" x14ac:dyDescent="0.25">
      <c r="A76" s="1">
        <v>46317</v>
      </c>
      <c r="B76" t="s">
        <v>148</v>
      </c>
      <c r="C76" t="s">
        <v>12</v>
      </c>
      <c r="D76">
        <v>10.668662966820335</v>
      </c>
      <c r="E76">
        <v>0</v>
      </c>
      <c r="F76">
        <v>0</v>
      </c>
      <c r="G76">
        <v>12.1875</v>
      </c>
      <c r="H76">
        <v>0</v>
      </c>
      <c r="I76">
        <v>0</v>
      </c>
      <c r="J76">
        <v>1.142364327929682</v>
      </c>
      <c r="K76">
        <v>0.14236432792968201</v>
      </c>
      <c r="L76">
        <v>0</v>
      </c>
      <c r="M76">
        <v>0</v>
      </c>
      <c r="N76">
        <v>0</v>
      </c>
      <c r="O76">
        <v>0</v>
      </c>
      <c r="P76">
        <v>0</v>
      </c>
      <c r="Q76">
        <v>0</v>
      </c>
      <c r="R76">
        <v>0</v>
      </c>
      <c r="S76">
        <v>0</v>
      </c>
      <c r="T76">
        <v>0</v>
      </c>
      <c r="U76">
        <v>0</v>
      </c>
      <c r="V76">
        <v>0</v>
      </c>
      <c r="W76">
        <v>0</v>
      </c>
      <c r="X76">
        <v>0</v>
      </c>
      <c r="Y76">
        <v>0</v>
      </c>
      <c r="Z76">
        <v>0</v>
      </c>
      <c r="AA76">
        <v>0</v>
      </c>
      <c r="AB76">
        <v>0</v>
      </c>
      <c r="AC76">
        <v>1</v>
      </c>
      <c r="AD76">
        <v>0</v>
      </c>
      <c r="AE76" t="s">
        <v>161</v>
      </c>
      <c r="AF76">
        <v>0</v>
      </c>
      <c r="AG76" t="s">
        <v>238</v>
      </c>
      <c r="AH76">
        <v>46317</v>
      </c>
      <c r="AI76" t="s">
        <v>149</v>
      </c>
    </row>
    <row r="77" spans="1:35" x14ac:dyDescent="0.25">
      <c r="A77" s="1">
        <v>46318</v>
      </c>
      <c r="B77" t="s">
        <v>148</v>
      </c>
      <c r="C77" t="s">
        <v>10</v>
      </c>
      <c r="D77">
        <v>10.668662966820335</v>
      </c>
      <c r="E77">
        <v>0</v>
      </c>
      <c r="F77">
        <v>0</v>
      </c>
      <c r="G77">
        <v>10.3125</v>
      </c>
      <c r="H77">
        <v>0</v>
      </c>
      <c r="I77">
        <v>0</v>
      </c>
      <c r="J77">
        <v>0.96661596978665409</v>
      </c>
      <c r="K77">
        <v>0</v>
      </c>
      <c r="L77">
        <v>0</v>
      </c>
      <c r="M77">
        <v>0</v>
      </c>
      <c r="N77">
        <v>0</v>
      </c>
      <c r="O77">
        <v>0</v>
      </c>
      <c r="P77">
        <v>0</v>
      </c>
      <c r="Q77">
        <v>0</v>
      </c>
      <c r="R77">
        <v>0</v>
      </c>
      <c r="S77">
        <v>0</v>
      </c>
      <c r="T77">
        <v>0.96661596978665409</v>
      </c>
      <c r="U77">
        <v>3.3384030213345905E-2</v>
      </c>
      <c r="V77">
        <v>0</v>
      </c>
      <c r="W77">
        <v>0</v>
      </c>
      <c r="X77">
        <v>0</v>
      </c>
      <c r="Y77">
        <v>0</v>
      </c>
      <c r="Z77">
        <v>0</v>
      </c>
      <c r="AA77">
        <v>0</v>
      </c>
      <c r="AB77">
        <v>0</v>
      </c>
      <c r="AC77">
        <v>0</v>
      </c>
      <c r="AD77">
        <v>0</v>
      </c>
      <c r="AE77" t="s">
        <v>161</v>
      </c>
      <c r="AF77">
        <v>0</v>
      </c>
      <c r="AG77" t="s">
        <v>239</v>
      </c>
      <c r="AH77">
        <v>46318</v>
      </c>
      <c r="AI77" t="s">
        <v>149</v>
      </c>
    </row>
    <row r="78" spans="1:35" x14ac:dyDescent="0.25">
      <c r="A78" s="1">
        <v>46318</v>
      </c>
      <c r="B78" t="s">
        <v>148</v>
      </c>
      <c r="C78" t="s">
        <v>11</v>
      </c>
      <c r="D78">
        <v>4.1033319103155144</v>
      </c>
      <c r="E78">
        <v>0</v>
      </c>
      <c r="F78">
        <v>0</v>
      </c>
      <c r="G78">
        <v>4.6875</v>
      </c>
      <c r="H78">
        <v>0</v>
      </c>
      <c r="I78">
        <v>0</v>
      </c>
      <c r="J78">
        <v>1.1423643279296818</v>
      </c>
      <c r="K78">
        <v>0.14236432792968179</v>
      </c>
      <c r="L78">
        <v>0</v>
      </c>
      <c r="M78">
        <v>0</v>
      </c>
      <c r="N78">
        <v>0</v>
      </c>
      <c r="O78">
        <v>0</v>
      </c>
      <c r="P78">
        <v>0</v>
      </c>
      <c r="Q78">
        <v>0</v>
      </c>
      <c r="R78">
        <v>0</v>
      </c>
      <c r="S78">
        <v>0</v>
      </c>
      <c r="T78">
        <v>0</v>
      </c>
      <c r="U78">
        <v>0</v>
      </c>
      <c r="V78">
        <v>0</v>
      </c>
      <c r="W78">
        <v>0</v>
      </c>
      <c r="X78">
        <v>0</v>
      </c>
      <c r="Y78">
        <v>0</v>
      </c>
      <c r="Z78">
        <v>0</v>
      </c>
      <c r="AA78">
        <v>0</v>
      </c>
      <c r="AB78">
        <v>0</v>
      </c>
      <c r="AC78">
        <v>1</v>
      </c>
      <c r="AD78">
        <v>0</v>
      </c>
      <c r="AE78" t="s">
        <v>161</v>
      </c>
      <c r="AF78">
        <v>0</v>
      </c>
      <c r="AG78" t="s">
        <v>240</v>
      </c>
      <c r="AH78">
        <v>46318</v>
      </c>
      <c r="AI78" t="s">
        <v>149</v>
      </c>
    </row>
    <row r="79" spans="1:35" x14ac:dyDescent="0.25">
      <c r="A79" s="1">
        <v>46318</v>
      </c>
      <c r="B79" t="s">
        <v>148</v>
      </c>
      <c r="C79" t="s">
        <v>12</v>
      </c>
      <c r="D79">
        <v>10.723374058957877</v>
      </c>
      <c r="E79">
        <v>0</v>
      </c>
      <c r="F79">
        <v>0</v>
      </c>
      <c r="G79">
        <v>12.1875</v>
      </c>
      <c r="H79">
        <v>0</v>
      </c>
      <c r="I79">
        <v>0</v>
      </c>
      <c r="J79">
        <v>1.1365359385014693</v>
      </c>
      <c r="K79">
        <v>0.13653593850146928</v>
      </c>
      <c r="L79">
        <v>0</v>
      </c>
      <c r="M79">
        <v>0</v>
      </c>
      <c r="N79">
        <v>0</v>
      </c>
      <c r="O79">
        <v>0</v>
      </c>
      <c r="P79">
        <v>0</v>
      </c>
      <c r="Q79">
        <v>0</v>
      </c>
      <c r="R79">
        <v>0</v>
      </c>
      <c r="S79">
        <v>0</v>
      </c>
      <c r="T79">
        <v>0</v>
      </c>
      <c r="U79">
        <v>0</v>
      </c>
      <c r="V79">
        <v>0</v>
      </c>
      <c r="W79">
        <v>0</v>
      </c>
      <c r="X79">
        <v>0</v>
      </c>
      <c r="Y79">
        <v>0</v>
      </c>
      <c r="Z79">
        <v>0</v>
      </c>
      <c r="AA79">
        <v>0</v>
      </c>
      <c r="AB79">
        <v>0</v>
      </c>
      <c r="AC79">
        <v>1</v>
      </c>
      <c r="AD79">
        <v>0</v>
      </c>
      <c r="AE79" t="s">
        <v>161</v>
      </c>
      <c r="AF79">
        <v>0</v>
      </c>
      <c r="AG79" t="s">
        <v>241</v>
      </c>
      <c r="AH79">
        <v>46318</v>
      </c>
      <c r="AI79" t="s">
        <v>149</v>
      </c>
    </row>
    <row r="80" spans="1:35" x14ac:dyDescent="0.25">
      <c r="A80" s="1">
        <v>46319</v>
      </c>
      <c r="B80" t="s">
        <v>148</v>
      </c>
      <c r="C80" t="s">
        <v>12</v>
      </c>
      <c r="D80">
        <v>10.668662966820335</v>
      </c>
      <c r="E80">
        <v>0</v>
      </c>
      <c r="F80">
        <v>0</v>
      </c>
      <c r="G80">
        <v>12.1875</v>
      </c>
      <c r="H80">
        <v>0</v>
      </c>
      <c r="I80">
        <v>0</v>
      </c>
      <c r="J80">
        <v>1.142364327929682</v>
      </c>
      <c r="K80">
        <v>0.14236432792968201</v>
      </c>
      <c r="L80">
        <v>0</v>
      </c>
      <c r="M80">
        <v>0</v>
      </c>
      <c r="N80">
        <v>0</v>
      </c>
      <c r="O80">
        <v>0</v>
      </c>
      <c r="P80">
        <v>0</v>
      </c>
      <c r="Q80">
        <v>0</v>
      </c>
      <c r="R80">
        <v>0</v>
      </c>
      <c r="S80">
        <v>0</v>
      </c>
      <c r="T80">
        <v>0</v>
      </c>
      <c r="U80">
        <v>0</v>
      </c>
      <c r="V80">
        <v>0</v>
      </c>
      <c r="W80">
        <v>0</v>
      </c>
      <c r="X80">
        <v>0</v>
      </c>
      <c r="Y80">
        <v>0</v>
      </c>
      <c r="Z80">
        <v>0</v>
      </c>
      <c r="AA80">
        <v>0</v>
      </c>
      <c r="AB80">
        <v>0</v>
      </c>
      <c r="AC80">
        <v>1</v>
      </c>
      <c r="AD80">
        <v>0</v>
      </c>
      <c r="AE80" t="s">
        <v>161</v>
      </c>
      <c r="AF80">
        <v>0</v>
      </c>
      <c r="AG80" t="s">
        <v>242</v>
      </c>
      <c r="AH80">
        <v>46319</v>
      </c>
      <c r="AI80" t="s">
        <v>149</v>
      </c>
    </row>
    <row r="81" spans="1:35" x14ac:dyDescent="0.25">
      <c r="A81" s="1">
        <v>46319</v>
      </c>
      <c r="B81" t="s">
        <v>148</v>
      </c>
      <c r="C81" t="s">
        <v>11</v>
      </c>
      <c r="D81">
        <v>4.1033319103155144</v>
      </c>
      <c r="E81">
        <v>0</v>
      </c>
      <c r="F81">
        <v>0</v>
      </c>
      <c r="G81">
        <v>4.6875</v>
      </c>
      <c r="H81">
        <v>0</v>
      </c>
      <c r="I81">
        <v>0</v>
      </c>
      <c r="J81">
        <v>1.1423643279296818</v>
      </c>
      <c r="K81">
        <v>0.14236432792968179</v>
      </c>
      <c r="L81">
        <v>0</v>
      </c>
      <c r="M81">
        <v>0</v>
      </c>
      <c r="N81">
        <v>0</v>
      </c>
      <c r="O81">
        <v>0</v>
      </c>
      <c r="P81">
        <v>0</v>
      </c>
      <c r="Q81">
        <v>0</v>
      </c>
      <c r="R81">
        <v>0</v>
      </c>
      <c r="S81">
        <v>0</v>
      </c>
      <c r="T81">
        <v>0</v>
      </c>
      <c r="U81">
        <v>0</v>
      </c>
      <c r="V81">
        <v>0</v>
      </c>
      <c r="W81">
        <v>0</v>
      </c>
      <c r="X81">
        <v>0</v>
      </c>
      <c r="Y81">
        <v>0</v>
      </c>
      <c r="Z81">
        <v>0</v>
      </c>
      <c r="AA81">
        <v>0</v>
      </c>
      <c r="AB81">
        <v>0</v>
      </c>
      <c r="AC81">
        <v>1</v>
      </c>
      <c r="AD81">
        <v>0</v>
      </c>
      <c r="AE81" t="s">
        <v>161</v>
      </c>
      <c r="AF81">
        <v>0</v>
      </c>
      <c r="AG81" t="s">
        <v>243</v>
      </c>
      <c r="AH81">
        <v>46319</v>
      </c>
      <c r="AI81" t="s">
        <v>149</v>
      </c>
    </row>
    <row r="82" spans="1:35" x14ac:dyDescent="0.25">
      <c r="A82" s="1">
        <v>46319</v>
      </c>
      <c r="B82" t="s">
        <v>148</v>
      </c>
      <c r="C82" t="s">
        <v>10</v>
      </c>
      <c r="D82">
        <v>10.723374058957877</v>
      </c>
      <c r="E82">
        <v>0</v>
      </c>
      <c r="F82">
        <v>0</v>
      </c>
      <c r="G82">
        <v>11.25</v>
      </c>
      <c r="H82">
        <v>0</v>
      </c>
      <c r="I82">
        <v>0</v>
      </c>
      <c r="J82">
        <v>1.0491100970782794</v>
      </c>
      <c r="K82">
        <v>4.9110097078279402E-2</v>
      </c>
      <c r="L82">
        <v>0</v>
      </c>
      <c r="M82">
        <v>0</v>
      </c>
      <c r="N82">
        <v>0</v>
      </c>
      <c r="O82">
        <v>0</v>
      </c>
      <c r="P82">
        <v>0</v>
      </c>
      <c r="Q82">
        <v>0</v>
      </c>
      <c r="R82">
        <v>0</v>
      </c>
      <c r="S82">
        <v>0</v>
      </c>
      <c r="T82">
        <v>0</v>
      </c>
      <c r="U82">
        <v>0</v>
      </c>
      <c r="V82">
        <v>0</v>
      </c>
      <c r="W82">
        <v>0</v>
      </c>
      <c r="X82">
        <v>0</v>
      </c>
      <c r="Y82">
        <v>0</v>
      </c>
      <c r="Z82">
        <v>0</v>
      </c>
      <c r="AA82">
        <v>0</v>
      </c>
      <c r="AB82">
        <v>0</v>
      </c>
      <c r="AC82">
        <v>1</v>
      </c>
      <c r="AD82">
        <v>0</v>
      </c>
      <c r="AE82" t="s">
        <v>161</v>
      </c>
      <c r="AF82">
        <v>0</v>
      </c>
      <c r="AG82" t="s">
        <v>244</v>
      </c>
      <c r="AH82">
        <v>46319</v>
      </c>
      <c r="AI82" t="s">
        <v>149</v>
      </c>
    </row>
    <row r="83" spans="1:35" x14ac:dyDescent="0.25">
      <c r="A83" s="1">
        <v>46320</v>
      </c>
      <c r="B83" t="s">
        <v>148</v>
      </c>
      <c r="C83" t="s">
        <v>12</v>
      </c>
      <c r="D83">
        <v>10.668662966820335</v>
      </c>
      <c r="E83">
        <v>0</v>
      </c>
      <c r="F83">
        <v>0</v>
      </c>
      <c r="G83">
        <v>12.1875</v>
      </c>
      <c r="H83">
        <v>0</v>
      </c>
      <c r="I83">
        <v>0</v>
      </c>
      <c r="J83">
        <v>1.142364327929682</v>
      </c>
      <c r="K83">
        <v>0.14236432792968201</v>
      </c>
      <c r="L83">
        <v>0</v>
      </c>
      <c r="M83">
        <v>0</v>
      </c>
      <c r="N83">
        <v>0</v>
      </c>
      <c r="O83">
        <v>0</v>
      </c>
      <c r="P83">
        <v>0</v>
      </c>
      <c r="Q83">
        <v>0</v>
      </c>
      <c r="R83">
        <v>0</v>
      </c>
      <c r="S83">
        <v>0</v>
      </c>
      <c r="T83">
        <v>0</v>
      </c>
      <c r="U83">
        <v>0</v>
      </c>
      <c r="V83">
        <v>0</v>
      </c>
      <c r="W83">
        <v>0</v>
      </c>
      <c r="X83">
        <v>0</v>
      </c>
      <c r="Y83">
        <v>0</v>
      </c>
      <c r="Z83">
        <v>0</v>
      </c>
      <c r="AA83">
        <v>0</v>
      </c>
      <c r="AB83">
        <v>0</v>
      </c>
      <c r="AC83">
        <v>1</v>
      </c>
      <c r="AD83">
        <v>0</v>
      </c>
      <c r="AE83" t="s">
        <v>161</v>
      </c>
      <c r="AF83">
        <v>0</v>
      </c>
      <c r="AG83" t="s">
        <v>245</v>
      </c>
      <c r="AH83">
        <v>46320</v>
      </c>
      <c r="AI83" t="s">
        <v>149</v>
      </c>
    </row>
    <row r="84" spans="1:35" x14ac:dyDescent="0.25">
      <c r="A84" s="1">
        <v>46320</v>
      </c>
      <c r="B84" t="s">
        <v>148</v>
      </c>
      <c r="C84" t="s">
        <v>10</v>
      </c>
      <c r="D84">
        <v>10.668662966820335</v>
      </c>
      <c r="E84">
        <v>0</v>
      </c>
      <c r="F84">
        <v>0</v>
      </c>
      <c r="G84">
        <v>12.1875</v>
      </c>
      <c r="H84">
        <v>0</v>
      </c>
      <c r="I84">
        <v>0</v>
      </c>
      <c r="J84">
        <v>1.142364327929682</v>
      </c>
      <c r="K84">
        <v>0.14236432792968201</v>
      </c>
      <c r="L84">
        <v>0</v>
      </c>
      <c r="M84">
        <v>0</v>
      </c>
      <c r="N84">
        <v>0</v>
      </c>
      <c r="O84">
        <v>0</v>
      </c>
      <c r="P84">
        <v>0</v>
      </c>
      <c r="Q84">
        <v>0</v>
      </c>
      <c r="R84">
        <v>0</v>
      </c>
      <c r="S84">
        <v>0</v>
      </c>
      <c r="T84">
        <v>0</v>
      </c>
      <c r="U84">
        <v>0</v>
      </c>
      <c r="V84">
        <v>0</v>
      </c>
      <c r="W84">
        <v>0</v>
      </c>
      <c r="X84">
        <v>0</v>
      </c>
      <c r="Y84">
        <v>0</v>
      </c>
      <c r="Z84">
        <v>0</v>
      </c>
      <c r="AA84">
        <v>0</v>
      </c>
      <c r="AB84">
        <v>0</v>
      </c>
      <c r="AC84">
        <v>1</v>
      </c>
      <c r="AD84">
        <v>0</v>
      </c>
      <c r="AE84" t="s">
        <v>161</v>
      </c>
      <c r="AF84">
        <v>0</v>
      </c>
      <c r="AG84" t="s">
        <v>246</v>
      </c>
      <c r="AH84">
        <v>46320</v>
      </c>
      <c r="AI84" t="s">
        <v>149</v>
      </c>
    </row>
    <row r="85" spans="1:35" x14ac:dyDescent="0.25">
      <c r="A85" s="1">
        <v>46320</v>
      </c>
      <c r="B85" t="s">
        <v>148</v>
      </c>
      <c r="C85" t="s">
        <v>11</v>
      </c>
      <c r="D85">
        <v>4.1033319103155144</v>
      </c>
      <c r="E85">
        <v>0</v>
      </c>
      <c r="F85">
        <v>0</v>
      </c>
      <c r="G85">
        <v>4.6875</v>
      </c>
      <c r="H85">
        <v>0</v>
      </c>
      <c r="I85">
        <v>0</v>
      </c>
      <c r="J85">
        <v>1.1423643279296818</v>
      </c>
      <c r="K85">
        <v>0.14236432792968179</v>
      </c>
      <c r="L85">
        <v>0</v>
      </c>
      <c r="M85">
        <v>0</v>
      </c>
      <c r="N85">
        <v>0</v>
      </c>
      <c r="O85">
        <v>0</v>
      </c>
      <c r="P85">
        <v>0</v>
      </c>
      <c r="Q85">
        <v>0</v>
      </c>
      <c r="R85">
        <v>0</v>
      </c>
      <c r="S85">
        <v>0</v>
      </c>
      <c r="T85">
        <v>0</v>
      </c>
      <c r="U85">
        <v>0</v>
      </c>
      <c r="V85">
        <v>0</v>
      </c>
      <c r="W85">
        <v>0</v>
      </c>
      <c r="X85">
        <v>0</v>
      </c>
      <c r="Y85">
        <v>0</v>
      </c>
      <c r="Z85">
        <v>0</v>
      </c>
      <c r="AA85">
        <v>0</v>
      </c>
      <c r="AB85">
        <v>0</v>
      </c>
      <c r="AC85">
        <v>1</v>
      </c>
      <c r="AD85">
        <v>0</v>
      </c>
      <c r="AE85" t="s">
        <v>161</v>
      </c>
      <c r="AF85">
        <v>0</v>
      </c>
      <c r="AG85" t="s">
        <v>247</v>
      </c>
      <c r="AH85">
        <v>46320</v>
      </c>
      <c r="AI85" t="s">
        <v>149</v>
      </c>
    </row>
    <row r="86" spans="1:35" x14ac:dyDescent="0.25">
      <c r="A86" s="1">
        <v>46293</v>
      </c>
      <c r="B86" t="s">
        <v>97</v>
      </c>
      <c r="C86" t="s">
        <v>11</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t="s">
        <v>161</v>
      </c>
      <c r="AF86">
        <v>0</v>
      </c>
      <c r="AG86" t="s">
        <v>165</v>
      </c>
      <c r="AH86">
        <v>46293</v>
      </c>
      <c r="AI86" t="s">
        <v>149</v>
      </c>
    </row>
    <row r="87" spans="1:35" x14ac:dyDescent="0.25">
      <c r="A87" s="1">
        <v>46293</v>
      </c>
      <c r="B87" t="s">
        <v>97</v>
      </c>
      <c r="C87" t="s">
        <v>12</v>
      </c>
      <c r="D87">
        <v>3.0895675560022688</v>
      </c>
      <c r="E87">
        <v>0</v>
      </c>
      <c r="F87">
        <v>0</v>
      </c>
      <c r="G87">
        <v>4.577854671280277</v>
      </c>
      <c r="H87">
        <v>0</v>
      </c>
      <c r="I87">
        <v>0</v>
      </c>
      <c r="J87">
        <v>1.4817137312264408</v>
      </c>
      <c r="K87">
        <v>0.48171373122644079</v>
      </c>
      <c r="L87">
        <v>0</v>
      </c>
      <c r="M87">
        <v>0</v>
      </c>
      <c r="N87">
        <v>0</v>
      </c>
      <c r="O87">
        <v>0</v>
      </c>
      <c r="P87">
        <v>0</v>
      </c>
      <c r="Q87">
        <v>0</v>
      </c>
      <c r="R87">
        <v>0</v>
      </c>
      <c r="S87">
        <v>0</v>
      </c>
      <c r="T87">
        <v>0</v>
      </c>
      <c r="U87">
        <v>0</v>
      </c>
      <c r="V87">
        <v>0</v>
      </c>
      <c r="W87">
        <v>0</v>
      </c>
      <c r="X87">
        <v>0</v>
      </c>
      <c r="Y87">
        <v>0</v>
      </c>
      <c r="Z87">
        <v>0</v>
      </c>
      <c r="AA87">
        <v>0</v>
      </c>
      <c r="AB87">
        <v>0</v>
      </c>
      <c r="AC87">
        <v>1</v>
      </c>
      <c r="AD87">
        <v>0</v>
      </c>
      <c r="AE87" t="s">
        <v>161</v>
      </c>
      <c r="AF87">
        <v>0</v>
      </c>
      <c r="AG87" t="s">
        <v>164</v>
      </c>
      <c r="AH87">
        <v>46293</v>
      </c>
      <c r="AI87" t="s">
        <v>149</v>
      </c>
    </row>
    <row r="88" spans="1:35" x14ac:dyDescent="0.25">
      <c r="A88" s="1">
        <v>46293</v>
      </c>
      <c r="B88" t="s">
        <v>97</v>
      </c>
      <c r="C88" t="s">
        <v>10</v>
      </c>
      <c r="D88">
        <v>4.3768873710032157</v>
      </c>
      <c r="E88">
        <v>0</v>
      </c>
      <c r="F88">
        <v>0</v>
      </c>
      <c r="G88">
        <v>2.8235294117647056</v>
      </c>
      <c r="H88">
        <v>0</v>
      </c>
      <c r="I88">
        <v>0</v>
      </c>
      <c r="J88">
        <v>0.64509985577205553</v>
      </c>
      <c r="K88">
        <v>0</v>
      </c>
      <c r="L88">
        <v>0</v>
      </c>
      <c r="M88">
        <v>0</v>
      </c>
      <c r="N88">
        <v>0</v>
      </c>
      <c r="O88">
        <v>0</v>
      </c>
      <c r="P88">
        <v>0</v>
      </c>
      <c r="Q88">
        <v>0</v>
      </c>
      <c r="R88">
        <v>0</v>
      </c>
      <c r="S88">
        <v>0</v>
      </c>
      <c r="T88">
        <v>0.64509985577205553</v>
      </c>
      <c r="U88">
        <v>0.35490014422794447</v>
      </c>
      <c r="V88">
        <v>0</v>
      </c>
      <c r="W88">
        <v>0</v>
      </c>
      <c r="X88">
        <v>0</v>
      </c>
      <c r="Y88">
        <v>0</v>
      </c>
      <c r="Z88">
        <v>0</v>
      </c>
      <c r="AA88">
        <v>0</v>
      </c>
      <c r="AB88">
        <v>0</v>
      </c>
      <c r="AC88">
        <v>0</v>
      </c>
      <c r="AD88">
        <v>0</v>
      </c>
      <c r="AE88" t="s">
        <v>161</v>
      </c>
      <c r="AF88">
        <v>0</v>
      </c>
      <c r="AG88" t="s">
        <v>166</v>
      </c>
      <c r="AH88">
        <v>46293</v>
      </c>
      <c r="AI88" t="s">
        <v>149</v>
      </c>
    </row>
    <row r="89" spans="1:35" x14ac:dyDescent="0.25">
      <c r="A89" s="1">
        <v>46294</v>
      </c>
      <c r="B89" t="s">
        <v>97</v>
      </c>
      <c r="C89" t="s">
        <v>11</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161</v>
      </c>
      <c r="AF89">
        <v>0</v>
      </c>
      <c r="AG89" t="s">
        <v>168</v>
      </c>
      <c r="AH89">
        <v>46294</v>
      </c>
      <c r="AI89" t="s">
        <v>149</v>
      </c>
    </row>
    <row r="90" spans="1:35" x14ac:dyDescent="0.25">
      <c r="A90" s="1">
        <v>46294</v>
      </c>
      <c r="B90" t="s">
        <v>97</v>
      </c>
      <c r="C90" t="s">
        <v>12</v>
      </c>
      <c r="D90">
        <v>3.0895675560022688</v>
      </c>
      <c r="E90">
        <v>0</v>
      </c>
      <c r="F90">
        <v>0</v>
      </c>
      <c r="G90">
        <v>3.7508650519031144</v>
      </c>
      <c r="H90">
        <v>0</v>
      </c>
      <c r="I90">
        <v>0</v>
      </c>
      <c r="J90">
        <v>1.2140420896821329</v>
      </c>
      <c r="K90">
        <v>0.2140420896821329</v>
      </c>
      <c r="L90">
        <v>0</v>
      </c>
      <c r="M90">
        <v>0</v>
      </c>
      <c r="N90">
        <v>0</v>
      </c>
      <c r="O90">
        <v>0</v>
      </c>
      <c r="P90">
        <v>0</v>
      </c>
      <c r="Q90">
        <v>0</v>
      </c>
      <c r="R90">
        <v>0</v>
      </c>
      <c r="S90">
        <v>0</v>
      </c>
      <c r="T90">
        <v>0</v>
      </c>
      <c r="U90">
        <v>0</v>
      </c>
      <c r="V90">
        <v>0</v>
      </c>
      <c r="W90">
        <v>0</v>
      </c>
      <c r="X90">
        <v>0</v>
      </c>
      <c r="Y90">
        <v>0</v>
      </c>
      <c r="Z90">
        <v>0</v>
      </c>
      <c r="AA90">
        <v>0</v>
      </c>
      <c r="AB90">
        <v>0</v>
      </c>
      <c r="AC90">
        <v>1</v>
      </c>
      <c r="AD90">
        <v>0</v>
      </c>
      <c r="AE90" t="s">
        <v>161</v>
      </c>
      <c r="AF90">
        <v>0</v>
      </c>
      <c r="AG90" t="s">
        <v>169</v>
      </c>
      <c r="AH90">
        <v>46294</v>
      </c>
      <c r="AI90" t="s">
        <v>149</v>
      </c>
    </row>
    <row r="91" spans="1:35" x14ac:dyDescent="0.25">
      <c r="A91" s="1">
        <v>46294</v>
      </c>
      <c r="B91" t="s">
        <v>97</v>
      </c>
      <c r="C91" t="s">
        <v>10</v>
      </c>
      <c r="D91">
        <v>4.3768873710032157</v>
      </c>
      <c r="E91">
        <v>0</v>
      </c>
      <c r="F91">
        <v>0</v>
      </c>
      <c r="G91">
        <v>3.7647058823529407</v>
      </c>
      <c r="H91">
        <v>0</v>
      </c>
      <c r="I91">
        <v>0</v>
      </c>
      <c r="J91">
        <v>0.8601331410294073</v>
      </c>
      <c r="K91">
        <v>0</v>
      </c>
      <c r="L91">
        <v>0</v>
      </c>
      <c r="M91">
        <v>0</v>
      </c>
      <c r="N91">
        <v>0</v>
      </c>
      <c r="O91">
        <v>0</v>
      </c>
      <c r="P91">
        <v>0</v>
      </c>
      <c r="Q91">
        <v>0</v>
      </c>
      <c r="R91">
        <v>0</v>
      </c>
      <c r="S91">
        <v>0</v>
      </c>
      <c r="T91">
        <v>0.8601331410294073</v>
      </c>
      <c r="U91">
        <v>0.1398668589705927</v>
      </c>
      <c r="V91">
        <v>0</v>
      </c>
      <c r="W91">
        <v>0</v>
      </c>
      <c r="X91">
        <v>0</v>
      </c>
      <c r="Y91">
        <v>0</v>
      </c>
      <c r="Z91">
        <v>0</v>
      </c>
      <c r="AA91">
        <v>0</v>
      </c>
      <c r="AB91">
        <v>0</v>
      </c>
      <c r="AC91">
        <v>0</v>
      </c>
      <c r="AD91">
        <v>0</v>
      </c>
      <c r="AE91" t="s">
        <v>161</v>
      </c>
      <c r="AF91">
        <v>0</v>
      </c>
      <c r="AG91" t="s">
        <v>167</v>
      </c>
      <c r="AH91">
        <v>46294</v>
      </c>
      <c r="AI91" t="s">
        <v>149</v>
      </c>
    </row>
    <row r="92" spans="1:35" x14ac:dyDescent="0.25">
      <c r="A92" s="1">
        <v>46295</v>
      </c>
      <c r="B92" t="s">
        <v>97</v>
      </c>
      <c r="C92" t="s">
        <v>10</v>
      </c>
      <c r="D92">
        <v>4.3768873710032157</v>
      </c>
      <c r="E92">
        <v>0</v>
      </c>
      <c r="F92">
        <v>0</v>
      </c>
      <c r="G92">
        <v>2.8235294117647061</v>
      </c>
      <c r="H92">
        <v>0</v>
      </c>
      <c r="I92">
        <v>0</v>
      </c>
      <c r="J92">
        <v>0.64509985577205564</v>
      </c>
      <c r="K92">
        <v>0</v>
      </c>
      <c r="L92">
        <v>0</v>
      </c>
      <c r="M92">
        <v>0</v>
      </c>
      <c r="N92">
        <v>0</v>
      </c>
      <c r="O92">
        <v>0</v>
      </c>
      <c r="P92">
        <v>0</v>
      </c>
      <c r="Q92">
        <v>0</v>
      </c>
      <c r="R92">
        <v>0</v>
      </c>
      <c r="S92">
        <v>0</v>
      </c>
      <c r="T92">
        <v>0.64509985577205564</v>
      </c>
      <c r="U92">
        <v>0.35490014422794436</v>
      </c>
      <c r="V92">
        <v>0</v>
      </c>
      <c r="W92">
        <v>0</v>
      </c>
      <c r="X92">
        <v>0</v>
      </c>
      <c r="Y92">
        <v>0</v>
      </c>
      <c r="Z92">
        <v>0</v>
      </c>
      <c r="AA92">
        <v>0</v>
      </c>
      <c r="AB92">
        <v>0</v>
      </c>
      <c r="AC92">
        <v>0</v>
      </c>
      <c r="AD92">
        <v>0</v>
      </c>
      <c r="AE92" t="s">
        <v>161</v>
      </c>
      <c r="AF92">
        <v>0</v>
      </c>
      <c r="AG92" t="s">
        <v>170</v>
      </c>
      <c r="AH92">
        <v>46295</v>
      </c>
      <c r="AI92" t="s">
        <v>149</v>
      </c>
    </row>
    <row r="93" spans="1:35" x14ac:dyDescent="0.25">
      <c r="A93" s="1">
        <v>46295</v>
      </c>
      <c r="B93" t="s">
        <v>97</v>
      </c>
      <c r="C93" t="s">
        <v>11</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t="s">
        <v>161</v>
      </c>
      <c r="AF93">
        <v>0</v>
      </c>
      <c r="AG93" t="s">
        <v>171</v>
      </c>
      <c r="AH93">
        <v>46295</v>
      </c>
      <c r="AI93" t="s">
        <v>149</v>
      </c>
    </row>
    <row r="94" spans="1:35" x14ac:dyDescent="0.25">
      <c r="A94" s="1">
        <v>46295</v>
      </c>
      <c r="B94" t="s">
        <v>97</v>
      </c>
      <c r="C94" t="s">
        <v>12</v>
      </c>
      <c r="D94">
        <v>3.8619594450028361</v>
      </c>
      <c r="E94">
        <v>0</v>
      </c>
      <c r="F94">
        <v>0</v>
      </c>
      <c r="G94">
        <v>4.577854671280277</v>
      </c>
      <c r="H94">
        <v>0</v>
      </c>
      <c r="I94">
        <v>0</v>
      </c>
      <c r="J94">
        <v>1.1853709849811525</v>
      </c>
      <c r="K94">
        <v>0.18537098498115245</v>
      </c>
      <c r="L94">
        <v>0</v>
      </c>
      <c r="M94">
        <v>0</v>
      </c>
      <c r="N94">
        <v>0</v>
      </c>
      <c r="O94">
        <v>0</v>
      </c>
      <c r="P94">
        <v>0</v>
      </c>
      <c r="Q94">
        <v>0</v>
      </c>
      <c r="R94">
        <v>0</v>
      </c>
      <c r="S94">
        <v>0</v>
      </c>
      <c r="T94">
        <v>0</v>
      </c>
      <c r="U94">
        <v>0</v>
      </c>
      <c r="V94">
        <v>0</v>
      </c>
      <c r="W94">
        <v>0</v>
      </c>
      <c r="X94">
        <v>0</v>
      </c>
      <c r="Y94">
        <v>0</v>
      </c>
      <c r="Z94">
        <v>0</v>
      </c>
      <c r="AA94">
        <v>0</v>
      </c>
      <c r="AB94">
        <v>0</v>
      </c>
      <c r="AC94">
        <v>1</v>
      </c>
      <c r="AD94">
        <v>0</v>
      </c>
      <c r="AE94" t="s">
        <v>161</v>
      </c>
      <c r="AF94">
        <v>0</v>
      </c>
      <c r="AG94" t="s">
        <v>172</v>
      </c>
      <c r="AH94">
        <v>46295</v>
      </c>
      <c r="AI94" t="s">
        <v>149</v>
      </c>
    </row>
    <row r="95" spans="1:35" x14ac:dyDescent="0.25">
      <c r="A95" s="1">
        <v>46296</v>
      </c>
      <c r="B95" t="s">
        <v>97</v>
      </c>
      <c r="C95" t="s">
        <v>12</v>
      </c>
      <c r="D95">
        <v>3.8619594450028361</v>
      </c>
      <c r="E95">
        <v>0</v>
      </c>
      <c r="F95">
        <v>0</v>
      </c>
      <c r="G95">
        <v>3.7508650519031144</v>
      </c>
      <c r="H95">
        <v>0</v>
      </c>
      <c r="I95">
        <v>0</v>
      </c>
      <c r="J95">
        <v>0.9712336717457063</v>
      </c>
      <c r="K95">
        <v>0</v>
      </c>
      <c r="L95">
        <v>0</v>
      </c>
      <c r="M95">
        <v>0</v>
      </c>
      <c r="N95">
        <v>0</v>
      </c>
      <c r="O95">
        <v>0</v>
      </c>
      <c r="P95">
        <v>0</v>
      </c>
      <c r="Q95">
        <v>0</v>
      </c>
      <c r="R95">
        <v>0</v>
      </c>
      <c r="S95">
        <v>0</v>
      </c>
      <c r="T95">
        <v>0.9712336717457063</v>
      </c>
      <c r="U95">
        <v>2.8766328254293705E-2</v>
      </c>
      <c r="V95">
        <v>0</v>
      </c>
      <c r="W95">
        <v>0</v>
      </c>
      <c r="X95">
        <v>0</v>
      </c>
      <c r="Y95">
        <v>0</v>
      </c>
      <c r="Z95">
        <v>0</v>
      </c>
      <c r="AA95">
        <v>0</v>
      </c>
      <c r="AB95">
        <v>0</v>
      </c>
      <c r="AC95">
        <v>0</v>
      </c>
      <c r="AD95">
        <v>0</v>
      </c>
      <c r="AE95" t="s">
        <v>161</v>
      </c>
      <c r="AF95">
        <v>0</v>
      </c>
      <c r="AG95" t="s">
        <v>174</v>
      </c>
      <c r="AH95">
        <v>46296</v>
      </c>
      <c r="AI95" t="s">
        <v>149</v>
      </c>
    </row>
    <row r="96" spans="1:35" x14ac:dyDescent="0.25">
      <c r="A96" s="1">
        <v>46296</v>
      </c>
      <c r="B96" t="s">
        <v>97</v>
      </c>
      <c r="C96" t="s">
        <v>11</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t="s">
        <v>161</v>
      </c>
      <c r="AF96">
        <v>0</v>
      </c>
      <c r="AG96" t="s">
        <v>175</v>
      </c>
      <c r="AH96">
        <v>46296</v>
      </c>
      <c r="AI96" t="s">
        <v>149</v>
      </c>
    </row>
    <row r="97" spans="1:35" x14ac:dyDescent="0.25">
      <c r="A97" s="1">
        <v>46296</v>
      </c>
      <c r="B97" t="s">
        <v>97</v>
      </c>
      <c r="C97" t="s">
        <v>10</v>
      </c>
      <c r="D97">
        <v>3.5015098968025717</v>
      </c>
      <c r="E97">
        <v>0</v>
      </c>
      <c r="F97">
        <v>0</v>
      </c>
      <c r="G97">
        <v>3.764705882352942</v>
      </c>
      <c r="H97">
        <v>0</v>
      </c>
      <c r="I97">
        <v>0</v>
      </c>
      <c r="J97">
        <v>1.0751664262867597</v>
      </c>
      <c r="K97">
        <v>7.5166426286759735E-2</v>
      </c>
      <c r="L97">
        <v>0</v>
      </c>
      <c r="M97">
        <v>0</v>
      </c>
      <c r="N97">
        <v>0</v>
      </c>
      <c r="O97">
        <v>0</v>
      </c>
      <c r="P97">
        <v>0</v>
      </c>
      <c r="Q97">
        <v>0</v>
      </c>
      <c r="R97">
        <v>0</v>
      </c>
      <c r="S97">
        <v>0</v>
      </c>
      <c r="T97">
        <v>0</v>
      </c>
      <c r="U97">
        <v>0</v>
      </c>
      <c r="V97">
        <v>0</v>
      </c>
      <c r="W97">
        <v>0</v>
      </c>
      <c r="X97">
        <v>0</v>
      </c>
      <c r="Y97">
        <v>0</v>
      </c>
      <c r="Z97">
        <v>0</v>
      </c>
      <c r="AA97">
        <v>0</v>
      </c>
      <c r="AB97">
        <v>0</v>
      </c>
      <c r="AC97">
        <v>1</v>
      </c>
      <c r="AD97">
        <v>0</v>
      </c>
      <c r="AE97" t="s">
        <v>161</v>
      </c>
      <c r="AF97">
        <v>0</v>
      </c>
      <c r="AG97" t="s">
        <v>173</v>
      </c>
      <c r="AH97">
        <v>46296</v>
      </c>
      <c r="AI97" t="s">
        <v>149</v>
      </c>
    </row>
    <row r="98" spans="1:35" x14ac:dyDescent="0.25">
      <c r="A98" s="1">
        <v>46297</v>
      </c>
      <c r="B98" t="s">
        <v>97</v>
      </c>
      <c r="C98" t="s">
        <v>10</v>
      </c>
      <c r="D98">
        <v>3.5015098968025709</v>
      </c>
      <c r="E98">
        <v>0</v>
      </c>
      <c r="F98">
        <v>0</v>
      </c>
      <c r="G98">
        <v>2.569852941176471</v>
      </c>
      <c r="H98">
        <v>0</v>
      </c>
      <c r="I98">
        <v>0</v>
      </c>
      <c r="J98">
        <v>0.7339270820062942</v>
      </c>
      <c r="K98">
        <v>0</v>
      </c>
      <c r="L98">
        <v>0</v>
      </c>
      <c r="M98">
        <v>0</v>
      </c>
      <c r="N98">
        <v>0</v>
      </c>
      <c r="O98">
        <v>0</v>
      </c>
      <c r="P98">
        <v>0</v>
      </c>
      <c r="Q98">
        <v>0</v>
      </c>
      <c r="R98">
        <v>0</v>
      </c>
      <c r="S98">
        <v>0</v>
      </c>
      <c r="T98">
        <v>0.7339270820062942</v>
      </c>
      <c r="U98">
        <v>0.2660729179937058</v>
      </c>
      <c r="V98">
        <v>0</v>
      </c>
      <c r="W98">
        <v>0</v>
      </c>
      <c r="X98">
        <v>0</v>
      </c>
      <c r="Y98">
        <v>0</v>
      </c>
      <c r="Z98">
        <v>0</v>
      </c>
      <c r="AA98">
        <v>0</v>
      </c>
      <c r="AB98">
        <v>0</v>
      </c>
      <c r="AC98">
        <v>0</v>
      </c>
      <c r="AD98">
        <v>0</v>
      </c>
      <c r="AE98" t="s">
        <v>161</v>
      </c>
      <c r="AF98">
        <v>0</v>
      </c>
      <c r="AG98" t="s">
        <v>176</v>
      </c>
      <c r="AH98">
        <v>46297</v>
      </c>
      <c r="AI98" t="s">
        <v>149</v>
      </c>
    </row>
    <row r="99" spans="1:35" x14ac:dyDescent="0.25">
      <c r="A99" s="1">
        <v>46297</v>
      </c>
      <c r="B99" t="s">
        <v>97</v>
      </c>
      <c r="C99" t="s">
        <v>11</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t="s">
        <v>161</v>
      </c>
      <c r="AF99">
        <v>0</v>
      </c>
      <c r="AG99" t="s">
        <v>177</v>
      </c>
      <c r="AH99">
        <v>46297</v>
      </c>
      <c r="AI99" t="s">
        <v>149</v>
      </c>
    </row>
    <row r="100" spans="1:35" x14ac:dyDescent="0.25">
      <c r="A100" s="1">
        <v>46297</v>
      </c>
      <c r="B100" t="s">
        <v>97</v>
      </c>
      <c r="C100" t="s">
        <v>12</v>
      </c>
      <c r="D100">
        <v>3.8619594450028361</v>
      </c>
      <c r="E100">
        <v>0</v>
      </c>
      <c r="F100">
        <v>0</v>
      </c>
      <c r="G100">
        <v>3.45876585928489</v>
      </c>
      <c r="H100">
        <v>0</v>
      </c>
      <c r="I100">
        <v>0</v>
      </c>
      <c r="J100">
        <v>0.8955987002298389</v>
      </c>
      <c r="K100">
        <v>0</v>
      </c>
      <c r="L100">
        <v>0</v>
      </c>
      <c r="M100">
        <v>0</v>
      </c>
      <c r="N100">
        <v>0</v>
      </c>
      <c r="O100">
        <v>0</v>
      </c>
      <c r="P100">
        <v>0</v>
      </c>
      <c r="Q100">
        <v>0</v>
      </c>
      <c r="R100">
        <v>0</v>
      </c>
      <c r="S100">
        <v>0</v>
      </c>
      <c r="T100">
        <v>0.8955987002298389</v>
      </c>
      <c r="U100">
        <v>0.1044012997701611</v>
      </c>
      <c r="V100">
        <v>0</v>
      </c>
      <c r="W100">
        <v>0</v>
      </c>
      <c r="X100">
        <v>0</v>
      </c>
      <c r="Y100">
        <v>0</v>
      </c>
      <c r="Z100">
        <v>0</v>
      </c>
      <c r="AA100">
        <v>0</v>
      </c>
      <c r="AB100">
        <v>0</v>
      </c>
      <c r="AC100">
        <v>0</v>
      </c>
      <c r="AD100">
        <v>0</v>
      </c>
      <c r="AE100" t="s">
        <v>161</v>
      </c>
      <c r="AF100">
        <v>0</v>
      </c>
      <c r="AG100" t="s">
        <v>178</v>
      </c>
      <c r="AH100">
        <v>46297</v>
      </c>
      <c r="AI100" t="s">
        <v>149</v>
      </c>
    </row>
    <row r="101" spans="1:35" x14ac:dyDescent="0.25">
      <c r="A101" s="1">
        <v>46298</v>
      </c>
      <c r="B101" t="s">
        <v>97</v>
      </c>
      <c r="C101" t="s">
        <v>10</v>
      </c>
      <c r="D101">
        <v>4.3768873710032157</v>
      </c>
      <c r="E101">
        <v>0</v>
      </c>
      <c r="F101">
        <v>0</v>
      </c>
      <c r="G101">
        <v>1.8823529411764699</v>
      </c>
      <c r="H101">
        <v>0</v>
      </c>
      <c r="I101">
        <v>0</v>
      </c>
      <c r="J101">
        <v>0.43006657051470354</v>
      </c>
      <c r="K101">
        <v>0</v>
      </c>
      <c r="L101">
        <v>0</v>
      </c>
      <c r="M101">
        <v>0</v>
      </c>
      <c r="N101">
        <v>0</v>
      </c>
      <c r="O101">
        <v>0</v>
      </c>
      <c r="P101">
        <v>0</v>
      </c>
      <c r="Q101">
        <v>0</v>
      </c>
      <c r="R101">
        <v>0</v>
      </c>
      <c r="S101">
        <v>0</v>
      </c>
      <c r="T101">
        <v>0.43006657051470354</v>
      </c>
      <c r="U101">
        <v>0.56993342948529646</v>
      </c>
      <c r="V101">
        <v>0</v>
      </c>
      <c r="W101">
        <v>0</v>
      </c>
      <c r="X101">
        <v>0</v>
      </c>
      <c r="Y101">
        <v>0</v>
      </c>
      <c r="Z101">
        <v>0</v>
      </c>
      <c r="AA101">
        <v>0</v>
      </c>
      <c r="AB101">
        <v>0</v>
      </c>
      <c r="AC101">
        <v>0</v>
      </c>
      <c r="AD101">
        <v>0</v>
      </c>
      <c r="AE101" t="s">
        <v>161</v>
      </c>
      <c r="AF101">
        <v>0</v>
      </c>
      <c r="AG101" t="s">
        <v>180</v>
      </c>
      <c r="AH101">
        <v>46298</v>
      </c>
      <c r="AI101" t="s">
        <v>149</v>
      </c>
    </row>
    <row r="102" spans="1:35" x14ac:dyDescent="0.25">
      <c r="A102" s="1">
        <v>46298</v>
      </c>
      <c r="B102" t="s">
        <v>97</v>
      </c>
      <c r="C102" t="s">
        <v>11</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t="s">
        <v>161</v>
      </c>
      <c r="AF102">
        <v>0</v>
      </c>
      <c r="AG102" t="s">
        <v>179</v>
      </c>
      <c r="AH102">
        <v>46298</v>
      </c>
      <c r="AI102" t="s">
        <v>149</v>
      </c>
    </row>
    <row r="103" spans="1:35" x14ac:dyDescent="0.25">
      <c r="A103" s="1">
        <v>46298</v>
      </c>
      <c r="B103" t="s">
        <v>97</v>
      </c>
      <c r="C103" t="s">
        <v>12</v>
      </c>
      <c r="D103">
        <v>3.8619594450028361</v>
      </c>
      <c r="E103">
        <v>0</v>
      </c>
      <c r="F103">
        <v>0</v>
      </c>
      <c r="G103">
        <v>1.8754325259515572</v>
      </c>
      <c r="H103">
        <v>0</v>
      </c>
      <c r="I103">
        <v>0</v>
      </c>
      <c r="J103">
        <v>0.48561683587285315</v>
      </c>
      <c r="K103">
        <v>0</v>
      </c>
      <c r="L103">
        <v>0</v>
      </c>
      <c r="M103">
        <v>0</v>
      </c>
      <c r="N103">
        <v>0</v>
      </c>
      <c r="O103">
        <v>0</v>
      </c>
      <c r="P103">
        <v>0</v>
      </c>
      <c r="Q103">
        <v>0</v>
      </c>
      <c r="R103">
        <v>0</v>
      </c>
      <c r="S103">
        <v>0</v>
      </c>
      <c r="T103">
        <v>0.48561683587285315</v>
      </c>
      <c r="U103">
        <v>0.5143831641271468</v>
      </c>
      <c r="V103">
        <v>0</v>
      </c>
      <c r="W103">
        <v>0</v>
      </c>
      <c r="X103">
        <v>0</v>
      </c>
      <c r="Y103">
        <v>0</v>
      </c>
      <c r="Z103">
        <v>0</v>
      </c>
      <c r="AA103">
        <v>0</v>
      </c>
      <c r="AB103">
        <v>0</v>
      </c>
      <c r="AC103">
        <v>0</v>
      </c>
      <c r="AD103">
        <v>0</v>
      </c>
      <c r="AE103" t="s">
        <v>161</v>
      </c>
      <c r="AF103">
        <v>0</v>
      </c>
      <c r="AG103" t="s">
        <v>181</v>
      </c>
      <c r="AH103">
        <v>46298</v>
      </c>
      <c r="AI103" t="s">
        <v>149</v>
      </c>
    </row>
    <row r="104" spans="1:35" x14ac:dyDescent="0.25">
      <c r="A104" s="1">
        <v>46299</v>
      </c>
      <c r="B104" t="s">
        <v>97</v>
      </c>
      <c r="C104" t="s">
        <v>10</v>
      </c>
      <c r="D104">
        <v>4.3768873710032157</v>
      </c>
      <c r="E104">
        <v>0</v>
      </c>
      <c r="F104">
        <v>0</v>
      </c>
      <c r="G104">
        <v>3.5110294117647061</v>
      </c>
      <c r="H104">
        <v>0</v>
      </c>
      <c r="I104">
        <v>0</v>
      </c>
      <c r="J104">
        <v>0.80217495086238688</v>
      </c>
      <c r="K104">
        <v>0</v>
      </c>
      <c r="L104">
        <v>0</v>
      </c>
      <c r="M104">
        <v>0</v>
      </c>
      <c r="N104">
        <v>0</v>
      </c>
      <c r="O104">
        <v>0</v>
      </c>
      <c r="P104">
        <v>0</v>
      </c>
      <c r="Q104">
        <v>0</v>
      </c>
      <c r="R104">
        <v>0</v>
      </c>
      <c r="S104">
        <v>0</v>
      </c>
      <c r="T104">
        <v>0.80217495086238688</v>
      </c>
      <c r="U104">
        <v>0.19782504913761312</v>
      </c>
      <c r="V104">
        <v>0</v>
      </c>
      <c r="W104">
        <v>0</v>
      </c>
      <c r="X104">
        <v>0</v>
      </c>
      <c r="Y104">
        <v>0</v>
      </c>
      <c r="Z104">
        <v>0</v>
      </c>
      <c r="AA104">
        <v>0</v>
      </c>
      <c r="AB104">
        <v>0</v>
      </c>
      <c r="AC104">
        <v>0</v>
      </c>
      <c r="AD104">
        <v>0</v>
      </c>
      <c r="AE104" t="s">
        <v>161</v>
      </c>
      <c r="AF104">
        <v>0</v>
      </c>
      <c r="AG104" t="s">
        <v>182</v>
      </c>
      <c r="AH104">
        <v>46299</v>
      </c>
      <c r="AI104" t="s">
        <v>149</v>
      </c>
    </row>
    <row r="105" spans="1:35" x14ac:dyDescent="0.25">
      <c r="A105" s="1">
        <v>46299</v>
      </c>
      <c r="B105" t="s">
        <v>97</v>
      </c>
      <c r="C105" t="s">
        <v>12</v>
      </c>
      <c r="D105">
        <v>3.8619594450028361</v>
      </c>
      <c r="E105">
        <v>0</v>
      </c>
      <c r="F105">
        <v>0</v>
      </c>
      <c r="G105">
        <v>3.5141291810841979</v>
      </c>
      <c r="H105">
        <v>0</v>
      </c>
      <c r="I105">
        <v>0</v>
      </c>
      <c r="J105">
        <v>0.90993425258032901</v>
      </c>
      <c r="K105">
        <v>0</v>
      </c>
      <c r="L105">
        <v>0</v>
      </c>
      <c r="M105">
        <v>0</v>
      </c>
      <c r="N105">
        <v>0</v>
      </c>
      <c r="O105">
        <v>0</v>
      </c>
      <c r="P105">
        <v>0</v>
      </c>
      <c r="Q105">
        <v>0</v>
      </c>
      <c r="R105">
        <v>0</v>
      </c>
      <c r="S105">
        <v>0</v>
      </c>
      <c r="T105">
        <v>0.90993425258032901</v>
      </c>
      <c r="U105">
        <v>9.0065747419670994E-2</v>
      </c>
      <c r="V105">
        <v>0</v>
      </c>
      <c r="W105">
        <v>0</v>
      </c>
      <c r="X105">
        <v>0</v>
      </c>
      <c r="Y105">
        <v>0</v>
      </c>
      <c r="Z105">
        <v>0</v>
      </c>
      <c r="AA105">
        <v>0</v>
      </c>
      <c r="AB105">
        <v>0</v>
      </c>
      <c r="AC105">
        <v>0</v>
      </c>
      <c r="AD105">
        <v>0</v>
      </c>
      <c r="AE105" t="s">
        <v>161</v>
      </c>
      <c r="AF105">
        <v>0</v>
      </c>
      <c r="AG105" t="s">
        <v>184</v>
      </c>
      <c r="AH105">
        <v>46299</v>
      </c>
      <c r="AI105" t="s">
        <v>149</v>
      </c>
    </row>
    <row r="106" spans="1:35" x14ac:dyDescent="0.25">
      <c r="A106" s="1">
        <v>46299</v>
      </c>
      <c r="B106" t="s">
        <v>97</v>
      </c>
      <c r="C106" t="s">
        <v>11</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161</v>
      </c>
      <c r="AF106">
        <v>0</v>
      </c>
      <c r="AG106" t="s">
        <v>183</v>
      </c>
      <c r="AH106">
        <v>46299</v>
      </c>
      <c r="AI106" t="s">
        <v>149</v>
      </c>
    </row>
    <row r="107" spans="1:35" x14ac:dyDescent="0.25">
      <c r="A107" s="1">
        <v>46300</v>
      </c>
      <c r="B107" t="s">
        <v>97</v>
      </c>
      <c r="C107" t="s">
        <v>11</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t="s">
        <v>161</v>
      </c>
      <c r="AF107">
        <v>0</v>
      </c>
      <c r="AG107" t="s">
        <v>185</v>
      </c>
      <c r="AH107">
        <v>46300</v>
      </c>
      <c r="AI107" t="s">
        <v>149</v>
      </c>
    </row>
    <row r="108" spans="1:35" x14ac:dyDescent="0.25">
      <c r="A108" s="1">
        <v>46300</v>
      </c>
      <c r="B108" t="s">
        <v>97</v>
      </c>
      <c r="C108" t="s">
        <v>10</v>
      </c>
      <c r="D108">
        <v>4.3768873710032157</v>
      </c>
      <c r="E108">
        <v>0</v>
      </c>
      <c r="F108">
        <v>0</v>
      </c>
      <c r="G108">
        <v>4.7058823529411775</v>
      </c>
      <c r="H108">
        <v>0</v>
      </c>
      <c r="I108">
        <v>0</v>
      </c>
      <c r="J108">
        <v>1.0751664262867595</v>
      </c>
      <c r="K108">
        <v>7.5166426286759513E-2</v>
      </c>
      <c r="L108">
        <v>0</v>
      </c>
      <c r="M108">
        <v>0</v>
      </c>
      <c r="N108">
        <v>0</v>
      </c>
      <c r="O108">
        <v>0</v>
      </c>
      <c r="P108">
        <v>0</v>
      </c>
      <c r="Q108">
        <v>0</v>
      </c>
      <c r="R108">
        <v>0</v>
      </c>
      <c r="S108">
        <v>0</v>
      </c>
      <c r="T108">
        <v>0</v>
      </c>
      <c r="U108">
        <v>0</v>
      </c>
      <c r="V108">
        <v>0</v>
      </c>
      <c r="W108">
        <v>0</v>
      </c>
      <c r="X108">
        <v>0</v>
      </c>
      <c r="Y108">
        <v>0</v>
      </c>
      <c r="Z108">
        <v>0</v>
      </c>
      <c r="AA108">
        <v>0</v>
      </c>
      <c r="AB108">
        <v>0</v>
      </c>
      <c r="AC108">
        <v>1</v>
      </c>
      <c r="AD108">
        <v>0</v>
      </c>
      <c r="AE108" t="s">
        <v>161</v>
      </c>
      <c r="AF108">
        <v>0</v>
      </c>
      <c r="AG108" t="s">
        <v>186</v>
      </c>
      <c r="AH108">
        <v>46300</v>
      </c>
      <c r="AI108" t="s">
        <v>149</v>
      </c>
    </row>
    <row r="109" spans="1:35" x14ac:dyDescent="0.25">
      <c r="A109" s="1">
        <v>46300</v>
      </c>
      <c r="B109" t="s">
        <v>97</v>
      </c>
      <c r="C109" t="s">
        <v>12</v>
      </c>
      <c r="D109">
        <v>3.0895675560022693</v>
      </c>
      <c r="E109">
        <v>0</v>
      </c>
      <c r="F109">
        <v>0</v>
      </c>
      <c r="G109">
        <v>3.8062283737024223</v>
      </c>
      <c r="H109">
        <v>0</v>
      </c>
      <c r="I109">
        <v>0</v>
      </c>
      <c r="J109">
        <v>1.2319615301202453</v>
      </c>
      <c r="K109">
        <v>0.23196153012024534</v>
      </c>
      <c r="L109">
        <v>0</v>
      </c>
      <c r="M109">
        <v>0</v>
      </c>
      <c r="N109">
        <v>0</v>
      </c>
      <c r="O109">
        <v>0</v>
      </c>
      <c r="P109">
        <v>0</v>
      </c>
      <c r="Q109">
        <v>0</v>
      </c>
      <c r="R109">
        <v>0</v>
      </c>
      <c r="S109">
        <v>0</v>
      </c>
      <c r="T109">
        <v>0</v>
      </c>
      <c r="U109">
        <v>0</v>
      </c>
      <c r="V109">
        <v>0</v>
      </c>
      <c r="W109">
        <v>0</v>
      </c>
      <c r="X109">
        <v>0</v>
      </c>
      <c r="Y109">
        <v>0</v>
      </c>
      <c r="Z109">
        <v>0</v>
      </c>
      <c r="AA109">
        <v>0</v>
      </c>
      <c r="AB109">
        <v>0</v>
      </c>
      <c r="AC109">
        <v>1</v>
      </c>
      <c r="AD109">
        <v>0</v>
      </c>
      <c r="AE109" t="s">
        <v>161</v>
      </c>
      <c r="AF109">
        <v>0</v>
      </c>
      <c r="AG109" t="s">
        <v>187</v>
      </c>
      <c r="AH109">
        <v>46300</v>
      </c>
      <c r="AI109" t="s">
        <v>149</v>
      </c>
    </row>
    <row r="110" spans="1:35" x14ac:dyDescent="0.25">
      <c r="A110" s="1">
        <v>46301</v>
      </c>
      <c r="B110" t="s">
        <v>97</v>
      </c>
      <c r="C110" t="s">
        <v>12</v>
      </c>
      <c r="D110">
        <v>3.0895675560022688</v>
      </c>
      <c r="E110">
        <v>0</v>
      </c>
      <c r="F110">
        <v>0</v>
      </c>
      <c r="G110">
        <v>3.5141291810841988</v>
      </c>
      <c r="H110">
        <v>0</v>
      </c>
      <c r="I110">
        <v>0</v>
      </c>
      <c r="J110">
        <v>1.1374178157254116</v>
      </c>
      <c r="K110">
        <v>0.13741781572541156</v>
      </c>
      <c r="L110">
        <v>0</v>
      </c>
      <c r="M110">
        <v>0</v>
      </c>
      <c r="N110">
        <v>0</v>
      </c>
      <c r="O110">
        <v>0</v>
      </c>
      <c r="P110">
        <v>0</v>
      </c>
      <c r="Q110">
        <v>0</v>
      </c>
      <c r="R110">
        <v>0</v>
      </c>
      <c r="S110">
        <v>0</v>
      </c>
      <c r="T110">
        <v>0</v>
      </c>
      <c r="U110">
        <v>0</v>
      </c>
      <c r="V110">
        <v>0</v>
      </c>
      <c r="W110">
        <v>0</v>
      </c>
      <c r="X110">
        <v>0</v>
      </c>
      <c r="Y110">
        <v>0</v>
      </c>
      <c r="Z110">
        <v>0</v>
      </c>
      <c r="AA110">
        <v>0</v>
      </c>
      <c r="AB110">
        <v>0</v>
      </c>
      <c r="AC110">
        <v>1</v>
      </c>
      <c r="AD110">
        <v>0</v>
      </c>
      <c r="AE110" t="s">
        <v>161</v>
      </c>
      <c r="AF110">
        <v>0</v>
      </c>
      <c r="AG110" t="s">
        <v>188</v>
      </c>
      <c r="AH110">
        <v>46301</v>
      </c>
      <c r="AI110" t="s">
        <v>149</v>
      </c>
    </row>
    <row r="111" spans="1:35" x14ac:dyDescent="0.25">
      <c r="A111" s="1">
        <v>46301</v>
      </c>
      <c r="B111" t="s">
        <v>97</v>
      </c>
      <c r="C111" t="s">
        <v>11</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t="s">
        <v>161</v>
      </c>
      <c r="AF111">
        <v>0</v>
      </c>
      <c r="AG111" t="s">
        <v>189</v>
      </c>
      <c r="AH111">
        <v>46301</v>
      </c>
      <c r="AI111" t="s">
        <v>149</v>
      </c>
    </row>
    <row r="112" spans="1:35" x14ac:dyDescent="0.25">
      <c r="A112" s="1">
        <v>46301</v>
      </c>
      <c r="B112" t="s">
        <v>97</v>
      </c>
      <c r="C112" t="s">
        <v>10</v>
      </c>
      <c r="D112">
        <v>4.3768873710032157</v>
      </c>
      <c r="E112">
        <v>0</v>
      </c>
      <c r="F112">
        <v>0</v>
      </c>
      <c r="G112">
        <v>3.5110294117647056</v>
      </c>
      <c r="H112">
        <v>0</v>
      </c>
      <c r="I112">
        <v>0</v>
      </c>
      <c r="J112">
        <v>0.80217495086238677</v>
      </c>
      <c r="K112">
        <v>0</v>
      </c>
      <c r="L112">
        <v>0</v>
      </c>
      <c r="M112">
        <v>0</v>
      </c>
      <c r="N112">
        <v>0</v>
      </c>
      <c r="O112">
        <v>0</v>
      </c>
      <c r="P112">
        <v>0</v>
      </c>
      <c r="Q112">
        <v>0</v>
      </c>
      <c r="R112">
        <v>0</v>
      </c>
      <c r="S112">
        <v>0</v>
      </c>
      <c r="T112">
        <v>0.80217495086238677</v>
      </c>
      <c r="U112">
        <v>0.19782504913761323</v>
      </c>
      <c r="V112">
        <v>0</v>
      </c>
      <c r="W112">
        <v>0</v>
      </c>
      <c r="X112">
        <v>0</v>
      </c>
      <c r="Y112">
        <v>0</v>
      </c>
      <c r="Z112">
        <v>0</v>
      </c>
      <c r="AA112">
        <v>0</v>
      </c>
      <c r="AB112">
        <v>0</v>
      </c>
      <c r="AC112">
        <v>0</v>
      </c>
      <c r="AD112">
        <v>0</v>
      </c>
      <c r="AE112" t="s">
        <v>161</v>
      </c>
      <c r="AF112">
        <v>0</v>
      </c>
      <c r="AG112" t="s">
        <v>190</v>
      </c>
      <c r="AH112">
        <v>46301</v>
      </c>
      <c r="AI112" t="s">
        <v>149</v>
      </c>
    </row>
    <row r="113" spans="1:35" x14ac:dyDescent="0.25">
      <c r="A113" s="1">
        <v>46302</v>
      </c>
      <c r="B113" t="s">
        <v>97</v>
      </c>
      <c r="C113" t="s">
        <v>12</v>
      </c>
      <c r="D113">
        <v>3.8619594450028369</v>
      </c>
      <c r="E113">
        <v>0</v>
      </c>
      <c r="F113">
        <v>0</v>
      </c>
      <c r="G113">
        <v>3.7508650519031144</v>
      </c>
      <c r="H113">
        <v>0</v>
      </c>
      <c r="I113">
        <v>0</v>
      </c>
      <c r="J113">
        <v>0.97123367174570607</v>
      </c>
      <c r="K113">
        <v>0</v>
      </c>
      <c r="L113">
        <v>0</v>
      </c>
      <c r="M113">
        <v>0</v>
      </c>
      <c r="N113">
        <v>0</v>
      </c>
      <c r="O113">
        <v>0</v>
      </c>
      <c r="P113">
        <v>0</v>
      </c>
      <c r="Q113">
        <v>0</v>
      </c>
      <c r="R113">
        <v>0</v>
      </c>
      <c r="S113">
        <v>0</v>
      </c>
      <c r="T113">
        <v>0.97123367174570607</v>
      </c>
      <c r="U113">
        <v>2.8766328254293927E-2</v>
      </c>
      <c r="V113">
        <v>0</v>
      </c>
      <c r="W113">
        <v>0</v>
      </c>
      <c r="X113">
        <v>0</v>
      </c>
      <c r="Y113">
        <v>0</v>
      </c>
      <c r="Z113">
        <v>0</v>
      </c>
      <c r="AA113">
        <v>0</v>
      </c>
      <c r="AB113">
        <v>0</v>
      </c>
      <c r="AC113">
        <v>0</v>
      </c>
      <c r="AD113">
        <v>0</v>
      </c>
      <c r="AE113" t="s">
        <v>161</v>
      </c>
      <c r="AF113">
        <v>0</v>
      </c>
      <c r="AG113" t="s">
        <v>191</v>
      </c>
      <c r="AH113">
        <v>46302</v>
      </c>
      <c r="AI113" t="s">
        <v>149</v>
      </c>
    </row>
    <row r="114" spans="1:35" x14ac:dyDescent="0.25">
      <c r="A114" s="1">
        <v>46302</v>
      </c>
      <c r="B114" t="s">
        <v>97</v>
      </c>
      <c r="C114" t="s">
        <v>11</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t="s">
        <v>161</v>
      </c>
      <c r="AF114">
        <v>0</v>
      </c>
      <c r="AG114" t="s">
        <v>192</v>
      </c>
      <c r="AH114">
        <v>46302</v>
      </c>
      <c r="AI114" t="s">
        <v>149</v>
      </c>
    </row>
    <row r="115" spans="1:35" x14ac:dyDescent="0.25">
      <c r="A115" s="1">
        <v>46302</v>
      </c>
      <c r="B115" t="s">
        <v>97</v>
      </c>
      <c r="C115" t="s">
        <v>10</v>
      </c>
      <c r="D115">
        <v>3.5015098968025717</v>
      </c>
      <c r="E115">
        <v>0</v>
      </c>
      <c r="F115">
        <v>0</v>
      </c>
      <c r="G115">
        <v>3.764705882352942</v>
      </c>
      <c r="H115">
        <v>0</v>
      </c>
      <c r="I115">
        <v>0</v>
      </c>
      <c r="J115">
        <v>1.0751664262867597</v>
      </c>
      <c r="K115">
        <v>7.5166426286759735E-2</v>
      </c>
      <c r="L115">
        <v>0</v>
      </c>
      <c r="M115">
        <v>0</v>
      </c>
      <c r="N115">
        <v>0</v>
      </c>
      <c r="O115">
        <v>0</v>
      </c>
      <c r="P115">
        <v>0</v>
      </c>
      <c r="Q115">
        <v>0</v>
      </c>
      <c r="R115">
        <v>0</v>
      </c>
      <c r="S115">
        <v>0</v>
      </c>
      <c r="T115">
        <v>0</v>
      </c>
      <c r="U115">
        <v>0</v>
      </c>
      <c r="V115">
        <v>0</v>
      </c>
      <c r="W115">
        <v>0</v>
      </c>
      <c r="X115">
        <v>0</v>
      </c>
      <c r="Y115">
        <v>0</v>
      </c>
      <c r="Z115">
        <v>0</v>
      </c>
      <c r="AA115">
        <v>0</v>
      </c>
      <c r="AB115">
        <v>0</v>
      </c>
      <c r="AC115">
        <v>1</v>
      </c>
      <c r="AD115">
        <v>0</v>
      </c>
      <c r="AE115" t="s">
        <v>161</v>
      </c>
      <c r="AF115">
        <v>0</v>
      </c>
      <c r="AG115" t="s">
        <v>193</v>
      </c>
      <c r="AH115">
        <v>46302</v>
      </c>
      <c r="AI115" t="s">
        <v>149</v>
      </c>
    </row>
    <row r="116" spans="1:35" x14ac:dyDescent="0.25">
      <c r="A116" s="1">
        <v>46303</v>
      </c>
      <c r="B116" t="s">
        <v>97</v>
      </c>
      <c r="C116" t="s">
        <v>12</v>
      </c>
      <c r="D116">
        <v>3.8619594450028369</v>
      </c>
      <c r="E116">
        <v>0</v>
      </c>
      <c r="F116">
        <v>0</v>
      </c>
      <c r="G116">
        <v>3.7498003726377434</v>
      </c>
      <c r="H116">
        <v>0</v>
      </c>
      <c r="I116">
        <v>0</v>
      </c>
      <c r="J116">
        <v>0.97095798804665823</v>
      </c>
      <c r="K116">
        <v>0</v>
      </c>
      <c r="L116">
        <v>0</v>
      </c>
      <c r="M116">
        <v>0</v>
      </c>
      <c r="N116">
        <v>0</v>
      </c>
      <c r="O116">
        <v>0</v>
      </c>
      <c r="P116">
        <v>0</v>
      </c>
      <c r="Q116">
        <v>0</v>
      </c>
      <c r="R116">
        <v>0</v>
      </c>
      <c r="S116">
        <v>0</v>
      </c>
      <c r="T116">
        <v>0.97095798804665823</v>
      </c>
      <c r="U116">
        <v>2.9042011953341773E-2</v>
      </c>
      <c r="V116">
        <v>0</v>
      </c>
      <c r="W116">
        <v>0</v>
      </c>
      <c r="X116">
        <v>0</v>
      </c>
      <c r="Y116">
        <v>0</v>
      </c>
      <c r="Z116">
        <v>0</v>
      </c>
      <c r="AA116">
        <v>0</v>
      </c>
      <c r="AB116">
        <v>0</v>
      </c>
      <c r="AC116">
        <v>0</v>
      </c>
      <c r="AD116">
        <v>0</v>
      </c>
      <c r="AE116" t="s">
        <v>161</v>
      </c>
      <c r="AF116">
        <v>0</v>
      </c>
      <c r="AG116" t="s">
        <v>194</v>
      </c>
      <c r="AH116">
        <v>46303</v>
      </c>
      <c r="AI116" t="s">
        <v>149</v>
      </c>
    </row>
    <row r="117" spans="1:35" x14ac:dyDescent="0.25">
      <c r="A117" s="1">
        <v>46303</v>
      </c>
      <c r="B117" t="s">
        <v>97</v>
      </c>
      <c r="C117" t="s">
        <v>11</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161</v>
      </c>
      <c r="AF117">
        <v>0</v>
      </c>
      <c r="AG117" t="s">
        <v>195</v>
      </c>
      <c r="AH117">
        <v>46303</v>
      </c>
      <c r="AI117" t="s">
        <v>149</v>
      </c>
    </row>
    <row r="118" spans="1:35" x14ac:dyDescent="0.25">
      <c r="A118" s="1">
        <v>46303</v>
      </c>
      <c r="B118" t="s">
        <v>97</v>
      </c>
      <c r="C118" t="s">
        <v>10</v>
      </c>
      <c r="D118">
        <v>3.5015098968025717</v>
      </c>
      <c r="E118">
        <v>0</v>
      </c>
      <c r="F118">
        <v>0</v>
      </c>
      <c r="G118">
        <v>3.5158371040723981</v>
      </c>
      <c r="H118">
        <v>0</v>
      </c>
      <c r="I118">
        <v>0</v>
      </c>
      <c r="J118">
        <v>1.004091722625976</v>
      </c>
      <c r="K118">
        <v>4.0917226259760131E-3</v>
      </c>
      <c r="L118">
        <v>0</v>
      </c>
      <c r="M118">
        <v>0</v>
      </c>
      <c r="N118">
        <v>0</v>
      </c>
      <c r="O118">
        <v>0</v>
      </c>
      <c r="P118">
        <v>0</v>
      </c>
      <c r="Q118">
        <v>0</v>
      </c>
      <c r="R118">
        <v>0</v>
      </c>
      <c r="S118">
        <v>0</v>
      </c>
      <c r="T118">
        <v>0</v>
      </c>
      <c r="U118">
        <v>0</v>
      </c>
      <c r="V118">
        <v>0</v>
      </c>
      <c r="W118">
        <v>0</v>
      </c>
      <c r="X118">
        <v>0</v>
      </c>
      <c r="Y118">
        <v>0</v>
      </c>
      <c r="Z118">
        <v>0</v>
      </c>
      <c r="AA118">
        <v>0</v>
      </c>
      <c r="AB118">
        <v>0</v>
      </c>
      <c r="AC118">
        <v>1</v>
      </c>
      <c r="AD118">
        <v>0</v>
      </c>
      <c r="AE118" t="s">
        <v>161</v>
      </c>
      <c r="AF118">
        <v>0</v>
      </c>
      <c r="AG118" t="s">
        <v>196</v>
      </c>
      <c r="AH118">
        <v>46303</v>
      </c>
      <c r="AI118" t="s">
        <v>149</v>
      </c>
    </row>
    <row r="119" spans="1:35" x14ac:dyDescent="0.25">
      <c r="A119" s="1">
        <v>46304</v>
      </c>
      <c r="B119" t="s">
        <v>97</v>
      </c>
      <c r="C119" t="s">
        <v>10</v>
      </c>
      <c r="D119">
        <v>3.5015098968025709</v>
      </c>
      <c r="E119">
        <v>0</v>
      </c>
      <c r="F119">
        <v>0</v>
      </c>
      <c r="G119">
        <v>2.8235294117647061</v>
      </c>
      <c r="H119">
        <v>0</v>
      </c>
      <c r="I119">
        <v>0</v>
      </c>
      <c r="J119">
        <v>0.80637481971506986</v>
      </c>
      <c r="K119">
        <v>0</v>
      </c>
      <c r="L119">
        <v>0</v>
      </c>
      <c r="M119">
        <v>0</v>
      </c>
      <c r="N119">
        <v>0</v>
      </c>
      <c r="O119">
        <v>0</v>
      </c>
      <c r="P119">
        <v>0</v>
      </c>
      <c r="Q119">
        <v>0</v>
      </c>
      <c r="R119">
        <v>0</v>
      </c>
      <c r="S119">
        <v>0</v>
      </c>
      <c r="T119">
        <v>0.80637481971506986</v>
      </c>
      <c r="U119">
        <v>0.19362518028493014</v>
      </c>
      <c r="V119">
        <v>0</v>
      </c>
      <c r="W119">
        <v>0</v>
      </c>
      <c r="X119">
        <v>0</v>
      </c>
      <c r="Y119">
        <v>0</v>
      </c>
      <c r="Z119">
        <v>0</v>
      </c>
      <c r="AA119">
        <v>0</v>
      </c>
      <c r="AB119">
        <v>0</v>
      </c>
      <c r="AC119">
        <v>0</v>
      </c>
      <c r="AD119">
        <v>0</v>
      </c>
      <c r="AE119" t="s">
        <v>161</v>
      </c>
      <c r="AF119">
        <v>0</v>
      </c>
      <c r="AG119" t="s">
        <v>198</v>
      </c>
      <c r="AH119">
        <v>46304</v>
      </c>
      <c r="AI119" t="s">
        <v>149</v>
      </c>
    </row>
    <row r="120" spans="1:35" x14ac:dyDescent="0.25">
      <c r="A120" s="1">
        <v>46304</v>
      </c>
      <c r="B120" t="s">
        <v>97</v>
      </c>
      <c r="C120" t="s">
        <v>11</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t="s">
        <v>161</v>
      </c>
      <c r="AF120">
        <v>0</v>
      </c>
      <c r="AG120" t="s">
        <v>199</v>
      </c>
      <c r="AH120">
        <v>46304</v>
      </c>
      <c r="AI120" t="s">
        <v>149</v>
      </c>
    </row>
    <row r="121" spans="1:35" x14ac:dyDescent="0.25">
      <c r="A121" s="1">
        <v>46304</v>
      </c>
      <c r="B121" t="s">
        <v>97</v>
      </c>
      <c r="C121" t="s">
        <v>12</v>
      </c>
      <c r="D121">
        <v>3.8619594450028369</v>
      </c>
      <c r="E121">
        <v>0</v>
      </c>
      <c r="F121">
        <v>0</v>
      </c>
      <c r="G121">
        <v>3.6955017301038064</v>
      </c>
      <c r="H121">
        <v>0</v>
      </c>
      <c r="I121">
        <v>0</v>
      </c>
      <c r="J121">
        <v>0.95689811939521596</v>
      </c>
      <c r="K121">
        <v>0</v>
      </c>
      <c r="L121">
        <v>0</v>
      </c>
      <c r="M121">
        <v>0</v>
      </c>
      <c r="N121">
        <v>0</v>
      </c>
      <c r="O121">
        <v>0</v>
      </c>
      <c r="P121">
        <v>0</v>
      </c>
      <c r="Q121">
        <v>0</v>
      </c>
      <c r="R121">
        <v>0</v>
      </c>
      <c r="S121">
        <v>0</v>
      </c>
      <c r="T121">
        <v>0.95689811939521596</v>
      </c>
      <c r="U121">
        <v>4.3101880604784037E-2</v>
      </c>
      <c r="V121">
        <v>0</v>
      </c>
      <c r="W121">
        <v>0</v>
      </c>
      <c r="X121">
        <v>0</v>
      </c>
      <c r="Y121">
        <v>0</v>
      </c>
      <c r="Z121">
        <v>0</v>
      </c>
      <c r="AA121">
        <v>0</v>
      </c>
      <c r="AB121">
        <v>0</v>
      </c>
      <c r="AC121">
        <v>0</v>
      </c>
      <c r="AD121">
        <v>0</v>
      </c>
      <c r="AE121" t="s">
        <v>161</v>
      </c>
      <c r="AF121">
        <v>0</v>
      </c>
      <c r="AG121" t="s">
        <v>197</v>
      </c>
      <c r="AH121">
        <v>46304</v>
      </c>
      <c r="AI121" t="s">
        <v>149</v>
      </c>
    </row>
    <row r="122" spans="1:35" x14ac:dyDescent="0.25">
      <c r="A122" s="1">
        <v>46305</v>
      </c>
      <c r="B122" t="s">
        <v>97</v>
      </c>
      <c r="C122" t="s">
        <v>10</v>
      </c>
      <c r="D122">
        <v>4.3768873710032157</v>
      </c>
      <c r="E122">
        <v>0</v>
      </c>
      <c r="F122">
        <v>0</v>
      </c>
      <c r="G122">
        <v>3.7647058823529425</v>
      </c>
      <c r="H122">
        <v>0</v>
      </c>
      <c r="I122">
        <v>0</v>
      </c>
      <c r="J122">
        <v>0.86013314102940774</v>
      </c>
      <c r="K122">
        <v>0</v>
      </c>
      <c r="L122">
        <v>0</v>
      </c>
      <c r="M122">
        <v>0</v>
      </c>
      <c r="N122">
        <v>0</v>
      </c>
      <c r="O122">
        <v>0</v>
      </c>
      <c r="P122">
        <v>0</v>
      </c>
      <c r="Q122">
        <v>0</v>
      </c>
      <c r="R122">
        <v>0</v>
      </c>
      <c r="S122">
        <v>0</v>
      </c>
      <c r="T122">
        <v>0.86013314102940774</v>
      </c>
      <c r="U122">
        <v>0.13986685897059226</v>
      </c>
      <c r="V122">
        <v>0</v>
      </c>
      <c r="W122">
        <v>0</v>
      </c>
      <c r="X122">
        <v>0</v>
      </c>
      <c r="Y122">
        <v>0</v>
      </c>
      <c r="Z122">
        <v>0</v>
      </c>
      <c r="AA122">
        <v>0</v>
      </c>
      <c r="AB122">
        <v>0</v>
      </c>
      <c r="AC122">
        <v>0</v>
      </c>
      <c r="AD122">
        <v>0</v>
      </c>
      <c r="AE122" t="s">
        <v>161</v>
      </c>
      <c r="AF122">
        <v>0</v>
      </c>
      <c r="AG122" t="s">
        <v>200</v>
      </c>
      <c r="AH122">
        <v>46305</v>
      </c>
      <c r="AI122" t="s">
        <v>149</v>
      </c>
    </row>
    <row r="123" spans="1:35" x14ac:dyDescent="0.25">
      <c r="A123" s="1">
        <v>46305</v>
      </c>
      <c r="B123" t="s">
        <v>97</v>
      </c>
      <c r="C123" t="s">
        <v>11</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t="s">
        <v>161</v>
      </c>
      <c r="AF123">
        <v>0</v>
      </c>
      <c r="AG123" t="s">
        <v>201</v>
      </c>
      <c r="AH123">
        <v>46305</v>
      </c>
      <c r="AI123" t="s">
        <v>149</v>
      </c>
    </row>
    <row r="124" spans="1:35" x14ac:dyDescent="0.25">
      <c r="A124" s="1">
        <v>46305</v>
      </c>
      <c r="B124" t="s">
        <v>97</v>
      </c>
      <c r="C124" t="s">
        <v>12</v>
      </c>
      <c r="D124">
        <v>3.0895675560022697</v>
      </c>
      <c r="E124">
        <v>0</v>
      </c>
      <c r="F124">
        <v>0</v>
      </c>
      <c r="G124">
        <v>3.7508650519031144</v>
      </c>
      <c r="H124">
        <v>0</v>
      </c>
      <c r="I124">
        <v>0</v>
      </c>
      <c r="J124">
        <v>1.2140420896821325</v>
      </c>
      <c r="K124">
        <v>0.21404208968213245</v>
      </c>
      <c r="L124">
        <v>0</v>
      </c>
      <c r="M124">
        <v>0</v>
      </c>
      <c r="N124">
        <v>0</v>
      </c>
      <c r="O124">
        <v>0</v>
      </c>
      <c r="P124">
        <v>0</v>
      </c>
      <c r="Q124">
        <v>0</v>
      </c>
      <c r="R124">
        <v>0</v>
      </c>
      <c r="S124">
        <v>0</v>
      </c>
      <c r="T124">
        <v>0</v>
      </c>
      <c r="U124">
        <v>0</v>
      </c>
      <c r="V124">
        <v>0</v>
      </c>
      <c r="W124">
        <v>0</v>
      </c>
      <c r="X124">
        <v>0</v>
      </c>
      <c r="Y124">
        <v>0</v>
      </c>
      <c r="Z124">
        <v>0</v>
      </c>
      <c r="AA124">
        <v>0</v>
      </c>
      <c r="AB124">
        <v>0</v>
      </c>
      <c r="AC124">
        <v>1</v>
      </c>
      <c r="AD124">
        <v>0</v>
      </c>
      <c r="AE124" t="s">
        <v>161</v>
      </c>
      <c r="AF124">
        <v>0</v>
      </c>
      <c r="AG124" t="s">
        <v>202</v>
      </c>
      <c r="AH124">
        <v>46305</v>
      </c>
      <c r="AI124" t="s">
        <v>149</v>
      </c>
    </row>
    <row r="125" spans="1:35" x14ac:dyDescent="0.25">
      <c r="A125" s="1">
        <v>46306</v>
      </c>
      <c r="B125" t="s">
        <v>97</v>
      </c>
      <c r="C125" t="s">
        <v>11</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t="s">
        <v>161</v>
      </c>
      <c r="AF125">
        <v>0</v>
      </c>
      <c r="AG125" t="s">
        <v>203</v>
      </c>
      <c r="AH125">
        <v>46306</v>
      </c>
      <c r="AI125" t="s">
        <v>149</v>
      </c>
    </row>
    <row r="126" spans="1:35" x14ac:dyDescent="0.25">
      <c r="A126" s="1">
        <v>46306</v>
      </c>
      <c r="B126" t="s">
        <v>97</v>
      </c>
      <c r="C126" t="s">
        <v>10</v>
      </c>
      <c r="D126">
        <v>4.3768873710032157</v>
      </c>
      <c r="E126">
        <v>0</v>
      </c>
      <c r="F126">
        <v>0</v>
      </c>
      <c r="G126">
        <v>2.8235294117647056</v>
      </c>
      <c r="H126">
        <v>0</v>
      </c>
      <c r="I126">
        <v>0</v>
      </c>
      <c r="J126">
        <v>0.64509985577205553</v>
      </c>
      <c r="K126">
        <v>0</v>
      </c>
      <c r="L126">
        <v>0</v>
      </c>
      <c r="M126">
        <v>0</v>
      </c>
      <c r="N126">
        <v>0</v>
      </c>
      <c r="O126">
        <v>0</v>
      </c>
      <c r="P126">
        <v>0</v>
      </c>
      <c r="Q126">
        <v>0</v>
      </c>
      <c r="R126">
        <v>0</v>
      </c>
      <c r="S126">
        <v>0</v>
      </c>
      <c r="T126">
        <v>0.64509985577205553</v>
      </c>
      <c r="U126">
        <v>0.35490014422794447</v>
      </c>
      <c r="V126">
        <v>0</v>
      </c>
      <c r="W126">
        <v>0</v>
      </c>
      <c r="X126">
        <v>0</v>
      </c>
      <c r="Y126">
        <v>0</v>
      </c>
      <c r="Z126">
        <v>0</v>
      </c>
      <c r="AA126">
        <v>0</v>
      </c>
      <c r="AB126">
        <v>0</v>
      </c>
      <c r="AC126">
        <v>0</v>
      </c>
      <c r="AD126">
        <v>0</v>
      </c>
      <c r="AE126" t="s">
        <v>161</v>
      </c>
      <c r="AF126">
        <v>0</v>
      </c>
      <c r="AG126" t="s">
        <v>204</v>
      </c>
      <c r="AH126">
        <v>46306</v>
      </c>
      <c r="AI126" t="s">
        <v>149</v>
      </c>
    </row>
    <row r="127" spans="1:35" x14ac:dyDescent="0.25">
      <c r="A127" s="1">
        <v>46306</v>
      </c>
      <c r="B127" t="s">
        <v>97</v>
      </c>
      <c r="C127" t="s">
        <v>12</v>
      </c>
      <c r="D127">
        <v>3.0895675560022697</v>
      </c>
      <c r="E127">
        <v>0</v>
      </c>
      <c r="F127">
        <v>0</v>
      </c>
      <c r="G127">
        <v>3.6955017301038064</v>
      </c>
      <c r="H127">
        <v>0</v>
      </c>
      <c r="I127">
        <v>0</v>
      </c>
      <c r="J127">
        <v>1.1961226492440198</v>
      </c>
      <c r="K127">
        <v>0.19612264924401979</v>
      </c>
      <c r="L127">
        <v>0</v>
      </c>
      <c r="M127">
        <v>0</v>
      </c>
      <c r="N127">
        <v>0</v>
      </c>
      <c r="O127">
        <v>0</v>
      </c>
      <c r="P127">
        <v>0</v>
      </c>
      <c r="Q127">
        <v>0</v>
      </c>
      <c r="R127">
        <v>0</v>
      </c>
      <c r="S127">
        <v>0</v>
      </c>
      <c r="T127">
        <v>0</v>
      </c>
      <c r="U127">
        <v>0</v>
      </c>
      <c r="V127">
        <v>0</v>
      </c>
      <c r="W127">
        <v>0</v>
      </c>
      <c r="X127">
        <v>0</v>
      </c>
      <c r="Y127">
        <v>0</v>
      </c>
      <c r="Z127">
        <v>0</v>
      </c>
      <c r="AA127">
        <v>0</v>
      </c>
      <c r="AB127">
        <v>0</v>
      </c>
      <c r="AC127">
        <v>1</v>
      </c>
      <c r="AD127">
        <v>0</v>
      </c>
      <c r="AE127" t="s">
        <v>161</v>
      </c>
      <c r="AF127">
        <v>0</v>
      </c>
      <c r="AG127" t="s">
        <v>205</v>
      </c>
      <c r="AH127">
        <v>46306</v>
      </c>
      <c r="AI127" t="s">
        <v>149</v>
      </c>
    </row>
    <row r="128" spans="1:35" x14ac:dyDescent="0.25">
      <c r="A128" s="1">
        <v>46307</v>
      </c>
      <c r="B128" t="s">
        <v>97</v>
      </c>
      <c r="C128" t="s">
        <v>12</v>
      </c>
      <c r="D128">
        <v>3.0895675560022697</v>
      </c>
      <c r="E128">
        <v>0</v>
      </c>
      <c r="F128">
        <v>0</v>
      </c>
      <c r="G128">
        <v>3.7508650519031144</v>
      </c>
      <c r="H128">
        <v>0</v>
      </c>
      <c r="I128">
        <v>0</v>
      </c>
      <c r="J128">
        <v>1.2140420896821325</v>
      </c>
      <c r="K128">
        <v>0.21404208968213245</v>
      </c>
      <c r="L128">
        <v>0</v>
      </c>
      <c r="M128">
        <v>0</v>
      </c>
      <c r="N128">
        <v>0</v>
      </c>
      <c r="O128">
        <v>0</v>
      </c>
      <c r="P128">
        <v>0</v>
      </c>
      <c r="Q128">
        <v>0</v>
      </c>
      <c r="R128">
        <v>0</v>
      </c>
      <c r="S128">
        <v>0</v>
      </c>
      <c r="T128">
        <v>0</v>
      </c>
      <c r="U128">
        <v>0</v>
      </c>
      <c r="V128">
        <v>0</v>
      </c>
      <c r="W128">
        <v>0</v>
      </c>
      <c r="X128">
        <v>0</v>
      </c>
      <c r="Y128">
        <v>0</v>
      </c>
      <c r="Z128">
        <v>0</v>
      </c>
      <c r="AA128">
        <v>0</v>
      </c>
      <c r="AB128">
        <v>0</v>
      </c>
      <c r="AC128">
        <v>1</v>
      </c>
      <c r="AD128">
        <v>0</v>
      </c>
      <c r="AE128" t="s">
        <v>161</v>
      </c>
      <c r="AF128">
        <v>0</v>
      </c>
      <c r="AG128" t="s">
        <v>207</v>
      </c>
      <c r="AH128">
        <v>46307</v>
      </c>
      <c r="AI128" t="s">
        <v>149</v>
      </c>
    </row>
    <row r="129" spans="1:35" x14ac:dyDescent="0.25">
      <c r="A129" s="1">
        <v>46307</v>
      </c>
      <c r="B129" t="s">
        <v>97</v>
      </c>
      <c r="C129" t="s">
        <v>11</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t="s">
        <v>161</v>
      </c>
      <c r="AF129">
        <v>0</v>
      </c>
      <c r="AG129" t="s">
        <v>206</v>
      </c>
      <c r="AH129">
        <v>46307</v>
      </c>
      <c r="AI129" t="s">
        <v>149</v>
      </c>
    </row>
    <row r="130" spans="1:35" x14ac:dyDescent="0.25">
      <c r="A130" s="1">
        <v>46307</v>
      </c>
      <c r="B130" t="s">
        <v>97</v>
      </c>
      <c r="C130" t="s">
        <v>10</v>
      </c>
      <c r="D130">
        <v>4.3768873710032157</v>
      </c>
      <c r="E130">
        <v>0</v>
      </c>
      <c r="F130">
        <v>0</v>
      </c>
      <c r="G130">
        <v>3.764705882352942</v>
      </c>
      <c r="H130">
        <v>0</v>
      </c>
      <c r="I130">
        <v>0</v>
      </c>
      <c r="J130">
        <v>0.86013314102940763</v>
      </c>
      <c r="K130">
        <v>0</v>
      </c>
      <c r="L130">
        <v>0</v>
      </c>
      <c r="M130">
        <v>0</v>
      </c>
      <c r="N130">
        <v>0</v>
      </c>
      <c r="O130">
        <v>0</v>
      </c>
      <c r="P130">
        <v>0</v>
      </c>
      <c r="Q130">
        <v>0</v>
      </c>
      <c r="R130">
        <v>0</v>
      </c>
      <c r="S130">
        <v>0</v>
      </c>
      <c r="T130">
        <v>0.86013314102940763</v>
      </c>
      <c r="U130">
        <v>0.13986685897059237</v>
      </c>
      <c r="V130">
        <v>0</v>
      </c>
      <c r="W130">
        <v>0</v>
      </c>
      <c r="X130">
        <v>0</v>
      </c>
      <c r="Y130">
        <v>0</v>
      </c>
      <c r="Z130">
        <v>0</v>
      </c>
      <c r="AA130">
        <v>0</v>
      </c>
      <c r="AB130">
        <v>0</v>
      </c>
      <c r="AC130">
        <v>0</v>
      </c>
      <c r="AD130">
        <v>0</v>
      </c>
      <c r="AE130" t="s">
        <v>161</v>
      </c>
      <c r="AF130">
        <v>0</v>
      </c>
      <c r="AG130" t="s">
        <v>208</v>
      </c>
      <c r="AH130">
        <v>46307</v>
      </c>
      <c r="AI130" t="s">
        <v>149</v>
      </c>
    </row>
    <row r="131" spans="1:35" x14ac:dyDescent="0.25">
      <c r="A131" s="1">
        <v>46308</v>
      </c>
      <c r="B131" t="s">
        <v>97</v>
      </c>
      <c r="C131" t="s">
        <v>11</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t="s">
        <v>161</v>
      </c>
      <c r="AF131">
        <v>0</v>
      </c>
      <c r="AG131" t="s">
        <v>211</v>
      </c>
      <c r="AH131">
        <v>46308</v>
      </c>
      <c r="AI131" t="s">
        <v>149</v>
      </c>
    </row>
    <row r="132" spans="1:35" x14ac:dyDescent="0.25">
      <c r="A132" s="1">
        <v>46308</v>
      </c>
      <c r="B132" t="s">
        <v>97</v>
      </c>
      <c r="C132" t="s">
        <v>10</v>
      </c>
      <c r="D132">
        <v>4.3768873710032157</v>
      </c>
      <c r="E132">
        <v>0</v>
      </c>
      <c r="F132">
        <v>0</v>
      </c>
      <c r="G132">
        <v>3.764705882352942</v>
      </c>
      <c r="H132">
        <v>0</v>
      </c>
      <c r="I132">
        <v>0</v>
      </c>
      <c r="J132">
        <v>0.86013314102940763</v>
      </c>
      <c r="K132">
        <v>0</v>
      </c>
      <c r="L132">
        <v>0</v>
      </c>
      <c r="M132">
        <v>0</v>
      </c>
      <c r="N132">
        <v>0</v>
      </c>
      <c r="O132">
        <v>0</v>
      </c>
      <c r="P132">
        <v>0</v>
      </c>
      <c r="Q132">
        <v>0</v>
      </c>
      <c r="R132">
        <v>0</v>
      </c>
      <c r="S132">
        <v>0</v>
      </c>
      <c r="T132">
        <v>0.86013314102940763</v>
      </c>
      <c r="U132">
        <v>0.13986685897059237</v>
      </c>
      <c r="V132">
        <v>0</v>
      </c>
      <c r="W132">
        <v>0</v>
      </c>
      <c r="X132">
        <v>0</v>
      </c>
      <c r="Y132">
        <v>0</v>
      </c>
      <c r="Z132">
        <v>0</v>
      </c>
      <c r="AA132">
        <v>0</v>
      </c>
      <c r="AB132">
        <v>0</v>
      </c>
      <c r="AC132">
        <v>0</v>
      </c>
      <c r="AD132">
        <v>0</v>
      </c>
      <c r="AE132" t="s">
        <v>161</v>
      </c>
      <c r="AF132">
        <v>0</v>
      </c>
      <c r="AG132" t="s">
        <v>210</v>
      </c>
      <c r="AH132">
        <v>46308</v>
      </c>
      <c r="AI132" t="s">
        <v>149</v>
      </c>
    </row>
    <row r="133" spans="1:35" x14ac:dyDescent="0.25">
      <c r="A133" s="1">
        <v>46308</v>
      </c>
      <c r="B133" t="s">
        <v>97</v>
      </c>
      <c r="C133" t="s">
        <v>12</v>
      </c>
      <c r="D133">
        <v>3.0895675560022697</v>
      </c>
      <c r="E133">
        <v>0</v>
      </c>
      <c r="F133">
        <v>0</v>
      </c>
      <c r="G133">
        <v>3.7508650519031144</v>
      </c>
      <c r="H133">
        <v>0</v>
      </c>
      <c r="I133">
        <v>0</v>
      </c>
      <c r="J133">
        <v>1.2140420896821325</v>
      </c>
      <c r="K133">
        <v>0.21404208968213245</v>
      </c>
      <c r="L133">
        <v>0</v>
      </c>
      <c r="M133">
        <v>0</v>
      </c>
      <c r="N133">
        <v>0</v>
      </c>
      <c r="O133">
        <v>0</v>
      </c>
      <c r="P133">
        <v>0</v>
      </c>
      <c r="Q133">
        <v>0</v>
      </c>
      <c r="R133">
        <v>0</v>
      </c>
      <c r="S133">
        <v>0</v>
      </c>
      <c r="T133">
        <v>0</v>
      </c>
      <c r="U133">
        <v>0</v>
      </c>
      <c r="V133">
        <v>0</v>
      </c>
      <c r="W133">
        <v>0</v>
      </c>
      <c r="X133">
        <v>0</v>
      </c>
      <c r="Y133">
        <v>0</v>
      </c>
      <c r="Z133">
        <v>0</v>
      </c>
      <c r="AA133">
        <v>0</v>
      </c>
      <c r="AB133">
        <v>0</v>
      </c>
      <c r="AC133">
        <v>1</v>
      </c>
      <c r="AD133">
        <v>0</v>
      </c>
      <c r="AE133" t="s">
        <v>161</v>
      </c>
      <c r="AF133">
        <v>0</v>
      </c>
      <c r="AG133" t="s">
        <v>209</v>
      </c>
      <c r="AH133">
        <v>46308</v>
      </c>
      <c r="AI133" t="s">
        <v>149</v>
      </c>
    </row>
    <row r="134" spans="1:35" x14ac:dyDescent="0.25">
      <c r="A134" s="1">
        <v>46309</v>
      </c>
      <c r="B134" t="s">
        <v>97</v>
      </c>
      <c r="C134" t="s">
        <v>11</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t="s">
        <v>161</v>
      </c>
      <c r="AF134">
        <v>0</v>
      </c>
      <c r="AG134" t="s">
        <v>212</v>
      </c>
      <c r="AH134">
        <v>46309</v>
      </c>
      <c r="AI134" t="s">
        <v>149</v>
      </c>
    </row>
    <row r="135" spans="1:35" x14ac:dyDescent="0.25">
      <c r="A135" s="1">
        <v>46309</v>
      </c>
      <c r="B135" t="s">
        <v>97</v>
      </c>
      <c r="C135" t="s">
        <v>12</v>
      </c>
      <c r="D135">
        <v>3.8619594450028352</v>
      </c>
      <c r="E135">
        <v>0</v>
      </c>
      <c r="F135">
        <v>0</v>
      </c>
      <c r="G135">
        <v>4.6332179930795849</v>
      </c>
      <c r="H135">
        <v>0</v>
      </c>
      <c r="I135">
        <v>0</v>
      </c>
      <c r="J135">
        <v>1.1997065373316429</v>
      </c>
      <c r="K135">
        <v>0.1997065373316429</v>
      </c>
      <c r="L135">
        <v>0</v>
      </c>
      <c r="M135">
        <v>0</v>
      </c>
      <c r="N135">
        <v>0</v>
      </c>
      <c r="O135">
        <v>0</v>
      </c>
      <c r="P135">
        <v>0</v>
      </c>
      <c r="Q135">
        <v>0</v>
      </c>
      <c r="R135">
        <v>0</v>
      </c>
      <c r="S135">
        <v>0</v>
      </c>
      <c r="T135">
        <v>0</v>
      </c>
      <c r="U135">
        <v>0</v>
      </c>
      <c r="V135">
        <v>0</v>
      </c>
      <c r="W135">
        <v>0</v>
      </c>
      <c r="X135">
        <v>0</v>
      </c>
      <c r="Y135">
        <v>0</v>
      </c>
      <c r="Z135">
        <v>0</v>
      </c>
      <c r="AA135">
        <v>0</v>
      </c>
      <c r="AB135">
        <v>0</v>
      </c>
      <c r="AC135">
        <v>1</v>
      </c>
      <c r="AD135">
        <v>0</v>
      </c>
      <c r="AE135" t="s">
        <v>161</v>
      </c>
      <c r="AF135">
        <v>0</v>
      </c>
      <c r="AG135" t="s">
        <v>213</v>
      </c>
      <c r="AH135">
        <v>46309</v>
      </c>
      <c r="AI135" t="s">
        <v>149</v>
      </c>
    </row>
    <row r="136" spans="1:35" x14ac:dyDescent="0.25">
      <c r="A136" s="1">
        <v>46309</v>
      </c>
      <c r="B136" t="s">
        <v>97</v>
      </c>
      <c r="C136" t="s">
        <v>10</v>
      </c>
      <c r="D136">
        <v>4.3768873710032157</v>
      </c>
      <c r="E136">
        <v>0</v>
      </c>
      <c r="F136">
        <v>0</v>
      </c>
      <c r="G136">
        <v>3.7647058823529398</v>
      </c>
      <c r="H136">
        <v>0</v>
      </c>
      <c r="I136">
        <v>0</v>
      </c>
      <c r="J136">
        <v>0.86013314102940708</v>
      </c>
      <c r="K136">
        <v>0</v>
      </c>
      <c r="L136">
        <v>0</v>
      </c>
      <c r="M136">
        <v>0</v>
      </c>
      <c r="N136">
        <v>0</v>
      </c>
      <c r="O136">
        <v>0</v>
      </c>
      <c r="P136">
        <v>0</v>
      </c>
      <c r="Q136">
        <v>0</v>
      </c>
      <c r="R136">
        <v>0</v>
      </c>
      <c r="S136">
        <v>0</v>
      </c>
      <c r="T136">
        <v>0.86013314102940708</v>
      </c>
      <c r="U136">
        <v>0.13986685897059292</v>
      </c>
      <c r="V136">
        <v>0</v>
      </c>
      <c r="W136">
        <v>0</v>
      </c>
      <c r="X136">
        <v>0</v>
      </c>
      <c r="Y136">
        <v>0</v>
      </c>
      <c r="Z136">
        <v>0</v>
      </c>
      <c r="AA136">
        <v>0</v>
      </c>
      <c r="AB136">
        <v>0</v>
      </c>
      <c r="AC136">
        <v>0</v>
      </c>
      <c r="AD136">
        <v>0</v>
      </c>
      <c r="AE136" t="s">
        <v>161</v>
      </c>
      <c r="AF136">
        <v>0</v>
      </c>
      <c r="AG136" t="s">
        <v>214</v>
      </c>
      <c r="AH136">
        <v>46309</v>
      </c>
      <c r="AI136" t="s">
        <v>149</v>
      </c>
    </row>
    <row r="137" spans="1:35" x14ac:dyDescent="0.25">
      <c r="A137" s="1">
        <v>46310</v>
      </c>
      <c r="B137" t="s">
        <v>97</v>
      </c>
      <c r="C137" t="s">
        <v>11</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t="s">
        <v>161</v>
      </c>
      <c r="AF137">
        <v>0</v>
      </c>
      <c r="AG137" t="s">
        <v>216</v>
      </c>
      <c r="AH137">
        <v>46310</v>
      </c>
      <c r="AI137" t="s">
        <v>149</v>
      </c>
    </row>
    <row r="138" spans="1:35" x14ac:dyDescent="0.25">
      <c r="A138" s="1">
        <v>46310</v>
      </c>
      <c r="B138" t="s">
        <v>97</v>
      </c>
      <c r="C138" t="s">
        <v>12</v>
      </c>
      <c r="D138">
        <v>3.8619594450028361</v>
      </c>
      <c r="E138">
        <v>0</v>
      </c>
      <c r="F138">
        <v>0</v>
      </c>
      <c r="G138">
        <v>3.7508650519031144</v>
      </c>
      <c r="H138">
        <v>0</v>
      </c>
      <c r="I138">
        <v>0</v>
      </c>
      <c r="J138">
        <v>0.9712336717457063</v>
      </c>
      <c r="K138">
        <v>0</v>
      </c>
      <c r="L138">
        <v>0</v>
      </c>
      <c r="M138">
        <v>0</v>
      </c>
      <c r="N138">
        <v>0</v>
      </c>
      <c r="O138">
        <v>0</v>
      </c>
      <c r="P138">
        <v>0</v>
      </c>
      <c r="Q138">
        <v>0</v>
      </c>
      <c r="R138">
        <v>0</v>
      </c>
      <c r="S138">
        <v>0</v>
      </c>
      <c r="T138">
        <v>0.9712336717457063</v>
      </c>
      <c r="U138">
        <v>2.8766328254293705E-2</v>
      </c>
      <c r="V138">
        <v>0</v>
      </c>
      <c r="W138">
        <v>0</v>
      </c>
      <c r="X138">
        <v>0</v>
      </c>
      <c r="Y138">
        <v>0</v>
      </c>
      <c r="Z138">
        <v>0</v>
      </c>
      <c r="AA138">
        <v>0</v>
      </c>
      <c r="AB138">
        <v>0</v>
      </c>
      <c r="AC138">
        <v>0</v>
      </c>
      <c r="AD138">
        <v>0</v>
      </c>
      <c r="AE138" t="s">
        <v>161</v>
      </c>
      <c r="AF138">
        <v>0</v>
      </c>
      <c r="AG138" t="s">
        <v>215</v>
      </c>
      <c r="AH138">
        <v>46310</v>
      </c>
      <c r="AI138" t="s">
        <v>149</v>
      </c>
    </row>
    <row r="139" spans="1:35" x14ac:dyDescent="0.25">
      <c r="A139" s="1">
        <v>46310</v>
      </c>
      <c r="B139" t="s">
        <v>97</v>
      </c>
      <c r="C139" t="s">
        <v>10</v>
      </c>
      <c r="D139">
        <v>3.5015098968025717</v>
      </c>
      <c r="E139">
        <v>0</v>
      </c>
      <c r="F139">
        <v>0</v>
      </c>
      <c r="G139">
        <v>3.764705882352942</v>
      </c>
      <c r="H139">
        <v>0</v>
      </c>
      <c r="I139">
        <v>0</v>
      </c>
      <c r="J139">
        <v>1.0751664262867597</v>
      </c>
      <c r="K139">
        <v>7.5166426286759735E-2</v>
      </c>
      <c r="L139">
        <v>0</v>
      </c>
      <c r="M139">
        <v>0</v>
      </c>
      <c r="N139">
        <v>0</v>
      </c>
      <c r="O139">
        <v>0</v>
      </c>
      <c r="P139">
        <v>0</v>
      </c>
      <c r="Q139">
        <v>0</v>
      </c>
      <c r="R139">
        <v>0</v>
      </c>
      <c r="S139">
        <v>0</v>
      </c>
      <c r="T139">
        <v>0</v>
      </c>
      <c r="U139">
        <v>0</v>
      </c>
      <c r="V139">
        <v>0</v>
      </c>
      <c r="W139">
        <v>0</v>
      </c>
      <c r="X139">
        <v>0</v>
      </c>
      <c r="Y139">
        <v>0</v>
      </c>
      <c r="Z139">
        <v>0</v>
      </c>
      <c r="AA139">
        <v>0</v>
      </c>
      <c r="AB139">
        <v>0</v>
      </c>
      <c r="AC139">
        <v>1</v>
      </c>
      <c r="AD139">
        <v>0</v>
      </c>
      <c r="AE139" t="s">
        <v>161</v>
      </c>
      <c r="AF139">
        <v>0</v>
      </c>
      <c r="AG139" t="s">
        <v>217</v>
      </c>
      <c r="AH139">
        <v>46310</v>
      </c>
      <c r="AI139" t="s">
        <v>149</v>
      </c>
    </row>
    <row r="140" spans="1:35" x14ac:dyDescent="0.25">
      <c r="A140" s="1">
        <v>46311</v>
      </c>
      <c r="B140" t="s">
        <v>97</v>
      </c>
      <c r="C140" t="s">
        <v>10</v>
      </c>
      <c r="D140">
        <v>3.5015098968025722</v>
      </c>
      <c r="E140">
        <v>0</v>
      </c>
      <c r="F140">
        <v>0</v>
      </c>
      <c r="G140">
        <v>2.8235294117647065</v>
      </c>
      <c r="H140">
        <v>0</v>
      </c>
      <c r="I140">
        <v>0</v>
      </c>
      <c r="J140">
        <v>0.80637481971506975</v>
      </c>
      <c r="K140">
        <v>0</v>
      </c>
      <c r="L140">
        <v>0</v>
      </c>
      <c r="M140">
        <v>0</v>
      </c>
      <c r="N140">
        <v>0</v>
      </c>
      <c r="O140">
        <v>0</v>
      </c>
      <c r="P140">
        <v>0</v>
      </c>
      <c r="Q140">
        <v>0</v>
      </c>
      <c r="R140">
        <v>0</v>
      </c>
      <c r="S140">
        <v>0</v>
      </c>
      <c r="T140">
        <v>0.80637481971506975</v>
      </c>
      <c r="U140">
        <v>0.19362518028493025</v>
      </c>
      <c r="V140">
        <v>0</v>
      </c>
      <c r="W140">
        <v>0</v>
      </c>
      <c r="X140">
        <v>0</v>
      </c>
      <c r="Y140">
        <v>0</v>
      </c>
      <c r="Z140">
        <v>0</v>
      </c>
      <c r="AA140">
        <v>0</v>
      </c>
      <c r="AB140">
        <v>0</v>
      </c>
      <c r="AC140">
        <v>0</v>
      </c>
      <c r="AD140">
        <v>0</v>
      </c>
      <c r="AE140" t="s">
        <v>161</v>
      </c>
      <c r="AF140">
        <v>0</v>
      </c>
      <c r="AG140" t="s">
        <v>220</v>
      </c>
      <c r="AH140">
        <v>46311</v>
      </c>
      <c r="AI140" t="s">
        <v>149</v>
      </c>
    </row>
    <row r="141" spans="1:35" x14ac:dyDescent="0.25">
      <c r="A141" s="1">
        <v>46311</v>
      </c>
      <c r="B141" t="s">
        <v>97</v>
      </c>
      <c r="C141" t="s">
        <v>12</v>
      </c>
      <c r="D141">
        <v>3.8619594450028361</v>
      </c>
      <c r="E141">
        <v>0</v>
      </c>
      <c r="F141">
        <v>0</v>
      </c>
      <c r="G141">
        <v>3.6955017301038064</v>
      </c>
      <c r="H141">
        <v>0</v>
      </c>
      <c r="I141">
        <v>0</v>
      </c>
      <c r="J141">
        <v>0.95689811939521618</v>
      </c>
      <c r="K141">
        <v>0</v>
      </c>
      <c r="L141">
        <v>0</v>
      </c>
      <c r="M141">
        <v>0</v>
      </c>
      <c r="N141">
        <v>0</v>
      </c>
      <c r="O141">
        <v>0</v>
      </c>
      <c r="P141">
        <v>0</v>
      </c>
      <c r="Q141">
        <v>0</v>
      </c>
      <c r="R141">
        <v>0</v>
      </c>
      <c r="S141">
        <v>0</v>
      </c>
      <c r="T141">
        <v>0.95689811939521618</v>
      </c>
      <c r="U141">
        <v>4.3101880604783815E-2</v>
      </c>
      <c r="V141">
        <v>0</v>
      </c>
      <c r="W141">
        <v>0</v>
      </c>
      <c r="X141">
        <v>0</v>
      </c>
      <c r="Y141">
        <v>0</v>
      </c>
      <c r="Z141">
        <v>0</v>
      </c>
      <c r="AA141">
        <v>0</v>
      </c>
      <c r="AB141">
        <v>0</v>
      </c>
      <c r="AC141">
        <v>0</v>
      </c>
      <c r="AD141">
        <v>0</v>
      </c>
      <c r="AE141" t="s">
        <v>161</v>
      </c>
      <c r="AF141">
        <v>0</v>
      </c>
      <c r="AG141" t="s">
        <v>219</v>
      </c>
      <c r="AH141">
        <v>46311</v>
      </c>
      <c r="AI141" t="s">
        <v>149</v>
      </c>
    </row>
    <row r="142" spans="1:35" x14ac:dyDescent="0.25">
      <c r="A142" s="1">
        <v>46311</v>
      </c>
      <c r="B142" t="s">
        <v>97</v>
      </c>
      <c r="C142" t="s">
        <v>11</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161</v>
      </c>
      <c r="AF142">
        <v>0</v>
      </c>
      <c r="AG142" t="s">
        <v>218</v>
      </c>
      <c r="AH142">
        <v>46311</v>
      </c>
      <c r="AI142" t="s">
        <v>149</v>
      </c>
    </row>
    <row r="143" spans="1:35" x14ac:dyDescent="0.25">
      <c r="A143" s="1">
        <v>46312</v>
      </c>
      <c r="B143" t="s">
        <v>97</v>
      </c>
      <c r="C143" t="s">
        <v>10</v>
      </c>
      <c r="D143">
        <v>4.3768873710032157</v>
      </c>
      <c r="E143">
        <v>0</v>
      </c>
      <c r="F143">
        <v>0</v>
      </c>
      <c r="G143">
        <v>3.764705882352942</v>
      </c>
      <c r="H143">
        <v>0</v>
      </c>
      <c r="I143">
        <v>0</v>
      </c>
      <c r="J143">
        <v>0.86013314102940763</v>
      </c>
      <c r="K143">
        <v>0</v>
      </c>
      <c r="L143">
        <v>0</v>
      </c>
      <c r="M143">
        <v>0</v>
      </c>
      <c r="N143">
        <v>0</v>
      </c>
      <c r="O143">
        <v>0</v>
      </c>
      <c r="P143">
        <v>0</v>
      </c>
      <c r="Q143">
        <v>0</v>
      </c>
      <c r="R143">
        <v>0</v>
      </c>
      <c r="S143">
        <v>0</v>
      </c>
      <c r="T143">
        <v>0.86013314102940763</v>
      </c>
      <c r="U143">
        <v>0.13986685897059237</v>
      </c>
      <c r="V143">
        <v>0</v>
      </c>
      <c r="W143">
        <v>0</v>
      </c>
      <c r="X143">
        <v>0</v>
      </c>
      <c r="Y143">
        <v>0</v>
      </c>
      <c r="Z143">
        <v>0</v>
      </c>
      <c r="AA143">
        <v>0</v>
      </c>
      <c r="AB143">
        <v>0</v>
      </c>
      <c r="AC143">
        <v>0</v>
      </c>
      <c r="AD143">
        <v>0</v>
      </c>
      <c r="AE143" t="s">
        <v>161</v>
      </c>
      <c r="AF143">
        <v>0</v>
      </c>
      <c r="AG143" t="s">
        <v>222</v>
      </c>
      <c r="AH143">
        <v>46312</v>
      </c>
      <c r="AI143" t="s">
        <v>149</v>
      </c>
    </row>
    <row r="144" spans="1:35" x14ac:dyDescent="0.25">
      <c r="A144" s="1">
        <v>46312</v>
      </c>
      <c r="B144" t="s">
        <v>97</v>
      </c>
      <c r="C144" t="s">
        <v>11</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161</v>
      </c>
      <c r="AF144">
        <v>0</v>
      </c>
      <c r="AG144" t="s">
        <v>223</v>
      </c>
      <c r="AH144">
        <v>46312</v>
      </c>
      <c r="AI144" t="s">
        <v>149</v>
      </c>
    </row>
    <row r="145" spans="1:35" x14ac:dyDescent="0.25">
      <c r="A145" s="1">
        <v>46312</v>
      </c>
      <c r="B145" t="s">
        <v>97</v>
      </c>
      <c r="C145" t="s">
        <v>12</v>
      </c>
      <c r="D145">
        <v>3.8619594450028361</v>
      </c>
      <c r="E145">
        <v>0</v>
      </c>
      <c r="F145">
        <v>0</v>
      </c>
      <c r="G145">
        <v>4.6332179930795849</v>
      </c>
      <c r="H145">
        <v>0</v>
      </c>
      <c r="I145">
        <v>0</v>
      </c>
      <c r="J145">
        <v>1.1997065373316427</v>
      </c>
      <c r="K145">
        <v>0.19970653733164268</v>
      </c>
      <c r="L145">
        <v>0</v>
      </c>
      <c r="M145">
        <v>0</v>
      </c>
      <c r="N145">
        <v>0</v>
      </c>
      <c r="O145">
        <v>0</v>
      </c>
      <c r="P145">
        <v>0</v>
      </c>
      <c r="Q145">
        <v>0</v>
      </c>
      <c r="R145">
        <v>0</v>
      </c>
      <c r="S145">
        <v>0</v>
      </c>
      <c r="T145">
        <v>0</v>
      </c>
      <c r="U145">
        <v>0</v>
      </c>
      <c r="V145">
        <v>0</v>
      </c>
      <c r="W145">
        <v>0</v>
      </c>
      <c r="X145">
        <v>0</v>
      </c>
      <c r="Y145">
        <v>0</v>
      </c>
      <c r="Z145">
        <v>0</v>
      </c>
      <c r="AA145">
        <v>0</v>
      </c>
      <c r="AB145">
        <v>0</v>
      </c>
      <c r="AC145">
        <v>1</v>
      </c>
      <c r="AD145">
        <v>0</v>
      </c>
      <c r="AE145" t="s">
        <v>161</v>
      </c>
      <c r="AF145">
        <v>0</v>
      </c>
      <c r="AG145" t="s">
        <v>221</v>
      </c>
      <c r="AH145">
        <v>46312</v>
      </c>
      <c r="AI145" t="s">
        <v>149</v>
      </c>
    </row>
    <row r="146" spans="1:35" x14ac:dyDescent="0.25">
      <c r="A146" s="1">
        <v>46313</v>
      </c>
      <c r="B146" t="s">
        <v>97</v>
      </c>
      <c r="C146" t="s">
        <v>10</v>
      </c>
      <c r="D146">
        <v>4.3768873710032157</v>
      </c>
      <c r="E146">
        <v>0</v>
      </c>
      <c r="F146">
        <v>0</v>
      </c>
      <c r="G146">
        <v>3.764705882352942</v>
      </c>
      <c r="H146">
        <v>0</v>
      </c>
      <c r="I146">
        <v>0</v>
      </c>
      <c r="J146">
        <v>0.86013314102940763</v>
      </c>
      <c r="K146">
        <v>0</v>
      </c>
      <c r="L146">
        <v>0</v>
      </c>
      <c r="M146">
        <v>0</v>
      </c>
      <c r="N146">
        <v>0</v>
      </c>
      <c r="O146">
        <v>0</v>
      </c>
      <c r="P146">
        <v>0</v>
      </c>
      <c r="Q146">
        <v>0</v>
      </c>
      <c r="R146">
        <v>0</v>
      </c>
      <c r="S146">
        <v>0</v>
      </c>
      <c r="T146">
        <v>0.86013314102940763</v>
      </c>
      <c r="U146">
        <v>0.13986685897059237</v>
      </c>
      <c r="V146">
        <v>0</v>
      </c>
      <c r="W146">
        <v>0</v>
      </c>
      <c r="X146">
        <v>0</v>
      </c>
      <c r="Y146">
        <v>0</v>
      </c>
      <c r="Z146">
        <v>0</v>
      </c>
      <c r="AA146">
        <v>0</v>
      </c>
      <c r="AB146">
        <v>0</v>
      </c>
      <c r="AC146">
        <v>0</v>
      </c>
      <c r="AD146">
        <v>0</v>
      </c>
      <c r="AE146" t="s">
        <v>161</v>
      </c>
      <c r="AF146">
        <v>0</v>
      </c>
      <c r="AG146" t="s">
        <v>224</v>
      </c>
      <c r="AH146">
        <v>46313</v>
      </c>
      <c r="AI146" t="s">
        <v>149</v>
      </c>
    </row>
    <row r="147" spans="1:35" x14ac:dyDescent="0.25">
      <c r="A147" s="1">
        <v>46313</v>
      </c>
      <c r="B147" t="s">
        <v>97</v>
      </c>
      <c r="C147" t="s">
        <v>11</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161</v>
      </c>
      <c r="AF147">
        <v>0</v>
      </c>
      <c r="AG147" t="s">
        <v>225</v>
      </c>
      <c r="AH147">
        <v>46313</v>
      </c>
      <c r="AI147" t="s">
        <v>149</v>
      </c>
    </row>
    <row r="148" spans="1:35" x14ac:dyDescent="0.25">
      <c r="A148" s="1">
        <v>46313</v>
      </c>
      <c r="B148" t="s">
        <v>97</v>
      </c>
      <c r="C148" t="s">
        <v>12</v>
      </c>
      <c r="D148">
        <v>3.8619594450028361</v>
      </c>
      <c r="E148">
        <v>0</v>
      </c>
      <c r="F148">
        <v>0</v>
      </c>
      <c r="G148">
        <v>3.7508650519031144</v>
      </c>
      <c r="H148">
        <v>0</v>
      </c>
      <c r="I148">
        <v>0</v>
      </c>
      <c r="J148">
        <v>0.9712336717457063</v>
      </c>
      <c r="K148">
        <v>0</v>
      </c>
      <c r="L148">
        <v>0</v>
      </c>
      <c r="M148">
        <v>0</v>
      </c>
      <c r="N148">
        <v>0</v>
      </c>
      <c r="O148">
        <v>0</v>
      </c>
      <c r="P148">
        <v>0</v>
      </c>
      <c r="Q148">
        <v>0</v>
      </c>
      <c r="R148">
        <v>0</v>
      </c>
      <c r="S148">
        <v>0</v>
      </c>
      <c r="T148">
        <v>0.9712336717457063</v>
      </c>
      <c r="U148">
        <v>2.8766328254293705E-2</v>
      </c>
      <c r="V148">
        <v>0</v>
      </c>
      <c r="W148">
        <v>0</v>
      </c>
      <c r="X148">
        <v>0</v>
      </c>
      <c r="Y148">
        <v>0</v>
      </c>
      <c r="Z148">
        <v>0</v>
      </c>
      <c r="AA148">
        <v>0</v>
      </c>
      <c r="AB148">
        <v>0</v>
      </c>
      <c r="AC148">
        <v>0</v>
      </c>
      <c r="AD148">
        <v>0</v>
      </c>
      <c r="AE148" t="s">
        <v>161</v>
      </c>
      <c r="AF148">
        <v>0</v>
      </c>
      <c r="AG148" t="s">
        <v>226</v>
      </c>
      <c r="AH148">
        <v>46313</v>
      </c>
      <c r="AI148" t="s">
        <v>149</v>
      </c>
    </row>
    <row r="149" spans="1:35" x14ac:dyDescent="0.25">
      <c r="A149" s="1">
        <v>46314</v>
      </c>
      <c r="B149" t="s">
        <v>97</v>
      </c>
      <c r="C149" t="s">
        <v>12</v>
      </c>
      <c r="D149">
        <v>3.0895675560022697</v>
      </c>
      <c r="E149">
        <v>0</v>
      </c>
      <c r="F149">
        <v>0</v>
      </c>
      <c r="G149">
        <v>3.7508650519031144</v>
      </c>
      <c r="H149">
        <v>0</v>
      </c>
      <c r="I149">
        <v>0</v>
      </c>
      <c r="J149">
        <v>1.2140420896821325</v>
      </c>
      <c r="K149">
        <v>0.21404208968213245</v>
      </c>
      <c r="L149">
        <v>0</v>
      </c>
      <c r="M149">
        <v>0</v>
      </c>
      <c r="N149">
        <v>0</v>
      </c>
      <c r="O149">
        <v>0</v>
      </c>
      <c r="P149">
        <v>0</v>
      </c>
      <c r="Q149">
        <v>0</v>
      </c>
      <c r="R149">
        <v>0</v>
      </c>
      <c r="S149">
        <v>0</v>
      </c>
      <c r="T149">
        <v>0</v>
      </c>
      <c r="U149">
        <v>0</v>
      </c>
      <c r="V149">
        <v>0</v>
      </c>
      <c r="W149">
        <v>0</v>
      </c>
      <c r="X149">
        <v>0</v>
      </c>
      <c r="Y149">
        <v>0</v>
      </c>
      <c r="Z149">
        <v>0</v>
      </c>
      <c r="AA149">
        <v>0</v>
      </c>
      <c r="AB149">
        <v>0</v>
      </c>
      <c r="AC149">
        <v>1</v>
      </c>
      <c r="AD149">
        <v>0</v>
      </c>
      <c r="AE149" t="s">
        <v>161</v>
      </c>
      <c r="AF149">
        <v>0</v>
      </c>
      <c r="AG149" t="s">
        <v>227</v>
      </c>
      <c r="AH149">
        <v>46314</v>
      </c>
      <c r="AI149" t="s">
        <v>149</v>
      </c>
    </row>
    <row r="150" spans="1:35" x14ac:dyDescent="0.25">
      <c r="A150" s="1">
        <v>46314</v>
      </c>
      <c r="B150" t="s">
        <v>97</v>
      </c>
      <c r="C150" t="s">
        <v>10</v>
      </c>
      <c r="D150">
        <v>4.3768873710032157</v>
      </c>
      <c r="E150">
        <v>0</v>
      </c>
      <c r="F150">
        <v>0</v>
      </c>
      <c r="G150">
        <v>3.764705882352942</v>
      </c>
      <c r="H150">
        <v>0</v>
      </c>
      <c r="I150">
        <v>0</v>
      </c>
      <c r="J150">
        <v>0.86013314102940763</v>
      </c>
      <c r="K150">
        <v>0</v>
      </c>
      <c r="L150">
        <v>0</v>
      </c>
      <c r="M150">
        <v>0</v>
      </c>
      <c r="N150">
        <v>0</v>
      </c>
      <c r="O150">
        <v>0</v>
      </c>
      <c r="P150">
        <v>0</v>
      </c>
      <c r="Q150">
        <v>0</v>
      </c>
      <c r="R150">
        <v>0</v>
      </c>
      <c r="S150">
        <v>0</v>
      </c>
      <c r="T150">
        <v>0.86013314102940763</v>
      </c>
      <c r="U150">
        <v>0.13986685897059237</v>
      </c>
      <c r="V150">
        <v>0</v>
      </c>
      <c r="W150">
        <v>0</v>
      </c>
      <c r="X150">
        <v>0</v>
      </c>
      <c r="Y150">
        <v>0</v>
      </c>
      <c r="Z150">
        <v>0</v>
      </c>
      <c r="AA150">
        <v>0</v>
      </c>
      <c r="AB150">
        <v>0</v>
      </c>
      <c r="AC150">
        <v>0</v>
      </c>
      <c r="AD150">
        <v>0</v>
      </c>
      <c r="AE150" t="s">
        <v>161</v>
      </c>
      <c r="AF150">
        <v>0</v>
      </c>
      <c r="AG150" t="s">
        <v>229</v>
      </c>
      <c r="AH150">
        <v>46314</v>
      </c>
      <c r="AI150" t="s">
        <v>149</v>
      </c>
    </row>
    <row r="151" spans="1:35" x14ac:dyDescent="0.25">
      <c r="A151" s="1">
        <v>46314</v>
      </c>
      <c r="B151" t="s">
        <v>97</v>
      </c>
      <c r="C151" t="s">
        <v>11</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t="s">
        <v>161</v>
      </c>
      <c r="AF151">
        <v>0</v>
      </c>
      <c r="AG151" t="s">
        <v>228</v>
      </c>
      <c r="AH151">
        <v>46314</v>
      </c>
      <c r="AI151" t="s">
        <v>149</v>
      </c>
    </row>
    <row r="152" spans="1:35" x14ac:dyDescent="0.25">
      <c r="A152" s="1">
        <v>46315</v>
      </c>
      <c r="B152" t="s">
        <v>97</v>
      </c>
      <c r="C152" t="s">
        <v>10</v>
      </c>
      <c r="D152">
        <v>4.3768873710032157</v>
      </c>
      <c r="E152">
        <v>0</v>
      </c>
      <c r="F152">
        <v>0</v>
      </c>
      <c r="G152">
        <v>3.7647058823529407</v>
      </c>
      <c r="H152">
        <v>0</v>
      </c>
      <c r="I152">
        <v>0</v>
      </c>
      <c r="J152">
        <v>0.8601331410294073</v>
      </c>
      <c r="K152">
        <v>0</v>
      </c>
      <c r="L152">
        <v>0</v>
      </c>
      <c r="M152">
        <v>0</v>
      </c>
      <c r="N152">
        <v>0</v>
      </c>
      <c r="O152">
        <v>0</v>
      </c>
      <c r="P152">
        <v>0</v>
      </c>
      <c r="Q152">
        <v>0</v>
      </c>
      <c r="R152">
        <v>0</v>
      </c>
      <c r="S152">
        <v>0</v>
      </c>
      <c r="T152">
        <v>0.8601331410294073</v>
      </c>
      <c r="U152">
        <v>0.1398668589705927</v>
      </c>
      <c r="V152">
        <v>0</v>
      </c>
      <c r="W152">
        <v>0</v>
      </c>
      <c r="X152">
        <v>0</v>
      </c>
      <c r="Y152">
        <v>0</v>
      </c>
      <c r="Z152">
        <v>0</v>
      </c>
      <c r="AA152">
        <v>0</v>
      </c>
      <c r="AB152">
        <v>0</v>
      </c>
      <c r="AC152">
        <v>0</v>
      </c>
      <c r="AD152">
        <v>0</v>
      </c>
      <c r="AE152" t="s">
        <v>161</v>
      </c>
      <c r="AF152">
        <v>0</v>
      </c>
      <c r="AG152" t="s">
        <v>230</v>
      </c>
      <c r="AH152">
        <v>46315</v>
      </c>
      <c r="AI152" t="s">
        <v>149</v>
      </c>
    </row>
    <row r="153" spans="1:35" x14ac:dyDescent="0.25">
      <c r="A153" s="1">
        <v>46315</v>
      </c>
      <c r="B153" t="s">
        <v>97</v>
      </c>
      <c r="C153" t="s">
        <v>11</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t="s">
        <v>161</v>
      </c>
      <c r="AF153">
        <v>0</v>
      </c>
      <c r="AG153" t="s">
        <v>231</v>
      </c>
      <c r="AH153">
        <v>46315</v>
      </c>
      <c r="AI153" t="s">
        <v>149</v>
      </c>
    </row>
    <row r="154" spans="1:35" x14ac:dyDescent="0.25">
      <c r="A154" s="1">
        <v>46315</v>
      </c>
      <c r="B154" t="s">
        <v>97</v>
      </c>
      <c r="C154" t="s">
        <v>12</v>
      </c>
      <c r="D154">
        <v>3.0895675560022697</v>
      </c>
      <c r="E154">
        <v>0</v>
      </c>
      <c r="F154">
        <v>0</v>
      </c>
      <c r="G154">
        <v>3.7508650519031144</v>
      </c>
      <c r="H154">
        <v>0</v>
      </c>
      <c r="I154">
        <v>0</v>
      </c>
      <c r="J154">
        <v>1.2140420896821325</v>
      </c>
      <c r="K154">
        <v>0.21404208968213245</v>
      </c>
      <c r="L154">
        <v>0</v>
      </c>
      <c r="M154">
        <v>0</v>
      </c>
      <c r="N154">
        <v>0</v>
      </c>
      <c r="O154">
        <v>0</v>
      </c>
      <c r="P154">
        <v>0</v>
      </c>
      <c r="Q154">
        <v>0</v>
      </c>
      <c r="R154">
        <v>0</v>
      </c>
      <c r="S154">
        <v>0</v>
      </c>
      <c r="T154">
        <v>0</v>
      </c>
      <c r="U154">
        <v>0</v>
      </c>
      <c r="V154">
        <v>0</v>
      </c>
      <c r="W154">
        <v>0</v>
      </c>
      <c r="X154">
        <v>0</v>
      </c>
      <c r="Y154">
        <v>0</v>
      </c>
      <c r="Z154">
        <v>0</v>
      </c>
      <c r="AA154">
        <v>0</v>
      </c>
      <c r="AB154">
        <v>0</v>
      </c>
      <c r="AC154">
        <v>1</v>
      </c>
      <c r="AD154">
        <v>0</v>
      </c>
      <c r="AE154" t="s">
        <v>161</v>
      </c>
      <c r="AF154">
        <v>0</v>
      </c>
      <c r="AG154" t="s">
        <v>232</v>
      </c>
      <c r="AH154">
        <v>46315</v>
      </c>
      <c r="AI154" t="s">
        <v>149</v>
      </c>
    </row>
    <row r="155" spans="1:35" x14ac:dyDescent="0.25">
      <c r="A155" s="1">
        <v>46316</v>
      </c>
      <c r="B155" t="s">
        <v>97</v>
      </c>
      <c r="C155" t="s">
        <v>12</v>
      </c>
      <c r="D155">
        <v>3.8619594450028369</v>
      </c>
      <c r="E155">
        <v>0</v>
      </c>
      <c r="F155">
        <v>0</v>
      </c>
      <c r="G155">
        <v>4.6332179930795849</v>
      </c>
      <c r="H155">
        <v>0</v>
      </c>
      <c r="I155">
        <v>0</v>
      </c>
      <c r="J155">
        <v>1.1997065373316425</v>
      </c>
      <c r="K155">
        <v>0.19970653733164245</v>
      </c>
      <c r="L155">
        <v>0</v>
      </c>
      <c r="M155">
        <v>0</v>
      </c>
      <c r="N155">
        <v>0</v>
      </c>
      <c r="O155">
        <v>0</v>
      </c>
      <c r="P155">
        <v>0</v>
      </c>
      <c r="Q155">
        <v>0</v>
      </c>
      <c r="R155">
        <v>0</v>
      </c>
      <c r="S155">
        <v>0</v>
      </c>
      <c r="T155">
        <v>0</v>
      </c>
      <c r="U155">
        <v>0</v>
      </c>
      <c r="V155">
        <v>0</v>
      </c>
      <c r="W155">
        <v>0</v>
      </c>
      <c r="X155">
        <v>0</v>
      </c>
      <c r="Y155">
        <v>0</v>
      </c>
      <c r="Z155">
        <v>0</v>
      </c>
      <c r="AA155">
        <v>0</v>
      </c>
      <c r="AB155">
        <v>0</v>
      </c>
      <c r="AC155">
        <v>1</v>
      </c>
      <c r="AD155">
        <v>0</v>
      </c>
      <c r="AE155" t="s">
        <v>161</v>
      </c>
      <c r="AF155">
        <v>0</v>
      </c>
      <c r="AG155" t="s">
        <v>233</v>
      </c>
      <c r="AH155">
        <v>46316</v>
      </c>
      <c r="AI155" t="s">
        <v>149</v>
      </c>
    </row>
    <row r="156" spans="1:35" x14ac:dyDescent="0.25">
      <c r="A156" s="1">
        <v>46316</v>
      </c>
      <c r="B156" t="s">
        <v>97</v>
      </c>
      <c r="C156" t="s">
        <v>11</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t="s">
        <v>161</v>
      </c>
      <c r="AF156">
        <v>0</v>
      </c>
      <c r="AG156" t="s">
        <v>234</v>
      </c>
      <c r="AH156">
        <v>46316</v>
      </c>
      <c r="AI156" t="s">
        <v>149</v>
      </c>
    </row>
    <row r="157" spans="1:35" x14ac:dyDescent="0.25">
      <c r="A157" s="1">
        <v>46316</v>
      </c>
      <c r="B157" t="s">
        <v>97</v>
      </c>
      <c r="C157" t="s">
        <v>10</v>
      </c>
      <c r="D157">
        <v>3.5015098968025722</v>
      </c>
      <c r="E157">
        <v>0</v>
      </c>
      <c r="F157">
        <v>0</v>
      </c>
      <c r="G157">
        <v>3.7647058823529407</v>
      </c>
      <c r="H157">
        <v>0</v>
      </c>
      <c r="I157">
        <v>0</v>
      </c>
      <c r="J157">
        <v>1.0751664262867593</v>
      </c>
      <c r="K157">
        <v>7.5166426286759291E-2</v>
      </c>
      <c r="L157">
        <v>0</v>
      </c>
      <c r="M157">
        <v>0</v>
      </c>
      <c r="N157">
        <v>0</v>
      </c>
      <c r="O157">
        <v>0</v>
      </c>
      <c r="P157">
        <v>0</v>
      </c>
      <c r="Q157">
        <v>0</v>
      </c>
      <c r="R157">
        <v>0</v>
      </c>
      <c r="S157">
        <v>0</v>
      </c>
      <c r="T157">
        <v>0</v>
      </c>
      <c r="U157">
        <v>0</v>
      </c>
      <c r="V157">
        <v>0</v>
      </c>
      <c r="W157">
        <v>0</v>
      </c>
      <c r="X157">
        <v>0</v>
      </c>
      <c r="Y157">
        <v>0</v>
      </c>
      <c r="Z157">
        <v>0</v>
      </c>
      <c r="AA157">
        <v>0</v>
      </c>
      <c r="AB157">
        <v>0</v>
      </c>
      <c r="AC157">
        <v>1</v>
      </c>
      <c r="AD157">
        <v>0</v>
      </c>
      <c r="AE157" t="s">
        <v>161</v>
      </c>
      <c r="AF157">
        <v>0</v>
      </c>
      <c r="AG157" t="s">
        <v>235</v>
      </c>
      <c r="AH157">
        <v>46316</v>
      </c>
      <c r="AI157" t="s">
        <v>149</v>
      </c>
    </row>
    <row r="158" spans="1:35" x14ac:dyDescent="0.25">
      <c r="A158" s="1">
        <v>46317</v>
      </c>
      <c r="B158" t="s">
        <v>97</v>
      </c>
      <c r="C158" t="s">
        <v>10</v>
      </c>
      <c r="D158">
        <v>3.5015098968025717</v>
      </c>
      <c r="E158">
        <v>0</v>
      </c>
      <c r="F158">
        <v>0</v>
      </c>
      <c r="G158">
        <v>3.7647058823529407</v>
      </c>
      <c r="H158">
        <v>0</v>
      </c>
      <c r="I158">
        <v>0</v>
      </c>
      <c r="J158">
        <v>1.0751664262867593</v>
      </c>
      <c r="K158">
        <v>7.5166426286759291E-2</v>
      </c>
      <c r="L158">
        <v>0</v>
      </c>
      <c r="M158">
        <v>0</v>
      </c>
      <c r="N158">
        <v>0</v>
      </c>
      <c r="O158">
        <v>0</v>
      </c>
      <c r="P158">
        <v>0</v>
      </c>
      <c r="Q158">
        <v>0</v>
      </c>
      <c r="R158">
        <v>0</v>
      </c>
      <c r="S158">
        <v>0</v>
      </c>
      <c r="T158">
        <v>0</v>
      </c>
      <c r="U158">
        <v>0</v>
      </c>
      <c r="V158">
        <v>0</v>
      </c>
      <c r="W158">
        <v>0</v>
      </c>
      <c r="X158">
        <v>0</v>
      </c>
      <c r="Y158">
        <v>0</v>
      </c>
      <c r="Z158">
        <v>0</v>
      </c>
      <c r="AA158">
        <v>0</v>
      </c>
      <c r="AB158">
        <v>0</v>
      </c>
      <c r="AC158">
        <v>1</v>
      </c>
      <c r="AD158">
        <v>0</v>
      </c>
      <c r="AE158" t="s">
        <v>161</v>
      </c>
      <c r="AF158">
        <v>0</v>
      </c>
      <c r="AG158" t="s">
        <v>236</v>
      </c>
      <c r="AH158">
        <v>46317</v>
      </c>
      <c r="AI158" t="s">
        <v>149</v>
      </c>
    </row>
    <row r="159" spans="1:35" x14ac:dyDescent="0.25">
      <c r="A159" s="1">
        <v>46317</v>
      </c>
      <c r="B159" t="s">
        <v>97</v>
      </c>
      <c r="C159" t="s">
        <v>11</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t="s">
        <v>161</v>
      </c>
      <c r="AF159">
        <v>0</v>
      </c>
      <c r="AG159" t="s">
        <v>237</v>
      </c>
      <c r="AH159">
        <v>46317</v>
      </c>
      <c r="AI159" t="s">
        <v>149</v>
      </c>
    </row>
    <row r="160" spans="1:35" x14ac:dyDescent="0.25">
      <c r="A160" s="1">
        <v>46317</v>
      </c>
      <c r="B160" t="s">
        <v>97</v>
      </c>
      <c r="C160" t="s">
        <v>12</v>
      </c>
      <c r="D160">
        <v>3.8619594450028369</v>
      </c>
      <c r="E160">
        <v>0</v>
      </c>
      <c r="F160">
        <v>0</v>
      </c>
      <c r="G160">
        <v>4.6332179930795849</v>
      </c>
      <c r="H160">
        <v>0</v>
      </c>
      <c r="I160">
        <v>0</v>
      </c>
      <c r="J160">
        <v>1.1997065373316425</v>
      </c>
      <c r="K160">
        <v>0.19970653733164245</v>
      </c>
      <c r="L160">
        <v>0</v>
      </c>
      <c r="M160">
        <v>0</v>
      </c>
      <c r="N160">
        <v>0</v>
      </c>
      <c r="O160">
        <v>0</v>
      </c>
      <c r="P160">
        <v>0</v>
      </c>
      <c r="Q160">
        <v>0</v>
      </c>
      <c r="R160">
        <v>0</v>
      </c>
      <c r="S160">
        <v>0</v>
      </c>
      <c r="T160">
        <v>0</v>
      </c>
      <c r="U160">
        <v>0</v>
      </c>
      <c r="V160">
        <v>0</v>
      </c>
      <c r="W160">
        <v>0</v>
      </c>
      <c r="X160">
        <v>0</v>
      </c>
      <c r="Y160">
        <v>0</v>
      </c>
      <c r="Z160">
        <v>0</v>
      </c>
      <c r="AA160">
        <v>0</v>
      </c>
      <c r="AB160">
        <v>0</v>
      </c>
      <c r="AC160">
        <v>1</v>
      </c>
      <c r="AD160">
        <v>0</v>
      </c>
      <c r="AE160" t="s">
        <v>161</v>
      </c>
      <c r="AF160">
        <v>0</v>
      </c>
      <c r="AG160" t="s">
        <v>238</v>
      </c>
      <c r="AH160">
        <v>46317</v>
      </c>
      <c r="AI160" t="s">
        <v>149</v>
      </c>
    </row>
    <row r="161" spans="1:35" x14ac:dyDescent="0.25">
      <c r="A161" s="1">
        <v>46318</v>
      </c>
      <c r="B161" t="s">
        <v>97</v>
      </c>
      <c r="C161" t="s">
        <v>11</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161</v>
      </c>
      <c r="AF161">
        <v>0</v>
      </c>
      <c r="AG161" t="s">
        <v>240</v>
      </c>
      <c r="AH161">
        <v>46318</v>
      </c>
      <c r="AI161" t="s">
        <v>149</v>
      </c>
    </row>
    <row r="162" spans="1:35" x14ac:dyDescent="0.25">
      <c r="A162" s="1">
        <v>46318</v>
      </c>
      <c r="B162" t="s">
        <v>97</v>
      </c>
      <c r="C162" t="s">
        <v>12</v>
      </c>
      <c r="D162">
        <v>3.8619594450028369</v>
      </c>
      <c r="E162">
        <v>0</v>
      </c>
      <c r="F162">
        <v>0</v>
      </c>
      <c r="G162">
        <v>4.6332179930795849</v>
      </c>
      <c r="H162">
        <v>0</v>
      </c>
      <c r="I162">
        <v>0</v>
      </c>
      <c r="J162">
        <v>1.1997065373316425</v>
      </c>
      <c r="K162">
        <v>0.19970653733164245</v>
      </c>
      <c r="L162">
        <v>0</v>
      </c>
      <c r="M162">
        <v>0</v>
      </c>
      <c r="N162">
        <v>0</v>
      </c>
      <c r="O162">
        <v>0</v>
      </c>
      <c r="P162">
        <v>0</v>
      </c>
      <c r="Q162">
        <v>0</v>
      </c>
      <c r="R162">
        <v>0</v>
      </c>
      <c r="S162">
        <v>0</v>
      </c>
      <c r="T162">
        <v>0</v>
      </c>
      <c r="U162">
        <v>0</v>
      </c>
      <c r="V162">
        <v>0</v>
      </c>
      <c r="W162">
        <v>0</v>
      </c>
      <c r="X162">
        <v>0</v>
      </c>
      <c r="Y162">
        <v>0</v>
      </c>
      <c r="Z162">
        <v>0</v>
      </c>
      <c r="AA162">
        <v>0</v>
      </c>
      <c r="AB162">
        <v>0</v>
      </c>
      <c r="AC162">
        <v>1</v>
      </c>
      <c r="AD162">
        <v>0</v>
      </c>
      <c r="AE162" t="s">
        <v>161</v>
      </c>
      <c r="AF162">
        <v>0</v>
      </c>
      <c r="AG162" t="s">
        <v>241</v>
      </c>
      <c r="AH162">
        <v>46318</v>
      </c>
      <c r="AI162" t="s">
        <v>149</v>
      </c>
    </row>
    <row r="163" spans="1:35" x14ac:dyDescent="0.25">
      <c r="A163" s="1">
        <v>46318</v>
      </c>
      <c r="B163" t="s">
        <v>97</v>
      </c>
      <c r="C163" t="s">
        <v>10</v>
      </c>
      <c r="D163">
        <v>3.5015098968025717</v>
      </c>
      <c r="E163">
        <v>0</v>
      </c>
      <c r="F163">
        <v>0</v>
      </c>
      <c r="G163">
        <v>3.764705882352942</v>
      </c>
      <c r="H163">
        <v>0</v>
      </c>
      <c r="I163">
        <v>0</v>
      </c>
      <c r="J163">
        <v>1.0751664262867597</v>
      </c>
      <c r="K163">
        <v>7.5166426286759735E-2</v>
      </c>
      <c r="L163">
        <v>0</v>
      </c>
      <c r="M163">
        <v>0</v>
      </c>
      <c r="N163">
        <v>0</v>
      </c>
      <c r="O163">
        <v>0</v>
      </c>
      <c r="P163">
        <v>0</v>
      </c>
      <c r="Q163">
        <v>0</v>
      </c>
      <c r="R163">
        <v>0</v>
      </c>
      <c r="S163">
        <v>0</v>
      </c>
      <c r="T163">
        <v>0</v>
      </c>
      <c r="U163">
        <v>0</v>
      </c>
      <c r="V163">
        <v>0</v>
      </c>
      <c r="W163">
        <v>0</v>
      </c>
      <c r="X163">
        <v>0</v>
      </c>
      <c r="Y163">
        <v>0</v>
      </c>
      <c r="Z163">
        <v>0</v>
      </c>
      <c r="AA163">
        <v>0</v>
      </c>
      <c r="AB163">
        <v>0</v>
      </c>
      <c r="AC163">
        <v>1</v>
      </c>
      <c r="AD163">
        <v>0</v>
      </c>
      <c r="AE163" t="s">
        <v>161</v>
      </c>
      <c r="AF163">
        <v>0</v>
      </c>
      <c r="AG163" t="s">
        <v>239</v>
      </c>
      <c r="AH163">
        <v>46318</v>
      </c>
      <c r="AI163" t="s">
        <v>149</v>
      </c>
    </row>
    <row r="164" spans="1:35" x14ac:dyDescent="0.25">
      <c r="A164" s="1">
        <v>46319</v>
      </c>
      <c r="B164" t="s">
        <v>97</v>
      </c>
      <c r="C164" t="s">
        <v>11</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t="s">
        <v>161</v>
      </c>
      <c r="AF164">
        <v>0</v>
      </c>
      <c r="AG164" t="s">
        <v>243</v>
      </c>
      <c r="AH164">
        <v>46319</v>
      </c>
      <c r="AI164" t="s">
        <v>149</v>
      </c>
    </row>
    <row r="165" spans="1:35" x14ac:dyDescent="0.25">
      <c r="A165" s="1">
        <v>46319</v>
      </c>
      <c r="B165" t="s">
        <v>97</v>
      </c>
      <c r="C165" t="s">
        <v>12</v>
      </c>
      <c r="D165">
        <v>3.0895675560022697</v>
      </c>
      <c r="E165">
        <v>0</v>
      </c>
      <c r="F165">
        <v>0</v>
      </c>
      <c r="G165">
        <v>3.6955017301038064</v>
      </c>
      <c r="H165">
        <v>0</v>
      </c>
      <c r="I165">
        <v>0</v>
      </c>
      <c r="J165">
        <v>1.1961226492440198</v>
      </c>
      <c r="K165">
        <v>0.19612264924401979</v>
      </c>
      <c r="L165">
        <v>0</v>
      </c>
      <c r="M165">
        <v>0</v>
      </c>
      <c r="N165">
        <v>0</v>
      </c>
      <c r="O165">
        <v>0</v>
      </c>
      <c r="P165">
        <v>0</v>
      </c>
      <c r="Q165">
        <v>0</v>
      </c>
      <c r="R165">
        <v>0</v>
      </c>
      <c r="S165">
        <v>0</v>
      </c>
      <c r="T165">
        <v>0</v>
      </c>
      <c r="U165">
        <v>0</v>
      </c>
      <c r="V165">
        <v>0</v>
      </c>
      <c r="W165">
        <v>0</v>
      </c>
      <c r="X165">
        <v>0</v>
      </c>
      <c r="Y165">
        <v>0</v>
      </c>
      <c r="Z165">
        <v>0</v>
      </c>
      <c r="AA165">
        <v>0</v>
      </c>
      <c r="AB165">
        <v>0</v>
      </c>
      <c r="AC165">
        <v>1</v>
      </c>
      <c r="AD165">
        <v>0</v>
      </c>
      <c r="AE165" t="s">
        <v>161</v>
      </c>
      <c r="AF165">
        <v>0</v>
      </c>
      <c r="AG165" t="s">
        <v>242</v>
      </c>
      <c r="AH165">
        <v>46319</v>
      </c>
      <c r="AI165" t="s">
        <v>149</v>
      </c>
    </row>
    <row r="166" spans="1:35" x14ac:dyDescent="0.25">
      <c r="A166" s="1">
        <v>46319</v>
      </c>
      <c r="B166" t="s">
        <v>97</v>
      </c>
      <c r="C166" t="s">
        <v>10</v>
      </c>
      <c r="D166">
        <v>4.3768873710032157</v>
      </c>
      <c r="E166">
        <v>0</v>
      </c>
      <c r="F166">
        <v>0</v>
      </c>
      <c r="G166">
        <v>2.8235294117647056</v>
      </c>
      <c r="H166">
        <v>0</v>
      </c>
      <c r="I166">
        <v>0</v>
      </c>
      <c r="J166">
        <v>0.64509985577205553</v>
      </c>
      <c r="K166">
        <v>0</v>
      </c>
      <c r="L166">
        <v>0</v>
      </c>
      <c r="M166">
        <v>0</v>
      </c>
      <c r="N166">
        <v>0</v>
      </c>
      <c r="O166">
        <v>0</v>
      </c>
      <c r="P166">
        <v>0</v>
      </c>
      <c r="Q166">
        <v>0</v>
      </c>
      <c r="R166">
        <v>0</v>
      </c>
      <c r="S166">
        <v>0</v>
      </c>
      <c r="T166">
        <v>0.64509985577205553</v>
      </c>
      <c r="U166">
        <v>0.35490014422794447</v>
      </c>
      <c r="V166">
        <v>0</v>
      </c>
      <c r="W166">
        <v>0</v>
      </c>
      <c r="X166">
        <v>0</v>
      </c>
      <c r="Y166">
        <v>0</v>
      </c>
      <c r="Z166">
        <v>0</v>
      </c>
      <c r="AA166">
        <v>0</v>
      </c>
      <c r="AB166">
        <v>0</v>
      </c>
      <c r="AC166">
        <v>0</v>
      </c>
      <c r="AD166">
        <v>0</v>
      </c>
      <c r="AE166" t="s">
        <v>161</v>
      </c>
      <c r="AF166">
        <v>0</v>
      </c>
      <c r="AG166" t="s">
        <v>244</v>
      </c>
      <c r="AH166">
        <v>46319</v>
      </c>
      <c r="AI166" t="s">
        <v>149</v>
      </c>
    </row>
    <row r="167" spans="1:35" x14ac:dyDescent="0.25">
      <c r="A167" s="1">
        <v>46320</v>
      </c>
      <c r="B167" t="s">
        <v>97</v>
      </c>
      <c r="C167" t="s">
        <v>11</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t="s">
        <v>161</v>
      </c>
      <c r="AF167">
        <v>0</v>
      </c>
      <c r="AG167" t="s">
        <v>247</v>
      </c>
      <c r="AH167">
        <v>46320</v>
      </c>
      <c r="AI167" t="s">
        <v>149</v>
      </c>
    </row>
    <row r="168" spans="1:35" x14ac:dyDescent="0.25">
      <c r="A168" s="1">
        <v>46320</v>
      </c>
      <c r="B168" t="s">
        <v>97</v>
      </c>
      <c r="C168" t="s">
        <v>10</v>
      </c>
      <c r="D168">
        <v>4.3768873710032157</v>
      </c>
      <c r="E168">
        <v>0</v>
      </c>
      <c r="F168">
        <v>0</v>
      </c>
      <c r="G168">
        <v>3.7647058823529407</v>
      </c>
      <c r="H168">
        <v>0</v>
      </c>
      <c r="I168">
        <v>0</v>
      </c>
      <c r="J168">
        <v>0.8601331410294073</v>
      </c>
      <c r="K168">
        <v>0</v>
      </c>
      <c r="L168">
        <v>0</v>
      </c>
      <c r="M168">
        <v>0</v>
      </c>
      <c r="N168">
        <v>0</v>
      </c>
      <c r="O168">
        <v>0</v>
      </c>
      <c r="P168">
        <v>0</v>
      </c>
      <c r="Q168">
        <v>0</v>
      </c>
      <c r="R168">
        <v>0</v>
      </c>
      <c r="S168">
        <v>0</v>
      </c>
      <c r="T168">
        <v>0.8601331410294073</v>
      </c>
      <c r="U168">
        <v>0.1398668589705927</v>
      </c>
      <c r="V168">
        <v>0</v>
      </c>
      <c r="W168">
        <v>0</v>
      </c>
      <c r="X168">
        <v>0</v>
      </c>
      <c r="Y168">
        <v>0</v>
      </c>
      <c r="Z168">
        <v>0</v>
      </c>
      <c r="AA168">
        <v>0</v>
      </c>
      <c r="AB168">
        <v>0</v>
      </c>
      <c r="AC168">
        <v>0</v>
      </c>
      <c r="AD168">
        <v>0</v>
      </c>
      <c r="AE168" t="s">
        <v>161</v>
      </c>
      <c r="AF168">
        <v>0</v>
      </c>
      <c r="AG168" t="s">
        <v>246</v>
      </c>
      <c r="AH168">
        <v>46320</v>
      </c>
      <c r="AI168" t="s">
        <v>149</v>
      </c>
    </row>
    <row r="169" spans="1:35" x14ac:dyDescent="0.25">
      <c r="A169" s="1">
        <v>46320</v>
      </c>
      <c r="B169" t="s">
        <v>97</v>
      </c>
      <c r="C169" t="s">
        <v>12</v>
      </c>
      <c r="D169">
        <v>3.0895675560022697</v>
      </c>
      <c r="E169">
        <v>0</v>
      </c>
      <c r="F169">
        <v>0</v>
      </c>
      <c r="G169">
        <v>3.7508650519031144</v>
      </c>
      <c r="H169">
        <v>0</v>
      </c>
      <c r="I169">
        <v>0</v>
      </c>
      <c r="J169">
        <v>1.2140420896821325</v>
      </c>
      <c r="K169">
        <v>0.21404208968213245</v>
      </c>
      <c r="L169">
        <v>0</v>
      </c>
      <c r="M169">
        <v>0</v>
      </c>
      <c r="N169">
        <v>0</v>
      </c>
      <c r="O169">
        <v>0</v>
      </c>
      <c r="P169">
        <v>0</v>
      </c>
      <c r="Q169">
        <v>0</v>
      </c>
      <c r="R169">
        <v>0</v>
      </c>
      <c r="S169">
        <v>0</v>
      </c>
      <c r="T169">
        <v>0</v>
      </c>
      <c r="U169">
        <v>0</v>
      </c>
      <c r="V169">
        <v>0</v>
      </c>
      <c r="W169">
        <v>0</v>
      </c>
      <c r="X169">
        <v>0</v>
      </c>
      <c r="Y169">
        <v>0</v>
      </c>
      <c r="Z169">
        <v>0</v>
      </c>
      <c r="AA169">
        <v>0</v>
      </c>
      <c r="AB169">
        <v>0</v>
      </c>
      <c r="AC169">
        <v>1</v>
      </c>
      <c r="AD169">
        <v>0</v>
      </c>
      <c r="AE169" t="s">
        <v>161</v>
      </c>
      <c r="AF169">
        <v>0</v>
      </c>
      <c r="AG169" t="s">
        <v>245</v>
      </c>
      <c r="AH169">
        <v>46320</v>
      </c>
      <c r="AI169" t="s">
        <v>149</v>
      </c>
    </row>
    <row r="170" spans="1:35" x14ac:dyDescent="0.25">
      <c r="A170" s="1">
        <v>46293</v>
      </c>
      <c r="B170" t="s">
        <v>13</v>
      </c>
      <c r="C170" t="s">
        <v>12</v>
      </c>
      <c r="D170">
        <v>3.3887200615322879</v>
      </c>
      <c r="E170">
        <v>0</v>
      </c>
      <c r="F170">
        <v>0</v>
      </c>
      <c r="G170">
        <v>4.1513840830449809</v>
      </c>
      <c r="H170">
        <v>0</v>
      </c>
      <c r="I170">
        <v>0</v>
      </c>
      <c r="J170">
        <v>1.2250596117897792</v>
      </c>
      <c r="K170">
        <v>0.22505961178977918</v>
      </c>
      <c r="L170">
        <v>0</v>
      </c>
      <c r="M170">
        <v>0</v>
      </c>
      <c r="N170">
        <v>0</v>
      </c>
      <c r="O170">
        <v>0</v>
      </c>
      <c r="P170">
        <v>0</v>
      </c>
      <c r="Q170">
        <v>0</v>
      </c>
      <c r="R170">
        <v>0</v>
      </c>
      <c r="S170">
        <v>0</v>
      </c>
      <c r="T170">
        <v>0</v>
      </c>
      <c r="U170">
        <v>0</v>
      </c>
      <c r="V170">
        <v>0</v>
      </c>
      <c r="W170">
        <v>0</v>
      </c>
      <c r="X170">
        <v>0</v>
      </c>
      <c r="Y170">
        <v>0</v>
      </c>
      <c r="Z170">
        <v>0</v>
      </c>
      <c r="AA170">
        <v>0</v>
      </c>
      <c r="AB170">
        <v>0</v>
      </c>
      <c r="AC170">
        <v>1</v>
      </c>
      <c r="AD170">
        <v>0</v>
      </c>
      <c r="AE170" t="s">
        <v>161</v>
      </c>
      <c r="AF170">
        <v>0</v>
      </c>
      <c r="AG170" t="s">
        <v>164</v>
      </c>
      <c r="AH170">
        <v>46293</v>
      </c>
      <c r="AI170" t="s">
        <v>149</v>
      </c>
    </row>
    <row r="171" spans="1:35" x14ac:dyDescent="0.25">
      <c r="A171" s="1">
        <v>46293</v>
      </c>
      <c r="B171" t="s">
        <v>13</v>
      </c>
      <c r="C171" t="s">
        <v>11</v>
      </c>
      <c r="D171">
        <v>1.2801831343566421</v>
      </c>
      <c r="E171">
        <v>0</v>
      </c>
      <c r="F171">
        <v>0</v>
      </c>
      <c r="G171">
        <v>0.94117647058823517</v>
      </c>
      <c r="H171">
        <v>0</v>
      </c>
      <c r="I171">
        <v>0</v>
      </c>
      <c r="J171">
        <v>0.73518893143458319</v>
      </c>
      <c r="K171">
        <v>0</v>
      </c>
      <c r="L171">
        <v>0</v>
      </c>
      <c r="M171">
        <v>0</v>
      </c>
      <c r="N171">
        <v>0</v>
      </c>
      <c r="O171">
        <v>0</v>
      </c>
      <c r="P171">
        <v>0</v>
      </c>
      <c r="Q171">
        <v>0</v>
      </c>
      <c r="R171">
        <v>0</v>
      </c>
      <c r="S171">
        <v>0</v>
      </c>
      <c r="T171">
        <v>0.73518893143458319</v>
      </c>
      <c r="U171">
        <v>0.26481106856541681</v>
      </c>
      <c r="V171">
        <v>0</v>
      </c>
      <c r="W171">
        <v>0</v>
      </c>
      <c r="X171">
        <v>0</v>
      </c>
      <c r="Y171">
        <v>0</v>
      </c>
      <c r="Z171">
        <v>0</v>
      </c>
      <c r="AA171">
        <v>0</v>
      </c>
      <c r="AB171">
        <v>0</v>
      </c>
      <c r="AC171">
        <v>0</v>
      </c>
      <c r="AD171">
        <v>0</v>
      </c>
      <c r="AE171" t="s">
        <v>161</v>
      </c>
      <c r="AF171">
        <v>0</v>
      </c>
      <c r="AG171" t="s">
        <v>165</v>
      </c>
      <c r="AH171">
        <v>46293</v>
      </c>
      <c r="AI171" t="s">
        <v>149</v>
      </c>
    </row>
    <row r="172" spans="1:35" x14ac:dyDescent="0.25">
      <c r="A172" s="1">
        <v>46293</v>
      </c>
      <c r="B172" t="s">
        <v>13</v>
      </c>
      <c r="C172" t="s">
        <v>10</v>
      </c>
      <c r="D172">
        <v>5.8508369812393406</v>
      </c>
      <c r="E172">
        <v>0</v>
      </c>
      <c r="F172">
        <v>0</v>
      </c>
      <c r="G172">
        <v>2.5854779411764706</v>
      </c>
      <c r="H172">
        <v>0</v>
      </c>
      <c r="I172">
        <v>0</v>
      </c>
      <c r="J172">
        <v>0.44189881712082968</v>
      </c>
      <c r="K172">
        <v>0</v>
      </c>
      <c r="L172">
        <v>0</v>
      </c>
      <c r="M172">
        <v>0</v>
      </c>
      <c r="N172">
        <v>0</v>
      </c>
      <c r="O172">
        <v>0</v>
      </c>
      <c r="P172">
        <v>0</v>
      </c>
      <c r="Q172">
        <v>0</v>
      </c>
      <c r="R172">
        <v>0</v>
      </c>
      <c r="S172">
        <v>0</v>
      </c>
      <c r="T172">
        <v>0.44189881712082968</v>
      </c>
      <c r="U172">
        <v>0.55810118287917032</v>
      </c>
      <c r="V172">
        <v>0</v>
      </c>
      <c r="W172">
        <v>0</v>
      </c>
      <c r="X172">
        <v>0</v>
      </c>
      <c r="Y172">
        <v>0</v>
      </c>
      <c r="Z172">
        <v>0</v>
      </c>
      <c r="AA172">
        <v>0</v>
      </c>
      <c r="AB172">
        <v>0</v>
      </c>
      <c r="AC172">
        <v>0</v>
      </c>
      <c r="AD172">
        <v>0</v>
      </c>
      <c r="AE172" t="s">
        <v>161</v>
      </c>
      <c r="AF172">
        <v>0</v>
      </c>
      <c r="AG172" t="s">
        <v>166</v>
      </c>
      <c r="AH172">
        <v>46293</v>
      </c>
      <c r="AI172" t="s">
        <v>149</v>
      </c>
    </row>
    <row r="173" spans="1:35" x14ac:dyDescent="0.25">
      <c r="A173" s="1">
        <v>46294</v>
      </c>
      <c r="B173" t="s">
        <v>13</v>
      </c>
      <c r="C173" t="s">
        <v>10</v>
      </c>
      <c r="D173">
        <v>5.8508369812393406</v>
      </c>
      <c r="E173">
        <v>0</v>
      </c>
      <c r="F173">
        <v>0</v>
      </c>
      <c r="G173">
        <v>2.6443014705882355</v>
      </c>
      <c r="H173">
        <v>0</v>
      </c>
      <c r="I173">
        <v>0</v>
      </c>
      <c r="J173">
        <v>0.45195268284984969</v>
      </c>
      <c r="K173">
        <v>0</v>
      </c>
      <c r="L173">
        <v>0</v>
      </c>
      <c r="M173">
        <v>0</v>
      </c>
      <c r="N173">
        <v>0</v>
      </c>
      <c r="O173">
        <v>0</v>
      </c>
      <c r="P173">
        <v>0</v>
      </c>
      <c r="Q173">
        <v>0</v>
      </c>
      <c r="R173">
        <v>0</v>
      </c>
      <c r="S173">
        <v>0</v>
      </c>
      <c r="T173">
        <v>0.45195268284984969</v>
      </c>
      <c r="U173">
        <v>0.54804731715015031</v>
      </c>
      <c r="V173">
        <v>0</v>
      </c>
      <c r="W173">
        <v>0</v>
      </c>
      <c r="X173">
        <v>0</v>
      </c>
      <c r="Y173">
        <v>0</v>
      </c>
      <c r="Z173">
        <v>0</v>
      </c>
      <c r="AA173">
        <v>0</v>
      </c>
      <c r="AB173">
        <v>0</v>
      </c>
      <c r="AC173">
        <v>0</v>
      </c>
      <c r="AD173">
        <v>0</v>
      </c>
      <c r="AE173" t="s">
        <v>161</v>
      </c>
      <c r="AF173">
        <v>0</v>
      </c>
      <c r="AG173" t="s">
        <v>167</v>
      </c>
      <c r="AH173">
        <v>46294</v>
      </c>
      <c r="AI173" t="s">
        <v>149</v>
      </c>
    </row>
    <row r="174" spans="1:35" x14ac:dyDescent="0.25">
      <c r="A174" s="1">
        <v>46294</v>
      </c>
      <c r="B174" t="s">
        <v>13</v>
      </c>
      <c r="C174" t="s">
        <v>12</v>
      </c>
      <c r="D174">
        <v>3.3887200615322879</v>
      </c>
      <c r="E174">
        <v>0</v>
      </c>
      <c r="F174">
        <v>0</v>
      </c>
      <c r="G174">
        <v>4.0925605536332172</v>
      </c>
      <c r="H174">
        <v>0</v>
      </c>
      <c r="I174">
        <v>0</v>
      </c>
      <c r="J174">
        <v>1.2077009842420183</v>
      </c>
      <c r="K174">
        <v>0.20770098424201833</v>
      </c>
      <c r="L174">
        <v>0</v>
      </c>
      <c r="M174">
        <v>0</v>
      </c>
      <c r="N174">
        <v>0</v>
      </c>
      <c r="O174">
        <v>0</v>
      </c>
      <c r="P174">
        <v>0</v>
      </c>
      <c r="Q174">
        <v>0</v>
      </c>
      <c r="R174">
        <v>0</v>
      </c>
      <c r="S174">
        <v>0</v>
      </c>
      <c r="T174">
        <v>0</v>
      </c>
      <c r="U174">
        <v>0</v>
      </c>
      <c r="V174">
        <v>0</v>
      </c>
      <c r="W174">
        <v>0</v>
      </c>
      <c r="X174">
        <v>0</v>
      </c>
      <c r="Y174">
        <v>0</v>
      </c>
      <c r="Z174">
        <v>0</v>
      </c>
      <c r="AA174">
        <v>0</v>
      </c>
      <c r="AB174">
        <v>0</v>
      </c>
      <c r="AC174">
        <v>1</v>
      </c>
      <c r="AD174">
        <v>0</v>
      </c>
      <c r="AE174" t="s">
        <v>161</v>
      </c>
      <c r="AF174">
        <v>0</v>
      </c>
      <c r="AG174" t="s">
        <v>169</v>
      </c>
      <c r="AH174">
        <v>46294</v>
      </c>
      <c r="AI174" t="s">
        <v>149</v>
      </c>
    </row>
    <row r="175" spans="1:35" x14ac:dyDescent="0.25">
      <c r="A175" s="1">
        <v>46294</v>
      </c>
      <c r="B175" t="s">
        <v>13</v>
      </c>
      <c r="C175" t="s">
        <v>11</v>
      </c>
      <c r="D175">
        <v>1.2801831343566421</v>
      </c>
      <c r="E175">
        <v>0</v>
      </c>
      <c r="F175">
        <v>0</v>
      </c>
      <c r="G175">
        <v>0.94117647058823517</v>
      </c>
      <c r="H175">
        <v>0</v>
      </c>
      <c r="I175">
        <v>0</v>
      </c>
      <c r="J175">
        <v>0.73518893143458319</v>
      </c>
      <c r="K175">
        <v>0</v>
      </c>
      <c r="L175">
        <v>0</v>
      </c>
      <c r="M175">
        <v>0</v>
      </c>
      <c r="N175">
        <v>0</v>
      </c>
      <c r="O175">
        <v>0</v>
      </c>
      <c r="P175">
        <v>0</v>
      </c>
      <c r="Q175">
        <v>0</v>
      </c>
      <c r="R175">
        <v>0</v>
      </c>
      <c r="S175">
        <v>0</v>
      </c>
      <c r="T175">
        <v>0.73518893143458319</v>
      </c>
      <c r="U175">
        <v>0.26481106856541681</v>
      </c>
      <c r="V175">
        <v>0</v>
      </c>
      <c r="W175">
        <v>0</v>
      </c>
      <c r="X175">
        <v>0</v>
      </c>
      <c r="Y175">
        <v>0</v>
      </c>
      <c r="Z175">
        <v>0</v>
      </c>
      <c r="AA175">
        <v>0</v>
      </c>
      <c r="AB175">
        <v>0</v>
      </c>
      <c r="AC175">
        <v>0</v>
      </c>
      <c r="AD175">
        <v>0</v>
      </c>
      <c r="AE175" t="s">
        <v>161</v>
      </c>
      <c r="AF175">
        <v>0</v>
      </c>
      <c r="AG175" t="s">
        <v>168</v>
      </c>
      <c r="AH175">
        <v>46294</v>
      </c>
      <c r="AI175" t="s">
        <v>149</v>
      </c>
    </row>
    <row r="176" spans="1:35" x14ac:dyDescent="0.25">
      <c r="A176" s="1">
        <v>46295</v>
      </c>
      <c r="B176" t="s">
        <v>13</v>
      </c>
      <c r="C176" t="s">
        <v>10</v>
      </c>
      <c r="D176">
        <v>4.6506652927799887</v>
      </c>
      <c r="E176">
        <v>0</v>
      </c>
      <c r="F176">
        <v>0</v>
      </c>
      <c r="G176">
        <v>2.9062500000000004</v>
      </c>
      <c r="H176">
        <v>0</v>
      </c>
      <c r="I176">
        <v>0</v>
      </c>
      <c r="J176">
        <v>0.62491059171939589</v>
      </c>
      <c r="K176">
        <v>0</v>
      </c>
      <c r="L176">
        <v>0</v>
      </c>
      <c r="M176">
        <v>0</v>
      </c>
      <c r="N176">
        <v>0</v>
      </c>
      <c r="O176">
        <v>0</v>
      </c>
      <c r="P176">
        <v>0</v>
      </c>
      <c r="Q176">
        <v>0</v>
      </c>
      <c r="R176">
        <v>0</v>
      </c>
      <c r="S176">
        <v>0</v>
      </c>
      <c r="T176">
        <v>0.62491059171939589</v>
      </c>
      <c r="U176">
        <v>0.37508940828060411</v>
      </c>
      <c r="V176">
        <v>0</v>
      </c>
      <c r="W176">
        <v>0</v>
      </c>
      <c r="X176">
        <v>0</v>
      </c>
      <c r="Y176">
        <v>0</v>
      </c>
      <c r="Z176">
        <v>0</v>
      </c>
      <c r="AA176">
        <v>0</v>
      </c>
      <c r="AB176">
        <v>0</v>
      </c>
      <c r="AC176">
        <v>0</v>
      </c>
      <c r="AD176">
        <v>0</v>
      </c>
      <c r="AE176" t="s">
        <v>161</v>
      </c>
      <c r="AF176">
        <v>0</v>
      </c>
      <c r="AG176" t="s">
        <v>170</v>
      </c>
      <c r="AH176">
        <v>46295</v>
      </c>
      <c r="AI176" t="s">
        <v>149</v>
      </c>
    </row>
    <row r="177" spans="1:35" x14ac:dyDescent="0.25">
      <c r="A177" s="1">
        <v>46295</v>
      </c>
      <c r="B177" t="s">
        <v>13</v>
      </c>
      <c r="C177" t="s">
        <v>11</v>
      </c>
      <c r="D177">
        <v>1.2801831343566421</v>
      </c>
      <c r="E177">
        <v>0</v>
      </c>
      <c r="F177">
        <v>0</v>
      </c>
      <c r="G177">
        <v>0.94117647058823517</v>
      </c>
      <c r="H177">
        <v>0</v>
      </c>
      <c r="I177">
        <v>0</v>
      </c>
      <c r="J177">
        <v>0.73518893143458319</v>
      </c>
      <c r="K177">
        <v>0</v>
      </c>
      <c r="L177">
        <v>0</v>
      </c>
      <c r="M177">
        <v>0</v>
      </c>
      <c r="N177">
        <v>0</v>
      </c>
      <c r="O177">
        <v>0</v>
      </c>
      <c r="P177">
        <v>0</v>
      </c>
      <c r="Q177">
        <v>0</v>
      </c>
      <c r="R177">
        <v>0</v>
      </c>
      <c r="S177">
        <v>0</v>
      </c>
      <c r="T177">
        <v>0.73518893143458319</v>
      </c>
      <c r="U177">
        <v>0.26481106856541681</v>
      </c>
      <c r="V177">
        <v>0</v>
      </c>
      <c r="W177">
        <v>0</v>
      </c>
      <c r="X177">
        <v>0</v>
      </c>
      <c r="Y177">
        <v>0</v>
      </c>
      <c r="Z177">
        <v>0</v>
      </c>
      <c r="AA177">
        <v>0</v>
      </c>
      <c r="AB177">
        <v>0</v>
      </c>
      <c r="AC177">
        <v>0</v>
      </c>
      <c r="AD177">
        <v>0</v>
      </c>
      <c r="AE177" t="s">
        <v>161</v>
      </c>
      <c r="AF177">
        <v>0</v>
      </c>
      <c r="AG177" t="s">
        <v>171</v>
      </c>
      <c r="AH177">
        <v>46295</v>
      </c>
      <c r="AI177" t="s">
        <v>149</v>
      </c>
    </row>
    <row r="178" spans="1:35" x14ac:dyDescent="0.25">
      <c r="A178" s="1">
        <v>46295</v>
      </c>
      <c r="B178" t="s">
        <v>13</v>
      </c>
      <c r="C178" t="s">
        <v>12</v>
      </c>
      <c r="D178">
        <v>3.9535067384543359</v>
      </c>
      <c r="E178">
        <v>0</v>
      </c>
      <c r="F178">
        <v>0</v>
      </c>
      <c r="G178">
        <v>4.2577854671280253</v>
      </c>
      <c r="H178">
        <v>0</v>
      </c>
      <c r="I178">
        <v>0</v>
      </c>
      <c r="J178">
        <v>1.0769642620598265</v>
      </c>
      <c r="K178">
        <v>7.6964262059826538E-2</v>
      </c>
      <c r="L178">
        <v>0</v>
      </c>
      <c r="M178">
        <v>0</v>
      </c>
      <c r="N178">
        <v>0</v>
      </c>
      <c r="O178">
        <v>0</v>
      </c>
      <c r="P178">
        <v>0</v>
      </c>
      <c r="Q178">
        <v>0</v>
      </c>
      <c r="R178">
        <v>0</v>
      </c>
      <c r="S178">
        <v>0</v>
      </c>
      <c r="T178">
        <v>0</v>
      </c>
      <c r="U178">
        <v>0</v>
      </c>
      <c r="V178">
        <v>0</v>
      </c>
      <c r="W178">
        <v>0</v>
      </c>
      <c r="X178">
        <v>0</v>
      </c>
      <c r="Y178">
        <v>0</v>
      </c>
      <c r="Z178">
        <v>0</v>
      </c>
      <c r="AA178">
        <v>0</v>
      </c>
      <c r="AB178">
        <v>0</v>
      </c>
      <c r="AC178">
        <v>1</v>
      </c>
      <c r="AD178">
        <v>0</v>
      </c>
      <c r="AE178" t="s">
        <v>161</v>
      </c>
      <c r="AF178">
        <v>0</v>
      </c>
      <c r="AG178" t="s">
        <v>172</v>
      </c>
      <c r="AH178">
        <v>46295</v>
      </c>
      <c r="AI178" t="s">
        <v>149</v>
      </c>
    </row>
    <row r="179" spans="1:35" x14ac:dyDescent="0.25">
      <c r="A179" s="1">
        <v>46296</v>
      </c>
      <c r="B179" t="s">
        <v>13</v>
      </c>
      <c r="C179" t="s">
        <v>12</v>
      </c>
      <c r="D179">
        <v>3.5299167307627997</v>
      </c>
      <c r="E179">
        <v>0</v>
      </c>
      <c r="F179">
        <v>0</v>
      </c>
      <c r="G179">
        <v>3.0511746494263332</v>
      </c>
      <c r="H179">
        <v>0</v>
      </c>
      <c r="I179">
        <v>0</v>
      </c>
      <c r="J179">
        <v>0.86437581454421097</v>
      </c>
      <c r="K179">
        <v>0</v>
      </c>
      <c r="L179">
        <v>0</v>
      </c>
      <c r="M179">
        <v>0</v>
      </c>
      <c r="N179">
        <v>0</v>
      </c>
      <c r="O179">
        <v>0</v>
      </c>
      <c r="P179">
        <v>0</v>
      </c>
      <c r="Q179">
        <v>0</v>
      </c>
      <c r="R179">
        <v>0</v>
      </c>
      <c r="S179">
        <v>0</v>
      </c>
      <c r="T179">
        <v>0.86437581454421097</v>
      </c>
      <c r="U179">
        <v>0.13562418545578903</v>
      </c>
      <c r="V179">
        <v>0</v>
      </c>
      <c r="W179">
        <v>0</v>
      </c>
      <c r="X179">
        <v>0</v>
      </c>
      <c r="Y179">
        <v>0</v>
      </c>
      <c r="Z179">
        <v>0</v>
      </c>
      <c r="AA179">
        <v>0</v>
      </c>
      <c r="AB179">
        <v>0</v>
      </c>
      <c r="AC179">
        <v>0</v>
      </c>
      <c r="AD179">
        <v>0</v>
      </c>
      <c r="AE179" t="s">
        <v>161</v>
      </c>
      <c r="AF179">
        <v>0</v>
      </c>
      <c r="AG179" t="s">
        <v>174</v>
      </c>
      <c r="AH179">
        <v>46296</v>
      </c>
      <c r="AI179" t="s">
        <v>149</v>
      </c>
    </row>
    <row r="180" spans="1:35" x14ac:dyDescent="0.25">
      <c r="A180" s="1">
        <v>46296</v>
      </c>
      <c r="B180" t="s">
        <v>13</v>
      </c>
      <c r="C180" t="s">
        <v>11</v>
      </c>
      <c r="D180">
        <v>1.2801831343566421</v>
      </c>
      <c r="E180">
        <v>0</v>
      </c>
      <c r="F180">
        <v>0</v>
      </c>
      <c r="G180">
        <v>0.94117647058823517</v>
      </c>
      <c r="H180">
        <v>0</v>
      </c>
      <c r="I180">
        <v>0</v>
      </c>
      <c r="J180">
        <v>0.73518893143458319</v>
      </c>
      <c r="K180">
        <v>0</v>
      </c>
      <c r="L180">
        <v>0</v>
      </c>
      <c r="M180">
        <v>0</v>
      </c>
      <c r="N180">
        <v>0</v>
      </c>
      <c r="O180">
        <v>0</v>
      </c>
      <c r="P180">
        <v>0</v>
      </c>
      <c r="Q180">
        <v>0</v>
      </c>
      <c r="R180">
        <v>0</v>
      </c>
      <c r="S180">
        <v>0</v>
      </c>
      <c r="T180">
        <v>0.73518893143458319</v>
      </c>
      <c r="U180">
        <v>0.26481106856541681</v>
      </c>
      <c r="V180">
        <v>0</v>
      </c>
      <c r="W180">
        <v>0</v>
      </c>
      <c r="X180">
        <v>0</v>
      </c>
      <c r="Y180">
        <v>0</v>
      </c>
      <c r="Z180">
        <v>0</v>
      </c>
      <c r="AA180">
        <v>0</v>
      </c>
      <c r="AB180">
        <v>0</v>
      </c>
      <c r="AC180">
        <v>0</v>
      </c>
      <c r="AD180">
        <v>0</v>
      </c>
      <c r="AE180" t="s">
        <v>161</v>
      </c>
      <c r="AF180">
        <v>0</v>
      </c>
      <c r="AG180" t="s">
        <v>175</v>
      </c>
      <c r="AH180">
        <v>46296</v>
      </c>
      <c r="AI180" t="s">
        <v>149</v>
      </c>
    </row>
    <row r="181" spans="1:35" x14ac:dyDescent="0.25">
      <c r="A181" s="1">
        <v>46296</v>
      </c>
      <c r="B181" t="s">
        <v>13</v>
      </c>
      <c r="C181" t="s">
        <v>10</v>
      </c>
      <c r="D181">
        <v>6.0008584422967584</v>
      </c>
      <c r="E181">
        <v>0</v>
      </c>
      <c r="F181">
        <v>0</v>
      </c>
      <c r="G181">
        <v>3.0007739938080493</v>
      </c>
      <c r="H181">
        <v>0</v>
      </c>
      <c r="I181">
        <v>0</v>
      </c>
      <c r="J181">
        <v>0.50005745388980349</v>
      </c>
      <c r="K181">
        <v>0</v>
      </c>
      <c r="L181">
        <v>0</v>
      </c>
      <c r="M181">
        <v>0</v>
      </c>
      <c r="N181">
        <v>0</v>
      </c>
      <c r="O181">
        <v>0</v>
      </c>
      <c r="P181">
        <v>0</v>
      </c>
      <c r="Q181">
        <v>0</v>
      </c>
      <c r="R181">
        <v>0</v>
      </c>
      <c r="S181">
        <v>0</v>
      </c>
      <c r="T181">
        <v>0.50005745388980349</v>
      </c>
      <c r="U181">
        <v>0.49994254611019651</v>
      </c>
      <c r="V181">
        <v>0</v>
      </c>
      <c r="W181">
        <v>0</v>
      </c>
      <c r="X181">
        <v>0</v>
      </c>
      <c r="Y181">
        <v>0</v>
      </c>
      <c r="Z181">
        <v>0</v>
      </c>
      <c r="AA181">
        <v>0</v>
      </c>
      <c r="AB181">
        <v>0</v>
      </c>
      <c r="AC181">
        <v>0</v>
      </c>
      <c r="AD181">
        <v>0</v>
      </c>
      <c r="AE181" t="s">
        <v>161</v>
      </c>
      <c r="AF181">
        <v>0</v>
      </c>
      <c r="AG181" t="s">
        <v>173</v>
      </c>
      <c r="AH181">
        <v>46296</v>
      </c>
      <c r="AI181" t="s">
        <v>149</v>
      </c>
    </row>
    <row r="182" spans="1:35" x14ac:dyDescent="0.25">
      <c r="A182" s="1">
        <v>46297</v>
      </c>
      <c r="B182" t="s">
        <v>13</v>
      </c>
      <c r="C182" t="s">
        <v>10</v>
      </c>
      <c r="D182">
        <v>4.8006867538374074</v>
      </c>
      <c r="E182">
        <v>0</v>
      </c>
      <c r="F182">
        <v>0</v>
      </c>
      <c r="G182">
        <v>2.8823529411764715</v>
      </c>
      <c r="H182">
        <v>0</v>
      </c>
      <c r="I182">
        <v>0</v>
      </c>
      <c r="J182">
        <v>0.60040429400490991</v>
      </c>
      <c r="K182">
        <v>0</v>
      </c>
      <c r="L182">
        <v>0</v>
      </c>
      <c r="M182">
        <v>0</v>
      </c>
      <c r="N182">
        <v>0</v>
      </c>
      <c r="O182">
        <v>0</v>
      </c>
      <c r="P182">
        <v>0</v>
      </c>
      <c r="Q182">
        <v>0</v>
      </c>
      <c r="R182">
        <v>0</v>
      </c>
      <c r="S182">
        <v>0</v>
      </c>
      <c r="T182">
        <v>0.60040429400490991</v>
      </c>
      <c r="U182">
        <v>0.39959570599509009</v>
      </c>
      <c r="V182">
        <v>0</v>
      </c>
      <c r="W182">
        <v>0</v>
      </c>
      <c r="X182">
        <v>0</v>
      </c>
      <c r="Y182">
        <v>0</v>
      </c>
      <c r="Z182">
        <v>0</v>
      </c>
      <c r="AA182">
        <v>0</v>
      </c>
      <c r="AB182">
        <v>0</v>
      </c>
      <c r="AC182">
        <v>0</v>
      </c>
      <c r="AD182">
        <v>0</v>
      </c>
      <c r="AE182" t="s">
        <v>161</v>
      </c>
      <c r="AF182">
        <v>0</v>
      </c>
      <c r="AG182" t="s">
        <v>176</v>
      </c>
      <c r="AH182">
        <v>46297</v>
      </c>
      <c r="AI182" t="s">
        <v>149</v>
      </c>
    </row>
    <row r="183" spans="1:35" x14ac:dyDescent="0.25">
      <c r="A183" s="1">
        <v>46297</v>
      </c>
      <c r="B183" t="s">
        <v>13</v>
      </c>
      <c r="C183" t="s">
        <v>11</v>
      </c>
      <c r="D183">
        <v>1.2801831343566421</v>
      </c>
      <c r="E183">
        <v>0</v>
      </c>
      <c r="F183">
        <v>0</v>
      </c>
      <c r="G183">
        <v>0.94117647058823517</v>
      </c>
      <c r="H183">
        <v>0</v>
      </c>
      <c r="I183">
        <v>0</v>
      </c>
      <c r="J183">
        <v>0.73518893143458319</v>
      </c>
      <c r="K183">
        <v>0</v>
      </c>
      <c r="L183">
        <v>0</v>
      </c>
      <c r="M183">
        <v>0</v>
      </c>
      <c r="N183">
        <v>0</v>
      </c>
      <c r="O183">
        <v>0</v>
      </c>
      <c r="P183">
        <v>0</v>
      </c>
      <c r="Q183">
        <v>0</v>
      </c>
      <c r="R183">
        <v>0</v>
      </c>
      <c r="S183">
        <v>0</v>
      </c>
      <c r="T183">
        <v>0.73518893143458319</v>
      </c>
      <c r="U183">
        <v>0.26481106856541681</v>
      </c>
      <c r="V183">
        <v>0</v>
      </c>
      <c r="W183">
        <v>0</v>
      </c>
      <c r="X183">
        <v>0</v>
      </c>
      <c r="Y183">
        <v>0</v>
      </c>
      <c r="Z183">
        <v>0</v>
      </c>
      <c r="AA183">
        <v>0</v>
      </c>
      <c r="AB183">
        <v>0</v>
      </c>
      <c r="AC183">
        <v>0</v>
      </c>
      <c r="AD183">
        <v>0</v>
      </c>
      <c r="AE183" t="s">
        <v>161</v>
      </c>
      <c r="AF183">
        <v>0</v>
      </c>
      <c r="AG183" t="s">
        <v>177</v>
      </c>
      <c r="AH183">
        <v>46297</v>
      </c>
      <c r="AI183" t="s">
        <v>149</v>
      </c>
    </row>
    <row r="184" spans="1:35" x14ac:dyDescent="0.25">
      <c r="A184" s="1">
        <v>46297</v>
      </c>
      <c r="B184" t="s">
        <v>13</v>
      </c>
      <c r="C184" t="s">
        <v>12</v>
      </c>
      <c r="D184">
        <v>2.2591467076881915</v>
      </c>
      <c r="E184">
        <v>0</v>
      </c>
      <c r="F184">
        <v>0</v>
      </c>
      <c r="G184">
        <v>2.1038062283737027</v>
      </c>
      <c r="H184">
        <v>0</v>
      </c>
      <c r="I184">
        <v>0</v>
      </c>
      <c r="J184">
        <v>0.93123931315047248</v>
      </c>
      <c r="K184">
        <v>0</v>
      </c>
      <c r="L184">
        <v>0</v>
      </c>
      <c r="M184">
        <v>0</v>
      </c>
      <c r="N184">
        <v>0</v>
      </c>
      <c r="O184">
        <v>0</v>
      </c>
      <c r="P184">
        <v>0</v>
      </c>
      <c r="Q184">
        <v>0</v>
      </c>
      <c r="R184">
        <v>0</v>
      </c>
      <c r="S184">
        <v>0</v>
      </c>
      <c r="T184">
        <v>0.93123931315047248</v>
      </c>
      <c r="U184">
        <v>6.8760686849527519E-2</v>
      </c>
      <c r="V184">
        <v>0</v>
      </c>
      <c r="W184">
        <v>0</v>
      </c>
      <c r="X184">
        <v>0</v>
      </c>
      <c r="Y184">
        <v>0</v>
      </c>
      <c r="Z184">
        <v>0</v>
      </c>
      <c r="AA184">
        <v>0</v>
      </c>
      <c r="AB184">
        <v>0</v>
      </c>
      <c r="AC184">
        <v>0</v>
      </c>
      <c r="AD184">
        <v>0</v>
      </c>
      <c r="AE184" t="s">
        <v>161</v>
      </c>
      <c r="AF184">
        <v>0</v>
      </c>
      <c r="AG184" t="s">
        <v>178</v>
      </c>
      <c r="AH184">
        <v>46297</v>
      </c>
      <c r="AI184" t="s">
        <v>149</v>
      </c>
    </row>
    <row r="185" spans="1:35" x14ac:dyDescent="0.25">
      <c r="A185" s="1">
        <v>46298</v>
      </c>
      <c r="B185" t="s">
        <v>13</v>
      </c>
      <c r="C185" t="s">
        <v>10</v>
      </c>
      <c r="D185">
        <v>3.6005150653780555</v>
      </c>
      <c r="E185">
        <v>0</v>
      </c>
      <c r="F185">
        <v>0</v>
      </c>
      <c r="G185">
        <v>3.8198529411764706</v>
      </c>
      <c r="H185">
        <v>0</v>
      </c>
      <c r="I185">
        <v>0</v>
      </c>
      <c r="J185">
        <v>1.0609184718896278</v>
      </c>
      <c r="K185">
        <v>6.0918471889627845E-2</v>
      </c>
      <c r="L185">
        <v>0</v>
      </c>
      <c r="M185">
        <v>0</v>
      </c>
      <c r="N185">
        <v>0</v>
      </c>
      <c r="O185">
        <v>0</v>
      </c>
      <c r="P185">
        <v>0</v>
      </c>
      <c r="Q185">
        <v>0</v>
      </c>
      <c r="R185">
        <v>0</v>
      </c>
      <c r="S185">
        <v>0</v>
      </c>
      <c r="T185">
        <v>0</v>
      </c>
      <c r="U185">
        <v>0</v>
      </c>
      <c r="V185">
        <v>0</v>
      </c>
      <c r="W185">
        <v>0</v>
      </c>
      <c r="X185">
        <v>0</v>
      </c>
      <c r="Y185">
        <v>0</v>
      </c>
      <c r="Z185">
        <v>0</v>
      </c>
      <c r="AA185">
        <v>0</v>
      </c>
      <c r="AB185">
        <v>0</v>
      </c>
      <c r="AC185">
        <v>1</v>
      </c>
      <c r="AD185">
        <v>0</v>
      </c>
      <c r="AE185" t="s">
        <v>161</v>
      </c>
      <c r="AF185">
        <v>0</v>
      </c>
      <c r="AG185" t="s">
        <v>180</v>
      </c>
      <c r="AH185">
        <v>46298</v>
      </c>
      <c r="AI185" t="s">
        <v>149</v>
      </c>
    </row>
    <row r="186" spans="1:35" x14ac:dyDescent="0.25">
      <c r="A186" s="1">
        <v>46298</v>
      </c>
      <c r="B186" t="s">
        <v>13</v>
      </c>
      <c r="C186" t="s">
        <v>11</v>
      </c>
      <c r="D186">
        <v>1.2801831343566421</v>
      </c>
      <c r="E186">
        <v>0</v>
      </c>
      <c r="F186">
        <v>0</v>
      </c>
      <c r="G186">
        <v>0.94117647058823517</v>
      </c>
      <c r="H186">
        <v>0</v>
      </c>
      <c r="I186">
        <v>0</v>
      </c>
      <c r="J186">
        <v>0.73518893143458319</v>
      </c>
      <c r="K186">
        <v>0</v>
      </c>
      <c r="L186">
        <v>0</v>
      </c>
      <c r="M186">
        <v>0</v>
      </c>
      <c r="N186">
        <v>0</v>
      </c>
      <c r="O186">
        <v>0</v>
      </c>
      <c r="P186">
        <v>0</v>
      </c>
      <c r="Q186">
        <v>0</v>
      </c>
      <c r="R186">
        <v>0</v>
      </c>
      <c r="S186">
        <v>0</v>
      </c>
      <c r="T186">
        <v>0.73518893143458319</v>
      </c>
      <c r="U186">
        <v>0.26481106856541681</v>
      </c>
      <c r="V186">
        <v>0</v>
      </c>
      <c r="W186">
        <v>0</v>
      </c>
      <c r="X186">
        <v>0</v>
      </c>
      <c r="Y186">
        <v>0</v>
      </c>
      <c r="Z186">
        <v>0</v>
      </c>
      <c r="AA186">
        <v>0</v>
      </c>
      <c r="AB186">
        <v>0</v>
      </c>
      <c r="AC186">
        <v>0</v>
      </c>
      <c r="AD186">
        <v>0</v>
      </c>
      <c r="AE186" t="s">
        <v>161</v>
      </c>
      <c r="AF186">
        <v>0</v>
      </c>
      <c r="AG186" t="s">
        <v>179</v>
      </c>
      <c r="AH186">
        <v>46298</v>
      </c>
      <c r="AI186" t="s">
        <v>149</v>
      </c>
    </row>
    <row r="187" spans="1:35" x14ac:dyDescent="0.25">
      <c r="A187" s="1">
        <v>46298</v>
      </c>
      <c r="B187" t="s">
        <v>13</v>
      </c>
      <c r="C187" t="s">
        <v>12</v>
      </c>
      <c r="D187">
        <v>3.388720061532287</v>
      </c>
      <c r="E187">
        <v>0</v>
      </c>
      <c r="F187">
        <v>0</v>
      </c>
      <c r="G187">
        <v>3.9273356401384079</v>
      </c>
      <c r="H187">
        <v>0</v>
      </c>
      <c r="I187">
        <v>0</v>
      </c>
      <c r="J187">
        <v>1.1589436627475724</v>
      </c>
      <c r="K187">
        <v>0.15894366274757243</v>
      </c>
      <c r="L187">
        <v>0</v>
      </c>
      <c r="M187">
        <v>0</v>
      </c>
      <c r="N187">
        <v>0</v>
      </c>
      <c r="O187">
        <v>0</v>
      </c>
      <c r="P187">
        <v>0</v>
      </c>
      <c r="Q187">
        <v>0</v>
      </c>
      <c r="R187">
        <v>0</v>
      </c>
      <c r="S187">
        <v>0</v>
      </c>
      <c r="T187">
        <v>0</v>
      </c>
      <c r="U187">
        <v>0</v>
      </c>
      <c r="V187">
        <v>0</v>
      </c>
      <c r="W187">
        <v>0</v>
      </c>
      <c r="X187">
        <v>0</v>
      </c>
      <c r="Y187">
        <v>0</v>
      </c>
      <c r="Z187">
        <v>0</v>
      </c>
      <c r="AA187">
        <v>0</v>
      </c>
      <c r="AB187">
        <v>0</v>
      </c>
      <c r="AC187">
        <v>1</v>
      </c>
      <c r="AD187">
        <v>0</v>
      </c>
      <c r="AE187" t="s">
        <v>161</v>
      </c>
      <c r="AF187">
        <v>0</v>
      </c>
      <c r="AG187" t="s">
        <v>181</v>
      </c>
      <c r="AH187">
        <v>46298</v>
      </c>
      <c r="AI187" t="s">
        <v>149</v>
      </c>
    </row>
    <row r="188" spans="1:35" x14ac:dyDescent="0.25">
      <c r="A188" s="1">
        <v>46299</v>
      </c>
      <c r="B188" t="s">
        <v>13</v>
      </c>
      <c r="C188" t="s">
        <v>10</v>
      </c>
      <c r="D188">
        <v>4.7256760233086972</v>
      </c>
      <c r="E188">
        <v>0</v>
      </c>
      <c r="F188">
        <v>0</v>
      </c>
      <c r="G188">
        <v>3.585477941176471</v>
      </c>
      <c r="H188">
        <v>0</v>
      </c>
      <c r="I188">
        <v>0</v>
      </c>
      <c r="J188">
        <v>0.75872275701754244</v>
      </c>
      <c r="K188">
        <v>0</v>
      </c>
      <c r="L188">
        <v>0</v>
      </c>
      <c r="M188">
        <v>0</v>
      </c>
      <c r="N188">
        <v>0</v>
      </c>
      <c r="O188">
        <v>0</v>
      </c>
      <c r="P188">
        <v>0</v>
      </c>
      <c r="Q188">
        <v>0</v>
      </c>
      <c r="R188">
        <v>0</v>
      </c>
      <c r="S188">
        <v>0</v>
      </c>
      <c r="T188">
        <v>0.75872275701754244</v>
      </c>
      <c r="U188">
        <v>0.24127724298245756</v>
      </c>
      <c r="V188">
        <v>0</v>
      </c>
      <c r="W188">
        <v>0</v>
      </c>
      <c r="X188">
        <v>0</v>
      </c>
      <c r="Y188">
        <v>0</v>
      </c>
      <c r="Z188">
        <v>0</v>
      </c>
      <c r="AA188">
        <v>0</v>
      </c>
      <c r="AB188">
        <v>0</v>
      </c>
      <c r="AC188">
        <v>0</v>
      </c>
      <c r="AD188">
        <v>0</v>
      </c>
      <c r="AE188" t="s">
        <v>161</v>
      </c>
      <c r="AF188">
        <v>0</v>
      </c>
      <c r="AG188" t="s">
        <v>182</v>
      </c>
      <c r="AH188">
        <v>46299</v>
      </c>
      <c r="AI188" t="s">
        <v>149</v>
      </c>
    </row>
    <row r="189" spans="1:35" x14ac:dyDescent="0.25">
      <c r="A189" s="1">
        <v>46299</v>
      </c>
      <c r="B189" t="s">
        <v>13</v>
      </c>
      <c r="C189" t="s">
        <v>11</v>
      </c>
      <c r="D189">
        <v>1.2801831343566421</v>
      </c>
      <c r="E189">
        <v>0</v>
      </c>
      <c r="F189">
        <v>0</v>
      </c>
      <c r="G189">
        <v>0.94117647058823517</v>
      </c>
      <c r="H189">
        <v>0</v>
      </c>
      <c r="I189">
        <v>0</v>
      </c>
      <c r="J189">
        <v>0.73518893143458319</v>
      </c>
      <c r="K189">
        <v>0</v>
      </c>
      <c r="L189">
        <v>0</v>
      </c>
      <c r="M189">
        <v>0</v>
      </c>
      <c r="N189">
        <v>0</v>
      </c>
      <c r="O189">
        <v>0</v>
      </c>
      <c r="P189">
        <v>0</v>
      </c>
      <c r="Q189">
        <v>0</v>
      </c>
      <c r="R189">
        <v>0</v>
      </c>
      <c r="S189">
        <v>0</v>
      </c>
      <c r="T189">
        <v>0.73518893143458319</v>
      </c>
      <c r="U189">
        <v>0.26481106856541681</v>
      </c>
      <c r="V189">
        <v>0</v>
      </c>
      <c r="W189">
        <v>0</v>
      </c>
      <c r="X189">
        <v>0</v>
      </c>
      <c r="Y189">
        <v>0</v>
      </c>
      <c r="Z189">
        <v>0</v>
      </c>
      <c r="AA189">
        <v>0</v>
      </c>
      <c r="AB189">
        <v>0</v>
      </c>
      <c r="AC189">
        <v>0</v>
      </c>
      <c r="AD189">
        <v>0</v>
      </c>
      <c r="AE189" t="s">
        <v>161</v>
      </c>
      <c r="AF189">
        <v>0</v>
      </c>
      <c r="AG189" t="s">
        <v>183</v>
      </c>
      <c r="AH189">
        <v>46299</v>
      </c>
      <c r="AI189" t="s">
        <v>149</v>
      </c>
    </row>
    <row r="190" spans="1:35" x14ac:dyDescent="0.25">
      <c r="A190" s="1">
        <v>46299</v>
      </c>
      <c r="B190" t="s">
        <v>13</v>
      </c>
      <c r="C190" t="s">
        <v>12</v>
      </c>
      <c r="D190">
        <v>3.388720061532287</v>
      </c>
      <c r="E190">
        <v>0</v>
      </c>
      <c r="F190">
        <v>0</v>
      </c>
      <c r="G190">
        <v>3.2655709342560537</v>
      </c>
      <c r="H190">
        <v>0</v>
      </c>
      <c r="I190">
        <v>0</v>
      </c>
      <c r="J190">
        <v>0.96365910283526091</v>
      </c>
      <c r="K190">
        <v>0</v>
      </c>
      <c r="L190">
        <v>0</v>
      </c>
      <c r="M190">
        <v>0</v>
      </c>
      <c r="N190">
        <v>0</v>
      </c>
      <c r="O190">
        <v>0</v>
      </c>
      <c r="P190">
        <v>0</v>
      </c>
      <c r="Q190">
        <v>0</v>
      </c>
      <c r="R190">
        <v>0</v>
      </c>
      <c r="S190">
        <v>0</v>
      </c>
      <c r="T190">
        <v>0.96365910283526091</v>
      </c>
      <c r="U190">
        <v>3.6340897164739094E-2</v>
      </c>
      <c r="V190">
        <v>0</v>
      </c>
      <c r="W190">
        <v>0</v>
      </c>
      <c r="X190">
        <v>0</v>
      </c>
      <c r="Y190">
        <v>0</v>
      </c>
      <c r="Z190">
        <v>0</v>
      </c>
      <c r="AA190">
        <v>0</v>
      </c>
      <c r="AB190">
        <v>0</v>
      </c>
      <c r="AC190">
        <v>0</v>
      </c>
      <c r="AD190">
        <v>0</v>
      </c>
      <c r="AE190" t="s">
        <v>161</v>
      </c>
      <c r="AF190">
        <v>0</v>
      </c>
      <c r="AG190" t="s">
        <v>184</v>
      </c>
      <c r="AH190">
        <v>46299</v>
      </c>
      <c r="AI190" t="s">
        <v>149</v>
      </c>
    </row>
    <row r="191" spans="1:35" x14ac:dyDescent="0.25">
      <c r="A191" s="1">
        <v>46300</v>
      </c>
      <c r="B191" t="s">
        <v>13</v>
      </c>
      <c r="C191" t="s">
        <v>11</v>
      </c>
      <c r="D191">
        <v>1.2801831343566421</v>
      </c>
      <c r="E191">
        <v>0</v>
      </c>
      <c r="F191">
        <v>0</v>
      </c>
      <c r="G191">
        <v>0</v>
      </c>
      <c r="H191">
        <v>0</v>
      </c>
      <c r="I191">
        <v>0</v>
      </c>
      <c r="J191">
        <v>0</v>
      </c>
      <c r="K191">
        <v>0</v>
      </c>
      <c r="L191">
        <v>0</v>
      </c>
      <c r="M191">
        <v>0</v>
      </c>
      <c r="N191">
        <v>0</v>
      </c>
      <c r="O191">
        <v>0</v>
      </c>
      <c r="P191">
        <v>0</v>
      </c>
      <c r="Q191">
        <v>0</v>
      </c>
      <c r="R191">
        <v>0</v>
      </c>
      <c r="S191">
        <v>0</v>
      </c>
      <c r="T191">
        <v>0</v>
      </c>
      <c r="U191">
        <v>1</v>
      </c>
      <c r="V191">
        <v>0</v>
      </c>
      <c r="W191">
        <v>0</v>
      </c>
      <c r="X191">
        <v>0</v>
      </c>
      <c r="Y191">
        <v>0</v>
      </c>
      <c r="Z191">
        <v>0</v>
      </c>
      <c r="AA191">
        <v>0</v>
      </c>
      <c r="AB191">
        <v>0</v>
      </c>
      <c r="AC191">
        <v>0</v>
      </c>
      <c r="AD191">
        <v>0</v>
      </c>
      <c r="AE191" t="s">
        <v>161</v>
      </c>
      <c r="AF191">
        <v>0</v>
      </c>
      <c r="AG191" t="s">
        <v>185</v>
      </c>
      <c r="AH191">
        <v>46300</v>
      </c>
      <c r="AI191" t="s">
        <v>149</v>
      </c>
    </row>
    <row r="192" spans="1:35" x14ac:dyDescent="0.25">
      <c r="A192" s="1">
        <v>46300</v>
      </c>
      <c r="B192" t="s">
        <v>13</v>
      </c>
      <c r="C192" t="s">
        <v>12</v>
      </c>
      <c r="D192">
        <v>3.388720061532287</v>
      </c>
      <c r="E192">
        <v>0</v>
      </c>
      <c r="F192">
        <v>0</v>
      </c>
      <c r="G192">
        <v>2.9342560553633223</v>
      </c>
      <c r="H192">
        <v>0</v>
      </c>
      <c r="I192">
        <v>0</v>
      </c>
      <c r="J192">
        <v>0.86588918591184294</v>
      </c>
      <c r="K192">
        <v>0</v>
      </c>
      <c r="L192">
        <v>0</v>
      </c>
      <c r="M192">
        <v>0</v>
      </c>
      <c r="N192">
        <v>0</v>
      </c>
      <c r="O192">
        <v>0</v>
      </c>
      <c r="P192">
        <v>0</v>
      </c>
      <c r="Q192">
        <v>0</v>
      </c>
      <c r="R192">
        <v>0</v>
      </c>
      <c r="S192">
        <v>0</v>
      </c>
      <c r="T192">
        <v>0.86588918591184294</v>
      </c>
      <c r="U192">
        <v>0.13411081408815706</v>
      </c>
      <c r="V192">
        <v>0</v>
      </c>
      <c r="W192">
        <v>0</v>
      </c>
      <c r="X192">
        <v>0</v>
      </c>
      <c r="Y192">
        <v>0</v>
      </c>
      <c r="Z192">
        <v>0</v>
      </c>
      <c r="AA192">
        <v>0</v>
      </c>
      <c r="AB192">
        <v>0</v>
      </c>
      <c r="AC192">
        <v>0</v>
      </c>
      <c r="AD192">
        <v>0</v>
      </c>
      <c r="AE192" t="s">
        <v>161</v>
      </c>
      <c r="AF192">
        <v>0</v>
      </c>
      <c r="AG192" t="s">
        <v>187</v>
      </c>
      <c r="AH192">
        <v>46300</v>
      </c>
      <c r="AI192" t="s">
        <v>149</v>
      </c>
    </row>
    <row r="193" spans="1:35" x14ac:dyDescent="0.25">
      <c r="A193" s="1">
        <v>46300</v>
      </c>
      <c r="B193" t="s">
        <v>13</v>
      </c>
      <c r="C193" t="s">
        <v>10</v>
      </c>
      <c r="D193">
        <v>3.5255043348493458</v>
      </c>
      <c r="E193">
        <v>0</v>
      </c>
      <c r="F193">
        <v>0</v>
      </c>
      <c r="G193">
        <v>2.8786764705882355</v>
      </c>
      <c r="H193">
        <v>0</v>
      </c>
      <c r="I193">
        <v>0</v>
      </c>
      <c r="J193">
        <v>0.81652898342309055</v>
      </c>
      <c r="K193">
        <v>0</v>
      </c>
      <c r="L193">
        <v>0</v>
      </c>
      <c r="M193">
        <v>0</v>
      </c>
      <c r="N193">
        <v>0</v>
      </c>
      <c r="O193">
        <v>0</v>
      </c>
      <c r="P193">
        <v>0</v>
      </c>
      <c r="Q193">
        <v>0</v>
      </c>
      <c r="R193">
        <v>0</v>
      </c>
      <c r="S193">
        <v>0</v>
      </c>
      <c r="T193">
        <v>0.81652898342309055</v>
      </c>
      <c r="U193">
        <v>0.18347101657690945</v>
      </c>
      <c r="V193">
        <v>0</v>
      </c>
      <c r="W193">
        <v>0</v>
      </c>
      <c r="X193">
        <v>0</v>
      </c>
      <c r="Y193">
        <v>0</v>
      </c>
      <c r="Z193">
        <v>0</v>
      </c>
      <c r="AA193">
        <v>0</v>
      </c>
      <c r="AB193">
        <v>0</v>
      </c>
      <c r="AC193">
        <v>0</v>
      </c>
      <c r="AD193">
        <v>0</v>
      </c>
      <c r="AE193" t="s">
        <v>161</v>
      </c>
      <c r="AF193">
        <v>0</v>
      </c>
      <c r="AG193" t="s">
        <v>186</v>
      </c>
      <c r="AH193">
        <v>46300</v>
      </c>
      <c r="AI193" t="s">
        <v>149</v>
      </c>
    </row>
    <row r="194" spans="1:35" x14ac:dyDescent="0.25">
      <c r="A194" s="1">
        <v>46301</v>
      </c>
      <c r="B194" t="s">
        <v>13</v>
      </c>
      <c r="C194" t="s">
        <v>12</v>
      </c>
      <c r="D194">
        <v>3.388720061532287</v>
      </c>
      <c r="E194">
        <v>0</v>
      </c>
      <c r="F194">
        <v>0</v>
      </c>
      <c r="G194">
        <v>3.2964244521337944</v>
      </c>
      <c r="H194">
        <v>0</v>
      </c>
      <c r="I194">
        <v>0</v>
      </c>
      <c r="J194">
        <v>0.97276387316668489</v>
      </c>
      <c r="K194">
        <v>0</v>
      </c>
      <c r="L194">
        <v>0</v>
      </c>
      <c r="M194">
        <v>0</v>
      </c>
      <c r="N194">
        <v>0</v>
      </c>
      <c r="O194">
        <v>0</v>
      </c>
      <c r="P194">
        <v>0</v>
      </c>
      <c r="Q194">
        <v>0</v>
      </c>
      <c r="R194">
        <v>0</v>
      </c>
      <c r="S194">
        <v>0</v>
      </c>
      <c r="T194">
        <v>0.97276387316668489</v>
      </c>
      <c r="U194">
        <v>2.7236126833315111E-2</v>
      </c>
      <c r="V194">
        <v>0</v>
      </c>
      <c r="W194">
        <v>0</v>
      </c>
      <c r="X194">
        <v>0</v>
      </c>
      <c r="Y194">
        <v>0</v>
      </c>
      <c r="Z194">
        <v>0</v>
      </c>
      <c r="AA194">
        <v>0</v>
      </c>
      <c r="AB194">
        <v>0</v>
      </c>
      <c r="AC194">
        <v>0</v>
      </c>
      <c r="AD194">
        <v>0</v>
      </c>
      <c r="AE194" t="s">
        <v>161</v>
      </c>
      <c r="AF194">
        <v>0</v>
      </c>
      <c r="AG194" t="s">
        <v>188</v>
      </c>
      <c r="AH194">
        <v>46301</v>
      </c>
      <c r="AI194" t="s">
        <v>149</v>
      </c>
    </row>
    <row r="195" spans="1:35" x14ac:dyDescent="0.25">
      <c r="A195" s="1">
        <v>46301</v>
      </c>
      <c r="B195" t="s">
        <v>13</v>
      </c>
      <c r="C195" t="s">
        <v>11</v>
      </c>
      <c r="D195">
        <v>1.2801831343566421</v>
      </c>
      <c r="E195">
        <v>0</v>
      </c>
      <c r="F195">
        <v>0</v>
      </c>
      <c r="G195">
        <v>0.94117647058823517</v>
      </c>
      <c r="H195">
        <v>0</v>
      </c>
      <c r="I195">
        <v>0</v>
      </c>
      <c r="J195">
        <v>0.73518893143458319</v>
      </c>
      <c r="K195">
        <v>0</v>
      </c>
      <c r="L195">
        <v>0</v>
      </c>
      <c r="M195">
        <v>0</v>
      </c>
      <c r="N195">
        <v>0</v>
      </c>
      <c r="O195">
        <v>0</v>
      </c>
      <c r="P195">
        <v>0</v>
      </c>
      <c r="Q195">
        <v>0</v>
      </c>
      <c r="R195">
        <v>0</v>
      </c>
      <c r="S195">
        <v>0</v>
      </c>
      <c r="T195">
        <v>0.73518893143458319</v>
      </c>
      <c r="U195">
        <v>0.26481106856541681</v>
      </c>
      <c r="V195">
        <v>0</v>
      </c>
      <c r="W195">
        <v>0</v>
      </c>
      <c r="X195">
        <v>0</v>
      </c>
      <c r="Y195">
        <v>0</v>
      </c>
      <c r="Z195">
        <v>0</v>
      </c>
      <c r="AA195">
        <v>0</v>
      </c>
      <c r="AB195">
        <v>0</v>
      </c>
      <c r="AC195">
        <v>0</v>
      </c>
      <c r="AD195">
        <v>0</v>
      </c>
      <c r="AE195" t="s">
        <v>161</v>
      </c>
      <c r="AF195">
        <v>0</v>
      </c>
      <c r="AG195" t="s">
        <v>189</v>
      </c>
      <c r="AH195">
        <v>46301</v>
      </c>
      <c r="AI195" t="s">
        <v>149</v>
      </c>
    </row>
    <row r="196" spans="1:35" x14ac:dyDescent="0.25">
      <c r="A196" s="1">
        <v>46301</v>
      </c>
      <c r="B196" t="s">
        <v>13</v>
      </c>
      <c r="C196" t="s">
        <v>10</v>
      </c>
      <c r="D196">
        <v>7.0510086696986916</v>
      </c>
      <c r="E196">
        <v>0</v>
      </c>
      <c r="F196">
        <v>0</v>
      </c>
      <c r="G196">
        <v>4.8688725490196072</v>
      </c>
      <c r="H196">
        <v>0</v>
      </c>
      <c r="I196">
        <v>0</v>
      </c>
      <c r="J196">
        <v>0.69052142425286045</v>
      </c>
      <c r="K196">
        <v>0</v>
      </c>
      <c r="L196">
        <v>0</v>
      </c>
      <c r="M196">
        <v>0</v>
      </c>
      <c r="N196">
        <v>0</v>
      </c>
      <c r="O196">
        <v>0</v>
      </c>
      <c r="P196">
        <v>0</v>
      </c>
      <c r="Q196">
        <v>0</v>
      </c>
      <c r="R196">
        <v>0</v>
      </c>
      <c r="S196">
        <v>0</v>
      </c>
      <c r="T196">
        <v>0.69052142425286045</v>
      </c>
      <c r="U196">
        <v>0.30947857574713955</v>
      </c>
      <c r="V196">
        <v>0</v>
      </c>
      <c r="W196">
        <v>0</v>
      </c>
      <c r="X196">
        <v>0</v>
      </c>
      <c r="Y196">
        <v>0</v>
      </c>
      <c r="Z196">
        <v>0</v>
      </c>
      <c r="AA196">
        <v>0</v>
      </c>
      <c r="AB196">
        <v>0</v>
      </c>
      <c r="AC196">
        <v>0</v>
      </c>
      <c r="AD196">
        <v>0</v>
      </c>
      <c r="AE196" t="s">
        <v>161</v>
      </c>
      <c r="AF196">
        <v>0</v>
      </c>
      <c r="AG196" t="s">
        <v>190</v>
      </c>
      <c r="AH196">
        <v>46301</v>
      </c>
      <c r="AI196" t="s">
        <v>149</v>
      </c>
    </row>
    <row r="197" spans="1:35" x14ac:dyDescent="0.25">
      <c r="A197" s="1">
        <v>46302</v>
      </c>
      <c r="B197" t="s">
        <v>13</v>
      </c>
      <c r="C197" t="s">
        <v>12</v>
      </c>
      <c r="D197">
        <v>3.3181217269170316</v>
      </c>
      <c r="E197">
        <v>0</v>
      </c>
      <c r="F197">
        <v>0</v>
      </c>
      <c r="G197">
        <v>2.6538062283737025</v>
      </c>
      <c r="H197">
        <v>0</v>
      </c>
      <c r="I197">
        <v>0</v>
      </c>
      <c r="J197">
        <v>0.7997917034946862</v>
      </c>
      <c r="K197">
        <v>0</v>
      </c>
      <c r="L197">
        <v>0</v>
      </c>
      <c r="M197">
        <v>0</v>
      </c>
      <c r="N197">
        <v>0</v>
      </c>
      <c r="O197">
        <v>0</v>
      </c>
      <c r="P197">
        <v>0</v>
      </c>
      <c r="Q197">
        <v>0</v>
      </c>
      <c r="R197">
        <v>0</v>
      </c>
      <c r="S197">
        <v>0</v>
      </c>
      <c r="T197">
        <v>0.7997917034946862</v>
      </c>
      <c r="U197">
        <v>0.2002082965053138</v>
      </c>
      <c r="V197">
        <v>0</v>
      </c>
      <c r="W197">
        <v>0</v>
      </c>
      <c r="X197">
        <v>0</v>
      </c>
      <c r="Y197">
        <v>0</v>
      </c>
      <c r="Z197">
        <v>0</v>
      </c>
      <c r="AA197">
        <v>0</v>
      </c>
      <c r="AB197">
        <v>0</v>
      </c>
      <c r="AC197">
        <v>0</v>
      </c>
      <c r="AD197">
        <v>0</v>
      </c>
      <c r="AE197" t="s">
        <v>161</v>
      </c>
      <c r="AF197">
        <v>0</v>
      </c>
      <c r="AG197" t="s">
        <v>191</v>
      </c>
      <c r="AH197">
        <v>46302</v>
      </c>
      <c r="AI197" t="s">
        <v>149</v>
      </c>
    </row>
    <row r="198" spans="1:35" x14ac:dyDescent="0.25">
      <c r="A198" s="1">
        <v>46302</v>
      </c>
      <c r="B198" t="s">
        <v>13</v>
      </c>
      <c r="C198" t="s">
        <v>10</v>
      </c>
      <c r="D198">
        <v>5.8508369812393406</v>
      </c>
      <c r="E198">
        <v>0</v>
      </c>
      <c r="F198">
        <v>0</v>
      </c>
      <c r="G198">
        <v>4.1104779411764714</v>
      </c>
      <c r="H198">
        <v>0</v>
      </c>
      <c r="I198">
        <v>0</v>
      </c>
      <c r="J198">
        <v>0.7025452861456718</v>
      </c>
      <c r="K198">
        <v>0</v>
      </c>
      <c r="L198">
        <v>0</v>
      </c>
      <c r="M198">
        <v>0</v>
      </c>
      <c r="N198">
        <v>0</v>
      </c>
      <c r="O198">
        <v>0</v>
      </c>
      <c r="P198">
        <v>0</v>
      </c>
      <c r="Q198">
        <v>0</v>
      </c>
      <c r="R198">
        <v>0</v>
      </c>
      <c r="S198">
        <v>0</v>
      </c>
      <c r="T198">
        <v>0.7025452861456718</v>
      </c>
      <c r="U198">
        <v>0.2974547138543282</v>
      </c>
      <c r="V198">
        <v>0</v>
      </c>
      <c r="W198">
        <v>0</v>
      </c>
      <c r="X198">
        <v>0</v>
      </c>
      <c r="Y198">
        <v>0</v>
      </c>
      <c r="Z198">
        <v>0</v>
      </c>
      <c r="AA198">
        <v>0</v>
      </c>
      <c r="AB198">
        <v>0</v>
      </c>
      <c r="AC198">
        <v>0</v>
      </c>
      <c r="AD198">
        <v>0</v>
      </c>
      <c r="AE198" t="s">
        <v>161</v>
      </c>
      <c r="AF198">
        <v>0</v>
      </c>
      <c r="AG198" t="s">
        <v>193</v>
      </c>
      <c r="AH198">
        <v>46302</v>
      </c>
      <c r="AI198" t="s">
        <v>149</v>
      </c>
    </row>
    <row r="199" spans="1:35" x14ac:dyDescent="0.25">
      <c r="A199" s="1">
        <v>46302</v>
      </c>
      <c r="B199" t="s">
        <v>13</v>
      </c>
      <c r="C199" t="s">
        <v>11</v>
      </c>
      <c r="D199">
        <v>1.2801831343566421</v>
      </c>
      <c r="E199">
        <v>0</v>
      </c>
      <c r="F199">
        <v>0</v>
      </c>
      <c r="G199">
        <v>0.94117647058823517</v>
      </c>
      <c r="H199">
        <v>0</v>
      </c>
      <c r="I199">
        <v>0</v>
      </c>
      <c r="J199">
        <v>0.73518893143458319</v>
      </c>
      <c r="K199">
        <v>0</v>
      </c>
      <c r="L199">
        <v>0</v>
      </c>
      <c r="M199">
        <v>0</v>
      </c>
      <c r="N199">
        <v>0</v>
      </c>
      <c r="O199">
        <v>0</v>
      </c>
      <c r="P199">
        <v>0</v>
      </c>
      <c r="Q199">
        <v>0</v>
      </c>
      <c r="R199">
        <v>0</v>
      </c>
      <c r="S199">
        <v>0</v>
      </c>
      <c r="T199">
        <v>0.73518893143458319</v>
      </c>
      <c r="U199">
        <v>0.26481106856541681</v>
      </c>
      <c r="V199">
        <v>0</v>
      </c>
      <c r="W199">
        <v>0</v>
      </c>
      <c r="X199">
        <v>0</v>
      </c>
      <c r="Y199">
        <v>0</v>
      </c>
      <c r="Z199">
        <v>0</v>
      </c>
      <c r="AA199">
        <v>0</v>
      </c>
      <c r="AB199">
        <v>0</v>
      </c>
      <c r="AC199">
        <v>0</v>
      </c>
      <c r="AD199">
        <v>0</v>
      </c>
      <c r="AE199" t="s">
        <v>161</v>
      </c>
      <c r="AF199">
        <v>0</v>
      </c>
      <c r="AG199" t="s">
        <v>192</v>
      </c>
      <c r="AH199">
        <v>46302</v>
      </c>
      <c r="AI199" t="s">
        <v>149</v>
      </c>
    </row>
    <row r="200" spans="1:35" x14ac:dyDescent="0.25">
      <c r="A200" s="1">
        <v>46303</v>
      </c>
      <c r="B200" t="s">
        <v>13</v>
      </c>
      <c r="C200" t="s">
        <v>12</v>
      </c>
      <c r="D200">
        <v>3.388720061532287</v>
      </c>
      <c r="E200">
        <v>0</v>
      </c>
      <c r="F200">
        <v>0</v>
      </c>
      <c r="G200">
        <v>3.3743944636678194</v>
      </c>
      <c r="H200">
        <v>0</v>
      </c>
      <c r="I200">
        <v>0</v>
      </c>
      <c r="J200">
        <v>0.995772563798619</v>
      </c>
      <c r="K200">
        <v>0</v>
      </c>
      <c r="L200">
        <v>0</v>
      </c>
      <c r="M200">
        <v>0</v>
      </c>
      <c r="N200">
        <v>0</v>
      </c>
      <c r="O200">
        <v>0</v>
      </c>
      <c r="P200">
        <v>0</v>
      </c>
      <c r="Q200">
        <v>0</v>
      </c>
      <c r="R200">
        <v>0</v>
      </c>
      <c r="S200">
        <v>0</v>
      </c>
      <c r="T200">
        <v>0.995772563798619</v>
      </c>
      <c r="U200">
        <v>4.2274362013809963E-3</v>
      </c>
      <c r="V200">
        <v>0</v>
      </c>
      <c r="W200">
        <v>0</v>
      </c>
      <c r="X200">
        <v>0</v>
      </c>
      <c r="Y200">
        <v>0</v>
      </c>
      <c r="Z200">
        <v>0</v>
      </c>
      <c r="AA200">
        <v>0</v>
      </c>
      <c r="AB200">
        <v>0</v>
      </c>
      <c r="AC200">
        <v>0</v>
      </c>
      <c r="AD200">
        <v>0</v>
      </c>
      <c r="AE200" t="s">
        <v>161</v>
      </c>
      <c r="AF200">
        <v>0</v>
      </c>
      <c r="AG200" t="s">
        <v>194</v>
      </c>
      <c r="AH200">
        <v>46303</v>
      </c>
      <c r="AI200" t="s">
        <v>149</v>
      </c>
    </row>
    <row r="201" spans="1:35" x14ac:dyDescent="0.25">
      <c r="A201" s="1">
        <v>46303</v>
      </c>
      <c r="B201" t="s">
        <v>13</v>
      </c>
      <c r="C201" t="s">
        <v>10</v>
      </c>
      <c r="D201">
        <v>5.7758262507106322</v>
      </c>
      <c r="E201">
        <v>0</v>
      </c>
      <c r="F201">
        <v>0</v>
      </c>
      <c r="G201">
        <v>3.4073529411764714</v>
      </c>
      <c r="H201">
        <v>0</v>
      </c>
      <c r="I201">
        <v>0</v>
      </c>
      <c r="J201">
        <v>0.58993342134508386</v>
      </c>
      <c r="K201">
        <v>0</v>
      </c>
      <c r="L201">
        <v>0</v>
      </c>
      <c r="M201">
        <v>0</v>
      </c>
      <c r="N201">
        <v>0</v>
      </c>
      <c r="O201">
        <v>0</v>
      </c>
      <c r="P201">
        <v>0</v>
      </c>
      <c r="Q201">
        <v>0</v>
      </c>
      <c r="R201">
        <v>0</v>
      </c>
      <c r="S201">
        <v>0</v>
      </c>
      <c r="T201">
        <v>0.58993342134508386</v>
      </c>
      <c r="U201">
        <v>0.41006657865491614</v>
      </c>
      <c r="V201">
        <v>0</v>
      </c>
      <c r="W201">
        <v>0</v>
      </c>
      <c r="X201">
        <v>0</v>
      </c>
      <c r="Y201">
        <v>0</v>
      </c>
      <c r="Z201">
        <v>0</v>
      </c>
      <c r="AA201">
        <v>0</v>
      </c>
      <c r="AB201">
        <v>0</v>
      </c>
      <c r="AC201">
        <v>0</v>
      </c>
      <c r="AD201">
        <v>0</v>
      </c>
      <c r="AE201" t="s">
        <v>161</v>
      </c>
      <c r="AF201">
        <v>0</v>
      </c>
      <c r="AG201" t="s">
        <v>196</v>
      </c>
      <c r="AH201">
        <v>46303</v>
      </c>
      <c r="AI201" t="s">
        <v>149</v>
      </c>
    </row>
    <row r="202" spans="1:35" x14ac:dyDescent="0.25">
      <c r="A202" s="1">
        <v>46303</v>
      </c>
      <c r="B202" t="s">
        <v>13</v>
      </c>
      <c r="C202" t="s">
        <v>11</v>
      </c>
      <c r="D202">
        <v>1.2801831343566421</v>
      </c>
      <c r="E202">
        <v>0</v>
      </c>
      <c r="F202">
        <v>0</v>
      </c>
      <c r="G202">
        <v>0.94117647058823517</v>
      </c>
      <c r="H202">
        <v>0</v>
      </c>
      <c r="I202">
        <v>0</v>
      </c>
      <c r="J202">
        <v>0.73518893143458319</v>
      </c>
      <c r="K202">
        <v>0</v>
      </c>
      <c r="L202">
        <v>0</v>
      </c>
      <c r="M202">
        <v>0</v>
      </c>
      <c r="N202">
        <v>0</v>
      </c>
      <c r="O202">
        <v>0</v>
      </c>
      <c r="P202">
        <v>0</v>
      </c>
      <c r="Q202">
        <v>0</v>
      </c>
      <c r="R202">
        <v>0</v>
      </c>
      <c r="S202">
        <v>0</v>
      </c>
      <c r="T202">
        <v>0.73518893143458319</v>
      </c>
      <c r="U202">
        <v>0.26481106856541681</v>
      </c>
      <c r="V202">
        <v>0</v>
      </c>
      <c r="W202">
        <v>0</v>
      </c>
      <c r="X202">
        <v>0</v>
      </c>
      <c r="Y202">
        <v>0</v>
      </c>
      <c r="Z202">
        <v>0</v>
      </c>
      <c r="AA202">
        <v>0</v>
      </c>
      <c r="AB202">
        <v>0</v>
      </c>
      <c r="AC202">
        <v>0</v>
      </c>
      <c r="AD202">
        <v>0</v>
      </c>
      <c r="AE202" t="s">
        <v>161</v>
      </c>
      <c r="AF202">
        <v>0</v>
      </c>
      <c r="AG202" t="s">
        <v>195</v>
      </c>
      <c r="AH202">
        <v>46303</v>
      </c>
      <c r="AI202" t="s">
        <v>149</v>
      </c>
    </row>
    <row r="203" spans="1:35" x14ac:dyDescent="0.25">
      <c r="A203" s="1">
        <v>46304</v>
      </c>
      <c r="B203" t="s">
        <v>13</v>
      </c>
      <c r="C203" t="s">
        <v>10</v>
      </c>
      <c r="D203">
        <v>4.5756545622512785</v>
      </c>
      <c r="E203">
        <v>0</v>
      </c>
      <c r="F203">
        <v>0</v>
      </c>
      <c r="G203">
        <v>2.4073529411764709</v>
      </c>
      <c r="H203">
        <v>0</v>
      </c>
      <c r="I203">
        <v>0</v>
      </c>
      <c r="J203">
        <v>0.52612208994903309</v>
      </c>
      <c r="K203">
        <v>0</v>
      </c>
      <c r="L203">
        <v>0</v>
      </c>
      <c r="M203">
        <v>0</v>
      </c>
      <c r="N203">
        <v>0</v>
      </c>
      <c r="O203">
        <v>0</v>
      </c>
      <c r="P203">
        <v>0</v>
      </c>
      <c r="Q203">
        <v>0</v>
      </c>
      <c r="R203">
        <v>0</v>
      </c>
      <c r="S203">
        <v>0</v>
      </c>
      <c r="T203">
        <v>0.52612208994903309</v>
      </c>
      <c r="U203">
        <v>0.47387791005096691</v>
      </c>
      <c r="V203">
        <v>0</v>
      </c>
      <c r="W203">
        <v>0</v>
      </c>
      <c r="X203">
        <v>0</v>
      </c>
      <c r="Y203">
        <v>0</v>
      </c>
      <c r="Z203">
        <v>0</v>
      </c>
      <c r="AA203">
        <v>0</v>
      </c>
      <c r="AB203">
        <v>0</v>
      </c>
      <c r="AC203">
        <v>0</v>
      </c>
      <c r="AD203">
        <v>0</v>
      </c>
      <c r="AE203" t="s">
        <v>161</v>
      </c>
      <c r="AF203">
        <v>0</v>
      </c>
      <c r="AG203" t="s">
        <v>198</v>
      </c>
      <c r="AH203">
        <v>46304</v>
      </c>
      <c r="AI203" t="s">
        <v>149</v>
      </c>
    </row>
    <row r="204" spans="1:35" x14ac:dyDescent="0.25">
      <c r="A204" s="1">
        <v>46304</v>
      </c>
      <c r="B204" t="s">
        <v>13</v>
      </c>
      <c r="C204" t="s">
        <v>11</v>
      </c>
      <c r="D204">
        <v>1.2801831343566421</v>
      </c>
      <c r="E204">
        <v>0</v>
      </c>
      <c r="F204">
        <v>0</v>
      </c>
      <c r="G204">
        <v>0.94117647058823517</v>
      </c>
      <c r="H204">
        <v>0</v>
      </c>
      <c r="I204">
        <v>0</v>
      </c>
      <c r="J204">
        <v>0.73518893143458319</v>
      </c>
      <c r="K204">
        <v>0</v>
      </c>
      <c r="L204">
        <v>0</v>
      </c>
      <c r="M204">
        <v>0</v>
      </c>
      <c r="N204">
        <v>0</v>
      </c>
      <c r="O204">
        <v>0</v>
      </c>
      <c r="P204">
        <v>0</v>
      </c>
      <c r="Q204">
        <v>0</v>
      </c>
      <c r="R204">
        <v>0</v>
      </c>
      <c r="S204">
        <v>0</v>
      </c>
      <c r="T204">
        <v>0.73518893143458319</v>
      </c>
      <c r="U204">
        <v>0.26481106856541681</v>
      </c>
      <c r="V204">
        <v>0</v>
      </c>
      <c r="W204">
        <v>0</v>
      </c>
      <c r="X204">
        <v>0</v>
      </c>
      <c r="Y204">
        <v>0</v>
      </c>
      <c r="Z204">
        <v>0</v>
      </c>
      <c r="AA204">
        <v>0</v>
      </c>
      <c r="AB204">
        <v>0</v>
      </c>
      <c r="AC204">
        <v>0</v>
      </c>
      <c r="AD204">
        <v>0</v>
      </c>
      <c r="AE204" t="s">
        <v>161</v>
      </c>
      <c r="AF204">
        <v>0</v>
      </c>
      <c r="AG204" t="s">
        <v>199</v>
      </c>
      <c r="AH204">
        <v>46304</v>
      </c>
      <c r="AI204" t="s">
        <v>149</v>
      </c>
    </row>
    <row r="205" spans="1:35" x14ac:dyDescent="0.25">
      <c r="A205" s="1">
        <v>46304</v>
      </c>
      <c r="B205" t="s">
        <v>13</v>
      </c>
      <c r="C205" t="s">
        <v>12</v>
      </c>
      <c r="D205">
        <v>2.2591467076881915</v>
      </c>
      <c r="E205">
        <v>0</v>
      </c>
      <c r="F205">
        <v>0</v>
      </c>
      <c r="G205">
        <v>2.4332179930795848</v>
      </c>
      <c r="H205">
        <v>0</v>
      </c>
      <c r="I205">
        <v>0</v>
      </c>
      <c r="J205">
        <v>1.0770517845516647</v>
      </c>
      <c r="K205">
        <v>7.7051784551664726E-2</v>
      </c>
      <c r="L205">
        <v>0</v>
      </c>
      <c r="M205">
        <v>0</v>
      </c>
      <c r="N205">
        <v>0</v>
      </c>
      <c r="O205">
        <v>0</v>
      </c>
      <c r="P205">
        <v>0</v>
      </c>
      <c r="Q205">
        <v>0</v>
      </c>
      <c r="R205">
        <v>0</v>
      </c>
      <c r="S205">
        <v>0</v>
      </c>
      <c r="T205">
        <v>0</v>
      </c>
      <c r="U205">
        <v>0</v>
      </c>
      <c r="V205">
        <v>0</v>
      </c>
      <c r="W205">
        <v>0</v>
      </c>
      <c r="X205">
        <v>0</v>
      </c>
      <c r="Y205">
        <v>0</v>
      </c>
      <c r="Z205">
        <v>0</v>
      </c>
      <c r="AA205">
        <v>0</v>
      </c>
      <c r="AB205">
        <v>0</v>
      </c>
      <c r="AC205">
        <v>1</v>
      </c>
      <c r="AD205">
        <v>0</v>
      </c>
      <c r="AE205" t="s">
        <v>161</v>
      </c>
      <c r="AF205">
        <v>0</v>
      </c>
      <c r="AG205" t="s">
        <v>197</v>
      </c>
      <c r="AH205">
        <v>46304</v>
      </c>
      <c r="AI205" t="s">
        <v>149</v>
      </c>
    </row>
    <row r="206" spans="1:35" x14ac:dyDescent="0.25">
      <c r="A206" s="1">
        <v>46305</v>
      </c>
      <c r="B206" t="s">
        <v>13</v>
      </c>
      <c r="C206" t="s">
        <v>12</v>
      </c>
      <c r="D206">
        <v>2.2591467076881915</v>
      </c>
      <c r="E206">
        <v>0</v>
      </c>
      <c r="F206">
        <v>0</v>
      </c>
      <c r="G206">
        <v>2.1591695501730106</v>
      </c>
      <c r="H206">
        <v>0</v>
      </c>
      <c r="I206">
        <v>0</v>
      </c>
      <c r="J206">
        <v>0.95574561086495857</v>
      </c>
      <c r="K206">
        <v>0</v>
      </c>
      <c r="L206">
        <v>0</v>
      </c>
      <c r="M206">
        <v>0</v>
      </c>
      <c r="N206">
        <v>0</v>
      </c>
      <c r="O206">
        <v>0</v>
      </c>
      <c r="P206">
        <v>0</v>
      </c>
      <c r="Q206">
        <v>0</v>
      </c>
      <c r="R206">
        <v>0</v>
      </c>
      <c r="S206">
        <v>0</v>
      </c>
      <c r="T206">
        <v>0.95574561086495857</v>
      </c>
      <c r="U206">
        <v>4.4254389135041428E-2</v>
      </c>
      <c r="V206">
        <v>0</v>
      </c>
      <c r="W206">
        <v>0</v>
      </c>
      <c r="X206">
        <v>0</v>
      </c>
      <c r="Y206">
        <v>0</v>
      </c>
      <c r="Z206">
        <v>0</v>
      </c>
      <c r="AA206">
        <v>0</v>
      </c>
      <c r="AB206">
        <v>0</v>
      </c>
      <c r="AC206">
        <v>0</v>
      </c>
      <c r="AD206">
        <v>0</v>
      </c>
      <c r="AE206" t="s">
        <v>161</v>
      </c>
      <c r="AF206">
        <v>0</v>
      </c>
      <c r="AG206" t="s">
        <v>202</v>
      </c>
      <c r="AH206">
        <v>46305</v>
      </c>
      <c r="AI206" t="s">
        <v>149</v>
      </c>
    </row>
    <row r="207" spans="1:35" x14ac:dyDescent="0.25">
      <c r="A207" s="1">
        <v>46305</v>
      </c>
      <c r="B207" t="s">
        <v>13</v>
      </c>
      <c r="C207" t="s">
        <v>10</v>
      </c>
      <c r="D207">
        <v>4.2006009096077319</v>
      </c>
      <c r="E207">
        <v>0</v>
      </c>
      <c r="F207">
        <v>0</v>
      </c>
      <c r="G207">
        <v>4.3235294117647065</v>
      </c>
      <c r="H207">
        <v>0</v>
      </c>
      <c r="I207">
        <v>0</v>
      </c>
      <c r="J207">
        <v>1.0292645040084167</v>
      </c>
      <c r="K207">
        <v>2.9264504008416736E-2</v>
      </c>
      <c r="L207">
        <v>0</v>
      </c>
      <c r="M207">
        <v>0</v>
      </c>
      <c r="N207">
        <v>0</v>
      </c>
      <c r="O207">
        <v>0</v>
      </c>
      <c r="P207">
        <v>0</v>
      </c>
      <c r="Q207">
        <v>0</v>
      </c>
      <c r="R207">
        <v>0</v>
      </c>
      <c r="S207">
        <v>0</v>
      </c>
      <c r="T207">
        <v>0</v>
      </c>
      <c r="U207">
        <v>0</v>
      </c>
      <c r="V207">
        <v>0</v>
      </c>
      <c r="W207">
        <v>0</v>
      </c>
      <c r="X207">
        <v>0</v>
      </c>
      <c r="Y207">
        <v>0</v>
      </c>
      <c r="Z207">
        <v>0</v>
      </c>
      <c r="AA207">
        <v>0</v>
      </c>
      <c r="AB207">
        <v>0</v>
      </c>
      <c r="AC207">
        <v>1</v>
      </c>
      <c r="AD207">
        <v>0</v>
      </c>
      <c r="AE207" t="s">
        <v>161</v>
      </c>
      <c r="AF207">
        <v>0</v>
      </c>
      <c r="AG207" t="s">
        <v>200</v>
      </c>
      <c r="AH207">
        <v>46305</v>
      </c>
      <c r="AI207" t="s">
        <v>149</v>
      </c>
    </row>
    <row r="208" spans="1:35" x14ac:dyDescent="0.25">
      <c r="A208" s="1">
        <v>46305</v>
      </c>
      <c r="B208" t="s">
        <v>13</v>
      </c>
      <c r="C208" t="s">
        <v>11</v>
      </c>
      <c r="D208">
        <v>1.2801831343566421</v>
      </c>
      <c r="E208">
        <v>0</v>
      </c>
      <c r="F208">
        <v>0</v>
      </c>
      <c r="G208">
        <v>0.94117647058823517</v>
      </c>
      <c r="H208">
        <v>0</v>
      </c>
      <c r="I208">
        <v>0</v>
      </c>
      <c r="J208">
        <v>0.73518893143458319</v>
      </c>
      <c r="K208">
        <v>0</v>
      </c>
      <c r="L208">
        <v>0</v>
      </c>
      <c r="M208">
        <v>0</v>
      </c>
      <c r="N208">
        <v>0</v>
      </c>
      <c r="O208">
        <v>0</v>
      </c>
      <c r="P208">
        <v>0</v>
      </c>
      <c r="Q208">
        <v>0</v>
      </c>
      <c r="R208">
        <v>0</v>
      </c>
      <c r="S208">
        <v>0</v>
      </c>
      <c r="T208">
        <v>0.73518893143458319</v>
      </c>
      <c r="U208">
        <v>0.26481106856541681</v>
      </c>
      <c r="V208">
        <v>0</v>
      </c>
      <c r="W208">
        <v>0</v>
      </c>
      <c r="X208">
        <v>0</v>
      </c>
      <c r="Y208">
        <v>0</v>
      </c>
      <c r="Z208">
        <v>0</v>
      </c>
      <c r="AA208">
        <v>0</v>
      </c>
      <c r="AB208">
        <v>0</v>
      </c>
      <c r="AC208">
        <v>0</v>
      </c>
      <c r="AD208">
        <v>0</v>
      </c>
      <c r="AE208" t="s">
        <v>161</v>
      </c>
      <c r="AF208">
        <v>0</v>
      </c>
      <c r="AG208" t="s">
        <v>201</v>
      </c>
      <c r="AH208">
        <v>46305</v>
      </c>
      <c r="AI208" t="s">
        <v>149</v>
      </c>
    </row>
    <row r="209" spans="1:35" x14ac:dyDescent="0.25">
      <c r="A209" s="1">
        <v>46306</v>
      </c>
      <c r="B209" t="s">
        <v>13</v>
      </c>
      <c r="C209" t="s">
        <v>12</v>
      </c>
      <c r="D209">
        <v>2.2591467076881915</v>
      </c>
      <c r="E209">
        <v>0</v>
      </c>
      <c r="F209">
        <v>0</v>
      </c>
      <c r="G209">
        <v>2.0484429065743952</v>
      </c>
      <c r="H209">
        <v>0</v>
      </c>
      <c r="I209">
        <v>0</v>
      </c>
      <c r="J209">
        <v>0.90673301543598661</v>
      </c>
      <c r="K209">
        <v>0</v>
      </c>
      <c r="L209">
        <v>0</v>
      </c>
      <c r="M209">
        <v>0</v>
      </c>
      <c r="N209">
        <v>0</v>
      </c>
      <c r="O209">
        <v>0</v>
      </c>
      <c r="P209">
        <v>0</v>
      </c>
      <c r="Q209">
        <v>0</v>
      </c>
      <c r="R209">
        <v>0</v>
      </c>
      <c r="S209">
        <v>0</v>
      </c>
      <c r="T209">
        <v>0.90673301543598661</v>
      </c>
      <c r="U209">
        <v>9.3266984564013389E-2</v>
      </c>
      <c r="V209">
        <v>0</v>
      </c>
      <c r="W209">
        <v>0</v>
      </c>
      <c r="X209">
        <v>0</v>
      </c>
      <c r="Y209">
        <v>0</v>
      </c>
      <c r="Z209">
        <v>0</v>
      </c>
      <c r="AA209">
        <v>0</v>
      </c>
      <c r="AB209">
        <v>0</v>
      </c>
      <c r="AC209">
        <v>0</v>
      </c>
      <c r="AD209">
        <v>0</v>
      </c>
      <c r="AE209" t="s">
        <v>161</v>
      </c>
      <c r="AF209">
        <v>0</v>
      </c>
      <c r="AG209" t="s">
        <v>205</v>
      </c>
      <c r="AH209">
        <v>46306</v>
      </c>
      <c r="AI209" t="s">
        <v>149</v>
      </c>
    </row>
    <row r="210" spans="1:35" x14ac:dyDescent="0.25">
      <c r="A210" s="1">
        <v>46306</v>
      </c>
      <c r="B210" t="s">
        <v>13</v>
      </c>
      <c r="C210" t="s">
        <v>11</v>
      </c>
      <c r="D210">
        <v>1.2801831343566421</v>
      </c>
      <c r="E210">
        <v>0</v>
      </c>
      <c r="F210">
        <v>0</v>
      </c>
      <c r="G210">
        <v>0.94117647058823517</v>
      </c>
      <c r="H210">
        <v>0</v>
      </c>
      <c r="I210">
        <v>0</v>
      </c>
      <c r="J210">
        <v>0.73518893143458319</v>
      </c>
      <c r="K210">
        <v>0</v>
      </c>
      <c r="L210">
        <v>0</v>
      </c>
      <c r="M210">
        <v>0</v>
      </c>
      <c r="N210">
        <v>0</v>
      </c>
      <c r="O210">
        <v>0</v>
      </c>
      <c r="P210">
        <v>0</v>
      </c>
      <c r="Q210">
        <v>0</v>
      </c>
      <c r="R210">
        <v>0</v>
      </c>
      <c r="S210">
        <v>0</v>
      </c>
      <c r="T210">
        <v>0.73518893143458319</v>
      </c>
      <c r="U210">
        <v>0.26481106856541681</v>
      </c>
      <c r="V210">
        <v>0</v>
      </c>
      <c r="W210">
        <v>0</v>
      </c>
      <c r="X210">
        <v>0</v>
      </c>
      <c r="Y210">
        <v>0</v>
      </c>
      <c r="Z210">
        <v>0</v>
      </c>
      <c r="AA210">
        <v>0</v>
      </c>
      <c r="AB210">
        <v>0</v>
      </c>
      <c r="AC210">
        <v>0</v>
      </c>
      <c r="AD210">
        <v>0</v>
      </c>
      <c r="AE210" t="s">
        <v>161</v>
      </c>
      <c r="AF210">
        <v>0</v>
      </c>
      <c r="AG210" t="s">
        <v>203</v>
      </c>
      <c r="AH210">
        <v>46306</v>
      </c>
      <c r="AI210" t="s">
        <v>149</v>
      </c>
    </row>
    <row r="211" spans="1:35" x14ac:dyDescent="0.25">
      <c r="A211" s="1">
        <v>46306</v>
      </c>
      <c r="B211" t="s">
        <v>13</v>
      </c>
      <c r="C211" t="s">
        <v>10</v>
      </c>
      <c r="D211">
        <v>2.4003433769187037</v>
      </c>
      <c r="E211">
        <v>0</v>
      </c>
      <c r="F211">
        <v>0</v>
      </c>
      <c r="G211">
        <v>2.9411764705882346</v>
      </c>
      <c r="H211">
        <v>0</v>
      </c>
      <c r="I211">
        <v>0</v>
      </c>
      <c r="J211">
        <v>1.2253148857243052</v>
      </c>
      <c r="K211">
        <v>0.22531488572430525</v>
      </c>
      <c r="L211">
        <v>0</v>
      </c>
      <c r="M211">
        <v>0</v>
      </c>
      <c r="N211">
        <v>0</v>
      </c>
      <c r="O211">
        <v>0</v>
      </c>
      <c r="P211">
        <v>0</v>
      </c>
      <c r="Q211">
        <v>0</v>
      </c>
      <c r="R211">
        <v>0</v>
      </c>
      <c r="S211">
        <v>0</v>
      </c>
      <c r="T211">
        <v>0</v>
      </c>
      <c r="U211">
        <v>0</v>
      </c>
      <c r="V211">
        <v>0</v>
      </c>
      <c r="W211">
        <v>0</v>
      </c>
      <c r="X211">
        <v>0</v>
      </c>
      <c r="Y211">
        <v>0</v>
      </c>
      <c r="Z211">
        <v>0</v>
      </c>
      <c r="AA211">
        <v>0</v>
      </c>
      <c r="AB211">
        <v>0</v>
      </c>
      <c r="AC211">
        <v>1</v>
      </c>
      <c r="AD211">
        <v>0</v>
      </c>
      <c r="AE211" t="s">
        <v>161</v>
      </c>
      <c r="AF211">
        <v>0</v>
      </c>
      <c r="AG211" t="s">
        <v>204</v>
      </c>
      <c r="AH211">
        <v>46306</v>
      </c>
      <c r="AI211" t="s">
        <v>149</v>
      </c>
    </row>
    <row r="212" spans="1:35" x14ac:dyDescent="0.25">
      <c r="A212" s="1">
        <v>46307</v>
      </c>
      <c r="B212" t="s">
        <v>13</v>
      </c>
      <c r="C212" t="s">
        <v>12</v>
      </c>
      <c r="D212">
        <v>3.3887200615322879</v>
      </c>
      <c r="E212">
        <v>0</v>
      </c>
      <c r="F212">
        <v>0</v>
      </c>
      <c r="G212">
        <v>3.2655709342560546</v>
      </c>
      <c r="H212">
        <v>0</v>
      </c>
      <c r="I212">
        <v>0</v>
      </c>
      <c r="J212">
        <v>0.96365910283526091</v>
      </c>
      <c r="K212">
        <v>0</v>
      </c>
      <c r="L212">
        <v>0</v>
      </c>
      <c r="M212">
        <v>0</v>
      </c>
      <c r="N212">
        <v>0</v>
      </c>
      <c r="O212">
        <v>0</v>
      </c>
      <c r="P212">
        <v>0</v>
      </c>
      <c r="Q212">
        <v>0</v>
      </c>
      <c r="R212">
        <v>0</v>
      </c>
      <c r="S212">
        <v>0</v>
      </c>
      <c r="T212">
        <v>0.96365910283526091</v>
      </c>
      <c r="U212">
        <v>3.6340897164739094E-2</v>
      </c>
      <c r="V212">
        <v>0</v>
      </c>
      <c r="W212">
        <v>0</v>
      </c>
      <c r="X212">
        <v>0</v>
      </c>
      <c r="Y212">
        <v>0</v>
      </c>
      <c r="Z212">
        <v>0</v>
      </c>
      <c r="AA212">
        <v>0</v>
      </c>
      <c r="AB212">
        <v>0</v>
      </c>
      <c r="AC212">
        <v>0</v>
      </c>
      <c r="AD212">
        <v>0</v>
      </c>
      <c r="AE212" t="s">
        <v>161</v>
      </c>
      <c r="AF212">
        <v>0</v>
      </c>
      <c r="AG212" t="s">
        <v>207</v>
      </c>
      <c r="AH212">
        <v>46307</v>
      </c>
      <c r="AI212" t="s">
        <v>149</v>
      </c>
    </row>
    <row r="213" spans="1:35" x14ac:dyDescent="0.25">
      <c r="A213" s="1">
        <v>46307</v>
      </c>
      <c r="B213" t="s">
        <v>13</v>
      </c>
      <c r="C213" t="s">
        <v>10</v>
      </c>
      <c r="D213">
        <v>5.8508369812393406</v>
      </c>
      <c r="E213">
        <v>0</v>
      </c>
      <c r="F213">
        <v>0</v>
      </c>
      <c r="G213">
        <v>3.585477941176471</v>
      </c>
      <c r="H213">
        <v>0</v>
      </c>
      <c r="I213">
        <v>0</v>
      </c>
      <c r="J213">
        <v>0.61281453451416878</v>
      </c>
      <c r="K213">
        <v>0</v>
      </c>
      <c r="L213">
        <v>0</v>
      </c>
      <c r="M213">
        <v>0</v>
      </c>
      <c r="N213">
        <v>0</v>
      </c>
      <c r="O213">
        <v>0</v>
      </c>
      <c r="P213">
        <v>0</v>
      </c>
      <c r="Q213">
        <v>0</v>
      </c>
      <c r="R213">
        <v>0</v>
      </c>
      <c r="S213">
        <v>0</v>
      </c>
      <c r="T213">
        <v>0.61281453451416878</v>
      </c>
      <c r="U213">
        <v>0.38718546548583122</v>
      </c>
      <c r="V213">
        <v>0</v>
      </c>
      <c r="W213">
        <v>0</v>
      </c>
      <c r="X213">
        <v>0</v>
      </c>
      <c r="Y213">
        <v>0</v>
      </c>
      <c r="Z213">
        <v>0</v>
      </c>
      <c r="AA213">
        <v>0</v>
      </c>
      <c r="AB213">
        <v>0</v>
      </c>
      <c r="AC213">
        <v>0</v>
      </c>
      <c r="AD213">
        <v>0</v>
      </c>
      <c r="AE213" t="s">
        <v>161</v>
      </c>
      <c r="AF213">
        <v>0</v>
      </c>
      <c r="AG213" t="s">
        <v>208</v>
      </c>
      <c r="AH213">
        <v>46307</v>
      </c>
      <c r="AI213" t="s">
        <v>149</v>
      </c>
    </row>
    <row r="214" spans="1:35" x14ac:dyDescent="0.25">
      <c r="A214" s="1">
        <v>46307</v>
      </c>
      <c r="B214" t="s">
        <v>13</v>
      </c>
      <c r="C214" t="s">
        <v>11</v>
      </c>
      <c r="D214">
        <v>1.2801831343566421</v>
      </c>
      <c r="E214">
        <v>0</v>
      </c>
      <c r="F214">
        <v>0</v>
      </c>
      <c r="G214">
        <v>0.94117647058823517</v>
      </c>
      <c r="H214">
        <v>0</v>
      </c>
      <c r="I214">
        <v>0</v>
      </c>
      <c r="J214">
        <v>0.73518893143458319</v>
      </c>
      <c r="K214">
        <v>0</v>
      </c>
      <c r="L214">
        <v>0</v>
      </c>
      <c r="M214">
        <v>0</v>
      </c>
      <c r="N214">
        <v>0</v>
      </c>
      <c r="O214">
        <v>0</v>
      </c>
      <c r="P214">
        <v>0</v>
      </c>
      <c r="Q214">
        <v>0</v>
      </c>
      <c r="R214">
        <v>0</v>
      </c>
      <c r="S214">
        <v>0</v>
      </c>
      <c r="T214">
        <v>0.73518893143458319</v>
      </c>
      <c r="U214">
        <v>0.26481106856541681</v>
      </c>
      <c r="V214">
        <v>0</v>
      </c>
      <c r="W214">
        <v>0</v>
      </c>
      <c r="X214">
        <v>0</v>
      </c>
      <c r="Y214">
        <v>0</v>
      </c>
      <c r="Z214">
        <v>0</v>
      </c>
      <c r="AA214">
        <v>0</v>
      </c>
      <c r="AB214">
        <v>0</v>
      </c>
      <c r="AC214">
        <v>0</v>
      </c>
      <c r="AD214">
        <v>0</v>
      </c>
      <c r="AE214" t="s">
        <v>161</v>
      </c>
      <c r="AF214">
        <v>0</v>
      </c>
      <c r="AG214" t="s">
        <v>206</v>
      </c>
      <c r="AH214">
        <v>46307</v>
      </c>
      <c r="AI214" t="s">
        <v>149</v>
      </c>
    </row>
    <row r="215" spans="1:35" x14ac:dyDescent="0.25">
      <c r="A215" s="1">
        <v>46308</v>
      </c>
      <c r="B215" t="s">
        <v>13</v>
      </c>
      <c r="C215" t="s">
        <v>10</v>
      </c>
      <c r="D215">
        <v>5.8508369812393406</v>
      </c>
      <c r="E215">
        <v>0</v>
      </c>
      <c r="F215">
        <v>0</v>
      </c>
      <c r="G215">
        <v>3.585477941176471</v>
      </c>
      <c r="H215">
        <v>0</v>
      </c>
      <c r="I215">
        <v>0</v>
      </c>
      <c r="J215">
        <v>0.61281453451416878</v>
      </c>
      <c r="K215">
        <v>0</v>
      </c>
      <c r="L215">
        <v>0</v>
      </c>
      <c r="M215">
        <v>0</v>
      </c>
      <c r="N215">
        <v>0</v>
      </c>
      <c r="O215">
        <v>0</v>
      </c>
      <c r="P215">
        <v>0</v>
      </c>
      <c r="Q215">
        <v>0</v>
      </c>
      <c r="R215">
        <v>0</v>
      </c>
      <c r="S215">
        <v>0</v>
      </c>
      <c r="T215">
        <v>0.61281453451416878</v>
      </c>
      <c r="U215">
        <v>0.38718546548583122</v>
      </c>
      <c r="V215">
        <v>0</v>
      </c>
      <c r="W215">
        <v>0</v>
      </c>
      <c r="X215">
        <v>0</v>
      </c>
      <c r="Y215">
        <v>0</v>
      </c>
      <c r="Z215">
        <v>0</v>
      </c>
      <c r="AA215">
        <v>0</v>
      </c>
      <c r="AB215">
        <v>0</v>
      </c>
      <c r="AC215">
        <v>0</v>
      </c>
      <c r="AD215">
        <v>0</v>
      </c>
      <c r="AE215" t="s">
        <v>161</v>
      </c>
      <c r="AF215">
        <v>0</v>
      </c>
      <c r="AG215" t="s">
        <v>210</v>
      </c>
      <c r="AH215">
        <v>46308</v>
      </c>
      <c r="AI215" t="s">
        <v>149</v>
      </c>
    </row>
    <row r="216" spans="1:35" x14ac:dyDescent="0.25">
      <c r="A216" s="1">
        <v>46308</v>
      </c>
      <c r="B216" t="s">
        <v>13</v>
      </c>
      <c r="C216" t="s">
        <v>11</v>
      </c>
      <c r="D216">
        <v>1.2801831343566421</v>
      </c>
      <c r="E216">
        <v>0</v>
      </c>
      <c r="F216">
        <v>0</v>
      </c>
      <c r="G216">
        <v>0.94117647058823517</v>
      </c>
      <c r="H216">
        <v>0</v>
      </c>
      <c r="I216">
        <v>0</v>
      </c>
      <c r="J216">
        <v>0.73518893143458319</v>
      </c>
      <c r="K216">
        <v>0</v>
      </c>
      <c r="L216">
        <v>0</v>
      </c>
      <c r="M216">
        <v>0</v>
      </c>
      <c r="N216">
        <v>0</v>
      </c>
      <c r="O216">
        <v>0</v>
      </c>
      <c r="P216">
        <v>0</v>
      </c>
      <c r="Q216">
        <v>0</v>
      </c>
      <c r="R216">
        <v>0</v>
      </c>
      <c r="S216">
        <v>0</v>
      </c>
      <c r="T216">
        <v>0.73518893143458319</v>
      </c>
      <c r="U216">
        <v>0.26481106856541681</v>
      </c>
      <c r="V216">
        <v>0</v>
      </c>
      <c r="W216">
        <v>0</v>
      </c>
      <c r="X216">
        <v>0</v>
      </c>
      <c r="Y216">
        <v>0</v>
      </c>
      <c r="Z216">
        <v>0</v>
      </c>
      <c r="AA216">
        <v>0</v>
      </c>
      <c r="AB216">
        <v>0</v>
      </c>
      <c r="AC216">
        <v>0</v>
      </c>
      <c r="AD216">
        <v>0</v>
      </c>
      <c r="AE216" t="s">
        <v>161</v>
      </c>
      <c r="AF216">
        <v>0</v>
      </c>
      <c r="AG216" t="s">
        <v>211</v>
      </c>
      <c r="AH216">
        <v>46308</v>
      </c>
      <c r="AI216" t="s">
        <v>149</v>
      </c>
    </row>
    <row r="217" spans="1:35" x14ac:dyDescent="0.25">
      <c r="A217" s="1">
        <v>46308</v>
      </c>
      <c r="B217" t="s">
        <v>13</v>
      </c>
      <c r="C217" t="s">
        <v>12</v>
      </c>
      <c r="D217">
        <v>3.3887200615322879</v>
      </c>
      <c r="E217">
        <v>0</v>
      </c>
      <c r="F217">
        <v>0</v>
      </c>
      <c r="G217">
        <v>3.2655709342560546</v>
      </c>
      <c r="H217">
        <v>0</v>
      </c>
      <c r="I217">
        <v>0</v>
      </c>
      <c r="J217">
        <v>0.96365910283526091</v>
      </c>
      <c r="K217">
        <v>0</v>
      </c>
      <c r="L217">
        <v>0</v>
      </c>
      <c r="M217">
        <v>0</v>
      </c>
      <c r="N217">
        <v>0</v>
      </c>
      <c r="O217">
        <v>0</v>
      </c>
      <c r="P217">
        <v>0</v>
      </c>
      <c r="Q217">
        <v>0</v>
      </c>
      <c r="R217">
        <v>0</v>
      </c>
      <c r="S217">
        <v>0</v>
      </c>
      <c r="T217">
        <v>0.96365910283526091</v>
      </c>
      <c r="U217">
        <v>3.6340897164739094E-2</v>
      </c>
      <c r="V217">
        <v>0</v>
      </c>
      <c r="W217">
        <v>0</v>
      </c>
      <c r="X217">
        <v>0</v>
      </c>
      <c r="Y217">
        <v>0</v>
      </c>
      <c r="Z217">
        <v>0</v>
      </c>
      <c r="AA217">
        <v>0</v>
      </c>
      <c r="AB217">
        <v>0</v>
      </c>
      <c r="AC217">
        <v>0</v>
      </c>
      <c r="AD217">
        <v>0</v>
      </c>
      <c r="AE217" t="s">
        <v>161</v>
      </c>
      <c r="AF217">
        <v>0</v>
      </c>
      <c r="AG217" t="s">
        <v>209</v>
      </c>
      <c r="AH217">
        <v>46308</v>
      </c>
      <c r="AI217" t="s">
        <v>149</v>
      </c>
    </row>
    <row r="218" spans="1:35" x14ac:dyDescent="0.25">
      <c r="A218" s="1">
        <v>46309</v>
      </c>
      <c r="B218" t="s">
        <v>13</v>
      </c>
      <c r="C218" t="s">
        <v>12</v>
      </c>
      <c r="D218">
        <v>3.9535067384543359</v>
      </c>
      <c r="E218">
        <v>0</v>
      </c>
      <c r="F218">
        <v>0</v>
      </c>
      <c r="G218">
        <v>3.4602076124567467</v>
      </c>
      <c r="H218">
        <v>0</v>
      </c>
      <c r="I218">
        <v>0</v>
      </c>
      <c r="J218">
        <v>0.87522491837450378</v>
      </c>
      <c r="K218">
        <v>0</v>
      </c>
      <c r="L218">
        <v>0</v>
      </c>
      <c r="M218">
        <v>0</v>
      </c>
      <c r="N218">
        <v>0</v>
      </c>
      <c r="O218">
        <v>0</v>
      </c>
      <c r="P218">
        <v>0</v>
      </c>
      <c r="Q218">
        <v>0</v>
      </c>
      <c r="R218">
        <v>0</v>
      </c>
      <c r="S218">
        <v>0</v>
      </c>
      <c r="T218">
        <v>0.87522491837450378</v>
      </c>
      <c r="U218">
        <v>0.12477508162549622</v>
      </c>
      <c r="V218">
        <v>0</v>
      </c>
      <c r="W218">
        <v>0</v>
      </c>
      <c r="X218">
        <v>0</v>
      </c>
      <c r="Y218">
        <v>0</v>
      </c>
      <c r="Z218">
        <v>0</v>
      </c>
      <c r="AA218">
        <v>0</v>
      </c>
      <c r="AB218">
        <v>0</v>
      </c>
      <c r="AC218">
        <v>0</v>
      </c>
      <c r="AD218">
        <v>0</v>
      </c>
      <c r="AE218" t="s">
        <v>161</v>
      </c>
      <c r="AF218">
        <v>0</v>
      </c>
      <c r="AG218" t="s">
        <v>213</v>
      </c>
      <c r="AH218">
        <v>46309</v>
      </c>
      <c r="AI218" t="s">
        <v>149</v>
      </c>
    </row>
    <row r="219" spans="1:35" x14ac:dyDescent="0.25">
      <c r="A219" s="1">
        <v>46309</v>
      </c>
      <c r="B219" t="s">
        <v>13</v>
      </c>
      <c r="C219" t="s">
        <v>11</v>
      </c>
      <c r="D219">
        <v>1.2801831343566421</v>
      </c>
      <c r="E219">
        <v>0</v>
      </c>
      <c r="F219">
        <v>0</v>
      </c>
      <c r="G219">
        <v>0.94117647058823517</v>
      </c>
      <c r="H219">
        <v>0</v>
      </c>
      <c r="I219">
        <v>0</v>
      </c>
      <c r="J219">
        <v>0.73518893143458319</v>
      </c>
      <c r="K219">
        <v>0</v>
      </c>
      <c r="L219">
        <v>0</v>
      </c>
      <c r="M219">
        <v>0</v>
      </c>
      <c r="N219">
        <v>0</v>
      </c>
      <c r="O219">
        <v>0</v>
      </c>
      <c r="P219">
        <v>0</v>
      </c>
      <c r="Q219">
        <v>0</v>
      </c>
      <c r="R219">
        <v>0</v>
      </c>
      <c r="S219">
        <v>0</v>
      </c>
      <c r="T219">
        <v>0.73518893143458319</v>
      </c>
      <c r="U219">
        <v>0.26481106856541681</v>
      </c>
      <c r="V219">
        <v>0</v>
      </c>
      <c r="W219">
        <v>0</v>
      </c>
      <c r="X219">
        <v>0</v>
      </c>
      <c r="Y219">
        <v>0</v>
      </c>
      <c r="Z219">
        <v>0</v>
      </c>
      <c r="AA219">
        <v>0</v>
      </c>
      <c r="AB219">
        <v>0</v>
      </c>
      <c r="AC219">
        <v>0</v>
      </c>
      <c r="AD219">
        <v>0</v>
      </c>
      <c r="AE219" t="s">
        <v>161</v>
      </c>
      <c r="AF219">
        <v>0</v>
      </c>
      <c r="AG219" t="s">
        <v>212</v>
      </c>
      <c r="AH219">
        <v>46309</v>
      </c>
      <c r="AI219" t="s">
        <v>149</v>
      </c>
    </row>
    <row r="220" spans="1:35" x14ac:dyDescent="0.25">
      <c r="A220" s="1">
        <v>46309</v>
      </c>
      <c r="B220" t="s">
        <v>13</v>
      </c>
      <c r="C220" t="s">
        <v>10</v>
      </c>
      <c r="D220">
        <v>4.6506652927799887</v>
      </c>
      <c r="E220">
        <v>0</v>
      </c>
      <c r="F220">
        <v>0</v>
      </c>
      <c r="G220">
        <v>1.9411764705882355</v>
      </c>
      <c r="H220">
        <v>0</v>
      </c>
      <c r="I220">
        <v>0</v>
      </c>
      <c r="J220">
        <v>0.41739758687898931</v>
      </c>
      <c r="K220">
        <v>0</v>
      </c>
      <c r="L220">
        <v>0</v>
      </c>
      <c r="M220">
        <v>0</v>
      </c>
      <c r="N220">
        <v>0</v>
      </c>
      <c r="O220">
        <v>0</v>
      </c>
      <c r="P220">
        <v>0</v>
      </c>
      <c r="Q220">
        <v>0</v>
      </c>
      <c r="R220">
        <v>0</v>
      </c>
      <c r="S220">
        <v>0</v>
      </c>
      <c r="T220">
        <v>0.41739758687898931</v>
      </c>
      <c r="U220">
        <v>0.58260241312101069</v>
      </c>
      <c r="V220">
        <v>0</v>
      </c>
      <c r="W220">
        <v>0</v>
      </c>
      <c r="X220">
        <v>0</v>
      </c>
      <c r="Y220">
        <v>0</v>
      </c>
      <c r="Z220">
        <v>0</v>
      </c>
      <c r="AA220">
        <v>0</v>
      </c>
      <c r="AB220">
        <v>0</v>
      </c>
      <c r="AC220">
        <v>0</v>
      </c>
      <c r="AD220">
        <v>0</v>
      </c>
      <c r="AE220" t="s">
        <v>161</v>
      </c>
      <c r="AF220">
        <v>0</v>
      </c>
      <c r="AG220" t="s">
        <v>214</v>
      </c>
      <c r="AH220">
        <v>46309</v>
      </c>
      <c r="AI220" t="s">
        <v>149</v>
      </c>
    </row>
    <row r="221" spans="1:35" x14ac:dyDescent="0.25">
      <c r="A221" s="1">
        <v>46310</v>
      </c>
      <c r="B221" t="s">
        <v>13</v>
      </c>
      <c r="C221" t="s">
        <v>11</v>
      </c>
      <c r="D221">
        <v>1.2801831343566421</v>
      </c>
      <c r="E221">
        <v>0</v>
      </c>
      <c r="F221">
        <v>0</v>
      </c>
      <c r="G221">
        <v>0.94117647058823517</v>
      </c>
      <c r="H221">
        <v>0</v>
      </c>
      <c r="I221">
        <v>0</v>
      </c>
      <c r="J221">
        <v>0.73518893143458319</v>
      </c>
      <c r="K221">
        <v>0</v>
      </c>
      <c r="L221">
        <v>0</v>
      </c>
      <c r="M221">
        <v>0</v>
      </c>
      <c r="N221">
        <v>0</v>
      </c>
      <c r="O221">
        <v>0</v>
      </c>
      <c r="P221">
        <v>0</v>
      </c>
      <c r="Q221">
        <v>0</v>
      </c>
      <c r="R221">
        <v>0</v>
      </c>
      <c r="S221">
        <v>0</v>
      </c>
      <c r="T221">
        <v>0.73518893143458319</v>
      </c>
      <c r="U221">
        <v>0.26481106856541681</v>
      </c>
      <c r="V221">
        <v>0</v>
      </c>
      <c r="W221">
        <v>0</v>
      </c>
      <c r="X221">
        <v>0</v>
      </c>
      <c r="Y221">
        <v>0</v>
      </c>
      <c r="Z221">
        <v>0</v>
      </c>
      <c r="AA221">
        <v>0</v>
      </c>
      <c r="AB221">
        <v>0</v>
      </c>
      <c r="AC221">
        <v>0</v>
      </c>
      <c r="AD221">
        <v>0</v>
      </c>
      <c r="AE221" t="s">
        <v>161</v>
      </c>
      <c r="AF221">
        <v>0</v>
      </c>
      <c r="AG221" t="s">
        <v>216</v>
      </c>
      <c r="AH221">
        <v>46310</v>
      </c>
      <c r="AI221" t="s">
        <v>149</v>
      </c>
    </row>
    <row r="222" spans="1:35" x14ac:dyDescent="0.25">
      <c r="A222" s="1">
        <v>46310</v>
      </c>
      <c r="B222" t="s">
        <v>13</v>
      </c>
      <c r="C222" t="s">
        <v>12</v>
      </c>
      <c r="D222">
        <v>3.5299167307627997</v>
      </c>
      <c r="E222">
        <v>0</v>
      </c>
      <c r="F222">
        <v>0</v>
      </c>
      <c r="G222">
        <v>3.1619012930249499</v>
      </c>
      <c r="H222">
        <v>0</v>
      </c>
      <c r="I222">
        <v>0</v>
      </c>
      <c r="J222">
        <v>0.89574387561875346</v>
      </c>
      <c r="K222">
        <v>0</v>
      </c>
      <c r="L222">
        <v>0</v>
      </c>
      <c r="M222">
        <v>0</v>
      </c>
      <c r="N222">
        <v>0</v>
      </c>
      <c r="O222">
        <v>0</v>
      </c>
      <c r="P222">
        <v>0</v>
      </c>
      <c r="Q222">
        <v>0</v>
      </c>
      <c r="R222">
        <v>0</v>
      </c>
      <c r="S222">
        <v>0</v>
      </c>
      <c r="T222">
        <v>0.89574387561875346</v>
      </c>
      <c r="U222">
        <v>0.10425612438124654</v>
      </c>
      <c r="V222">
        <v>0</v>
      </c>
      <c r="W222">
        <v>0</v>
      </c>
      <c r="X222">
        <v>0</v>
      </c>
      <c r="Y222">
        <v>0</v>
      </c>
      <c r="Z222">
        <v>0</v>
      </c>
      <c r="AA222">
        <v>0</v>
      </c>
      <c r="AB222">
        <v>0</v>
      </c>
      <c r="AC222">
        <v>0</v>
      </c>
      <c r="AD222">
        <v>0</v>
      </c>
      <c r="AE222" t="s">
        <v>161</v>
      </c>
      <c r="AF222">
        <v>0</v>
      </c>
      <c r="AG222" t="s">
        <v>215</v>
      </c>
      <c r="AH222">
        <v>46310</v>
      </c>
      <c r="AI222" t="s">
        <v>149</v>
      </c>
    </row>
    <row r="223" spans="1:35" x14ac:dyDescent="0.25">
      <c r="A223" s="1">
        <v>46310</v>
      </c>
      <c r="B223" t="s">
        <v>13</v>
      </c>
      <c r="C223" t="s">
        <v>10</v>
      </c>
      <c r="D223">
        <v>6.0008584422967584</v>
      </c>
      <c r="E223">
        <v>0</v>
      </c>
      <c r="F223">
        <v>0</v>
      </c>
      <c r="G223">
        <v>4.8831269349845208</v>
      </c>
      <c r="H223">
        <v>0</v>
      </c>
      <c r="I223">
        <v>0</v>
      </c>
      <c r="J223">
        <v>0.81373806463522591</v>
      </c>
      <c r="K223">
        <v>0</v>
      </c>
      <c r="L223">
        <v>0</v>
      </c>
      <c r="M223">
        <v>0</v>
      </c>
      <c r="N223">
        <v>0</v>
      </c>
      <c r="O223">
        <v>0</v>
      </c>
      <c r="P223">
        <v>0</v>
      </c>
      <c r="Q223">
        <v>0</v>
      </c>
      <c r="R223">
        <v>0</v>
      </c>
      <c r="S223">
        <v>0</v>
      </c>
      <c r="T223">
        <v>0.81373806463522591</v>
      </c>
      <c r="U223">
        <v>0.18626193536477409</v>
      </c>
      <c r="V223">
        <v>0</v>
      </c>
      <c r="W223">
        <v>0</v>
      </c>
      <c r="X223">
        <v>0</v>
      </c>
      <c r="Y223">
        <v>0</v>
      </c>
      <c r="Z223">
        <v>0</v>
      </c>
      <c r="AA223">
        <v>0</v>
      </c>
      <c r="AB223">
        <v>0</v>
      </c>
      <c r="AC223">
        <v>0</v>
      </c>
      <c r="AD223">
        <v>0</v>
      </c>
      <c r="AE223" t="s">
        <v>161</v>
      </c>
      <c r="AF223">
        <v>0</v>
      </c>
      <c r="AG223" t="s">
        <v>217</v>
      </c>
      <c r="AH223">
        <v>46310</v>
      </c>
      <c r="AI223" t="s">
        <v>149</v>
      </c>
    </row>
    <row r="224" spans="1:35" x14ac:dyDescent="0.25">
      <c r="A224" s="1">
        <v>46311</v>
      </c>
      <c r="B224" t="s">
        <v>13</v>
      </c>
      <c r="C224" t="s">
        <v>11</v>
      </c>
      <c r="D224">
        <v>1.2801831343566421</v>
      </c>
      <c r="E224">
        <v>0</v>
      </c>
      <c r="F224">
        <v>0</v>
      </c>
      <c r="G224">
        <v>0.94117647058823517</v>
      </c>
      <c r="H224">
        <v>0</v>
      </c>
      <c r="I224">
        <v>0</v>
      </c>
      <c r="J224">
        <v>0.73518893143458319</v>
      </c>
      <c r="K224">
        <v>0</v>
      </c>
      <c r="L224">
        <v>0</v>
      </c>
      <c r="M224">
        <v>0</v>
      </c>
      <c r="N224">
        <v>0</v>
      </c>
      <c r="O224">
        <v>0</v>
      </c>
      <c r="P224">
        <v>0</v>
      </c>
      <c r="Q224">
        <v>0</v>
      </c>
      <c r="R224">
        <v>0</v>
      </c>
      <c r="S224">
        <v>0</v>
      </c>
      <c r="T224">
        <v>0.73518893143458319</v>
      </c>
      <c r="U224">
        <v>0.26481106856541681</v>
      </c>
      <c r="V224">
        <v>0</v>
      </c>
      <c r="W224">
        <v>0</v>
      </c>
      <c r="X224">
        <v>0</v>
      </c>
      <c r="Y224">
        <v>0</v>
      </c>
      <c r="Z224">
        <v>0</v>
      </c>
      <c r="AA224">
        <v>0</v>
      </c>
      <c r="AB224">
        <v>0</v>
      </c>
      <c r="AC224">
        <v>0</v>
      </c>
      <c r="AD224">
        <v>0</v>
      </c>
      <c r="AE224" t="s">
        <v>161</v>
      </c>
      <c r="AF224">
        <v>0</v>
      </c>
      <c r="AG224" t="s">
        <v>218</v>
      </c>
      <c r="AH224">
        <v>46311</v>
      </c>
      <c r="AI224" t="s">
        <v>149</v>
      </c>
    </row>
    <row r="225" spans="1:35" x14ac:dyDescent="0.25">
      <c r="A225" s="1">
        <v>46311</v>
      </c>
      <c r="B225" t="s">
        <v>13</v>
      </c>
      <c r="C225" t="s">
        <v>10</v>
      </c>
      <c r="D225">
        <v>4.8006867538374074</v>
      </c>
      <c r="E225">
        <v>0</v>
      </c>
      <c r="F225">
        <v>0</v>
      </c>
      <c r="G225">
        <v>4.5266544117647056</v>
      </c>
      <c r="H225">
        <v>0</v>
      </c>
      <c r="I225">
        <v>0</v>
      </c>
      <c r="J225">
        <v>0.94291809565503204</v>
      </c>
      <c r="K225">
        <v>0</v>
      </c>
      <c r="L225">
        <v>0</v>
      </c>
      <c r="M225">
        <v>0</v>
      </c>
      <c r="N225">
        <v>0</v>
      </c>
      <c r="O225">
        <v>0</v>
      </c>
      <c r="P225">
        <v>0</v>
      </c>
      <c r="Q225">
        <v>0</v>
      </c>
      <c r="R225">
        <v>0</v>
      </c>
      <c r="S225">
        <v>0</v>
      </c>
      <c r="T225">
        <v>0.94291809565503204</v>
      </c>
      <c r="U225">
        <v>5.708190434496796E-2</v>
      </c>
      <c r="V225">
        <v>0</v>
      </c>
      <c r="W225">
        <v>0</v>
      </c>
      <c r="X225">
        <v>0</v>
      </c>
      <c r="Y225">
        <v>0</v>
      </c>
      <c r="Z225">
        <v>0</v>
      </c>
      <c r="AA225">
        <v>0</v>
      </c>
      <c r="AB225">
        <v>0</v>
      </c>
      <c r="AC225">
        <v>0</v>
      </c>
      <c r="AD225">
        <v>0</v>
      </c>
      <c r="AE225" t="s">
        <v>161</v>
      </c>
      <c r="AF225">
        <v>0</v>
      </c>
      <c r="AG225" t="s">
        <v>220</v>
      </c>
      <c r="AH225">
        <v>46311</v>
      </c>
      <c r="AI225" t="s">
        <v>149</v>
      </c>
    </row>
    <row r="226" spans="1:35" x14ac:dyDescent="0.25">
      <c r="A226" s="1">
        <v>46311</v>
      </c>
      <c r="B226" t="s">
        <v>13</v>
      </c>
      <c r="C226" t="s">
        <v>12</v>
      </c>
      <c r="D226">
        <v>2.2591467076881915</v>
      </c>
      <c r="E226">
        <v>0</v>
      </c>
      <c r="F226">
        <v>0</v>
      </c>
      <c r="G226">
        <v>2.3797577854671288</v>
      </c>
      <c r="H226">
        <v>0</v>
      </c>
      <c r="I226">
        <v>0</v>
      </c>
      <c r="J226">
        <v>1.0533878908211145</v>
      </c>
      <c r="K226">
        <v>5.3387890821114503E-2</v>
      </c>
      <c r="L226">
        <v>0</v>
      </c>
      <c r="M226">
        <v>0</v>
      </c>
      <c r="N226">
        <v>0</v>
      </c>
      <c r="O226">
        <v>0</v>
      </c>
      <c r="P226">
        <v>0</v>
      </c>
      <c r="Q226">
        <v>0</v>
      </c>
      <c r="R226">
        <v>0</v>
      </c>
      <c r="S226">
        <v>0</v>
      </c>
      <c r="T226">
        <v>0</v>
      </c>
      <c r="U226">
        <v>0</v>
      </c>
      <c r="V226">
        <v>0</v>
      </c>
      <c r="W226">
        <v>0</v>
      </c>
      <c r="X226">
        <v>0</v>
      </c>
      <c r="Y226">
        <v>0</v>
      </c>
      <c r="Z226">
        <v>0</v>
      </c>
      <c r="AA226">
        <v>0</v>
      </c>
      <c r="AB226">
        <v>0</v>
      </c>
      <c r="AC226">
        <v>1</v>
      </c>
      <c r="AD226">
        <v>0</v>
      </c>
      <c r="AE226" t="s">
        <v>161</v>
      </c>
      <c r="AF226">
        <v>0</v>
      </c>
      <c r="AG226" t="s">
        <v>219</v>
      </c>
      <c r="AH226">
        <v>46311</v>
      </c>
      <c r="AI226" t="s">
        <v>149</v>
      </c>
    </row>
    <row r="227" spans="1:35" x14ac:dyDescent="0.25">
      <c r="A227" s="1">
        <v>46312</v>
      </c>
      <c r="B227" t="s">
        <v>13</v>
      </c>
      <c r="C227" t="s">
        <v>10</v>
      </c>
      <c r="D227">
        <v>3.6005150653780555</v>
      </c>
      <c r="E227">
        <v>0</v>
      </c>
      <c r="F227">
        <v>0</v>
      </c>
      <c r="G227">
        <v>2.882352941176471</v>
      </c>
      <c r="H227">
        <v>0</v>
      </c>
      <c r="I227">
        <v>0</v>
      </c>
      <c r="J227">
        <v>0.80053905867321318</v>
      </c>
      <c r="K227">
        <v>0</v>
      </c>
      <c r="L227">
        <v>0</v>
      </c>
      <c r="M227">
        <v>0</v>
      </c>
      <c r="N227">
        <v>0</v>
      </c>
      <c r="O227">
        <v>0</v>
      </c>
      <c r="P227">
        <v>0</v>
      </c>
      <c r="Q227">
        <v>0</v>
      </c>
      <c r="R227">
        <v>0</v>
      </c>
      <c r="S227">
        <v>0</v>
      </c>
      <c r="T227">
        <v>0.80053905867321318</v>
      </c>
      <c r="U227">
        <v>0.19946094132678682</v>
      </c>
      <c r="V227">
        <v>0</v>
      </c>
      <c r="W227">
        <v>0</v>
      </c>
      <c r="X227">
        <v>0</v>
      </c>
      <c r="Y227">
        <v>0</v>
      </c>
      <c r="Z227">
        <v>0</v>
      </c>
      <c r="AA227">
        <v>0</v>
      </c>
      <c r="AB227">
        <v>0</v>
      </c>
      <c r="AC227">
        <v>0</v>
      </c>
      <c r="AD227">
        <v>0</v>
      </c>
      <c r="AE227" t="s">
        <v>161</v>
      </c>
      <c r="AF227">
        <v>0</v>
      </c>
      <c r="AG227" t="s">
        <v>222</v>
      </c>
      <c r="AH227">
        <v>46312</v>
      </c>
      <c r="AI227" t="s">
        <v>149</v>
      </c>
    </row>
    <row r="228" spans="1:35" x14ac:dyDescent="0.25">
      <c r="A228" s="1">
        <v>46312</v>
      </c>
      <c r="B228" t="s">
        <v>13</v>
      </c>
      <c r="C228" t="s">
        <v>11</v>
      </c>
      <c r="D228">
        <v>1.2801831343566421</v>
      </c>
      <c r="E228">
        <v>0</v>
      </c>
      <c r="F228">
        <v>0</v>
      </c>
      <c r="G228">
        <v>0.94117647058823517</v>
      </c>
      <c r="H228">
        <v>0</v>
      </c>
      <c r="I228">
        <v>0</v>
      </c>
      <c r="J228">
        <v>0.73518893143458319</v>
      </c>
      <c r="K228">
        <v>0</v>
      </c>
      <c r="L228">
        <v>0</v>
      </c>
      <c r="M228">
        <v>0</v>
      </c>
      <c r="N228">
        <v>0</v>
      </c>
      <c r="O228">
        <v>0</v>
      </c>
      <c r="P228">
        <v>0</v>
      </c>
      <c r="Q228">
        <v>0</v>
      </c>
      <c r="R228">
        <v>0</v>
      </c>
      <c r="S228">
        <v>0</v>
      </c>
      <c r="T228">
        <v>0.73518893143458319</v>
      </c>
      <c r="U228">
        <v>0.26481106856541681</v>
      </c>
      <c r="V228">
        <v>0</v>
      </c>
      <c r="W228">
        <v>0</v>
      </c>
      <c r="X228">
        <v>0</v>
      </c>
      <c r="Y228">
        <v>0</v>
      </c>
      <c r="Z228">
        <v>0</v>
      </c>
      <c r="AA228">
        <v>0</v>
      </c>
      <c r="AB228">
        <v>0</v>
      </c>
      <c r="AC228">
        <v>0</v>
      </c>
      <c r="AD228">
        <v>0</v>
      </c>
      <c r="AE228" t="s">
        <v>161</v>
      </c>
      <c r="AF228">
        <v>0</v>
      </c>
      <c r="AG228" t="s">
        <v>223</v>
      </c>
      <c r="AH228">
        <v>46312</v>
      </c>
      <c r="AI228" t="s">
        <v>149</v>
      </c>
    </row>
    <row r="229" spans="1:35" x14ac:dyDescent="0.25">
      <c r="A229" s="1">
        <v>46312</v>
      </c>
      <c r="B229" t="s">
        <v>13</v>
      </c>
      <c r="C229" t="s">
        <v>12</v>
      </c>
      <c r="D229">
        <v>3.388720061532287</v>
      </c>
      <c r="E229">
        <v>0</v>
      </c>
      <c r="F229">
        <v>0</v>
      </c>
      <c r="G229">
        <v>3.0449826989619369</v>
      </c>
      <c r="H229">
        <v>0</v>
      </c>
      <c r="I229">
        <v>0</v>
      </c>
      <c r="J229">
        <v>0.89856424953115732</v>
      </c>
      <c r="K229">
        <v>0</v>
      </c>
      <c r="L229">
        <v>0</v>
      </c>
      <c r="M229">
        <v>0</v>
      </c>
      <c r="N229">
        <v>0</v>
      </c>
      <c r="O229">
        <v>0</v>
      </c>
      <c r="P229">
        <v>0</v>
      </c>
      <c r="Q229">
        <v>0</v>
      </c>
      <c r="R229">
        <v>0</v>
      </c>
      <c r="S229">
        <v>0</v>
      </c>
      <c r="T229">
        <v>0.89856424953115732</v>
      </c>
      <c r="U229">
        <v>0.10143575046884268</v>
      </c>
      <c r="V229">
        <v>0</v>
      </c>
      <c r="W229">
        <v>0</v>
      </c>
      <c r="X229">
        <v>0</v>
      </c>
      <c r="Y229">
        <v>0</v>
      </c>
      <c r="Z229">
        <v>0</v>
      </c>
      <c r="AA229">
        <v>0</v>
      </c>
      <c r="AB229">
        <v>0</v>
      </c>
      <c r="AC229">
        <v>0</v>
      </c>
      <c r="AD229">
        <v>0</v>
      </c>
      <c r="AE229" t="s">
        <v>161</v>
      </c>
      <c r="AF229">
        <v>0</v>
      </c>
      <c r="AG229" t="s">
        <v>221</v>
      </c>
      <c r="AH229">
        <v>46312</v>
      </c>
      <c r="AI229" t="s">
        <v>149</v>
      </c>
    </row>
    <row r="230" spans="1:35" x14ac:dyDescent="0.25">
      <c r="A230" s="1">
        <v>46313</v>
      </c>
      <c r="B230" t="s">
        <v>13</v>
      </c>
      <c r="C230" t="s">
        <v>10</v>
      </c>
      <c r="D230">
        <v>4.7256760233086981</v>
      </c>
      <c r="E230">
        <v>0</v>
      </c>
      <c r="F230">
        <v>0</v>
      </c>
      <c r="G230">
        <v>2.882352941176471</v>
      </c>
      <c r="H230">
        <v>0</v>
      </c>
      <c r="I230">
        <v>0</v>
      </c>
      <c r="J230">
        <v>0.60993452089387667</v>
      </c>
      <c r="K230">
        <v>0</v>
      </c>
      <c r="L230">
        <v>0</v>
      </c>
      <c r="M230">
        <v>0</v>
      </c>
      <c r="N230">
        <v>0</v>
      </c>
      <c r="O230">
        <v>0</v>
      </c>
      <c r="P230">
        <v>0</v>
      </c>
      <c r="Q230">
        <v>0</v>
      </c>
      <c r="R230">
        <v>0</v>
      </c>
      <c r="S230">
        <v>0</v>
      </c>
      <c r="T230">
        <v>0.60993452089387667</v>
      </c>
      <c r="U230">
        <v>0.39006547910612333</v>
      </c>
      <c r="V230">
        <v>0</v>
      </c>
      <c r="W230">
        <v>0</v>
      </c>
      <c r="X230">
        <v>0</v>
      </c>
      <c r="Y230">
        <v>0</v>
      </c>
      <c r="Z230">
        <v>0</v>
      </c>
      <c r="AA230">
        <v>0</v>
      </c>
      <c r="AB230">
        <v>0</v>
      </c>
      <c r="AC230">
        <v>0</v>
      </c>
      <c r="AD230">
        <v>0</v>
      </c>
      <c r="AE230" t="s">
        <v>161</v>
      </c>
      <c r="AF230">
        <v>0</v>
      </c>
      <c r="AG230" t="s">
        <v>224</v>
      </c>
      <c r="AH230">
        <v>46313</v>
      </c>
      <c r="AI230" t="s">
        <v>149</v>
      </c>
    </row>
    <row r="231" spans="1:35" x14ac:dyDescent="0.25">
      <c r="A231" s="1">
        <v>46313</v>
      </c>
      <c r="B231" t="s">
        <v>13</v>
      </c>
      <c r="C231" t="s">
        <v>11</v>
      </c>
      <c r="D231">
        <v>1.2801831343566421</v>
      </c>
      <c r="E231">
        <v>0</v>
      </c>
      <c r="F231">
        <v>0</v>
      </c>
      <c r="G231">
        <v>0.94117647058823517</v>
      </c>
      <c r="H231">
        <v>0</v>
      </c>
      <c r="I231">
        <v>0</v>
      </c>
      <c r="J231">
        <v>0.73518893143458319</v>
      </c>
      <c r="K231">
        <v>0</v>
      </c>
      <c r="L231">
        <v>0</v>
      </c>
      <c r="M231">
        <v>0</v>
      </c>
      <c r="N231">
        <v>0</v>
      </c>
      <c r="O231">
        <v>0</v>
      </c>
      <c r="P231">
        <v>0</v>
      </c>
      <c r="Q231">
        <v>0</v>
      </c>
      <c r="R231">
        <v>0</v>
      </c>
      <c r="S231">
        <v>0</v>
      </c>
      <c r="T231">
        <v>0.73518893143458319</v>
      </c>
      <c r="U231">
        <v>0.26481106856541681</v>
      </c>
      <c r="V231">
        <v>0</v>
      </c>
      <c r="W231">
        <v>0</v>
      </c>
      <c r="X231">
        <v>0</v>
      </c>
      <c r="Y231">
        <v>0</v>
      </c>
      <c r="Z231">
        <v>0</v>
      </c>
      <c r="AA231">
        <v>0</v>
      </c>
      <c r="AB231">
        <v>0</v>
      </c>
      <c r="AC231">
        <v>0</v>
      </c>
      <c r="AD231">
        <v>0</v>
      </c>
      <c r="AE231" t="s">
        <v>161</v>
      </c>
      <c r="AF231">
        <v>0</v>
      </c>
      <c r="AG231" t="s">
        <v>225</v>
      </c>
      <c r="AH231">
        <v>46313</v>
      </c>
      <c r="AI231" t="s">
        <v>149</v>
      </c>
    </row>
    <row r="232" spans="1:35" x14ac:dyDescent="0.25">
      <c r="A232" s="1">
        <v>46313</v>
      </c>
      <c r="B232" t="s">
        <v>13</v>
      </c>
      <c r="C232" t="s">
        <v>12</v>
      </c>
      <c r="D232">
        <v>3.388720061532287</v>
      </c>
      <c r="E232">
        <v>0</v>
      </c>
      <c r="F232">
        <v>0</v>
      </c>
      <c r="G232">
        <v>3.0449826989619369</v>
      </c>
      <c r="H232">
        <v>0</v>
      </c>
      <c r="I232">
        <v>0</v>
      </c>
      <c r="J232">
        <v>0.89856424953115732</v>
      </c>
      <c r="K232">
        <v>0</v>
      </c>
      <c r="L232">
        <v>0</v>
      </c>
      <c r="M232">
        <v>0</v>
      </c>
      <c r="N232">
        <v>0</v>
      </c>
      <c r="O232">
        <v>0</v>
      </c>
      <c r="P232">
        <v>0</v>
      </c>
      <c r="Q232">
        <v>0</v>
      </c>
      <c r="R232">
        <v>0</v>
      </c>
      <c r="S232">
        <v>0</v>
      </c>
      <c r="T232">
        <v>0.89856424953115732</v>
      </c>
      <c r="U232">
        <v>0.10143575046884268</v>
      </c>
      <c r="V232">
        <v>0</v>
      </c>
      <c r="W232">
        <v>0</v>
      </c>
      <c r="X232">
        <v>0</v>
      </c>
      <c r="Y232">
        <v>0</v>
      </c>
      <c r="Z232">
        <v>0</v>
      </c>
      <c r="AA232">
        <v>0</v>
      </c>
      <c r="AB232">
        <v>0</v>
      </c>
      <c r="AC232">
        <v>0</v>
      </c>
      <c r="AD232">
        <v>0</v>
      </c>
      <c r="AE232" t="s">
        <v>161</v>
      </c>
      <c r="AF232">
        <v>0</v>
      </c>
      <c r="AG232" t="s">
        <v>226</v>
      </c>
      <c r="AH232">
        <v>46313</v>
      </c>
      <c r="AI232" t="s">
        <v>149</v>
      </c>
    </row>
    <row r="233" spans="1:35" x14ac:dyDescent="0.25">
      <c r="A233" s="1">
        <v>46314</v>
      </c>
      <c r="B233" t="s">
        <v>13</v>
      </c>
      <c r="C233" t="s">
        <v>10</v>
      </c>
      <c r="D233">
        <v>3.5255043348493458</v>
      </c>
      <c r="E233">
        <v>0</v>
      </c>
      <c r="F233">
        <v>0</v>
      </c>
      <c r="G233">
        <v>3.3474264705882355</v>
      </c>
      <c r="H233">
        <v>0</v>
      </c>
      <c r="I233">
        <v>0</v>
      </c>
      <c r="J233">
        <v>0.94948868378891949</v>
      </c>
      <c r="K233">
        <v>0</v>
      </c>
      <c r="L233">
        <v>0</v>
      </c>
      <c r="M233">
        <v>0</v>
      </c>
      <c r="N233">
        <v>0</v>
      </c>
      <c r="O233">
        <v>0</v>
      </c>
      <c r="P233">
        <v>0</v>
      </c>
      <c r="Q233">
        <v>0</v>
      </c>
      <c r="R233">
        <v>0</v>
      </c>
      <c r="S233">
        <v>0</v>
      </c>
      <c r="T233">
        <v>0.94948868378891949</v>
      </c>
      <c r="U233">
        <v>5.0511316211080515E-2</v>
      </c>
      <c r="V233">
        <v>0</v>
      </c>
      <c r="W233">
        <v>0</v>
      </c>
      <c r="X233">
        <v>0</v>
      </c>
      <c r="Y233">
        <v>0</v>
      </c>
      <c r="Z233">
        <v>0</v>
      </c>
      <c r="AA233">
        <v>0</v>
      </c>
      <c r="AB233">
        <v>0</v>
      </c>
      <c r="AC233">
        <v>0</v>
      </c>
      <c r="AD233">
        <v>0</v>
      </c>
      <c r="AE233" t="s">
        <v>161</v>
      </c>
      <c r="AF233">
        <v>0</v>
      </c>
      <c r="AG233" t="s">
        <v>229</v>
      </c>
      <c r="AH233">
        <v>46314</v>
      </c>
      <c r="AI233" t="s">
        <v>149</v>
      </c>
    </row>
    <row r="234" spans="1:35" x14ac:dyDescent="0.25">
      <c r="A234" s="1">
        <v>46314</v>
      </c>
      <c r="B234" t="s">
        <v>13</v>
      </c>
      <c r="C234" t="s">
        <v>11</v>
      </c>
      <c r="D234">
        <v>1.2801831343566421</v>
      </c>
      <c r="E234">
        <v>0</v>
      </c>
      <c r="F234">
        <v>0</v>
      </c>
      <c r="G234">
        <v>0.94117647058823517</v>
      </c>
      <c r="H234">
        <v>0</v>
      </c>
      <c r="I234">
        <v>0</v>
      </c>
      <c r="J234">
        <v>0.73518893143458319</v>
      </c>
      <c r="K234">
        <v>0</v>
      </c>
      <c r="L234">
        <v>0</v>
      </c>
      <c r="M234">
        <v>0</v>
      </c>
      <c r="N234">
        <v>0</v>
      </c>
      <c r="O234">
        <v>0</v>
      </c>
      <c r="P234">
        <v>0</v>
      </c>
      <c r="Q234">
        <v>0</v>
      </c>
      <c r="R234">
        <v>0</v>
      </c>
      <c r="S234">
        <v>0</v>
      </c>
      <c r="T234">
        <v>0.73518893143458319</v>
      </c>
      <c r="U234">
        <v>0.26481106856541681</v>
      </c>
      <c r="V234">
        <v>0</v>
      </c>
      <c r="W234">
        <v>0</v>
      </c>
      <c r="X234">
        <v>0</v>
      </c>
      <c r="Y234">
        <v>0</v>
      </c>
      <c r="Z234">
        <v>0</v>
      </c>
      <c r="AA234">
        <v>0</v>
      </c>
      <c r="AB234">
        <v>0</v>
      </c>
      <c r="AC234">
        <v>0</v>
      </c>
      <c r="AD234">
        <v>0</v>
      </c>
      <c r="AE234" t="s">
        <v>161</v>
      </c>
      <c r="AF234">
        <v>0</v>
      </c>
      <c r="AG234" t="s">
        <v>228</v>
      </c>
      <c r="AH234">
        <v>46314</v>
      </c>
      <c r="AI234" t="s">
        <v>149</v>
      </c>
    </row>
    <row r="235" spans="1:35" x14ac:dyDescent="0.25">
      <c r="A235" s="1">
        <v>46314</v>
      </c>
      <c r="B235" t="s">
        <v>13</v>
      </c>
      <c r="C235" t="s">
        <v>12</v>
      </c>
      <c r="D235">
        <v>3.3887200615322879</v>
      </c>
      <c r="E235">
        <v>0</v>
      </c>
      <c r="F235">
        <v>0</v>
      </c>
      <c r="G235">
        <v>3.4307958477508644</v>
      </c>
      <c r="H235">
        <v>0</v>
      </c>
      <c r="I235">
        <v>0</v>
      </c>
      <c r="J235">
        <v>1.0124164243297074</v>
      </c>
      <c r="K235">
        <v>1.2416424329707354E-2</v>
      </c>
      <c r="L235">
        <v>0</v>
      </c>
      <c r="M235">
        <v>0</v>
      </c>
      <c r="N235">
        <v>0</v>
      </c>
      <c r="O235">
        <v>0</v>
      </c>
      <c r="P235">
        <v>0</v>
      </c>
      <c r="Q235">
        <v>0</v>
      </c>
      <c r="R235">
        <v>0</v>
      </c>
      <c r="S235">
        <v>0</v>
      </c>
      <c r="T235">
        <v>0</v>
      </c>
      <c r="U235">
        <v>0</v>
      </c>
      <c r="V235">
        <v>0</v>
      </c>
      <c r="W235">
        <v>0</v>
      </c>
      <c r="X235">
        <v>0</v>
      </c>
      <c r="Y235">
        <v>0</v>
      </c>
      <c r="Z235">
        <v>0</v>
      </c>
      <c r="AA235">
        <v>0</v>
      </c>
      <c r="AB235">
        <v>0</v>
      </c>
      <c r="AC235">
        <v>1</v>
      </c>
      <c r="AD235">
        <v>0</v>
      </c>
      <c r="AE235" t="s">
        <v>161</v>
      </c>
      <c r="AF235">
        <v>0</v>
      </c>
      <c r="AG235" t="s">
        <v>227</v>
      </c>
      <c r="AH235">
        <v>46314</v>
      </c>
      <c r="AI235" t="s">
        <v>149</v>
      </c>
    </row>
    <row r="236" spans="1:35" x14ac:dyDescent="0.25">
      <c r="A236" s="1">
        <v>46315</v>
      </c>
      <c r="B236" t="s">
        <v>13</v>
      </c>
      <c r="C236" t="s">
        <v>10</v>
      </c>
      <c r="D236">
        <v>7.0510086696986916</v>
      </c>
      <c r="E236">
        <v>0</v>
      </c>
      <c r="F236">
        <v>0</v>
      </c>
      <c r="G236">
        <v>4.5266544117647065</v>
      </c>
      <c r="H236">
        <v>0</v>
      </c>
      <c r="I236">
        <v>0</v>
      </c>
      <c r="J236">
        <v>0.64198678853108582</v>
      </c>
      <c r="K236">
        <v>0</v>
      </c>
      <c r="L236">
        <v>0</v>
      </c>
      <c r="M236">
        <v>0</v>
      </c>
      <c r="N236">
        <v>0</v>
      </c>
      <c r="O236">
        <v>0</v>
      </c>
      <c r="P236">
        <v>0</v>
      </c>
      <c r="Q236">
        <v>0</v>
      </c>
      <c r="R236">
        <v>0</v>
      </c>
      <c r="S236">
        <v>0</v>
      </c>
      <c r="T236">
        <v>0.64198678853108582</v>
      </c>
      <c r="U236">
        <v>0.35801321146891418</v>
      </c>
      <c r="V236">
        <v>0</v>
      </c>
      <c r="W236">
        <v>0</v>
      </c>
      <c r="X236">
        <v>0</v>
      </c>
      <c r="Y236">
        <v>0</v>
      </c>
      <c r="Z236">
        <v>0</v>
      </c>
      <c r="AA236">
        <v>0</v>
      </c>
      <c r="AB236">
        <v>0</v>
      </c>
      <c r="AC236">
        <v>0</v>
      </c>
      <c r="AD236">
        <v>0</v>
      </c>
      <c r="AE236" t="s">
        <v>161</v>
      </c>
      <c r="AF236">
        <v>0</v>
      </c>
      <c r="AG236" t="s">
        <v>230</v>
      </c>
      <c r="AH236">
        <v>46315</v>
      </c>
      <c r="AI236" t="s">
        <v>149</v>
      </c>
    </row>
    <row r="237" spans="1:35" x14ac:dyDescent="0.25">
      <c r="A237" s="1">
        <v>46315</v>
      </c>
      <c r="B237" t="s">
        <v>13</v>
      </c>
      <c r="C237" t="s">
        <v>11</v>
      </c>
      <c r="D237">
        <v>1.2801831343566421</v>
      </c>
      <c r="E237">
        <v>0</v>
      </c>
      <c r="F237">
        <v>0</v>
      </c>
      <c r="G237">
        <v>0.94117647058823517</v>
      </c>
      <c r="H237">
        <v>0</v>
      </c>
      <c r="I237">
        <v>0</v>
      </c>
      <c r="J237">
        <v>0.73518893143458319</v>
      </c>
      <c r="K237">
        <v>0</v>
      </c>
      <c r="L237">
        <v>0</v>
      </c>
      <c r="M237">
        <v>0</v>
      </c>
      <c r="N237">
        <v>0</v>
      </c>
      <c r="O237">
        <v>0</v>
      </c>
      <c r="P237">
        <v>0</v>
      </c>
      <c r="Q237">
        <v>0</v>
      </c>
      <c r="R237">
        <v>0</v>
      </c>
      <c r="S237">
        <v>0</v>
      </c>
      <c r="T237">
        <v>0.73518893143458319</v>
      </c>
      <c r="U237">
        <v>0.26481106856541681</v>
      </c>
      <c r="V237">
        <v>0</v>
      </c>
      <c r="W237">
        <v>0</v>
      </c>
      <c r="X237">
        <v>0</v>
      </c>
      <c r="Y237">
        <v>0</v>
      </c>
      <c r="Z237">
        <v>0</v>
      </c>
      <c r="AA237">
        <v>0</v>
      </c>
      <c r="AB237">
        <v>0</v>
      </c>
      <c r="AC237">
        <v>0</v>
      </c>
      <c r="AD237">
        <v>0</v>
      </c>
      <c r="AE237" t="s">
        <v>161</v>
      </c>
      <c r="AF237">
        <v>0</v>
      </c>
      <c r="AG237" t="s">
        <v>231</v>
      </c>
      <c r="AH237">
        <v>46315</v>
      </c>
      <c r="AI237" t="s">
        <v>149</v>
      </c>
    </row>
    <row r="238" spans="1:35" x14ac:dyDescent="0.25">
      <c r="A238" s="1">
        <v>46315</v>
      </c>
      <c r="B238" t="s">
        <v>13</v>
      </c>
      <c r="C238" t="s">
        <v>12</v>
      </c>
      <c r="D238">
        <v>3.3887200615322879</v>
      </c>
      <c r="E238">
        <v>0</v>
      </c>
      <c r="F238">
        <v>0</v>
      </c>
      <c r="G238">
        <v>3.320934256055363</v>
      </c>
      <c r="H238">
        <v>0</v>
      </c>
      <c r="I238">
        <v>0</v>
      </c>
      <c r="J238">
        <v>0.97999663464491837</v>
      </c>
      <c r="K238">
        <v>0</v>
      </c>
      <c r="L238">
        <v>0</v>
      </c>
      <c r="M238">
        <v>0</v>
      </c>
      <c r="N238">
        <v>0</v>
      </c>
      <c r="O238">
        <v>0</v>
      </c>
      <c r="P238">
        <v>0</v>
      </c>
      <c r="Q238">
        <v>0</v>
      </c>
      <c r="R238">
        <v>0</v>
      </c>
      <c r="S238">
        <v>0</v>
      </c>
      <c r="T238">
        <v>0.97999663464491837</v>
      </c>
      <c r="U238">
        <v>2.0003365355081626E-2</v>
      </c>
      <c r="V238">
        <v>0</v>
      </c>
      <c r="W238">
        <v>0</v>
      </c>
      <c r="X238">
        <v>0</v>
      </c>
      <c r="Y238">
        <v>0</v>
      </c>
      <c r="Z238">
        <v>0</v>
      </c>
      <c r="AA238">
        <v>0</v>
      </c>
      <c r="AB238">
        <v>0</v>
      </c>
      <c r="AC238">
        <v>0</v>
      </c>
      <c r="AD238">
        <v>0</v>
      </c>
      <c r="AE238" t="s">
        <v>161</v>
      </c>
      <c r="AF238">
        <v>0</v>
      </c>
      <c r="AG238" t="s">
        <v>232</v>
      </c>
      <c r="AH238">
        <v>46315</v>
      </c>
      <c r="AI238" t="s">
        <v>149</v>
      </c>
    </row>
    <row r="239" spans="1:35" x14ac:dyDescent="0.25">
      <c r="A239" s="1">
        <v>46316</v>
      </c>
      <c r="B239" t="s">
        <v>13</v>
      </c>
      <c r="C239" t="s">
        <v>12</v>
      </c>
      <c r="D239">
        <v>3.3181217269170316</v>
      </c>
      <c r="E239">
        <v>0</v>
      </c>
      <c r="F239">
        <v>0</v>
      </c>
      <c r="G239">
        <v>3.2606689734717413</v>
      </c>
      <c r="H239">
        <v>0</v>
      </c>
      <c r="I239">
        <v>0</v>
      </c>
      <c r="J239">
        <v>0.98268515799790401</v>
      </c>
      <c r="K239">
        <v>0</v>
      </c>
      <c r="L239">
        <v>0</v>
      </c>
      <c r="M239">
        <v>0</v>
      </c>
      <c r="N239">
        <v>0</v>
      </c>
      <c r="O239">
        <v>0</v>
      </c>
      <c r="P239">
        <v>0</v>
      </c>
      <c r="Q239">
        <v>0</v>
      </c>
      <c r="R239">
        <v>0</v>
      </c>
      <c r="S239">
        <v>0</v>
      </c>
      <c r="T239">
        <v>0.98268515799790401</v>
      </c>
      <c r="U239">
        <v>1.7314842002095987E-2</v>
      </c>
      <c r="V239">
        <v>0</v>
      </c>
      <c r="W239">
        <v>0</v>
      </c>
      <c r="X239">
        <v>0</v>
      </c>
      <c r="Y239">
        <v>0</v>
      </c>
      <c r="Z239">
        <v>0</v>
      </c>
      <c r="AA239">
        <v>0</v>
      </c>
      <c r="AB239">
        <v>0</v>
      </c>
      <c r="AC239">
        <v>0</v>
      </c>
      <c r="AD239">
        <v>0</v>
      </c>
      <c r="AE239" t="s">
        <v>161</v>
      </c>
      <c r="AF239">
        <v>0</v>
      </c>
      <c r="AG239" t="s">
        <v>233</v>
      </c>
      <c r="AH239">
        <v>46316</v>
      </c>
      <c r="AI239" t="s">
        <v>149</v>
      </c>
    </row>
    <row r="240" spans="1:35" x14ac:dyDescent="0.25">
      <c r="A240" s="1">
        <v>46316</v>
      </c>
      <c r="B240" t="s">
        <v>13</v>
      </c>
      <c r="C240" t="s">
        <v>11</v>
      </c>
      <c r="D240">
        <v>1.2801831343566421</v>
      </c>
      <c r="E240">
        <v>0</v>
      </c>
      <c r="F240">
        <v>0</v>
      </c>
      <c r="G240">
        <v>0.94117647058823517</v>
      </c>
      <c r="H240">
        <v>0</v>
      </c>
      <c r="I240">
        <v>0</v>
      </c>
      <c r="J240">
        <v>0.73518893143458319</v>
      </c>
      <c r="K240">
        <v>0</v>
      </c>
      <c r="L240">
        <v>0</v>
      </c>
      <c r="M240">
        <v>0</v>
      </c>
      <c r="N240">
        <v>0</v>
      </c>
      <c r="O240">
        <v>0</v>
      </c>
      <c r="P240">
        <v>0</v>
      </c>
      <c r="Q240">
        <v>0</v>
      </c>
      <c r="R240">
        <v>0</v>
      </c>
      <c r="S240">
        <v>0</v>
      </c>
      <c r="T240">
        <v>0.73518893143458319</v>
      </c>
      <c r="U240">
        <v>0.26481106856541681</v>
      </c>
      <c r="V240">
        <v>0</v>
      </c>
      <c r="W240">
        <v>0</v>
      </c>
      <c r="X240">
        <v>0</v>
      </c>
      <c r="Y240">
        <v>0</v>
      </c>
      <c r="Z240">
        <v>0</v>
      </c>
      <c r="AA240">
        <v>0</v>
      </c>
      <c r="AB240">
        <v>0</v>
      </c>
      <c r="AC240">
        <v>0</v>
      </c>
      <c r="AD240">
        <v>0</v>
      </c>
      <c r="AE240" t="s">
        <v>161</v>
      </c>
      <c r="AF240">
        <v>0</v>
      </c>
      <c r="AG240" t="s">
        <v>234</v>
      </c>
      <c r="AH240">
        <v>46316</v>
      </c>
      <c r="AI240" t="s">
        <v>149</v>
      </c>
    </row>
    <row r="241" spans="1:35" x14ac:dyDescent="0.25">
      <c r="A241" s="1">
        <v>46316</v>
      </c>
      <c r="B241" t="s">
        <v>13</v>
      </c>
      <c r="C241" t="s">
        <v>10</v>
      </c>
      <c r="D241">
        <v>5.8508369812393415</v>
      </c>
      <c r="E241">
        <v>0</v>
      </c>
      <c r="F241">
        <v>0</v>
      </c>
      <c r="G241">
        <v>4.2156862745098032</v>
      </c>
      <c r="H241">
        <v>0</v>
      </c>
      <c r="I241">
        <v>0</v>
      </c>
      <c r="J241">
        <v>0.72052704391309563</v>
      </c>
      <c r="K241">
        <v>0</v>
      </c>
      <c r="L241">
        <v>0</v>
      </c>
      <c r="M241">
        <v>0</v>
      </c>
      <c r="N241">
        <v>0</v>
      </c>
      <c r="O241">
        <v>0</v>
      </c>
      <c r="P241">
        <v>0</v>
      </c>
      <c r="Q241">
        <v>0</v>
      </c>
      <c r="R241">
        <v>0</v>
      </c>
      <c r="S241">
        <v>0</v>
      </c>
      <c r="T241">
        <v>0.72052704391309563</v>
      </c>
      <c r="U241">
        <v>0.27947295608690437</v>
      </c>
      <c r="V241">
        <v>0</v>
      </c>
      <c r="W241">
        <v>0</v>
      </c>
      <c r="X241">
        <v>0</v>
      </c>
      <c r="Y241">
        <v>0</v>
      </c>
      <c r="Z241">
        <v>0</v>
      </c>
      <c r="AA241">
        <v>0</v>
      </c>
      <c r="AB241">
        <v>0</v>
      </c>
      <c r="AC241">
        <v>0</v>
      </c>
      <c r="AD241">
        <v>0</v>
      </c>
      <c r="AE241" t="s">
        <v>161</v>
      </c>
      <c r="AF241">
        <v>0</v>
      </c>
      <c r="AG241" t="s">
        <v>235</v>
      </c>
      <c r="AH241">
        <v>46316</v>
      </c>
      <c r="AI241" t="s">
        <v>149</v>
      </c>
    </row>
    <row r="242" spans="1:35" x14ac:dyDescent="0.25">
      <c r="A242" s="1">
        <v>46317</v>
      </c>
      <c r="B242" t="s">
        <v>13</v>
      </c>
      <c r="C242" t="s">
        <v>10</v>
      </c>
      <c r="D242">
        <v>5.7758262507106322</v>
      </c>
      <c r="E242">
        <v>0</v>
      </c>
      <c r="F242">
        <v>0</v>
      </c>
      <c r="G242">
        <v>4.1104779411764714</v>
      </c>
      <c r="H242">
        <v>0</v>
      </c>
      <c r="I242">
        <v>0</v>
      </c>
      <c r="J242">
        <v>0.71166925090081035</v>
      </c>
      <c r="K242">
        <v>0</v>
      </c>
      <c r="L242">
        <v>0</v>
      </c>
      <c r="M242">
        <v>0</v>
      </c>
      <c r="N242">
        <v>0</v>
      </c>
      <c r="O242">
        <v>0</v>
      </c>
      <c r="P242">
        <v>0</v>
      </c>
      <c r="Q242">
        <v>0</v>
      </c>
      <c r="R242">
        <v>0</v>
      </c>
      <c r="S242">
        <v>0</v>
      </c>
      <c r="T242">
        <v>0.71166925090081035</v>
      </c>
      <c r="U242">
        <v>0.28833074909918965</v>
      </c>
      <c r="V242">
        <v>0</v>
      </c>
      <c r="W242">
        <v>0</v>
      </c>
      <c r="X242">
        <v>0</v>
      </c>
      <c r="Y242">
        <v>0</v>
      </c>
      <c r="Z242">
        <v>0</v>
      </c>
      <c r="AA242">
        <v>0</v>
      </c>
      <c r="AB242">
        <v>0</v>
      </c>
      <c r="AC242">
        <v>0</v>
      </c>
      <c r="AD242">
        <v>0</v>
      </c>
      <c r="AE242" t="s">
        <v>161</v>
      </c>
      <c r="AF242">
        <v>0</v>
      </c>
      <c r="AG242" t="s">
        <v>236</v>
      </c>
      <c r="AH242">
        <v>46317</v>
      </c>
      <c r="AI242" t="s">
        <v>149</v>
      </c>
    </row>
    <row r="243" spans="1:35" x14ac:dyDescent="0.25">
      <c r="A243" s="1">
        <v>46317</v>
      </c>
      <c r="B243" t="s">
        <v>13</v>
      </c>
      <c r="C243" t="s">
        <v>11</v>
      </c>
      <c r="D243">
        <v>1.2801831343566421</v>
      </c>
      <c r="E243">
        <v>0</v>
      </c>
      <c r="F243">
        <v>0</v>
      </c>
      <c r="G243">
        <v>0.94117647058823517</v>
      </c>
      <c r="H243">
        <v>0</v>
      </c>
      <c r="I243">
        <v>0</v>
      </c>
      <c r="J243">
        <v>0.73518893143458319</v>
      </c>
      <c r="K243">
        <v>0</v>
      </c>
      <c r="L243">
        <v>0</v>
      </c>
      <c r="M243">
        <v>0</v>
      </c>
      <c r="N243">
        <v>0</v>
      </c>
      <c r="O243">
        <v>0</v>
      </c>
      <c r="P243">
        <v>0</v>
      </c>
      <c r="Q243">
        <v>0</v>
      </c>
      <c r="R243">
        <v>0</v>
      </c>
      <c r="S243">
        <v>0</v>
      </c>
      <c r="T243">
        <v>0.73518893143458319</v>
      </c>
      <c r="U243">
        <v>0.26481106856541681</v>
      </c>
      <c r="V243">
        <v>0</v>
      </c>
      <c r="W243">
        <v>0</v>
      </c>
      <c r="X243">
        <v>0</v>
      </c>
      <c r="Y243">
        <v>0</v>
      </c>
      <c r="Z243">
        <v>0</v>
      </c>
      <c r="AA243">
        <v>0</v>
      </c>
      <c r="AB243">
        <v>0</v>
      </c>
      <c r="AC243">
        <v>0</v>
      </c>
      <c r="AD243">
        <v>0</v>
      </c>
      <c r="AE243" t="s">
        <v>161</v>
      </c>
      <c r="AF243">
        <v>0</v>
      </c>
      <c r="AG243" t="s">
        <v>237</v>
      </c>
      <c r="AH243">
        <v>46317</v>
      </c>
      <c r="AI243" t="s">
        <v>149</v>
      </c>
    </row>
    <row r="244" spans="1:35" x14ac:dyDescent="0.25">
      <c r="A244" s="1">
        <v>46317</v>
      </c>
      <c r="B244" t="s">
        <v>13</v>
      </c>
      <c r="C244" t="s">
        <v>12</v>
      </c>
      <c r="D244">
        <v>3.3887200615322879</v>
      </c>
      <c r="E244">
        <v>0</v>
      </c>
      <c r="F244">
        <v>0</v>
      </c>
      <c r="G244">
        <v>3.5949826989619367</v>
      </c>
      <c r="H244">
        <v>0</v>
      </c>
      <c r="I244">
        <v>0</v>
      </c>
      <c r="J244">
        <v>1.0608674171027224</v>
      </c>
      <c r="K244">
        <v>6.0867417102722365E-2</v>
      </c>
      <c r="L244">
        <v>0</v>
      </c>
      <c r="M244">
        <v>0</v>
      </c>
      <c r="N244">
        <v>0</v>
      </c>
      <c r="O244">
        <v>0</v>
      </c>
      <c r="P244">
        <v>0</v>
      </c>
      <c r="Q244">
        <v>0</v>
      </c>
      <c r="R244">
        <v>0</v>
      </c>
      <c r="S244">
        <v>0</v>
      </c>
      <c r="T244">
        <v>0</v>
      </c>
      <c r="U244">
        <v>0</v>
      </c>
      <c r="V244">
        <v>0</v>
      </c>
      <c r="W244">
        <v>0</v>
      </c>
      <c r="X244">
        <v>0</v>
      </c>
      <c r="Y244">
        <v>0</v>
      </c>
      <c r="Z244">
        <v>0</v>
      </c>
      <c r="AA244">
        <v>0</v>
      </c>
      <c r="AB244">
        <v>0</v>
      </c>
      <c r="AC244">
        <v>1</v>
      </c>
      <c r="AD244">
        <v>0</v>
      </c>
      <c r="AE244" t="s">
        <v>161</v>
      </c>
      <c r="AF244">
        <v>0</v>
      </c>
      <c r="AG244" t="s">
        <v>238</v>
      </c>
      <c r="AH244">
        <v>46317</v>
      </c>
      <c r="AI244" t="s">
        <v>149</v>
      </c>
    </row>
    <row r="245" spans="1:35" x14ac:dyDescent="0.25">
      <c r="A245" s="1">
        <v>46318</v>
      </c>
      <c r="B245" t="s">
        <v>13</v>
      </c>
      <c r="C245" t="s">
        <v>10</v>
      </c>
      <c r="D245">
        <v>4.5756545622512785</v>
      </c>
      <c r="E245">
        <v>0</v>
      </c>
      <c r="F245">
        <v>0</v>
      </c>
      <c r="G245">
        <v>3.1104779411764705</v>
      </c>
      <c r="H245">
        <v>0</v>
      </c>
      <c r="I245">
        <v>0</v>
      </c>
      <c r="J245">
        <v>0.67978862889642544</v>
      </c>
      <c r="K245">
        <v>0</v>
      </c>
      <c r="L245">
        <v>0</v>
      </c>
      <c r="M245">
        <v>0</v>
      </c>
      <c r="N245">
        <v>0</v>
      </c>
      <c r="O245">
        <v>0</v>
      </c>
      <c r="P245">
        <v>0</v>
      </c>
      <c r="Q245">
        <v>0</v>
      </c>
      <c r="R245">
        <v>0</v>
      </c>
      <c r="S245">
        <v>0</v>
      </c>
      <c r="T245">
        <v>0.67978862889642544</v>
      </c>
      <c r="U245">
        <v>0.32021137110357456</v>
      </c>
      <c r="V245">
        <v>0</v>
      </c>
      <c r="W245">
        <v>0</v>
      </c>
      <c r="X245">
        <v>0</v>
      </c>
      <c r="Y245">
        <v>0</v>
      </c>
      <c r="Z245">
        <v>0</v>
      </c>
      <c r="AA245">
        <v>0</v>
      </c>
      <c r="AB245">
        <v>0</v>
      </c>
      <c r="AC245">
        <v>0</v>
      </c>
      <c r="AD245">
        <v>0</v>
      </c>
      <c r="AE245" t="s">
        <v>161</v>
      </c>
      <c r="AF245">
        <v>0</v>
      </c>
      <c r="AG245" t="s">
        <v>239</v>
      </c>
      <c r="AH245">
        <v>46318</v>
      </c>
      <c r="AI245" t="s">
        <v>149</v>
      </c>
    </row>
    <row r="246" spans="1:35" x14ac:dyDescent="0.25">
      <c r="A246" s="1">
        <v>46318</v>
      </c>
      <c r="B246" t="s">
        <v>13</v>
      </c>
      <c r="C246" t="s">
        <v>11</v>
      </c>
      <c r="D246">
        <v>1.2801831343566421</v>
      </c>
      <c r="E246">
        <v>0</v>
      </c>
      <c r="F246">
        <v>0</v>
      </c>
      <c r="G246">
        <v>0.94117647058823517</v>
      </c>
      <c r="H246">
        <v>0</v>
      </c>
      <c r="I246">
        <v>0</v>
      </c>
      <c r="J246">
        <v>0.73518893143458319</v>
      </c>
      <c r="K246">
        <v>0</v>
      </c>
      <c r="L246">
        <v>0</v>
      </c>
      <c r="M246">
        <v>0</v>
      </c>
      <c r="N246">
        <v>0</v>
      </c>
      <c r="O246">
        <v>0</v>
      </c>
      <c r="P246">
        <v>0</v>
      </c>
      <c r="Q246">
        <v>0</v>
      </c>
      <c r="R246">
        <v>0</v>
      </c>
      <c r="S246">
        <v>0</v>
      </c>
      <c r="T246">
        <v>0.73518893143458319</v>
      </c>
      <c r="U246">
        <v>0.26481106856541681</v>
      </c>
      <c r="V246">
        <v>0</v>
      </c>
      <c r="W246">
        <v>0</v>
      </c>
      <c r="X246">
        <v>0</v>
      </c>
      <c r="Y246">
        <v>0</v>
      </c>
      <c r="Z246">
        <v>0</v>
      </c>
      <c r="AA246">
        <v>0</v>
      </c>
      <c r="AB246">
        <v>0</v>
      </c>
      <c r="AC246">
        <v>0</v>
      </c>
      <c r="AD246">
        <v>0</v>
      </c>
      <c r="AE246" t="s">
        <v>161</v>
      </c>
      <c r="AF246">
        <v>0</v>
      </c>
      <c r="AG246" t="s">
        <v>240</v>
      </c>
      <c r="AH246">
        <v>46318</v>
      </c>
      <c r="AI246" t="s">
        <v>149</v>
      </c>
    </row>
    <row r="247" spans="1:35" x14ac:dyDescent="0.25">
      <c r="A247" s="1">
        <v>46318</v>
      </c>
      <c r="B247" t="s">
        <v>13</v>
      </c>
      <c r="C247" t="s">
        <v>12</v>
      </c>
      <c r="D247">
        <v>2.2591467076881915</v>
      </c>
      <c r="E247">
        <v>0</v>
      </c>
      <c r="F247">
        <v>0</v>
      </c>
      <c r="G247">
        <v>2.6538062283737021</v>
      </c>
      <c r="H247">
        <v>0</v>
      </c>
      <c r="I247">
        <v>0</v>
      </c>
      <c r="J247">
        <v>1.1746940645078203</v>
      </c>
      <c r="K247">
        <v>0.17469406450782032</v>
      </c>
      <c r="L247">
        <v>0</v>
      </c>
      <c r="M247">
        <v>0</v>
      </c>
      <c r="N247">
        <v>0</v>
      </c>
      <c r="O247">
        <v>0</v>
      </c>
      <c r="P247">
        <v>0</v>
      </c>
      <c r="Q247">
        <v>0</v>
      </c>
      <c r="R247">
        <v>0</v>
      </c>
      <c r="S247">
        <v>0</v>
      </c>
      <c r="T247">
        <v>0</v>
      </c>
      <c r="U247">
        <v>0</v>
      </c>
      <c r="V247">
        <v>0</v>
      </c>
      <c r="W247">
        <v>0</v>
      </c>
      <c r="X247">
        <v>0</v>
      </c>
      <c r="Y247">
        <v>0</v>
      </c>
      <c r="Z247">
        <v>0</v>
      </c>
      <c r="AA247">
        <v>0</v>
      </c>
      <c r="AB247">
        <v>0</v>
      </c>
      <c r="AC247">
        <v>1</v>
      </c>
      <c r="AD247">
        <v>0</v>
      </c>
      <c r="AE247" t="s">
        <v>161</v>
      </c>
      <c r="AF247">
        <v>0</v>
      </c>
      <c r="AG247" t="s">
        <v>241</v>
      </c>
      <c r="AH247">
        <v>46318</v>
      </c>
      <c r="AI247" t="s">
        <v>149</v>
      </c>
    </row>
    <row r="248" spans="1:35" x14ac:dyDescent="0.25">
      <c r="A248" s="1">
        <v>46319</v>
      </c>
      <c r="B248" t="s">
        <v>13</v>
      </c>
      <c r="C248" t="s">
        <v>12</v>
      </c>
      <c r="D248">
        <v>2.2591467076881915</v>
      </c>
      <c r="E248">
        <v>0</v>
      </c>
      <c r="F248">
        <v>0</v>
      </c>
      <c r="G248">
        <v>2.1591695501730106</v>
      </c>
      <c r="H248">
        <v>0</v>
      </c>
      <c r="I248">
        <v>0</v>
      </c>
      <c r="J248">
        <v>0.95574561086495857</v>
      </c>
      <c r="K248">
        <v>0</v>
      </c>
      <c r="L248">
        <v>0</v>
      </c>
      <c r="M248">
        <v>0</v>
      </c>
      <c r="N248">
        <v>0</v>
      </c>
      <c r="O248">
        <v>0</v>
      </c>
      <c r="P248">
        <v>0</v>
      </c>
      <c r="Q248">
        <v>0</v>
      </c>
      <c r="R248">
        <v>0</v>
      </c>
      <c r="S248">
        <v>0</v>
      </c>
      <c r="T248">
        <v>0.95574561086495857</v>
      </c>
      <c r="U248">
        <v>4.4254389135041428E-2</v>
      </c>
      <c r="V248">
        <v>0</v>
      </c>
      <c r="W248">
        <v>0</v>
      </c>
      <c r="X248">
        <v>0</v>
      </c>
      <c r="Y248">
        <v>0</v>
      </c>
      <c r="Z248">
        <v>0</v>
      </c>
      <c r="AA248">
        <v>0</v>
      </c>
      <c r="AB248">
        <v>0</v>
      </c>
      <c r="AC248">
        <v>0</v>
      </c>
      <c r="AD248">
        <v>0</v>
      </c>
      <c r="AE248" t="s">
        <v>161</v>
      </c>
      <c r="AF248">
        <v>0</v>
      </c>
      <c r="AG248" t="s">
        <v>242</v>
      </c>
      <c r="AH248">
        <v>46319</v>
      </c>
      <c r="AI248" t="s">
        <v>149</v>
      </c>
    </row>
    <row r="249" spans="1:35" x14ac:dyDescent="0.25">
      <c r="A249" s="1">
        <v>46319</v>
      </c>
      <c r="B249" t="s">
        <v>13</v>
      </c>
      <c r="C249" t="s">
        <v>10</v>
      </c>
      <c r="D249">
        <v>4.2006009096077328</v>
      </c>
      <c r="E249">
        <v>0</v>
      </c>
      <c r="F249">
        <v>0</v>
      </c>
      <c r="G249">
        <v>3.8235294117647065</v>
      </c>
      <c r="H249">
        <v>0</v>
      </c>
      <c r="I249">
        <v>0</v>
      </c>
      <c r="J249">
        <v>0.91023391510948404</v>
      </c>
      <c r="K249">
        <v>0</v>
      </c>
      <c r="L249">
        <v>0</v>
      </c>
      <c r="M249">
        <v>0</v>
      </c>
      <c r="N249">
        <v>0</v>
      </c>
      <c r="O249">
        <v>0</v>
      </c>
      <c r="P249">
        <v>0</v>
      </c>
      <c r="Q249">
        <v>0</v>
      </c>
      <c r="R249">
        <v>0</v>
      </c>
      <c r="S249">
        <v>0</v>
      </c>
      <c r="T249">
        <v>0.91023391510948404</v>
      </c>
      <c r="U249">
        <v>8.9766084890515963E-2</v>
      </c>
      <c r="V249">
        <v>0</v>
      </c>
      <c r="W249">
        <v>0</v>
      </c>
      <c r="X249">
        <v>0</v>
      </c>
      <c r="Y249">
        <v>0</v>
      </c>
      <c r="Z249">
        <v>0</v>
      </c>
      <c r="AA249">
        <v>0</v>
      </c>
      <c r="AB249">
        <v>0</v>
      </c>
      <c r="AC249">
        <v>0</v>
      </c>
      <c r="AD249">
        <v>0</v>
      </c>
      <c r="AE249" t="s">
        <v>161</v>
      </c>
      <c r="AF249">
        <v>0</v>
      </c>
      <c r="AG249" t="s">
        <v>244</v>
      </c>
      <c r="AH249">
        <v>46319</v>
      </c>
      <c r="AI249" t="s">
        <v>149</v>
      </c>
    </row>
    <row r="250" spans="1:35" x14ac:dyDescent="0.25">
      <c r="A250" s="1">
        <v>46319</v>
      </c>
      <c r="B250" t="s">
        <v>13</v>
      </c>
      <c r="C250" t="s">
        <v>11</v>
      </c>
      <c r="D250">
        <v>1.2801831343566421</v>
      </c>
      <c r="E250">
        <v>0</v>
      </c>
      <c r="F250">
        <v>0</v>
      </c>
      <c r="G250">
        <v>0.94117647058823517</v>
      </c>
      <c r="H250">
        <v>0</v>
      </c>
      <c r="I250">
        <v>0</v>
      </c>
      <c r="J250">
        <v>0.73518893143458319</v>
      </c>
      <c r="K250">
        <v>0</v>
      </c>
      <c r="L250">
        <v>0</v>
      </c>
      <c r="M250">
        <v>0</v>
      </c>
      <c r="N250">
        <v>0</v>
      </c>
      <c r="O250">
        <v>0</v>
      </c>
      <c r="P250">
        <v>0</v>
      </c>
      <c r="Q250">
        <v>0</v>
      </c>
      <c r="R250">
        <v>0</v>
      </c>
      <c r="S250">
        <v>0</v>
      </c>
      <c r="T250">
        <v>0.73518893143458319</v>
      </c>
      <c r="U250">
        <v>0.26481106856541681</v>
      </c>
      <c r="V250">
        <v>0</v>
      </c>
      <c r="W250">
        <v>0</v>
      </c>
      <c r="X250">
        <v>0</v>
      </c>
      <c r="Y250">
        <v>0</v>
      </c>
      <c r="Z250">
        <v>0</v>
      </c>
      <c r="AA250">
        <v>0</v>
      </c>
      <c r="AB250">
        <v>0</v>
      </c>
      <c r="AC250">
        <v>0</v>
      </c>
      <c r="AD250">
        <v>0</v>
      </c>
      <c r="AE250" t="s">
        <v>161</v>
      </c>
      <c r="AF250">
        <v>0</v>
      </c>
      <c r="AG250" t="s">
        <v>243</v>
      </c>
      <c r="AH250">
        <v>46319</v>
      </c>
      <c r="AI250" t="s">
        <v>149</v>
      </c>
    </row>
    <row r="251" spans="1:35" x14ac:dyDescent="0.25">
      <c r="A251" s="1">
        <v>46320</v>
      </c>
      <c r="B251" t="s">
        <v>13</v>
      </c>
      <c r="C251" t="s">
        <v>11</v>
      </c>
      <c r="D251">
        <v>1.2801831343566421</v>
      </c>
      <c r="E251">
        <v>0</v>
      </c>
      <c r="F251">
        <v>0</v>
      </c>
      <c r="G251">
        <v>0.94117647058823517</v>
      </c>
      <c r="H251">
        <v>0</v>
      </c>
      <c r="I251">
        <v>0</v>
      </c>
      <c r="J251">
        <v>0.73518893143458319</v>
      </c>
      <c r="K251">
        <v>0</v>
      </c>
      <c r="L251">
        <v>0</v>
      </c>
      <c r="M251">
        <v>0</v>
      </c>
      <c r="N251">
        <v>0</v>
      </c>
      <c r="O251">
        <v>0</v>
      </c>
      <c r="P251">
        <v>0</v>
      </c>
      <c r="Q251">
        <v>0</v>
      </c>
      <c r="R251">
        <v>0</v>
      </c>
      <c r="S251">
        <v>0</v>
      </c>
      <c r="T251">
        <v>0.73518893143458319</v>
      </c>
      <c r="U251">
        <v>0.26481106856541681</v>
      </c>
      <c r="V251">
        <v>0</v>
      </c>
      <c r="W251">
        <v>0</v>
      </c>
      <c r="X251">
        <v>0</v>
      </c>
      <c r="Y251">
        <v>0</v>
      </c>
      <c r="Z251">
        <v>0</v>
      </c>
      <c r="AA251">
        <v>0</v>
      </c>
      <c r="AB251">
        <v>0</v>
      </c>
      <c r="AC251">
        <v>0</v>
      </c>
      <c r="AD251">
        <v>0</v>
      </c>
      <c r="AE251" t="s">
        <v>161</v>
      </c>
      <c r="AF251">
        <v>0</v>
      </c>
      <c r="AG251" t="s">
        <v>247</v>
      </c>
      <c r="AH251">
        <v>46320</v>
      </c>
      <c r="AI251" t="s">
        <v>149</v>
      </c>
    </row>
    <row r="252" spans="1:35" x14ac:dyDescent="0.25">
      <c r="A252" s="1">
        <v>46320</v>
      </c>
      <c r="B252" t="s">
        <v>13</v>
      </c>
      <c r="C252" t="s">
        <v>12</v>
      </c>
      <c r="D252">
        <v>2.2591467076881915</v>
      </c>
      <c r="E252">
        <v>0</v>
      </c>
      <c r="F252">
        <v>0</v>
      </c>
      <c r="G252">
        <v>2.0484429065743952</v>
      </c>
      <c r="H252">
        <v>0</v>
      </c>
      <c r="I252">
        <v>0</v>
      </c>
      <c r="J252">
        <v>0.90673301543598661</v>
      </c>
      <c r="K252">
        <v>0</v>
      </c>
      <c r="L252">
        <v>0</v>
      </c>
      <c r="M252">
        <v>0</v>
      </c>
      <c r="N252">
        <v>0</v>
      </c>
      <c r="O252">
        <v>0</v>
      </c>
      <c r="P252">
        <v>0</v>
      </c>
      <c r="Q252">
        <v>0</v>
      </c>
      <c r="R252">
        <v>0</v>
      </c>
      <c r="S252">
        <v>0</v>
      </c>
      <c r="T252">
        <v>0.90673301543598661</v>
      </c>
      <c r="U252">
        <v>9.3266984564013389E-2</v>
      </c>
      <c r="V252">
        <v>0</v>
      </c>
      <c r="W252">
        <v>0</v>
      </c>
      <c r="X252">
        <v>0</v>
      </c>
      <c r="Y252">
        <v>0</v>
      </c>
      <c r="Z252">
        <v>0</v>
      </c>
      <c r="AA252">
        <v>0</v>
      </c>
      <c r="AB252">
        <v>0</v>
      </c>
      <c r="AC252">
        <v>0</v>
      </c>
      <c r="AD252">
        <v>0</v>
      </c>
      <c r="AE252" t="s">
        <v>161</v>
      </c>
      <c r="AF252">
        <v>0</v>
      </c>
      <c r="AG252" t="s">
        <v>245</v>
      </c>
      <c r="AH252">
        <v>46320</v>
      </c>
      <c r="AI252" t="s">
        <v>149</v>
      </c>
    </row>
    <row r="253" spans="1:35" x14ac:dyDescent="0.25">
      <c r="A253" s="1">
        <v>46320</v>
      </c>
      <c r="B253" t="s">
        <v>13</v>
      </c>
      <c r="C253" t="s">
        <v>10</v>
      </c>
      <c r="D253">
        <v>2.4003433769187037</v>
      </c>
      <c r="E253">
        <v>0</v>
      </c>
      <c r="F253">
        <v>0</v>
      </c>
      <c r="G253">
        <v>2.9411764705882346</v>
      </c>
      <c r="H253">
        <v>0</v>
      </c>
      <c r="I253">
        <v>0</v>
      </c>
      <c r="J253">
        <v>1.2253148857243052</v>
      </c>
      <c r="K253">
        <v>0.22531488572430525</v>
      </c>
      <c r="L253">
        <v>0</v>
      </c>
      <c r="M253">
        <v>0</v>
      </c>
      <c r="N253">
        <v>0</v>
      </c>
      <c r="O253">
        <v>0</v>
      </c>
      <c r="P253">
        <v>0</v>
      </c>
      <c r="Q253">
        <v>0</v>
      </c>
      <c r="R253">
        <v>0</v>
      </c>
      <c r="S253">
        <v>0</v>
      </c>
      <c r="T253">
        <v>0</v>
      </c>
      <c r="U253">
        <v>0</v>
      </c>
      <c r="V253">
        <v>0</v>
      </c>
      <c r="W253">
        <v>0</v>
      </c>
      <c r="X253">
        <v>0</v>
      </c>
      <c r="Y253">
        <v>0</v>
      </c>
      <c r="Z253">
        <v>0</v>
      </c>
      <c r="AA253">
        <v>0</v>
      </c>
      <c r="AB253">
        <v>0</v>
      </c>
      <c r="AC253">
        <v>1</v>
      </c>
      <c r="AD253">
        <v>0</v>
      </c>
      <c r="AE253" t="s">
        <v>161</v>
      </c>
      <c r="AF253">
        <v>0</v>
      </c>
      <c r="AG253" t="s">
        <v>246</v>
      </c>
      <c r="AH253">
        <v>46320</v>
      </c>
      <c r="AI253" t="s">
        <v>149</v>
      </c>
    </row>
    <row r="254" spans="1:35" x14ac:dyDescent="0.25">
      <c r="A254" s="1">
        <v>46293</v>
      </c>
      <c r="B254" t="s">
        <v>148</v>
      </c>
      <c r="C254" t="s">
        <v>12</v>
      </c>
      <c r="D254">
        <v>8.177446981285291</v>
      </c>
      <c r="E254">
        <v>0</v>
      </c>
      <c r="F254">
        <v>0</v>
      </c>
      <c r="G254">
        <v>10.738595281862748</v>
      </c>
      <c r="H254">
        <v>0</v>
      </c>
      <c r="I254">
        <v>0</v>
      </c>
      <c r="J254">
        <v>1.3131965644581787</v>
      </c>
      <c r="K254">
        <v>0.31319656445817867</v>
      </c>
      <c r="L254">
        <v>0</v>
      </c>
      <c r="M254">
        <v>0</v>
      </c>
      <c r="N254">
        <v>0</v>
      </c>
      <c r="O254">
        <v>0</v>
      </c>
      <c r="P254">
        <v>0</v>
      </c>
      <c r="Q254">
        <v>0</v>
      </c>
      <c r="R254">
        <v>0</v>
      </c>
      <c r="S254">
        <v>0</v>
      </c>
      <c r="T254">
        <v>0</v>
      </c>
      <c r="U254">
        <v>0</v>
      </c>
      <c r="V254">
        <v>0</v>
      </c>
      <c r="W254">
        <v>0</v>
      </c>
      <c r="X254">
        <v>0</v>
      </c>
      <c r="Y254">
        <v>0</v>
      </c>
      <c r="Z254">
        <v>0</v>
      </c>
      <c r="AA254">
        <v>0</v>
      </c>
      <c r="AB254">
        <v>0</v>
      </c>
      <c r="AC254">
        <v>1</v>
      </c>
      <c r="AD254">
        <v>0</v>
      </c>
      <c r="AE254" t="s">
        <v>162</v>
      </c>
      <c r="AF254">
        <v>0</v>
      </c>
      <c r="AG254" t="s">
        <v>164</v>
      </c>
      <c r="AH254">
        <v>46293</v>
      </c>
      <c r="AI254" t="s">
        <v>149</v>
      </c>
    </row>
    <row r="255" spans="1:35" x14ac:dyDescent="0.25">
      <c r="A255" s="1">
        <v>46293</v>
      </c>
      <c r="B255" t="s">
        <v>148</v>
      </c>
      <c r="C255" t="s">
        <v>11</v>
      </c>
      <c r="D255">
        <v>4.4391855041263009</v>
      </c>
      <c r="E255">
        <v>0</v>
      </c>
      <c r="F255">
        <v>0</v>
      </c>
      <c r="G255">
        <v>3.9564874387254898</v>
      </c>
      <c r="H255">
        <v>0</v>
      </c>
      <c r="I255">
        <v>0</v>
      </c>
      <c r="J255">
        <v>0.89126427247698148</v>
      </c>
      <c r="K255">
        <v>0</v>
      </c>
      <c r="L255">
        <v>0</v>
      </c>
      <c r="M255">
        <v>0</v>
      </c>
      <c r="N255">
        <v>0</v>
      </c>
      <c r="O255">
        <v>0</v>
      </c>
      <c r="P255">
        <v>0</v>
      </c>
      <c r="Q255">
        <v>0</v>
      </c>
      <c r="R255">
        <v>0</v>
      </c>
      <c r="S255">
        <v>0</v>
      </c>
      <c r="T255">
        <v>0.89126427247698148</v>
      </c>
      <c r="U255">
        <v>0.10873572752301852</v>
      </c>
      <c r="V255">
        <v>0</v>
      </c>
      <c r="W255">
        <v>0</v>
      </c>
      <c r="X255">
        <v>0</v>
      </c>
      <c r="Y255">
        <v>0</v>
      </c>
      <c r="Z255">
        <v>0</v>
      </c>
      <c r="AA255">
        <v>0</v>
      </c>
      <c r="AB255">
        <v>0</v>
      </c>
      <c r="AC255">
        <v>0</v>
      </c>
      <c r="AD255">
        <v>0</v>
      </c>
      <c r="AE255" t="s">
        <v>162</v>
      </c>
      <c r="AF255">
        <v>0</v>
      </c>
      <c r="AG255" t="s">
        <v>165</v>
      </c>
      <c r="AH255">
        <v>46293</v>
      </c>
      <c r="AI255" t="s">
        <v>149</v>
      </c>
    </row>
    <row r="256" spans="1:35" x14ac:dyDescent="0.25">
      <c r="A256" s="1">
        <v>46293</v>
      </c>
      <c r="B256" t="s">
        <v>148</v>
      </c>
      <c r="C256" t="s">
        <v>10</v>
      </c>
      <c r="D256">
        <v>10.864322417993314</v>
      </c>
      <c r="E256">
        <v>0</v>
      </c>
      <c r="F256">
        <v>0</v>
      </c>
      <c r="G256">
        <v>10.460968137254904</v>
      </c>
      <c r="H256">
        <v>0</v>
      </c>
      <c r="I256">
        <v>0</v>
      </c>
      <c r="J256">
        <v>0.9628734986665729</v>
      </c>
      <c r="K256">
        <v>0</v>
      </c>
      <c r="L256">
        <v>0</v>
      </c>
      <c r="M256">
        <v>0</v>
      </c>
      <c r="N256">
        <v>0</v>
      </c>
      <c r="O256">
        <v>0</v>
      </c>
      <c r="P256">
        <v>0</v>
      </c>
      <c r="Q256">
        <v>0</v>
      </c>
      <c r="R256">
        <v>0</v>
      </c>
      <c r="S256">
        <v>0</v>
      </c>
      <c r="T256">
        <v>0.9628734986665729</v>
      </c>
      <c r="U256">
        <v>3.7126501333427098E-2</v>
      </c>
      <c r="V256">
        <v>0</v>
      </c>
      <c r="W256">
        <v>0</v>
      </c>
      <c r="X256">
        <v>0</v>
      </c>
      <c r="Y256">
        <v>0</v>
      </c>
      <c r="Z256">
        <v>0</v>
      </c>
      <c r="AA256">
        <v>0</v>
      </c>
      <c r="AB256">
        <v>0</v>
      </c>
      <c r="AC256">
        <v>0</v>
      </c>
      <c r="AD256">
        <v>0</v>
      </c>
      <c r="AE256" t="s">
        <v>162</v>
      </c>
      <c r="AF256">
        <v>0</v>
      </c>
      <c r="AG256" t="s">
        <v>166</v>
      </c>
      <c r="AH256">
        <v>46293</v>
      </c>
      <c r="AI256" t="s">
        <v>149</v>
      </c>
    </row>
    <row r="257" spans="1:35" x14ac:dyDescent="0.25">
      <c r="A257" s="1">
        <v>46294</v>
      </c>
      <c r="B257" t="s">
        <v>148</v>
      </c>
      <c r="C257" t="s">
        <v>10</v>
      </c>
      <c r="D257">
        <v>10.864322417993314</v>
      </c>
      <c r="E257">
        <v>0</v>
      </c>
      <c r="F257">
        <v>0</v>
      </c>
      <c r="G257">
        <v>12.562270220588236</v>
      </c>
      <c r="H257">
        <v>0</v>
      </c>
      <c r="I257">
        <v>0</v>
      </c>
      <c r="J257">
        <v>1.1562865807243357</v>
      </c>
      <c r="K257">
        <v>0.15628658072433566</v>
      </c>
      <c r="L257">
        <v>0</v>
      </c>
      <c r="M257">
        <v>0</v>
      </c>
      <c r="N257">
        <v>0</v>
      </c>
      <c r="O257">
        <v>0</v>
      </c>
      <c r="P257">
        <v>0</v>
      </c>
      <c r="Q257">
        <v>0</v>
      </c>
      <c r="R257">
        <v>0</v>
      </c>
      <c r="S257">
        <v>0</v>
      </c>
      <c r="T257">
        <v>0</v>
      </c>
      <c r="U257">
        <v>0</v>
      </c>
      <c r="V257">
        <v>0</v>
      </c>
      <c r="W257">
        <v>0</v>
      </c>
      <c r="X257">
        <v>0</v>
      </c>
      <c r="Y257">
        <v>0</v>
      </c>
      <c r="Z257">
        <v>0</v>
      </c>
      <c r="AA257">
        <v>0</v>
      </c>
      <c r="AB257">
        <v>0</v>
      </c>
      <c r="AC257">
        <v>1</v>
      </c>
      <c r="AD257">
        <v>0</v>
      </c>
      <c r="AE257" t="s">
        <v>162</v>
      </c>
      <c r="AF257">
        <v>0</v>
      </c>
      <c r="AG257" t="s">
        <v>167</v>
      </c>
      <c r="AH257">
        <v>46294</v>
      </c>
      <c r="AI257" t="s">
        <v>149</v>
      </c>
    </row>
    <row r="258" spans="1:35" x14ac:dyDescent="0.25">
      <c r="A258" s="1">
        <v>46294</v>
      </c>
      <c r="B258" t="s">
        <v>148</v>
      </c>
      <c r="C258" t="s">
        <v>12</v>
      </c>
      <c r="D258">
        <v>8.1190366457046821</v>
      </c>
      <c r="E258">
        <v>0</v>
      </c>
      <c r="F258">
        <v>0</v>
      </c>
      <c r="G258">
        <v>10.856242340686276</v>
      </c>
      <c r="H258">
        <v>0</v>
      </c>
      <c r="I258">
        <v>0</v>
      </c>
      <c r="J258">
        <v>1.3371342949202838</v>
      </c>
      <c r="K258">
        <v>0.33713429492028379</v>
      </c>
      <c r="L258">
        <v>0</v>
      </c>
      <c r="M258">
        <v>0</v>
      </c>
      <c r="N258">
        <v>0</v>
      </c>
      <c r="O258">
        <v>0</v>
      </c>
      <c r="P258">
        <v>0</v>
      </c>
      <c r="Q258">
        <v>0</v>
      </c>
      <c r="R258">
        <v>0</v>
      </c>
      <c r="S258">
        <v>0</v>
      </c>
      <c r="T258">
        <v>0</v>
      </c>
      <c r="U258">
        <v>0</v>
      </c>
      <c r="V258">
        <v>0</v>
      </c>
      <c r="W258">
        <v>0</v>
      </c>
      <c r="X258">
        <v>0</v>
      </c>
      <c r="Y258">
        <v>0</v>
      </c>
      <c r="Z258">
        <v>0</v>
      </c>
      <c r="AA258">
        <v>0</v>
      </c>
      <c r="AB258">
        <v>0</v>
      </c>
      <c r="AC258">
        <v>1</v>
      </c>
      <c r="AD258">
        <v>0</v>
      </c>
      <c r="AE258" t="s">
        <v>162</v>
      </c>
      <c r="AF258">
        <v>0</v>
      </c>
      <c r="AG258" t="s">
        <v>169</v>
      </c>
      <c r="AH258">
        <v>46294</v>
      </c>
      <c r="AI258" t="s">
        <v>149</v>
      </c>
    </row>
    <row r="259" spans="1:35" x14ac:dyDescent="0.25">
      <c r="A259" s="1">
        <v>46294</v>
      </c>
      <c r="B259" t="s">
        <v>148</v>
      </c>
      <c r="C259" t="s">
        <v>11</v>
      </c>
      <c r="D259">
        <v>4.4391855041263009</v>
      </c>
      <c r="E259">
        <v>0</v>
      </c>
      <c r="F259">
        <v>0</v>
      </c>
      <c r="G259">
        <v>3.9564874387254898</v>
      </c>
      <c r="H259">
        <v>0</v>
      </c>
      <c r="I259">
        <v>0</v>
      </c>
      <c r="J259">
        <v>0.89126427247698148</v>
      </c>
      <c r="K259">
        <v>0</v>
      </c>
      <c r="L259">
        <v>0</v>
      </c>
      <c r="M259">
        <v>0</v>
      </c>
      <c r="N259">
        <v>0</v>
      </c>
      <c r="O259">
        <v>0</v>
      </c>
      <c r="P259">
        <v>0</v>
      </c>
      <c r="Q259">
        <v>0</v>
      </c>
      <c r="R259">
        <v>0</v>
      </c>
      <c r="S259">
        <v>0</v>
      </c>
      <c r="T259">
        <v>0.89126427247698148</v>
      </c>
      <c r="U259">
        <v>0.10873572752301852</v>
      </c>
      <c r="V259">
        <v>0</v>
      </c>
      <c r="W259">
        <v>0</v>
      </c>
      <c r="X259">
        <v>0</v>
      </c>
      <c r="Y259">
        <v>0</v>
      </c>
      <c r="Z259">
        <v>0</v>
      </c>
      <c r="AA259">
        <v>0</v>
      </c>
      <c r="AB259">
        <v>0</v>
      </c>
      <c r="AC259">
        <v>0</v>
      </c>
      <c r="AD259">
        <v>0</v>
      </c>
      <c r="AE259" t="s">
        <v>162</v>
      </c>
      <c r="AF259">
        <v>0</v>
      </c>
      <c r="AG259" t="s">
        <v>168</v>
      </c>
      <c r="AH259">
        <v>46294</v>
      </c>
      <c r="AI259" t="s">
        <v>149</v>
      </c>
    </row>
    <row r="260" spans="1:35" x14ac:dyDescent="0.25">
      <c r="A260" s="1">
        <v>46295</v>
      </c>
      <c r="B260" t="s">
        <v>148</v>
      </c>
      <c r="C260" t="s">
        <v>10</v>
      </c>
      <c r="D260">
        <v>9.9297570487035678</v>
      </c>
      <c r="E260">
        <v>0</v>
      </c>
      <c r="F260">
        <v>0</v>
      </c>
      <c r="G260">
        <v>11.617876838235295</v>
      </c>
      <c r="H260">
        <v>0</v>
      </c>
      <c r="I260">
        <v>0</v>
      </c>
      <c r="J260">
        <v>1.1700061523410714</v>
      </c>
      <c r="K260">
        <v>0.17000615234107141</v>
      </c>
      <c r="L260">
        <v>0</v>
      </c>
      <c r="M260">
        <v>0</v>
      </c>
      <c r="N260">
        <v>0</v>
      </c>
      <c r="O260">
        <v>0</v>
      </c>
      <c r="P260">
        <v>0</v>
      </c>
      <c r="Q260">
        <v>0</v>
      </c>
      <c r="R260">
        <v>0</v>
      </c>
      <c r="S260">
        <v>0</v>
      </c>
      <c r="T260">
        <v>0</v>
      </c>
      <c r="U260">
        <v>0</v>
      </c>
      <c r="V260">
        <v>0</v>
      </c>
      <c r="W260">
        <v>0</v>
      </c>
      <c r="X260">
        <v>0</v>
      </c>
      <c r="Y260">
        <v>0</v>
      </c>
      <c r="Z260">
        <v>0</v>
      </c>
      <c r="AA260">
        <v>0</v>
      </c>
      <c r="AB260">
        <v>0</v>
      </c>
      <c r="AC260">
        <v>1</v>
      </c>
      <c r="AD260">
        <v>0</v>
      </c>
      <c r="AE260" t="s">
        <v>162</v>
      </c>
      <c r="AF260">
        <v>0</v>
      </c>
      <c r="AG260" t="s">
        <v>170</v>
      </c>
      <c r="AH260">
        <v>46295</v>
      </c>
      <c r="AI260" t="s">
        <v>149</v>
      </c>
    </row>
    <row r="261" spans="1:35" x14ac:dyDescent="0.25">
      <c r="A261" s="1">
        <v>46295</v>
      </c>
      <c r="B261" t="s">
        <v>148</v>
      </c>
      <c r="C261" t="s">
        <v>11</v>
      </c>
      <c r="D261">
        <v>4.4391855041263009</v>
      </c>
      <c r="E261">
        <v>0</v>
      </c>
      <c r="F261">
        <v>0</v>
      </c>
      <c r="G261">
        <v>4.0221737132352935</v>
      </c>
      <c r="H261">
        <v>0</v>
      </c>
      <c r="I261">
        <v>0</v>
      </c>
      <c r="J261">
        <v>0.90606119286896492</v>
      </c>
      <c r="K261">
        <v>0</v>
      </c>
      <c r="L261">
        <v>0</v>
      </c>
      <c r="M261">
        <v>0</v>
      </c>
      <c r="N261">
        <v>0</v>
      </c>
      <c r="O261">
        <v>0</v>
      </c>
      <c r="P261">
        <v>0</v>
      </c>
      <c r="Q261">
        <v>0</v>
      </c>
      <c r="R261">
        <v>0</v>
      </c>
      <c r="S261">
        <v>0</v>
      </c>
      <c r="T261">
        <v>0.90606119286896492</v>
      </c>
      <c r="U261">
        <v>9.3938807131035085E-2</v>
      </c>
      <c r="V261">
        <v>0</v>
      </c>
      <c r="W261">
        <v>0</v>
      </c>
      <c r="X261">
        <v>0</v>
      </c>
      <c r="Y261">
        <v>0</v>
      </c>
      <c r="Z261">
        <v>0</v>
      </c>
      <c r="AA261">
        <v>0</v>
      </c>
      <c r="AB261">
        <v>0</v>
      </c>
      <c r="AC261">
        <v>0</v>
      </c>
      <c r="AD261">
        <v>0</v>
      </c>
      <c r="AE261" t="s">
        <v>162</v>
      </c>
      <c r="AF261">
        <v>0</v>
      </c>
      <c r="AG261" t="s">
        <v>171</v>
      </c>
      <c r="AH261">
        <v>46295</v>
      </c>
      <c r="AI261" t="s">
        <v>149</v>
      </c>
    </row>
    <row r="262" spans="1:35" x14ac:dyDescent="0.25">
      <c r="A262" s="1">
        <v>46295</v>
      </c>
      <c r="B262" t="s">
        <v>148</v>
      </c>
      <c r="C262" t="s">
        <v>12</v>
      </c>
      <c r="D262">
        <v>8.0022159745434642</v>
      </c>
      <c r="E262">
        <v>0</v>
      </c>
      <c r="F262">
        <v>0</v>
      </c>
      <c r="G262">
        <v>10.738135723039216</v>
      </c>
      <c r="H262">
        <v>0</v>
      </c>
      <c r="I262">
        <v>0</v>
      </c>
      <c r="J262">
        <v>1.3418952646615914</v>
      </c>
      <c r="K262">
        <v>0.34189526466159137</v>
      </c>
      <c r="L262">
        <v>0</v>
      </c>
      <c r="M262">
        <v>0</v>
      </c>
      <c r="N262">
        <v>0</v>
      </c>
      <c r="O262">
        <v>0</v>
      </c>
      <c r="P262">
        <v>0</v>
      </c>
      <c r="Q262">
        <v>0</v>
      </c>
      <c r="R262">
        <v>0</v>
      </c>
      <c r="S262">
        <v>0</v>
      </c>
      <c r="T262">
        <v>0</v>
      </c>
      <c r="U262">
        <v>0</v>
      </c>
      <c r="V262">
        <v>0</v>
      </c>
      <c r="W262">
        <v>0</v>
      </c>
      <c r="X262">
        <v>0</v>
      </c>
      <c r="Y262">
        <v>0</v>
      </c>
      <c r="Z262">
        <v>0</v>
      </c>
      <c r="AA262">
        <v>0</v>
      </c>
      <c r="AB262">
        <v>0</v>
      </c>
      <c r="AC262">
        <v>1</v>
      </c>
      <c r="AD262">
        <v>0</v>
      </c>
      <c r="AE262" t="s">
        <v>162</v>
      </c>
      <c r="AF262">
        <v>0</v>
      </c>
      <c r="AG262" t="s">
        <v>172</v>
      </c>
      <c r="AH262">
        <v>46295</v>
      </c>
      <c r="AI262" t="s">
        <v>149</v>
      </c>
    </row>
    <row r="263" spans="1:35" x14ac:dyDescent="0.25">
      <c r="A263" s="1">
        <v>46296</v>
      </c>
      <c r="B263" t="s">
        <v>148</v>
      </c>
      <c r="C263" t="s">
        <v>10</v>
      </c>
      <c r="D263">
        <v>10.922732753573923</v>
      </c>
      <c r="E263">
        <v>0</v>
      </c>
      <c r="F263">
        <v>0</v>
      </c>
      <c r="G263">
        <v>11.856878063725492</v>
      </c>
      <c r="H263">
        <v>0</v>
      </c>
      <c r="I263">
        <v>0</v>
      </c>
      <c r="J263">
        <v>1.0855230399961875</v>
      </c>
      <c r="K263">
        <v>8.5523039996187489E-2</v>
      </c>
      <c r="L263">
        <v>0</v>
      </c>
      <c r="M263">
        <v>0</v>
      </c>
      <c r="N263">
        <v>0</v>
      </c>
      <c r="O263">
        <v>0</v>
      </c>
      <c r="P263">
        <v>0</v>
      </c>
      <c r="Q263">
        <v>0</v>
      </c>
      <c r="R263">
        <v>0</v>
      </c>
      <c r="S263">
        <v>0</v>
      </c>
      <c r="T263">
        <v>0</v>
      </c>
      <c r="U263">
        <v>0</v>
      </c>
      <c r="V263">
        <v>0</v>
      </c>
      <c r="W263">
        <v>0</v>
      </c>
      <c r="X263">
        <v>0</v>
      </c>
      <c r="Y263">
        <v>0</v>
      </c>
      <c r="Z263">
        <v>0</v>
      </c>
      <c r="AA263">
        <v>0</v>
      </c>
      <c r="AB263">
        <v>0</v>
      </c>
      <c r="AC263">
        <v>1</v>
      </c>
      <c r="AD263">
        <v>0</v>
      </c>
      <c r="AE263" t="s">
        <v>162</v>
      </c>
      <c r="AF263">
        <v>0</v>
      </c>
      <c r="AG263" t="s">
        <v>173</v>
      </c>
      <c r="AH263">
        <v>46296</v>
      </c>
      <c r="AI263" t="s">
        <v>149</v>
      </c>
    </row>
    <row r="264" spans="1:35" x14ac:dyDescent="0.25">
      <c r="A264" s="1">
        <v>46296</v>
      </c>
      <c r="B264" t="s">
        <v>148</v>
      </c>
      <c r="C264" t="s">
        <v>12</v>
      </c>
      <c r="D264">
        <v>8.8783710082525999</v>
      </c>
      <c r="E264">
        <v>0</v>
      </c>
      <c r="F264">
        <v>0</v>
      </c>
      <c r="G264">
        <v>11.503301164215683</v>
      </c>
      <c r="H264">
        <v>0</v>
      </c>
      <c r="I264">
        <v>0</v>
      </c>
      <c r="J264">
        <v>1.2956544791294671</v>
      </c>
      <c r="K264">
        <v>0.29565447912946707</v>
      </c>
      <c r="L264">
        <v>0</v>
      </c>
      <c r="M264">
        <v>0</v>
      </c>
      <c r="N264">
        <v>0</v>
      </c>
      <c r="O264">
        <v>0</v>
      </c>
      <c r="P264">
        <v>0</v>
      </c>
      <c r="Q264">
        <v>0</v>
      </c>
      <c r="R264">
        <v>0</v>
      </c>
      <c r="S264">
        <v>0</v>
      </c>
      <c r="T264">
        <v>0</v>
      </c>
      <c r="U264">
        <v>0</v>
      </c>
      <c r="V264">
        <v>0</v>
      </c>
      <c r="W264">
        <v>0</v>
      </c>
      <c r="X264">
        <v>0</v>
      </c>
      <c r="Y264">
        <v>0</v>
      </c>
      <c r="Z264">
        <v>0</v>
      </c>
      <c r="AA264">
        <v>0</v>
      </c>
      <c r="AB264">
        <v>0</v>
      </c>
      <c r="AC264">
        <v>1</v>
      </c>
      <c r="AD264">
        <v>0</v>
      </c>
      <c r="AE264" t="s">
        <v>162</v>
      </c>
      <c r="AF264">
        <v>0</v>
      </c>
      <c r="AG264" t="s">
        <v>174</v>
      </c>
      <c r="AH264">
        <v>46296</v>
      </c>
      <c r="AI264" t="s">
        <v>149</v>
      </c>
    </row>
    <row r="265" spans="1:35" x14ac:dyDescent="0.25">
      <c r="A265" s="1">
        <v>46296</v>
      </c>
      <c r="B265" t="s">
        <v>148</v>
      </c>
      <c r="C265" t="s">
        <v>11</v>
      </c>
      <c r="D265">
        <v>4.4391855041263009</v>
      </c>
      <c r="E265">
        <v>0</v>
      </c>
      <c r="F265">
        <v>0</v>
      </c>
      <c r="G265">
        <v>4.1398207720588234</v>
      </c>
      <c r="H265">
        <v>0</v>
      </c>
      <c r="I265">
        <v>0</v>
      </c>
      <c r="J265">
        <v>0.93256313983968164</v>
      </c>
      <c r="K265">
        <v>0</v>
      </c>
      <c r="L265">
        <v>0</v>
      </c>
      <c r="M265">
        <v>0</v>
      </c>
      <c r="N265">
        <v>0</v>
      </c>
      <c r="O265">
        <v>0</v>
      </c>
      <c r="P265">
        <v>0</v>
      </c>
      <c r="Q265">
        <v>0</v>
      </c>
      <c r="R265">
        <v>0</v>
      </c>
      <c r="S265">
        <v>0</v>
      </c>
      <c r="T265">
        <v>0.93256313983968164</v>
      </c>
      <c r="U265">
        <v>6.7436860160318357E-2</v>
      </c>
      <c r="V265">
        <v>0</v>
      </c>
      <c r="W265">
        <v>0</v>
      </c>
      <c r="X265">
        <v>0</v>
      </c>
      <c r="Y265">
        <v>0</v>
      </c>
      <c r="Z265">
        <v>0</v>
      </c>
      <c r="AA265">
        <v>0</v>
      </c>
      <c r="AB265">
        <v>0</v>
      </c>
      <c r="AC265">
        <v>0</v>
      </c>
      <c r="AD265">
        <v>0</v>
      </c>
      <c r="AE265" t="s">
        <v>162</v>
      </c>
      <c r="AF265">
        <v>0</v>
      </c>
      <c r="AG265" t="s">
        <v>175</v>
      </c>
      <c r="AH265">
        <v>46296</v>
      </c>
      <c r="AI265" t="s">
        <v>149</v>
      </c>
    </row>
    <row r="266" spans="1:35" x14ac:dyDescent="0.25">
      <c r="A266" s="1">
        <v>46297</v>
      </c>
      <c r="B266" t="s">
        <v>148</v>
      </c>
      <c r="C266" t="s">
        <v>10</v>
      </c>
      <c r="D266">
        <v>9.929757048703566</v>
      </c>
      <c r="E266">
        <v>0</v>
      </c>
      <c r="F266">
        <v>0</v>
      </c>
      <c r="G266">
        <v>12.739231004901962</v>
      </c>
      <c r="H266">
        <v>0</v>
      </c>
      <c r="I266">
        <v>0</v>
      </c>
      <c r="J266">
        <v>1.282934813250562</v>
      </c>
      <c r="K266">
        <v>0.28293481325056202</v>
      </c>
      <c r="L266">
        <v>0</v>
      </c>
      <c r="M266">
        <v>0</v>
      </c>
      <c r="N266">
        <v>0</v>
      </c>
      <c r="O266">
        <v>0</v>
      </c>
      <c r="P266">
        <v>0</v>
      </c>
      <c r="Q266">
        <v>0</v>
      </c>
      <c r="R266">
        <v>0</v>
      </c>
      <c r="S266">
        <v>0</v>
      </c>
      <c r="T266">
        <v>0</v>
      </c>
      <c r="U266">
        <v>0</v>
      </c>
      <c r="V266">
        <v>0</v>
      </c>
      <c r="W266">
        <v>0</v>
      </c>
      <c r="X266">
        <v>0</v>
      </c>
      <c r="Y266">
        <v>0</v>
      </c>
      <c r="Z266">
        <v>0</v>
      </c>
      <c r="AA266">
        <v>0</v>
      </c>
      <c r="AB266">
        <v>0</v>
      </c>
      <c r="AC266">
        <v>1</v>
      </c>
      <c r="AD266">
        <v>0</v>
      </c>
      <c r="AE266" t="s">
        <v>162</v>
      </c>
      <c r="AF266">
        <v>0</v>
      </c>
      <c r="AG266" t="s">
        <v>176</v>
      </c>
      <c r="AH266">
        <v>46297</v>
      </c>
      <c r="AI266" t="s">
        <v>149</v>
      </c>
    </row>
    <row r="267" spans="1:35" x14ac:dyDescent="0.25">
      <c r="A267" s="1">
        <v>46297</v>
      </c>
      <c r="B267" t="s">
        <v>148</v>
      </c>
      <c r="C267" t="s">
        <v>11</v>
      </c>
      <c r="D267">
        <v>4.4391855041263009</v>
      </c>
      <c r="E267">
        <v>0</v>
      </c>
      <c r="F267">
        <v>0</v>
      </c>
      <c r="G267">
        <v>4.9564874387254898</v>
      </c>
      <c r="H267">
        <v>0</v>
      </c>
      <c r="I267">
        <v>0</v>
      </c>
      <c r="J267">
        <v>1.1165308217280732</v>
      </c>
      <c r="K267">
        <v>0.11653082172807316</v>
      </c>
      <c r="L267">
        <v>0</v>
      </c>
      <c r="M267">
        <v>0</v>
      </c>
      <c r="N267">
        <v>0</v>
      </c>
      <c r="O267">
        <v>0</v>
      </c>
      <c r="P267">
        <v>0</v>
      </c>
      <c r="Q267">
        <v>0</v>
      </c>
      <c r="R267">
        <v>0</v>
      </c>
      <c r="S267">
        <v>0</v>
      </c>
      <c r="T267">
        <v>0</v>
      </c>
      <c r="U267">
        <v>0</v>
      </c>
      <c r="V267">
        <v>0</v>
      </c>
      <c r="W267">
        <v>0</v>
      </c>
      <c r="X267">
        <v>0</v>
      </c>
      <c r="Y267">
        <v>0</v>
      </c>
      <c r="Z267">
        <v>0</v>
      </c>
      <c r="AA267">
        <v>0</v>
      </c>
      <c r="AB267">
        <v>0</v>
      </c>
      <c r="AC267">
        <v>1</v>
      </c>
      <c r="AD267">
        <v>0</v>
      </c>
      <c r="AE267" t="s">
        <v>162</v>
      </c>
      <c r="AF267">
        <v>0</v>
      </c>
      <c r="AG267" t="s">
        <v>177</v>
      </c>
      <c r="AH267">
        <v>46297</v>
      </c>
      <c r="AI267" t="s">
        <v>149</v>
      </c>
    </row>
    <row r="268" spans="1:35" x14ac:dyDescent="0.25">
      <c r="A268" s="1">
        <v>46297</v>
      </c>
      <c r="B268" t="s">
        <v>148</v>
      </c>
      <c r="C268" t="s">
        <v>12</v>
      </c>
      <c r="D268">
        <v>8.9367813438332107</v>
      </c>
      <c r="E268">
        <v>0</v>
      </c>
      <c r="F268">
        <v>0</v>
      </c>
      <c r="G268">
        <v>10.870948223039218</v>
      </c>
      <c r="H268">
        <v>0</v>
      </c>
      <c r="I268">
        <v>0</v>
      </c>
      <c r="J268">
        <v>1.2164276829420999</v>
      </c>
      <c r="K268">
        <v>0.21642768294209991</v>
      </c>
      <c r="L268">
        <v>0</v>
      </c>
      <c r="M268">
        <v>0</v>
      </c>
      <c r="N268">
        <v>0</v>
      </c>
      <c r="O268">
        <v>0</v>
      </c>
      <c r="P268">
        <v>0</v>
      </c>
      <c r="Q268">
        <v>0</v>
      </c>
      <c r="R268">
        <v>0</v>
      </c>
      <c r="S268">
        <v>0</v>
      </c>
      <c r="T268">
        <v>0</v>
      </c>
      <c r="U268">
        <v>0</v>
      </c>
      <c r="V268">
        <v>0</v>
      </c>
      <c r="W268">
        <v>0</v>
      </c>
      <c r="X268">
        <v>0</v>
      </c>
      <c r="Y268">
        <v>0</v>
      </c>
      <c r="Z268">
        <v>0</v>
      </c>
      <c r="AA268">
        <v>0</v>
      </c>
      <c r="AB268">
        <v>0</v>
      </c>
      <c r="AC268">
        <v>1</v>
      </c>
      <c r="AD268">
        <v>0</v>
      </c>
      <c r="AE268" t="s">
        <v>162</v>
      </c>
      <c r="AF268">
        <v>0</v>
      </c>
      <c r="AG268" t="s">
        <v>178</v>
      </c>
      <c r="AH268">
        <v>46297</v>
      </c>
      <c r="AI268" t="s">
        <v>149</v>
      </c>
    </row>
    <row r="269" spans="1:35" x14ac:dyDescent="0.25">
      <c r="A269" s="1">
        <v>46298</v>
      </c>
      <c r="B269" t="s">
        <v>148</v>
      </c>
      <c r="C269" t="s">
        <v>10</v>
      </c>
      <c r="D269">
        <v>9.929757048703566</v>
      </c>
      <c r="E269">
        <v>0</v>
      </c>
      <c r="F269">
        <v>0</v>
      </c>
      <c r="G269">
        <v>11.032858455882351</v>
      </c>
      <c r="H269">
        <v>0</v>
      </c>
      <c r="I269">
        <v>0</v>
      </c>
      <c r="J269">
        <v>1.1110904729862254</v>
      </c>
      <c r="K269">
        <v>0.11109047298622543</v>
      </c>
      <c r="L269">
        <v>0</v>
      </c>
      <c r="M269">
        <v>0</v>
      </c>
      <c r="N269">
        <v>0</v>
      </c>
      <c r="O269">
        <v>0</v>
      </c>
      <c r="P269">
        <v>0</v>
      </c>
      <c r="Q269">
        <v>0</v>
      </c>
      <c r="R269">
        <v>0</v>
      </c>
      <c r="S269">
        <v>0</v>
      </c>
      <c r="T269">
        <v>0</v>
      </c>
      <c r="U269">
        <v>0</v>
      </c>
      <c r="V269">
        <v>0</v>
      </c>
      <c r="W269">
        <v>0</v>
      </c>
      <c r="X269">
        <v>0</v>
      </c>
      <c r="Y269">
        <v>0</v>
      </c>
      <c r="Z269">
        <v>0</v>
      </c>
      <c r="AA269">
        <v>0</v>
      </c>
      <c r="AB269">
        <v>0</v>
      </c>
      <c r="AC269">
        <v>1</v>
      </c>
      <c r="AD269">
        <v>0</v>
      </c>
      <c r="AE269" t="s">
        <v>162</v>
      </c>
      <c r="AF269">
        <v>0</v>
      </c>
      <c r="AG269" t="s">
        <v>180</v>
      </c>
      <c r="AH269">
        <v>46298</v>
      </c>
      <c r="AI269" t="s">
        <v>149</v>
      </c>
    </row>
    <row r="270" spans="1:35" x14ac:dyDescent="0.25">
      <c r="A270" s="1">
        <v>46298</v>
      </c>
      <c r="B270" t="s">
        <v>148</v>
      </c>
      <c r="C270" t="s">
        <v>11</v>
      </c>
      <c r="D270">
        <v>4.4391855041263009</v>
      </c>
      <c r="E270">
        <v>0</v>
      </c>
      <c r="F270">
        <v>0</v>
      </c>
      <c r="G270">
        <v>4.8685968137254898</v>
      </c>
      <c r="H270">
        <v>0</v>
      </c>
      <c r="I270">
        <v>0</v>
      </c>
      <c r="J270">
        <v>1.0967320039228015</v>
      </c>
      <c r="K270">
        <v>9.6732003922801457E-2</v>
      </c>
      <c r="L270">
        <v>0</v>
      </c>
      <c r="M270">
        <v>0</v>
      </c>
      <c r="N270">
        <v>0</v>
      </c>
      <c r="O270">
        <v>0</v>
      </c>
      <c r="P270">
        <v>0</v>
      </c>
      <c r="Q270">
        <v>0</v>
      </c>
      <c r="R270">
        <v>0</v>
      </c>
      <c r="S270">
        <v>0</v>
      </c>
      <c r="T270">
        <v>0</v>
      </c>
      <c r="U270">
        <v>0</v>
      </c>
      <c r="V270">
        <v>0</v>
      </c>
      <c r="W270">
        <v>0</v>
      </c>
      <c r="X270">
        <v>0</v>
      </c>
      <c r="Y270">
        <v>0</v>
      </c>
      <c r="Z270">
        <v>0</v>
      </c>
      <c r="AA270">
        <v>0</v>
      </c>
      <c r="AB270">
        <v>0</v>
      </c>
      <c r="AC270">
        <v>1</v>
      </c>
      <c r="AD270">
        <v>0</v>
      </c>
      <c r="AE270" t="s">
        <v>162</v>
      </c>
      <c r="AF270">
        <v>0</v>
      </c>
      <c r="AG270" t="s">
        <v>179</v>
      </c>
      <c r="AH270">
        <v>46298</v>
      </c>
      <c r="AI270" t="s">
        <v>149</v>
      </c>
    </row>
    <row r="271" spans="1:35" x14ac:dyDescent="0.25">
      <c r="A271" s="1">
        <v>46298</v>
      </c>
      <c r="B271" t="s">
        <v>148</v>
      </c>
      <c r="C271" t="s">
        <v>12</v>
      </c>
      <c r="D271">
        <v>8.0606263101240714</v>
      </c>
      <c r="E271">
        <v>0</v>
      </c>
      <c r="F271">
        <v>0</v>
      </c>
      <c r="G271">
        <v>10.286044730392153</v>
      </c>
      <c r="H271">
        <v>0</v>
      </c>
      <c r="I271">
        <v>0</v>
      </c>
      <c r="J271">
        <v>1.2760850502985079</v>
      </c>
      <c r="K271">
        <v>0.27608505029850794</v>
      </c>
      <c r="L271">
        <v>0</v>
      </c>
      <c r="M271">
        <v>0</v>
      </c>
      <c r="N271">
        <v>0</v>
      </c>
      <c r="O271">
        <v>0</v>
      </c>
      <c r="P271">
        <v>0</v>
      </c>
      <c r="Q271">
        <v>0</v>
      </c>
      <c r="R271">
        <v>0</v>
      </c>
      <c r="S271">
        <v>0</v>
      </c>
      <c r="T271">
        <v>0</v>
      </c>
      <c r="U271">
        <v>0</v>
      </c>
      <c r="V271">
        <v>0</v>
      </c>
      <c r="W271">
        <v>0</v>
      </c>
      <c r="X271">
        <v>0</v>
      </c>
      <c r="Y271">
        <v>0</v>
      </c>
      <c r="Z271">
        <v>0</v>
      </c>
      <c r="AA271">
        <v>0</v>
      </c>
      <c r="AB271">
        <v>0</v>
      </c>
      <c r="AC271">
        <v>1</v>
      </c>
      <c r="AD271">
        <v>0</v>
      </c>
      <c r="AE271" t="s">
        <v>162</v>
      </c>
      <c r="AF271">
        <v>0</v>
      </c>
      <c r="AG271" t="s">
        <v>181</v>
      </c>
      <c r="AH271">
        <v>46298</v>
      </c>
      <c r="AI271" t="s">
        <v>149</v>
      </c>
    </row>
    <row r="272" spans="1:35" x14ac:dyDescent="0.25">
      <c r="A272" s="1">
        <v>46299</v>
      </c>
      <c r="B272" t="s">
        <v>148</v>
      </c>
      <c r="C272" t="s">
        <v>10</v>
      </c>
      <c r="D272">
        <v>9.929757048703566</v>
      </c>
      <c r="E272">
        <v>0</v>
      </c>
      <c r="F272">
        <v>0</v>
      </c>
      <c r="G272">
        <v>11.915211397058822</v>
      </c>
      <c r="H272">
        <v>0</v>
      </c>
      <c r="I272">
        <v>0</v>
      </c>
      <c r="J272">
        <v>1.1999499422409814</v>
      </c>
      <c r="K272">
        <v>0.19994994224098139</v>
      </c>
      <c r="L272">
        <v>0</v>
      </c>
      <c r="M272">
        <v>0</v>
      </c>
      <c r="N272">
        <v>0</v>
      </c>
      <c r="O272">
        <v>0</v>
      </c>
      <c r="P272">
        <v>0</v>
      </c>
      <c r="Q272">
        <v>0</v>
      </c>
      <c r="R272">
        <v>0</v>
      </c>
      <c r="S272">
        <v>0</v>
      </c>
      <c r="T272">
        <v>0</v>
      </c>
      <c r="U272">
        <v>0</v>
      </c>
      <c r="V272">
        <v>0</v>
      </c>
      <c r="W272">
        <v>0</v>
      </c>
      <c r="X272">
        <v>0</v>
      </c>
      <c r="Y272">
        <v>0</v>
      </c>
      <c r="Z272">
        <v>0</v>
      </c>
      <c r="AA272">
        <v>0</v>
      </c>
      <c r="AB272">
        <v>0</v>
      </c>
      <c r="AC272">
        <v>1</v>
      </c>
      <c r="AD272">
        <v>0</v>
      </c>
      <c r="AE272" t="s">
        <v>162</v>
      </c>
      <c r="AF272">
        <v>0</v>
      </c>
      <c r="AG272" t="s">
        <v>182</v>
      </c>
      <c r="AH272">
        <v>46299</v>
      </c>
      <c r="AI272" t="s">
        <v>149</v>
      </c>
    </row>
    <row r="273" spans="1:35" x14ac:dyDescent="0.25">
      <c r="A273" s="1">
        <v>46299</v>
      </c>
      <c r="B273" t="s">
        <v>148</v>
      </c>
      <c r="C273" t="s">
        <v>11</v>
      </c>
      <c r="D273">
        <v>4.4391855041263009</v>
      </c>
      <c r="E273">
        <v>0</v>
      </c>
      <c r="F273">
        <v>0</v>
      </c>
      <c r="G273">
        <v>4.8983532475490188</v>
      </c>
      <c r="H273">
        <v>0</v>
      </c>
      <c r="I273">
        <v>0</v>
      </c>
      <c r="J273">
        <v>1.1034351330882464</v>
      </c>
      <c r="K273">
        <v>0.10343513308824637</v>
      </c>
      <c r="L273">
        <v>0</v>
      </c>
      <c r="M273">
        <v>0</v>
      </c>
      <c r="N273">
        <v>0</v>
      </c>
      <c r="O273">
        <v>0</v>
      </c>
      <c r="P273">
        <v>0</v>
      </c>
      <c r="Q273">
        <v>0</v>
      </c>
      <c r="R273">
        <v>0</v>
      </c>
      <c r="S273">
        <v>0</v>
      </c>
      <c r="T273">
        <v>0</v>
      </c>
      <c r="U273">
        <v>0</v>
      </c>
      <c r="V273">
        <v>0</v>
      </c>
      <c r="W273">
        <v>0</v>
      </c>
      <c r="X273">
        <v>0</v>
      </c>
      <c r="Y273">
        <v>0</v>
      </c>
      <c r="Z273">
        <v>0</v>
      </c>
      <c r="AA273">
        <v>0</v>
      </c>
      <c r="AB273">
        <v>0</v>
      </c>
      <c r="AC273">
        <v>1</v>
      </c>
      <c r="AD273">
        <v>0</v>
      </c>
      <c r="AE273" t="s">
        <v>162</v>
      </c>
      <c r="AF273">
        <v>0</v>
      </c>
      <c r="AG273" t="s">
        <v>183</v>
      </c>
      <c r="AH273">
        <v>46299</v>
      </c>
      <c r="AI273" t="s">
        <v>149</v>
      </c>
    </row>
    <row r="274" spans="1:35" x14ac:dyDescent="0.25">
      <c r="A274" s="1">
        <v>46299</v>
      </c>
      <c r="B274" t="s">
        <v>148</v>
      </c>
      <c r="C274" t="s">
        <v>12</v>
      </c>
      <c r="D274">
        <v>8.1190366457046803</v>
      </c>
      <c r="E274">
        <v>0</v>
      </c>
      <c r="F274">
        <v>0</v>
      </c>
      <c r="G274">
        <v>10.686435355392156</v>
      </c>
      <c r="H274">
        <v>0</v>
      </c>
      <c r="I274">
        <v>0</v>
      </c>
      <c r="J274">
        <v>1.3162196233029371</v>
      </c>
      <c r="K274">
        <v>0.31621962330293707</v>
      </c>
      <c r="L274">
        <v>0</v>
      </c>
      <c r="M274">
        <v>0</v>
      </c>
      <c r="N274">
        <v>0</v>
      </c>
      <c r="O274">
        <v>0</v>
      </c>
      <c r="P274">
        <v>0</v>
      </c>
      <c r="Q274">
        <v>0</v>
      </c>
      <c r="R274">
        <v>0</v>
      </c>
      <c r="S274">
        <v>0</v>
      </c>
      <c r="T274">
        <v>0</v>
      </c>
      <c r="U274">
        <v>0</v>
      </c>
      <c r="V274">
        <v>0</v>
      </c>
      <c r="W274">
        <v>0</v>
      </c>
      <c r="X274">
        <v>0</v>
      </c>
      <c r="Y274">
        <v>0</v>
      </c>
      <c r="Z274">
        <v>0</v>
      </c>
      <c r="AA274">
        <v>0</v>
      </c>
      <c r="AB274">
        <v>0</v>
      </c>
      <c r="AC274">
        <v>1</v>
      </c>
      <c r="AD274">
        <v>0</v>
      </c>
      <c r="AE274" t="s">
        <v>162</v>
      </c>
      <c r="AF274">
        <v>0</v>
      </c>
      <c r="AG274" t="s">
        <v>184</v>
      </c>
      <c r="AH274">
        <v>46299</v>
      </c>
      <c r="AI274" t="s">
        <v>149</v>
      </c>
    </row>
    <row r="275" spans="1:35" x14ac:dyDescent="0.25">
      <c r="A275" s="1">
        <v>46300</v>
      </c>
      <c r="B275" t="s">
        <v>148</v>
      </c>
      <c r="C275" t="s">
        <v>11</v>
      </c>
      <c r="D275">
        <v>4.4391855041263009</v>
      </c>
      <c r="E275">
        <v>0</v>
      </c>
      <c r="F275">
        <v>0</v>
      </c>
      <c r="G275">
        <v>4.8685968137254898</v>
      </c>
      <c r="H275">
        <v>0</v>
      </c>
      <c r="I275">
        <v>0</v>
      </c>
      <c r="J275">
        <v>1.0967320039228015</v>
      </c>
      <c r="K275">
        <v>9.6732003922801457E-2</v>
      </c>
      <c r="L275">
        <v>0</v>
      </c>
      <c r="M275">
        <v>0</v>
      </c>
      <c r="N275">
        <v>0</v>
      </c>
      <c r="O275">
        <v>0</v>
      </c>
      <c r="P275">
        <v>0</v>
      </c>
      <c r="Q275">
        <v>0</v>
      </c>
      <c r="R275">
        <v>0</v>
      </c>
      <c r="S275">
        <v>0</v>
      </c>
      <c r="T275">
        <v>0</v>
      </c>
      <c r="U275">
        <v>0</v>
      </c>
      <c r="V275">
        <v>0</v>
      </c>
      <c r="W275">
        <v>0</v>
      </c>
      <c r="X275">
        <v>0</v>
      </c>
      <c r="Y275">
        <v>0</v>
      </c>
      <c r="Z275">
        <v>0</v>
      </c>
      <c r="AA275">
        <v>0</v>
      </c>
      <c r="AB275">
        <v>0</v>
      </c>
      <c r="AC275">
        <v>1</v>
      </c>
      <c r="AD275">
        <v>0</v>
      </c>
      <c r="AE275" t="s">
        <v>162</v>
      </c>
      <c r="AF275">
        <v>0</v>
      </c>
      <c r="AG275" t="s">
        <v>185</v>
      </c>
      <c r="AH275">
        <v>46300</v>
      </c>
      <c r="AI275" t="s">
        <v>149</v>
      </c>
    </row>
    <row r="276" spans="1:35" x14ac:dyDescent="0.25">
      <c r="A276" s="1">
        <v>46300</v>
      </c>
      <c r="B276" t="s">
        <v>148</v>
      </c>
      <c r="C276" t="s">
        <v>12</v>
      </c>
      <c r="D276">
        <v>8.177446981285291</v>
      </c>
      <c r="E276">
        <v>0</v>
      </c>
      <c r="F276">
        <v>0</v>
      </c>
      <c r="G276">
        <v>10.888985906862748</v>
      </c>
      <c r="H276">
        <v>0</v>
      </c>
      <c r="I276">
        <v>0</v>
      </c>
      <c r="J276">
        <v>1.3315874663306311</v>
      </c>
      <c r="K276">
        <v>0.33158746633063108</v>
      </c>
      <c r="L276">
        <v>0</v>
      </c>
      <c r="M276">
        <v>0</v>
      </c>
      <c r="N276">
        <v>0</v>
      </c>
      <c r="O276">
        <v>0</v>
      </c>
      <c r="P276">
        <v>0</v>
      </c>
      <c r="Q276">
        <v>0</v>
      </c>
      <c r="R276">
        <v>0</v>
      </c>
      <c r="S276">
        <v>0</v>
      </c>
      <c r="T276">
        <v>0</v>
      </c>
      <c r="U276">
        <v>0</v>
      </c>
      <c r="V276">
        <v>0</v>
      </c>
      <c r="W276">
        <v>0</v>
      </c>
      <c r="X276">
        <v>0</v>
      </c>
      <c r="Y276">
        <v>0</v>
      </c>
      <c r="Z276">
        <v>0</v>
      </c>
      <c r="AA276">
        <v>0</v>
      </c>
      <c r="AB276">
        <v>0</v>
      </c>
      <c r="AC276">
        <v>1</v>
      </c>
      <c r="AD276">
        <v>0</v>
      </c>
      <c r="AE276" t="s">
        <v>162</v>
      </c>
      <c r="AF276">
        <v>0</v>
      </c>
      <c r="AG276" t="s">
        <v>187</v>
      </c>
      <c r="AH276">
        <v>46300</v>
      </c>
      <c r="AI276" t="s">
        <v>149</v>
      </c>
    </row>
    <row r="277" spans="1:35" x14ac:dyDescent="0.25">
      <c r="A277" s="1">
        <v>46300</v>
      </c>
      <c r="B277" t="s">
        <v>148</v>
      </c>
      <c r="C277" t="s">
        <v>10</v>
      </c>
      <c r="D277">
        <v>10.864322417993314</v>
      </c>
      <c r="E277">
        <v>0</v>
      </c>
      <c r="F277">
        <v>0</v>
      </c>
      <c r="G277">
        <v>11.742417279411764</v>
      </c>
      <c r="H277">
        <v>0</v>
      </c>
      <c r="I277">
        <v>0</v>
      </c>
      <c r="J277">
        <v>1.0808237115610784</v>
      </c>
      <c r="K277">
        <v>8.0823711561078371E-2</v>
      </c>
      <c r="L277">
        <v>0</v>
      </c>
      <c r="M277">
        <v>0</v>
      </c>
      <c r="N277">
        <v>0</v>
      </c>
      <c r="O277">
        <v>0</v>
      </c>
      <c r="P277">
        <v>0</v>
      </c>
      <c r="Q277">
        <v>0</v>
      </c>
      <c r="R277">
        <v>0</v>
      </c>
      <c r="S277">
        <v>0</v>
      </c>
      <c r="T277">
        <v>0</v>
      </c>
      <c r="U277">
        <v>0</v>
      </c>
      <c r="V277">
        <v>0</v>
      </c>
      <c r="W277">
        <v>0</v>
      </c>
      <c r="X277">
        <v>0</v>
      </c>
      <c r="Y277">
        <v>0</v>
      </c>
      <c r="Z277">
        <v>0</v>
      </c>
      <c r="AA277">
        <v>0</v>
      </c>
      <c r="AB277">
        <v>0</v>
      </c>
      <c r="AC277">
        <v>1</v>
      </c>
      <c r="AD277">
        <v>0</v>
      </c>
      <c r="AE277" t="s">
        <v>162</v>
      </c>
      <c r="AF277">
        <v>0</v>
      </c>
      <c r="AG277" t="s">
        <v>186</v>
      </c>
      <c r="AH277">
        <v>46300</v>
      </c>
      <c r="AI277" t="s">
        <v>149</v>
      </c>
    </row>
    <row r="278" spans="1:35" x14ac:dyDescent="0.25">
      <c r="A278" s="1">
        <v>46301</v>
      </c>
      <c r="B278" t="s">
        <v>148</v>
      </c>
      <c r="C278" t="s">
        <v>12</v>
      </c>
      <c r="D278">
        <v>9.0536020149944267</v>
      </c>
      <c r="E278">
        <v>0</v>
      </c>
      <c r="F278">
        <v>0</v>
      </c>
      <c r="G278">
        <v>9.8335248161764728</v>
      </c>
      <c r="H278">
        <v>0</v>
      </c>
      <c r="I278">
        <v>0</v>
      </c>
      <c r="J278">
        <v>1.0861450282318961</v>
      </c>
      <c r="K278">
        <v>8.614502823189607E-2</v>
      </c>
      <c r="L278">
        <v>0</v>
      </c>
      <c r="M278">
        <v>0</v>
      </c>
      <c r="N278">
        <v>0</v>
      </c>
      <c r="O278">
        <v>0</v>
      </c>
      <c r="P278">
        <v>0</v>
      </c>
      <c r="Q278">
        <v>0</v>
      </c>
      <c r="R278">
        <v>0</v>
      </c>
      <c r="S278">
        <v>0</v>
      </c>
      <c r="T278">
        <v>0</v>
      </c>
      <c r="U278">
        <v>0</v>
      </c>
      <c r="V278">
        <v>0</v>
      </c>
      <c r="W278">
        <v>0</v>
      </c>
      <c r="X278">
        <v>0</v>
      </c>
      <c r="Y278">
        <v>0</v>
      </c>
      <c r="Z278">
        <v>0</v>
      </c>
      <c r="AA278">
        <v>0</v>
      </c>
      <c r="AB278">
        <v>0</v>
      </c>
      <c r="AC278">
        <v>1</v>
      </c>
      <c r="AD278">
        <v>0</v>
      </c>
      <c r="AE278" t="s">
        <v>162</v>
      </c>
      <c r="AF278">
        <v>0</v>
      </c>
      <c r="AG278" t="s">
        <v>188</v>
      </c>
      <c r="AH278">
        <v>46301</v>
      </c>
      <c r="AI278" t="s">
        <v>149</v>
      </c>
    </row>
    <row r="279" spans="1:35" x14ac:dyDescent="0.25">
      <c r="A279" s="1">
        <v>46301</v>
      </c>
      <c r="B279" t="s">
        <v>148</v>
      </c>
      <c r="C279" t="s">
        <v>11</v>
      </c>
      <c r="D279">
        <v>4.4391855041263009</v>
      </c>
      <c r="E279">
        <v>0</v>
      </c>
      <c r="F279">
        <v>0</v>
      </c>
      <c r="G279">
        <v>4.8983532475490188</v>
      </c>
      <c r="H279">
        <v>0</v>
      </c>
      <c r="I279">
        <v>0</v>
      </c>
      <c r="J279">
        <v>1.1034351330882464</v>
      </c>
      <c r="K279">
        <v>0.10343513308824637</v>
      </c>
      <c r="L279">
        <v>0</v>
      </c>
      <c r="M279">
        <v>0</v>
      </c>
      <c r="N279">
        <v>0</v>
      </c>
      <c r="O279">
        <v>0</v>
      </c>
      <c r="P279">
        <v>0</v>
      </c>
      <c r="Q279">
        <v>0</v>
      </c>
      <c r="R279">
        <v>0</v>
      </c>
      <c r="S279">
        <v>0</v>
      </c>
      <c r="T279">
        <v>0</v>
      </c>
      <c r="U279">
        <v>0</v>
      </c>
      <c r="V279">
        <v>0</v>
      </c>
      <c r="W279">
        <v>0</v>
      </c>
      <c r="X279">
        <v>0</v>
      </c>
      <c r="Y279">
        <v>0</v>
      </c>
      <c r="Z279">
        <v>0</v>
      </c>
      <c r="AA279">
        <v>0</v>
      </c>
      <c r="AB279">
        <v>0</v>
      </c>
      <c r="AC279">
        <v>1</v>
      </c>
      <c r="AD279">
        <v>0</v>
      </c>
      <c r="AE279" t="s">
        <v>162</v>
      </c>
      <c r="AF279">
        <v>0</v>
      </c>
      <c r="AG279" t="s">
        <v>189</v>
      </c>
      <c r="AH279">
        <v>46301</v>
      </c>
      <c r="AI279" t="s">
        <v>149</v>
      </c>
    </row>
    <row r="280" spans="1:35" x14ac:dyDescent="0.25">
      <c r="A280" s="1">
        <v>46301</v>
      </c>
      <c r="B280" t="s">
        <v>148</v>
      </c>
      <c r="C280" t="s">
        <v>10</v>
      </c>
      <c r="D280">
        <v>10.864322417993314</v>
      </c>
      <c r="E280">
        <v>0</v>
      </c>
      <c r="F280">
        <v>0</v>
      </c>
      <c r="G280">
        <v>11.080621936274506</v>
      </c>
      <c r="H280">
        <v>0</v>
      </c>
      <c r="I280">
        <v>0</v>
      </c>
      <c r="J280">
        <v>1.0199091586165521</v>
      </c>
      <c r="K280">
        <v>1.990915861655207E-2</v>
      </c>
      <c r="L280">
        <v>0</v>
      </c>
      <c r="M280">
        <v>0</v>
      </c>
      <c r="N280">
        <v>0</v>
      </c>
      <c r="O280">
        <v>0</v>
      </c>
      <c r="P280">
        <v>0</v>
      </c>
      <c r="Q280">
        <v>0</v>
      </c>
      <c r="R280">
        <v>0</v>
      </c>
      <c r="S280">
        <v>0</v>
      </c>
      <c r="T280">
        <v>0</v>
      </c>
      <c r="U280">
        <v>0</v>
      </c>
      <c r="V280">
        <v>0</v>
      </c>
      <c r="W280">
        <v>0</v>
      </c>
      <c r="X280">
        <v>0</v>
      </c>
      <c r="Y280">
        <v>0</v>
      </c>
      <c r="Z280">
        <v>0</v>
      </c>
      <c r="AA280">
        <v>0</v>
      </c>
      <c r="AB280">
        <v>0</v>
      </c>
      <c r="AC280">
        <v>1</v>
      </c>
      <c r="AD280">
        <v>0</v>
      </c>
      <c r="AE280" t="s">
        <v>162</v>
      </c>
      <c r="AF280">
        <v>0</v>
      </c>
      <c r="AG280" t="s">
        <v>190</v>
      </c>
      <c r="AH280">
        <v>46301</v>
      </c>
      <c r="AI280" t="s">
        <v>149</v>
      </c>
    </row>
    <row r="281" spans="1:35" x14ac:dyDescent="0.25">
      <c r="A281" s="1">
        <v>46302</v>
      </c>
      <c r="B281" t="s">
        <v>148</v>
      </c>
      <c r="C281" t="s">
        <v>12</v>
      </c>
      <c r="D281">
        <v>8.0022159745434642</v>
      </c>
      <c r="E281">
        <v>0</v>
      </c>
      <c r="F281">
        <v>0</v>
      </c>
      <c r="G281">
        <v>10.841651348039218</v>
      </c>
      <c r="H281">
        <v>0</v>
      </c>
      <c r="I281">
        <v>0</v>
      </c>
      <c r="J281">
        <v>1.3548311345917836</v>
      </c>
      <c r="K281">
        <v>0.35483113459178361</v>
      </c>
      <c r="L281">
        <v>0</v>
      </c>
      <c r="M281">
        <v>0</v>
      </c>
      <c r="N281">
        <v>0</v>
      </c>
      <c r="O281">
        <v>0</v>
      </c>
      <c r="P281">
        <v>0</v>
      </c>
      <c r="Q281">
        <v>0</v>
      </c>
      <c r="R281">
        <v>0</v>
      </c>
      <c r="S281">
        <v>0</v>
      </c>
      <c r="T281">
        <v>0</v>
      </c>
      <c r="U281">
        <v>0</v>
      </c>
      <c r="V281">
        <v>0</v>
      </c>
      <c r="W281">
        <v>0</v>
      </c>
      <c r="X281">
        <v>0</v>
      </c>
      <c r="Y281">
        <v>0</v>
      </c>
      <c r="Z281">
        <v>0</v>
      </c>
      <c r="AA281">
        <v>0</v>
      </c>
      <c r="AB281">
        <v>0</v>
      </c>
      <c r="AC281">
        <v>1</v>
      </c>
      <c r="AD281">
        <v>0</v>
      </c>
      <c r="AE281" t="s">
        <v>162</v>
      </c>
      <c r="AF281">
        <v>0</v>
      </c>
      <c r="AG281" t="s">
        <v>191</v>
      </c>
      <c r="AH281">
        <v>46302</v>
      </c>
      <c r="AI281" t="s">
        <v>149</v>
      </c>
    </row>
    <row r="282" spans="1:35" x14ac:dyDescent="0.25">
      <c r="A282" s="1">
        <v>46302</v>
      </c>
      <c r="B282" t="s">
        <v>148</v>
      </c>
      <c r="C282" t="s">
        <v>10</v>
      </c>
      <c r="D282">
        <v>9.929757048703566</v>
      </c>
      <c r="E282">
        <v>0</v>
      </c>
      <c r="F282">
        <v>0</v>
      </c>
      <c r="G282">
        <v>11.91475183823529</v>
      </c>
      <c r="H282">
        <v>0</v>
      </c>
      <c r="I282">
        <v>0</v>
      </c>
      <c r="J282">
        <v>1.199903661267411</v>
      </c>
      <c r="K282">
        <v>0.19990366126741099</v>
      </c>
      <c r="L282">
        <v>0</v>
      </c>
      <c r="M282">
        <v>0</v>
      </c>
      <c r="N282">
        <v>0</v>
      </c>
      <c r="O282">
        <v>0</v>
      </c>
      <c r="P282">
        <v>0</v>
      </c>
      <c r="Q282">
        <v>0</v>
      </c>
      <c r="R282">
        <v>0</v>
      </c>
      <c r="S282">
        <v>0</v>
      </c>
      <c r="T282">
        <v>0</v>
      </c>
      <c r="U282">
        <v>0</v>
      </c>
      <c r="V282">
        <v>0</v>
      </c>
      <c r="W282">
        <v>0</v>
      </c>
      <c r="X282">
        <v>0</v>
      </c>
      <c r="Y282">
        <v>0</v>
      </c>
      <c r="Z282">
        <v>0</v>
      </c>
      <c r="AA282">
        <v>0</v>
      </c>
      <c r="AB282">
        <v>0</v>
      </c>
      <c r="AC282">
        <v>1</v>
      </c>
      <c r="AD282">
        <v>0</v>
      </c>
      <c r="AE282" t="s">
        <v>162</v>
      </c>
      <c r="AF282">
        <v>0</v>
      </c>
      <c r="AG282" t="s">
        <v>193</v>
      </c>
      <c r="AH282">
        <v>46302</v>
      </c>
      <c r="AI282" t="s">
        <v>149</v>
      </c>
    </row>
    <row r="283" spans="1:35" x14ac:dyDescent="0.25">
      <c r="A283" s="1">
        <v>46302</v>
      </c>
      <c r="B283" t="s">
        <v>148</v>
      </c>
      <c r="C283" t="s">
        <v>11</v>
      </c>
      <c r="D283">
        <v>4.4391855041263009</v>
      </c>
      <c r="E283">
        <v>0</v>
      </c>
      <c r="F283">
        <v>0</v>
      </c>
      <c r="G283">
        <v>4.8685968137254898</v>
      </c>
      <c r="H283">
        <v>0</v>
      </c>
      <c r="I283">
        <v>0</v>
      </c>
      <c r="J283">
        <v>1.0967320039228015</v>
      </c>
      <c r="K283">
        <v>9.6732003922801457E-2</v>
      </c>
      <c r="L283">
        <v>0</v>
      </c>
      <c r="M283">
        <v>0</v>
      </c>
      <c r="N283">
        <v>0</v>
      </c>
      <c r="O283">
        <v>0</v>
      </c>
      <c r="P283">
        <v>0</v>
      </c>
      <c r="Q283">
        <v>0</v>
      </c>
      <c r="R283">
        <v>0</v>
      </c>
      <c r="S283">
        <v>0</v>
      </c>
      <c r="T283">
        <v>0</v>
      </c>
      <c r="U283">
        <v>0</v>
      </c>
      <c r="V283">
        <v>0</v>
      </c>
      <c r="W283">
        <v>0</v>
      </c>
      <c r="X283">
        <v>0</v>
      </c>
      <c r="Y283">
        <v>0</v>
      </c>
      <c r="Z283">
        <v>0</v>
      </c>
      <c r="AA283">
        <v>0</v>
      </c>
      <c r="AB283">
        <v>0</v>
      </c>
      <c r="AC283">
        <v>1</v>
      </c>
      <c r="AD283">
        <v>0</v>
      </c>
      <c r="AE283" t="s">
        <v>162</v>
      </c>
      <c r="AF283">
        <v>0</v>
      </c>
      <c r="AG283" t="s">
        <v>192</v>
      </c>
      <c r="AH283">
        <v>46302</v>
      </c>
      <c r="AI283" t="s">
        <v>149</v>
      </c>
    </row>
    <row r="284" spans="1:35" x14ac:dyDescent="0.25">
      <c r="A284" s="1">
        <v>46303</v>
      </c>
      <c r="B284" t="s">
        <v>148</v>
      </c>
      <c r="C284" t="s">
        <v>12</v>
      </c>
      <c r="D284">
        <v>7.9438056389628544</v>
      </c>
      <c r="E284">
        <v>0</v>
      </c>
      <c r="F284">
        <v>0</v>
      </c>
      <c r="G284">
        <v>11.53604473039216</v>
      </c>
      <c r="H284">
        <v>0</v>
      </c>
      <c r="I284">
        <v>0</v>
      </c>
      <c r="J284">
        <v>1.4522063170591759</v>
      </c>
      <c r="K284">
        <v>0.45220631705917591</v>
      </c>
      <c r="L284">
        <v>0</v>
      </c>
      <c r="M284">
        <v>0</v>
      </c>
      <c r="N284">
        <v>0</v>
      </c>
      <c r="O284">
        <v>0</v>
      </c>
      <c r="P284">
        <v>0</v>
      </c>
      <c r="Q284">
        <v>0</v>
      </c>
      <c r="R284">
        <v>0</v>
      </c>
      <c r="S284">
        <v>0</v>
      </c>
      <c r="T284">
        <v>0</v>
      </c>
      <c r="U284">
        <v>0</v>
      </c>
      <c r="V284">
        <v>0</v>
      </c>
      <c r="W284">
        <v>0</v>
      </c>
      <c r="X284">
        <v>0</v>
      </c>
      <c r="Y284">
        <v>0</v>
      </c>
      <c r="Z284">
        <v>0</v>
      </c>
      <c r="AA284">
        <v>0</v>
      </c>
      <c r="AB284">
        <v>0</v>
      </c>
      <c r="AC284">
        <v>1</v>
      </c>
      <c r="AD284">
        <v>0</v>
      </c>
      <c r="AE284" t="s">
        <v>162</v>
      </c>
      <c r="AF284">
        <v>0</v>
      </c>
      <c r="AG284" t="s">
        <v>194</v>
      </c>
      <c r="AH284">
        <v>46303</v>
      </c>
      <c r="AI284" t="s">
        <v>149</v>
      </c>
    </row>
    <row r="285" spans="1:35" x14ac:dyDescent="0.25">
      <c r="A285" s="1">
        <v>46303</v>
      </c>
      <c r="B285" t="s">
        <v>148</v>
      </c>
      <c r="C285" t="s">
        <v>11</v>
      </c>
      <c r="D285">
        <v>4.4391855041263009</v>
      </c>
      <c r="E285">
        <v>0</v>
      </c>
      <c r="F285">
        <v>0</v>
      </c>
      <c r="G285">
        <v>4.9862438725490197</v>
      </c>
      <c r="H285">
        <v>0</v>
      </c>
      <c r="I285">
        <v>0</v>
      </c>
      <c r="J285">
        <v>1.1232339508935183</v>
      </c>
      <c r="K285">
        <v>0.1232339508935183</v>
      </c>
      <c r="L285">
        <v>0</v>
      </c>
      <c r="M285">
        <v>0</v>
      </c>
      <c r="N285">
        <v>0</v>
      </c>
      <c r="O285">
        <v>0</v>
      </c>
      <c r="P285">
        <v>0</v>
      </c>
      <c r="Q285">
        <v>0</v>
      </c>
      <c r="R285">
        <v>0</v>
      </c>
      <c r="S285">
        <v>0</v>
      </c>
      <c r="T285">
        <v>0</v>
      </c>
      <c r="U285">
        <v>0</v>
      </c>
      <c r="V285">
        <v>0</v>
      </c>
      <c r="W285">
        <v>0</v>
      </c>
      <c r="X285">
        <v>0</v>
      </c>
      <c r="Y285">
        <v>0</v>
      </c>
      <c r="Z285">
        <v>0</v>
      </c>
      <c r="AA285">
        <v>0</v>
      </c>
      <c r="AB285">
        <v>0</v>
      </c>
      <c r="AC285">
        <v>1</v>
      </c>
      <c r="AD285">
        <v>0</v>
      </c>
      <c r="AE285" t="s">
        <v>162</v>
      </c>
      <c r="AF285">
        <v>0</v>
      </c>
      <c r="AG285" t="s">
        <v>195</v>
      </c>
      <c r="AH285">
        <v>46303</v>
      </c>
      <c r="AI285" t="s">
        <v>149</v>
      </c>
    </row>
    <row r="286" spans="1:35" x14ac:dyDescent="0.25">
      <c r="A286" s="1">
        <v>46303</v>
      </c>
      <c r="B286" t="s">
        <v>148</v>
      </c>
      <c r="C286" t="s">
        <v>10</v>
      </c>
      <c r="D286">
        <v>10.864322417993314</v>
      </c>
      <c r="E286">
        <v>0</v>
      </c>
      <c r="F286">
        <v>0</v>
      </c>
      <c r="G286">
        <v>11.915211397058822</v>
      </c>
      <c r="H286">
        <v>0</v>
      </c>
      <c r="I286">
        <v>0</v>
      </c>
      <c r="J286">
        <v>1.0967284418331551</v>
      </c>
      <c r="K286">
        <v>9.6728441833155099E-2</v>
      </c>
      <c r="L286">
        <v>0</v>
      </c>
      <c r="M286">
        <v>0</v>
      </c>
      <c r="N286">
        <v>0</v>
      </c>
      <c r="O286">
        <v>0</v>
      </c>
      <c r="P286">
        <v>0</v>
      </c>
      <c r="Q286">
        <v>0</v>
      </c>
      <c r="R286">
        <v>0</v>
      </c>
      <c r="S286">
        <v>0</v>
      </c>
      <c r="T286">
        <v>0</v>
      </c>
      <c r="U286">
        <v>0</v>
      </c>
      <c r="V286">
        <v>0</v>
      </c>
      <c r="W286">
        <v>0</v>
      </c>
      <c r="X286">
        <v>0</v>
      </c>
      <c r="Y286">
        <v>0</v>
      </c>
      <c r="Z286">
        <v>0</v>
      </c>
      <c r="AA286">
        <v>0</v>
      </c>
      <c r="AB286">
        <v>0</v>
      </c>
      <c r="AC286">
        <v>1</v>
      </c>
      <c r="AD286">
        <v>0</v>
      </c>
      <c r="AE286" t="s">
        <v>162</v>
      </c>
      <c r="AF286">
        <v>0</v>
      </c>
      <c r="AG286" t="s">
        <v>196</v>
      </c>
      <c r="AH286">
        <v>46303</v>
      </c>
      <c r="AI286" t="s">
        <v>149</v>
      </c>
    </row>
    <row r="287" spans="1:35" x14ac:dyDescent="0.25">
      <c r="A287" s="1">
        <v>46304</v>
      </c>
      <c r="B287" t="s">
        <v>148</v>
      </c>
      <c r="C287" t="s">
        <v>10</v>
      </c>
      <c r="D287">
        <v>9.929757048703566</v>
      </c>
      <c r="E287">
        <v>0</v>
      </c>
      <c r="F287">
        <v>0</v>
      </c>
      <c r="G287">
        <v>11.032858455882351</v>
      </c>
      <c r="H287">
        <v>0</v>
      </c>
      <c r="I287">
        <v>0</v>
      </c>
      <c r="J287">
        <v>1.1110904729862254</v>
      </c>
      <c r="K287">
        <v>0.11109047298622543</v>
      </c>
      <c r="L287">
        <v>0</v>
      </c>
      <c r="M287">
        <v>0</v>
      </c>
      <c r="N287">
        <v>0</v>
      </c>
      <c r="O287">
        <v>0</v>
      </c>
      <c r="P287">
        <v>0</v>
      </c>
      <c r="Q287">
        <v>0</v>
      </c>
      <c r="R287">
        <v>0</v>
      </c>
      <c r="S287">
        <v>0</v>
      </c>
      <c r="T287">
        <v>0</v>
      </c>
      <c r="U287">
        <v>0</v>
      </c>
      <c r="V287">
        <v>0</v>
      </c>
      <c r="W287">
        <v>0</v>
      </c>
      <c r="X287">
        <v>0</v>
      </c>
      <c r="Y287">
        <v>0</v>
      </c>
      <c r="Z287">
        <v>0</v>
      </c>
      <c r="AA287">
        <v>0</v>
      </c>
      <c r="AB287">
        <v>0</v>
      </c>
      <c r="AC287">
        <v>1</v>
      </c>
      <c r="AD287">
        <v>0</v>
      </c>
      <c r="AE287" t="s">
        <v>162</v>
      </c>
      <c r="AF287">
        <v>0</v>
      </c>
      <c r="AG287" t="s">
        <v>198</v>
      </c>
      <c r="AH287">
        <v>46304</v>
      </c>
      <c r="AI287" t="s">
        <v>149</v>
      </c>
    </row>
    <row r="288" spans="1:35" x14ac:dyDescent="0.25">
      <c r="A288" s="1">
        <v>46304</v>
      </c>
      <c r="B288" t="s">
        <v>148</v>
      </c>
      <c r="C288" t="s">
        <v>11</v>
      </c>
      <c r="D288">
        <v>4.4391855041263009</v>
      </c>
      <c r="E288">
        <v>0</v>
      </c>
      <c r="F288">
        <v>0</v>
      </c>
      <c r="G288">
        <v>4.9862438725490197</v>
      </c>
      <c r="H288">
        <v>0</v>
      </c>
      <c r="I288">
        <v>0</v>
      </c>
      <c r="J288">
        <v>1.1232339508935183</v>
      </c>
      <c r="K288">
        <v>0.1232339508935183</v>
      </c>
      <c r="L288">
        <v>0</v>
      </c>
      <c r="M288">
        <v>0</v>
      </c>
      <c r="N288">
        <v>0</v>
      </c>
      <c r="O288">
        <v>0</v>
      </c>
      <c r="P288">
        <v>0</v>
      </c>
      <c r="Q288">
        <v>0</v>
      </c>
      <c r="R288">
        <v>0</v>
      </c>
      <c r="S288">
        <v>0</v>
      </c>
      <c r="T288">
        <v>0</v>
      </c>
      <c r="U288">
        <v>0</v>
      </c>
      <c r="V288">
        <v>0</v>
      </c>
      <c r="W288">
        <v>0</v>
      </c>
      <c r="X288">
        <v>0</v>
      </c>
      <c r="Y288">
        <v>0</v>
      </c>
      <c r="Z288">
        <v>0</v>
      </c>
      <c r="AA288">
        <v>0</v>
      </c>
      <c r="AB288">
        <v>0</v>
      </c>
      <c r="AC288">
        <v>1</v>
      </c>
      <c r="AD288">
        <v>0</v>
      </c>
      <c r="AE288" t="s">
        <v>162</v>
      </c>
      <c r="AF288">
        <v>0</v>
      </c>
      <c r="AG288" t="s">
        <v>199</v>
      </c>
      <c r="AH288">
        <v>46304</v>
      </c>
      <c r="AI288" t="s">
        <v>149</v>
      </c>
    </row>
    <row r="289" spans="1:35" x14ac:dyDescent="0.25">
      <c r="A289" s="1">
        <v>46304</v>
      </c>
      <c r="B289" t="s">
        <v>148</v>
      </c>
      <c r="C289" t="s">
        <v>12</v>
      </c>
      <c r="D289">
        <v>8.9951916794138196</v>
      </c>
      <c r="E289">
        <v>0</v>
      </c>
      <c r="F289">
        <v>0</v>
      </c>
      <c r="G289">
        <v>11.480897671568629</v>
      </c>
      <c r="H289">
        <v>0</v>
      </c>
      <c r="I289">
        <v>0</v>
      </c>
      <c r="J289">
        <v>1.2763371899949099</v>
      </c>
      <c r="K289">
        <v>0.27633718999490986</v>
      </c>
      <c r="L289">
        <v>0</v>
      </c>
      <c r="M289">
        <v>0</v>
      </c>
      <c r="N289">
        <v>0</v>
      </c>
      <c r="O289">
        <v>0</v>
      </c>
      <c r="P289">
        <v>0</v>
      </c>
      <c r="Q289">
        <v>0</v>
      </c>
      <c r="R289">
        <v>0</v>
      </c>
      <c r="S289">
        <v>0</v>
      </c>
      <c r="T289">
        <v>0</v>
      </c>
      <c r="U289">
        <v>0</v>
      </c>
      <c r="V289">
        <v>0</v>
      </c>
      <c r="W289">
        <v>0</v>
      </c>
      <c r="X289">
        <v>0</v>
      </c>
      <c r="Y289">
        <v>0</v>
      </c>
      <c r="Z289">
        <v>0</v>
      </c>
      <c r="AA289">
        <v>0</v>
      </c>
      <c r="AB289">
        <v>0</v>
      </c>
      <c r="AC289">
        <v>1</v>
      </c>
      <c r="AD289">
        <v>0</v>
      </c>
      <c r="AE289" t="s">
        <v>162</v>
      </c>
      <c r="AF289">
        <v>0</v>
      </c>
      <c r="AG289" t="s">
        <v>197</v>
      </c>
      <c r="AH289">
        <v>46304</v>
      </c>
      <c r="AI289" t="s">
        <v>149</v>
      </c>
    </row>
    <row r="290" spans="1:35" x14ac:dyDescent="0.25">
      <c r="A290" s="1">
        <v>46305</v>
      </c>
      <c r="B290" t="s">
        <v>148</v>
      </c>
      <c r="C290" t="s">
        <v>10</v>
      </c>
      <c r="D290">
        <v>9.929757048703566</v>
      </c>
      <c r="E290">
        <v>0</v>
      </c>
      <c r="F290">
        <v>0</v>
      </c>
      <c r="G290">
        <v>12.797564338235292</v>
      </c>
      <c r="H290">
        <v>0</v>
      </c>
      <c r="I290">
        <v>0</v>
      </c>
      <c r="J290">
        <v>1.2888094114957374</v>
      </c>
      <c r="K290">
        <v>0.28880941149573736</v>
      </c>
      <c r="L290">
        <v>0</v>
      </c>
      <c r="M290">
        <v>0</v>
      </c>
      <c r="N290">
        <v>0</v>
      </c>
      <c r="O290">
        <v>0</v>
      </c>
      <c r="P290">
        <v>0</v>
      </c>
      <c r="Q290">
        <v>0</v>
      </c>
      <c r="R290">
        <v>0</v>
      </c>
      <c r="S290">
        <v>0</v>
      </c>
      <c r="T290">
        <v>0</v>
      </c>
      <c r="U290">
        <v>0</v>
      </c>
      <c r="V290">
        <v>0</v>
      </c>
      <c r="W290">
        <v>0</v>
      </c>
      <c r="X290">
        <v>0</v>
      </c>
      <c r="Y290">
        <v>0</v>
      </c>
      <c r="Z290">
        <v>0</v>
      </c>
      <c r="AA290">
        <v>0</v>
      </c>
      <c r="AB290">
        <v>0</v>
      </c>
      <c r="AC290">
        <v>1</v>
      </c>
      <c r="AD290">
        <v>0</v>
      </c>
      <c r="AE290" t="s">
        <v>162</v>
      </c>
      <c r="AF290">
        <v>0</v>
      </c>
      <c r="AG290" t="s">
        <v>200</v>
      </c>
      <c r="AH290">
        <v>46305</v>
      </c>
      <c r="AI290" t="s">
        <v>149</v>
      </c>
    </row>
    <row r="291" spans="1:35" x14ac:dyDescent="0.25">
      <c r="A291" s="1">
        <v>46305</v>
      </c>
      <c r="B291" t="s">
        <v>148</v>
      </c>
      <c r="C291" t="s">
        <v>11</v>
      </c>
      <c r="D291">
        <v>4.3223648329650821</v>
      </c>
      <c r="E291">
        <v>0</v>
      </c>
      <c r="F291">
        <v>0</v>
      </c>
      <c r="G291">
        <v>4.9862438725490197</v>
      </c>
      <c r="H291">
        <v>0</v>
      </c>
      <c r="I291">
        <v>0</v>
      </c>
      <c r="J291">
        <v>1.1535916252419918</v>
      </c>
      <c r="K291">
        <v>0.15359162524199177</v>
      </c>
      <c r="L291">
        <v>0</v>
      </c>
      <c r="M291">
        <v>0</v>
      </c>
      <c r="N291">
        <v>0</v>
      </c>
      <c r="O291">
        <v>0</v>
      </c>
      <c r="P291">
        <v>0</v>
      </c>
      <c r="Q291">
        <v>0</v>
      </c>
      <c r="R291">
        <v>0</v>
      </c>
      <c r="S291">
        <v>0</v>
      </c>
      <c r="T291">
        <v>0</v>
      </c>
      <c r="U291">
        <v>0</v>
      </c>
      <c r="V291">
        <v>0</v>
      </c>
      <c r="W291">
        <v>0</v>
      </c>
      <c r="X291">
        <v>0</v>
      </c>
      <c r="Y291">
        <v>0</v>
      </c>
      <c r="Z291">
        <v>0</v>
      </c>
      <c r="AA291">
        <v>0</v>
      </c>
      <c r="AB291">
        <v>0</v>
      </c>
      <c r="AC291">
        <v>1</v>
      </c>
      <c r="AD291">
        <v>0</v>
      </c>
      <c r="AE291" t="s">
        <v>162</v>
      </c>
      <c r="AF291">
        <v>0</v>
      </c>
      <c r="AG291" t="s">
        <v>201</v>
      </c>
      <c r="AH291">
        <v>46305</v>
      </c>
      <c r="AI291" t="s">
        <v>149</v>
      </c>
    </row>
    <row r="292" spans="1:35" x14ac:dyDescent="0.25">
      <c r="A292" s="1">
        <v>46305</v>
      </c>
      <c r="B292" t="s">
        <v>148</v>
      </c>
      <c r="C292" t="s">
        <v>12</v>
      </c>
      <c r="D292">
        <v>8.8783710082525999</v>
      </c>
      <c r="E292">
        <v>0</v>
      </c>
      <c r="F292">
        <v>0</v>
      </c>
      <c r="G292">
        <v>11.028691789215683</v>
      </c>
      <c r="H292">
        <v>0</v>
      </c>
      <c r="I292">
        <v>0</v>
      </c>
      <c r="J292">
        <v>1.2421976710552334</v>
      </c>
      <c r="K292">
        <v>0.24219767105523338</v>
      </c>
      <c r="L292">
        <v>0</v>
      </c>
      <c r="M292">
        <v>0</v>
      </c>
      <c r="N292">
        <v>0</v>
      </c>
      <c r="O292">
        <v>0</v>
      </c>
      <c r="P292">
        <v>0</v>
      </c>
      <c r="Q292">
        <v>0</v>
      </c>
      <c r="R292">
        <v>0</v>
      </c>
      <c r="S292">
        <v>0</v>
      </c>
      <c r="T292">
        <v>0</v>
      </c>
      <c r="U292">
        <v>0</v>
      </c>
      <c r="V292">
        <v>0</v>
      </c>
      <c r="W292">
        <v>0</v>
      </c>
      <c r="X292">
        <v>0</v>
      </c>
      <c r="Y292">
        <v>0</v>
      </c>
      <c r="Z292">
        <v>0</v>
      </c>
      <c r="AA292">
        <v>0</v>
      </c>
      <c r="AB292">
        <v>0</v>
      </c>
      <c r="AC292">
        <v>1</v>
      </c>
      <c r="AD292">
        <v>0</v>
      </c>
      <c r="AE292" t="s">
        <v>162</v>
      </c>
      <c r="AF292">
        <v>0</v>
      </c>
      <c r="AG292" t="s">
        <v>202</v>
      </c>
      <c r="AH292">
        <v>46305</v>
      </c>
      <c r="AI292" t="s">
        <v>149</v>
      </c>
    </row>
    <row r="293" spans="1:35" x14ac:dyDescent="0.25">
      <c r="A293" s="1">
        <v>46306</v>
      </c>
      <c r="B293" t="s">
        <v>148</v>
      </c>
      <c r="C293" t="s">
        <v>11</v>
      </c>
      <c r="D293">
        <v>4.4391855041263009</v>
      </c>
      <c r="E293">
        <v>0</v>
      </c>
      <c r="F293">
        <v>0</v>
      </c>
      <c r="G293">
        <v>4.9862438725490197</v>
      </c>
      <c r="H293">
        <v>0</v>
      </c>
      <c r="I293">
        <v>0</v>
      </c>
      <c r="J293">
        <v>1.1232339508935183</v>
      </c>
      <c r="K293">
        <v>0.1232339508935183</v>
      </c>
      <c r="L293">
        <v>0</v>
      </c>
      <c r="M293">
        <v>0</v>
      </c>
      <c r="N293">
        <v>0</v>
      </c>
      <c r="O293">
        <v>0</v>
      </c>
      <c r="P293">
        <v>0</v>
      </c>
      <c r="Q293">
        <v>0</v>
      </c>
      <c r="R293">
        <v>0</v>
      </c>
      <c r="S293">
        <v>0</v>
      </c>
      <c r="T293">
        <v>0</v>
      </c>
      <c r="U293">
        <v>0</v>
      </c>
      <c r="V293">
        <v>0</v>
      </c>
      <c r="W293">
        <v>0</v>
      </c>
      <c r="X293">
        <v>0</v>
      </c>
      <c r="Y293">
        <v>0</v>
      </c>
      <c r="Z293">
        <v>0</v>
      </c>
      <c r="AA293">
        <v>0</v>
      </c>
      <c r="AB293">
        <v>0</v>
      </c>
      <c r="AC293">
        <v>1</v>
      </c>
      <c r="AD293">
        <v>0</v>
      </c>
      <c r="AE293" t="s">
        <v>162</v>
      </c>
      <c r="AF293">
        <v>0</v>
      </c>
      <c r="AG293" t="s">
        <v>203</v>
      </c>
      <c r="AH293">
        <v>46306</v>
      </c>
      <c r="AI293" t="s">
        <v>149</v>
      </c>
    </row>
    <row r="294" spans="1:35" x14ac:dyDescent="0.25">
      <c r="A294" s="1">
        <v>46306</v>
      </c>
      <c r="B294" t="s">
        <v>148</v>
      </c>
      <c r="C294" t="s">
        <v>12</v>
      </c>
      <c r="D294">
        <v>8.9367813438332107</v>
      </c>
      <c r="E294">
        <v>0</v>
      </c>
      <c r="F294">
        <v>0</v>
      </c>
      <c r="G294">
        <v>11.657368259803924</v>
      </c>
      <c r="H294">
        <v>0</v>
      </c>
      <c r="I294">
        <v>0</v>
      </c>
      <c r="J294">
        <v>1.3044258118554106</v>
      </c>
      <c r="K294">
        <v>0.30442581185541062</v>
      </c>
      <c r="L294">
        <v>0</v>
      </c>
      <c r="M294">
        <v>0</v>
      </c>
      <c r="N294">
        <v>0</v>
      </c>
      <c r="O294">
        <v>0</v>
      </c>
      <c r="P294">
        <v>0</v>
      </c>
      <c r="Q294">
        <v>0</v>
      </c>
      <c r="R294">
        <v>0</v>
      </c>
      <c r="S294">
        <v>0</v>
      </c>
      <c r="T294">
        <v>0</v>
      </c>
      <c r="U294">
        <v>0</v>
      </c>
      <c r="V294">
        <v>0</v>
      </c>
      <c r="W294">
        <v>0</v>
      </c>
      <c r="X294">
        <v>0</v>
      </c>
      <c r="Y294">
        <v>0</v>
      </c>
      <c r="Z294">
        <v>0</v>
      </c>
      <c r="AA294">
        <v>0</v>
      </c>
      <c r="AB294">
        <v>0</v>
      </c>
      <c r="AC294">
        <v>1</v>
      </c>
      <c r="AD294">
        <v>0</v>
      </c>
      <c r="AE294" t="s">
        <v>162</v>
      </c>
      <c r="AF294">
        <v>0</v>
      </c>
      <c r="AG294" t="s">
        <v>205</v>
      </c>
      <c r="AH294">
        <v>46306</v>
      </c>
      <c r="AI294" t="s">
        <v>149</v>
      </c>
    </row>
    <row r="295" spans="1:35" x14ac:dyDescent="0.25">
      <c r="A295" s="1">
        <v>46306</v>
      </c>
      <c r="B295" t="s">
        <v>148</v>
      </c>
      <c r="C295" t="s">
        <v>10</v>
      </c>
      <c r="D295">
        <v>9.929757048703566</v>
      </c>
      <c r="E295">
        <v>0</v>
      </c>
      <c r="F295">
        <v>0</v>
      </c>
      <c r="G295">
        <v>10.918887867647058</v>
      </c>
      <c r="H295">
        <v>0</v>
      </c>
      <c r="I295">
        <v>0</v>
      </c>
      <c r="J295">
        <v>1.0996127915408196</v>
      </c>
      <c r="K295">
        <v>9.961279154081959E-2</v>
      </c>
      <c r="L295">
        <v>0</v>
      </c>
      <c r="M295">
        <v>0</v>
      </c>
      <c r="N295">
        <v>0</v>
      </c>
      <c r="O295">
        <v>0</v>
      </c>
      <c r="P295">
        <v>0</v>
      </c>
      <c r="Q295">
        <v>0</v>
      </c>
      <c r="R295">
        <v>0</v>
      </c>
      <c r="S295">
        <v>0</v>
      </c>
      <c r="T295">
        <v>0</v>
      </c>
      <c r="U295">
        <v>0</v>
      </c>
      <c r="V295">
        <v>0</v>
      </c>
      <c r="W295">
        <v>0</v>
      </c>
      <c r="X295">
        <v>0</v>
      </c>
      <c r="Y295">
        <v>0</v>
      </c>
      <c r="Z295">
        <v>0</v>
      </c>
      <c r="AA295">
        <v>0</v>
      </c>
      <c r="AB295">
        <v>0</v>
      </c>
      <c r="AC295">
        <v>1</v>
      </c>
      <c r="AD295">
        <v>0</v>
      </c>
      <c r="AE295" t="s">
        <v>162</v>
      </c>
      <c r="AF295">
        <v>0</v>
      </c>
      <c r="AG295" t="s">
        <v>204</v>
      </c>
      <c r="AH295">
        <v>46306</v>
      </c>
      <c r="AI295" t="s">
        <v>149</v>
      </c>
    </row>
    <row r="296" spans="1:35" x14ac:dyDescent="0.25">
      <c r="A296" s="1">
        <v>46307</v>
      </c>
      <c r="B296" t="s">
        <v>148</v>
      </c>
      <c r="C296" t="s">
        <v>12</v>
      </c>
      <c r="D296">
        <v>8.177446981285291</v>
      </c>
      <c r="E296">
        <v>0</v>
      </c>
      <c r="F296">
        <v>0</v>
      </c>
      <c r="G296">
        <v>10.088434436274513</v>
      </c>
      <c r="H296">
        <v>0</v>
      </c>
      <c r="I296">
        <v>0</v>
      </c>
      <c r="J296">
        <v>1.2336899840943831</v>
      </c>
      <c r="K296">
        <v>0.23368998409438313</v>
      </c>
      <c r="L296">
        <v>0</v>
      </c>
      <c r="M296">
        <v>0</v>
      </c>
      <c r="N296">
        <v>0</v>
      </c>
      <c r="O296">
        <v>0</v>
      </c>
      <c r="P296">
        <v>0</v>
      </c>
      <c r="Q296">
        <v>0</v>
      </c>
      <c r="R296">
        <v>0</v>
      </c>
      <c r="S296">
        <v>0</v>
      </c>
      <c r="T296">
        <v>0</v>
      </c>
      <c r="U296">
        <v>0</v>
      </c>
      <c r="V296">
        <v>0</v>
      </c>
      <c r="W296">
        <v>0</v>
      </c>
      <c r="X296">
        <v>0</v>
      </c>
      <c r="Y296">
        <v>0</v>
      </c>
      <c r="Z296">
        <v>0</v>
      </c>
      <c r="AA296">
        <v>0</v>
      </c>
      <c r="AB296">
        <v>0</v>
      </c>
      <c r="AC296">
        <v>1</v>
      </c>
      <c r="AD296">
        <v>0</v>
      </c>
      <c r="AE296" t="s">
        <v>162</v>
      </c>
      <c r="AF296">
        <v>0</v>
      </c>
      <c r="AG296" t="s">
        <v>207</v>
      </c>
      <c r="AH296">
        <v>46307</v>
      </c>
      <c r="AI296" t="s">
        <v>149</v>
      </c>
    </row>
    <row r="297" spans="1:35" x14ac:dyDescent="0.25">
      <c r="A297" s="1">
        <v>46307</v>
      </c>
      <c r="B297" t="s">
        <v>148</v>
      </c>
      <c r="C297" t="s">
        <v>11</v>
      </c>
      <c r="D297">
        <v>4.4391855041263009</v>
      </c>
      <c r="E297">
        <v>0</v>
      </c>
      <c r="F297">
        <v>0</v>
      </c>
      <c r="G297">
        <v>4.8685968137254898</v>
      </c>
      <c r="H297">
        <v>0</v>
      </c>
      <c r="I297">
        <v>0</v>
      </c>
      <c r="J297">
        <v>1.0967320039228015</v>
      </c>
      <c r="K297">
        <v>9.6732003922801457E-2</v>
      </c>
      <c r="L297">
        <v>0</v>
      </c>
      <c r="M297">
        <v>0</v>
      </c>
      <c r="N297">
        <v>0</v>
      </c>
      <c r="O297">
        <v>0</v>
      </c>
      <c r="P297">
        <v>0</v>
      </c>
      <c r="Q297">
        <v>0</v>
      </c>
      <c r="R297">
        <v>0</v>
      </c>
      <c r="S297">
        <v>0</v>
      </c>
      <c r="T297">
        <v>0</v>
      </c>
      <c r="U297">
        <v>0</v>
      </c>
      <c r="V297">
        <v>0</v>
      </c>
      <c r="W297">
        <v>0</v>
      </c>
      <c r="X297">
        <v>0</v>
      </c>
      <c r="Y297">
        <v>0</v>
      </c>
      <c r="Z297">
        <v>0</v>
      </c>
      <c r="AA297">
        <v>0</v>
      </c>
      <c r="AB297">
        <v>0</v>
      </c>
      <c r="AC297">
        <v>1</v>
      </c>
      <c r="AD297">
        <v>0</v>
      </c>
      <c r="AE297" t="s">
        <v>162</v>
      </c>
      <c r="AF297">
        <v>0</v>
      </c>
      <c r="AG297" t="s">
        <v>206</v>
      </c>
      <c r="AH297">
        <v>46307</v>
      </c>
      <c r="AI297" t="s">
        <v>149</v>
      </c>
    </row>
    <row r="298" spans="1:35" x14ac:dyDescent="0.25">
      <c r="A298" s="1">
        <v>46307</v>
      </c>
      <c r="B298" t="s">
        <v>148</v>
      </c>
      <c r="C298" t="s">
        <v>10</v>
      </c>
      <c r="D298">
        <v>10.864322417993314</v>
      </c>
      <c r="E298">
        <v>0</v>
      </c>
      <c r="F298">
        <v>0</v>
      </c>
      <c r="G298">
        <v>10.98046875</v>
      </c>
      <c r="H298">
        <v>0</v>
      </c>
      <c r="I298">
        <v>0</v>
      </c>
      <c r="J298">
        <v>1.0106906190315492</v>
      </c>
      <c r="K298">
        <v>1.069061903154922E-2</v>
      </c>
      <c r="L298">
        <v>0</v>
      </c>
      <c r="M298">
        <v>0</v>
      </c>
      <c r="N298">
        <v>0</v>
      </c>
      <c r="O298">
        <v>0</v>
      </c>
      <c r="P298">
        <v>0</v>
      </c>
      <c r="Q298">
        <v>0</v>
      </c>
      <c r="R298">
        <v>0</v>
      </c>
      <c r="S298">
        <v>0</v>
      </c>
      <c r="T298">
        <v>0</v>
      </c>
      <c r="U298">
        <v>0</v>
      </c>
      <c r="V298">
        <v>0</v>
      </c>
      <c r="W298">
        <v>0</v>
      </c>
      <c r="X298">
        <v>0</v>
      </c>
      <c r="Y298">
        <v>0</v>
      </c>
      <c r="Z298">
        <v>0</v>
      </c>
      <c r="AA298">
        <v>0</v>
      </c>
      <c r="AB298">
        <v>0</v>
      </c>
      <c r="AC298">
        <v>1</v>
      </c>
      <c r="AD298">
        <v>0</v>
      </c>
      <c r="AE298" t="s">
        <v>162</v>
      </c>
      <c r="AF298">
        <v>0</v>
      </c>
      <c r="AG298" t="s">
        <v>208</v>
      </c>
      <c r="AH298">
        <v>46307</v>
      </c>
      <c r="AI298" t="s">
        <v>149</v>
      </c>
    </row>
    <row r="299" spans="1:35" x14ac:dyDescent="0.25">
      <c r="A299" s="1">
        <v>46308</v>
      </c>
      <c r="B299" t="s">
        <v>148</v>
      </c>
      <c r="C299" t="s">
        <v>10</v>
      </c>
      <c r="D299">
        <v>10.864322417993314</v>
      </c>
      <c r="E299">
        <v>0</v>
      </c>
      <c r="F299">
        <v>0</v>
      </c>
      <c r="G299">
        <v>11.859604779411764</v>
      </c>
      <c r="H299">
        <v>0</v>
      </c>
      <c r="I299">
        <v>0</v>
      </c>
      <c r="J299">
        <v>1.0916101642721943</v>
      </c>
      <c r="K299">
        <v>9.1610164272194261E-2</v>
      </c>
      <c r="L299">
        <v>0</v>
      </c>
      <c r="M299">
        <v>0</v>
      </c>
      <c r="N299">
        <v>0</v>
      </c>
      <c r="O299">
        <v>0</v>
      </c>
      <c r="P299">
        <v>0</v>
      </c>
      <c r="Q299">
        <v>0</v>
      </c>
      <c r="R299">
        <v>0</v>
      </c>
      <c r="S299">
        <v>0</v>
      </c>
      <c r="T299">
        <v>0</v>
      </c>
      <c r="U299">
        <v>0</v>
      </c>
      <c r="V299">
        <v>0</v>
      </c>
      <c r="W299">
        <v>0</v>
      </c>
      <c r="X299">
        <v>0</v>
      </c>
      <c r="Y299">
        <v>0</v>
      </c>
      <c r="Z299">
        <v>0</v>
      </c>
      <c r="AA299">
        <v>0</v>
      </c>
      <c r="AB299">
        <v>0</v>
      </c>
      <c r="AC299">
        <v>1</v>
      </c>
      <c r="AD299">
        <v>0</v>
      </c>
      <c r="AE299" t="s">
        <v>162</v>
      </c>
      <c r="AF299">
        <v>0</v>
      </c>
      <c r="AG299" t="s">
        <v>210</v>
      </c>
      <c r="AH299">
        <v>46308</v>
      </c>
      <c r="AI299" t="s">
        <v>149</v>
      </c>
    </row>
    <row r="300" spans="1:35" x14ac:dyDescent="0.25">
      <c r="A300" s="1">
        <v>46308</v>
      </c>
      <c r="B300" t="s">
        <v>148</v>
      </c>
      <c r="C300" t="s">
        <v>11</v>
      </c>
      <c r="D300">
        <v>4.4391855041263009</v>
      </c>
      <c r="E300">
        <v>0</v>
      </c>
      <c r="F300">
        <v>0</v>
      </c>
      <c r="G300">
        <v>4.8685968137254898</v>
      </c>
      <c r="H300">
        <v>0</v>
      </c>
      <c r="I300">
        <v>0</v>
      </c>
      <c r="J300">
        <v>1.0967320039228015</v>
      </c>
      <c r="K300">
        <v>9.6732003922801457E-2</v>
      </c>
      <c r="L300">
        <v>0</v>
      </c>
      <c r="M300">
        <v>0</v>
      </c>
      <c r="N300">
        <v>0</v>
      </c>
      <c r="O300">
        <v>0</v>
      </c>
      <c r="P300">
        <v>0</v>
      </c>
      <c r="Q300">
        <v>0</v>
      </c>
      <c r="R300">
        <v>0</v>
      </c>
      <c r="S300">
        <v>0</v>
      </c>
      <c r="T300">
        <v>0</v>
      </c>
      <c r="U300">
        <v>0</v>
      </c>
      <c r="V300">
        <v>0</v>
      </c>
      <c r="W300">
        <v>0</v>
      </c>
      <c r="X300">
        <v>0</v>
      </c>
      <c r="Y300">
        <v>0</v>
      </c>
      <c r="Z300">
        <v>0</v>
      </c>
      <c r="AA300">
        <v>0</v>
      </c>
      <c r="AB300">
        <v>0</v>
      </c>
      <c r="AC300">
        <v>1</v>
      </c>
      <c r="AD300">
        <v>0</v>
      </c>
      <c r="AE300" t="s">
        <v>162</v>
      </c>
      <c r="AF300">
        <v>0</v>
      </c>
      <c r="AG300" t="s">
        <v>211</v>
      </c>
      <c r="AH300">
        <v>46308</v>
      </c>
      <c r="AI300" t="s">
        <v>149</v>
      </c>
    </row>
    <row r="301" spans="1:35" x14ac:dyDescent="0.25">
      <c r="A301" s="1">
        <v>46308</v>
      </c>
      <c r="B301" t="s">
        <v>148</v>
      </c>
      <c r="C301" t="s">
        <v>12</v>
      </c>
      <c r="D301">
        <v>8.1190366457046821</v>
      </c>
      <c r="E301">
        <v>0</v>
      </c>
      <c r="F301">
        <v>0</v>
      </c>
      <c r="G301">
        <v>10.146798406862748</v>
      </c>
      <c r="H301">
        <v>0</v>
      </c>
      <c r="I301">
        <v>0</v>
      </c>
      <c r="J301">
        <v>1.2497539855582298</v>
      </c>
      <c r="K301">
        <v>0.24975398555822981</v>
      </c>
      <c r="L301">
        <v>0</v>
      </c>
      <c r="M301">
        <v>0</v>
      </c>
      <c r="N301">
        <v>0</v>
      </c>
      <c r="O301">
        <v>0</v>
      </c>
      <c r="P301">
        <v>0</v>
      </c>
      <c r="Q301">
        <v>0</v>
      </c>
      <c r="R301">
        <v>0</v>
      </c>
      <c r="S301">
        <v>0</v>
      </c>
      <c r="T301">
        <v>0</v>
      </c>
      <c r="U301">
        <v>0</v>
      </c>
      <c r="V301">
        <v>0</v>
      </c>
      <c r="W301">
        <v>0</v>
      </c>
      <c r="X301">
        <v>0</v>
      </c>
      <c r="Y301">
        <v>0</v>
      </c>
      <c r="Z301">
        <v>0</v>
      </c>
      <c r="AA301">
        <v>0</v>
      </c>
      <c r="AB301">
        <v>0</v>
      </c>
      <c r="AC301">
        <v>1</v>
      </c>
      <c r="AD301">
        <v>0</v>
      </c>
      <c r="AE301" t="s">
        <v>162</v>
      </c>
      <c r="AF301">
        <v>0</v>
      </c>
      <c r="AG301" t="s">
        <v>209</v>
      </c>
      <c r="AH301">
        <v>46308</v>
      </c>
      <c r="AI301" t="s">
        <v>149</v>
      </c>
    </row>
    <row r="302" spans="1:35" x14ac:dyDescent="0.25">
      <c r="A302" s="1">
        <v>46309</v>
      </c>
      <c r="B302" t="s">
        <v>148</v>
      </c>
      <c r="C302" t="s">
        <v>11</v>
      </c>
      <c r="D302">
        <v>4.4391855041263009</v>
      </c>
      <c r="E302">
        <v>0</v>
      </c>
      <c r="F302">
        <v>0</v>
      </c>
      <c r="G302">
        <v>4.8685968137254898</v>
      </c>
      <c r="H302">
        <v>0</v>
      </c>
      <c r="I302">
        <v>0</v>
      </c>
      <c r="J302">
        <v>1.0967320039228015</v>
      </c>
      <c r="K302">
        <v>9.6732003922801457E-2</v>
      </c>
      <c r="L302">
        <v>0</v>
      </c>
      <c r="M302">
        <v>0</v>
      </c>
      <c r="N302">
        <v>0</v>
      </c>
      <c r="O302">
        <v>0</v>
      </c>
      <c r="P302">
        <v>0</v>
      </c>
      <c r="Q302">
        <v>0</v>
      </c>
      <c r="R302">
        <v>0</v>
      </c>
      <c r="S302">
        <v>0</v>
      </c>
      <c r="T302">
        <v>0</v>
      </c>
      <c r="U302">
        <v>0</v>
      </c>
      <c r="V302">
        <v>0</v>
      </c>
      <c r="W302">
        <v>0</v>
      </c>
      <c r="X302">
        <v>0</v>
      </c>
      <c r="Y302">
        <v>0</v>
      </c>
      <c r="Z302">
        <v>0</v>
      </c>
      <c r="AA302">
        <v>0</v>
      </c>
      <c r="AB302">
        <v>0</v>
      </c>
      <c r="AC302">
        <v>1</v>
      </c>
      <c r="AD302">
        <v>0</v>
      </c>
      <c r="AE302" t="s">
        <v>162</v>
      </c>
      <c r="AF302">
        <v>0</v>
      </c>
      <c r="AG302" t="s">
        <v>212</v>
      </c>
      <c r="AH302">
        <v>46309</v>
      </c>
      <c r="AI302" t="s">
        <v>149</v>
      </c>
    </row>
    <row r="303" spans="1:35" x14ac:dyDescent="0.25">
      <c r="A303" s="1">
        <v>46309</v>
      </c>
      <c r="B303" t="s">
        <v>148</v>
      </c>
      <c r="C303" t="s">
        <v>12</v>
      </c>
      <c r="D303">
        <v>8.0022159745434642</v>
      </c>
      <c r="E303">
        <v>0</v>
      </c>
      <c r="F303">
        <v>0</v>
      </c>
      <c r="G303">
        <v>10.025934436274513</v>
      </c>
      <c r="H303">
        <v>0</v>
      </c>
      <c r="I303">
        <v>0</v>
      </c>
      <c r="J303">
        <v>1.2528947566735105</v>
      </c>
      <c r="K303">
        <v>0.25289475667351047</v>
      </c>
      <c r="L303">
        <v>0</v>
      </c>
      <c r="M303">
        <v>0</v>
      </c>
      <c r="N303">
        <v>0</v>
      </c>
      <c r="O303">
        <v>0</v>
      </c>
      <c r="P303">
        <v>0</v>
      </c>
      <c r="Q303">
        <v>0</v>
      </c>
      <c r="R303">
        <v>0</v>
      </c>
      <c r="S303">
        <v>0</v>
      </c>
      <c r="T303">
        <v>0</v>
      </c>
      <c r="U303">
        <v>0</v>
      </c>
      <c r="V303">
        <v>0</v>
      </c>
      <c r="W303">
        <v>0</v>
      </c>
      <c r="X303">
        <v>0</v>
      </c>
      <c r="Y303">
        <v>0</v>
      </c>
      <c r="Z303">
        <v>0</v>
      </c>
      <c r="AA303">
        <v>0</v>
      </c>
      <c r="AB303">
        <v>0</v>
      </c>
      <c r="AC303">
        <v>1</v>
      </c>
      <c r="AD303">
        <v>0</v>
      </c>
      <c r="AE303" t="s">
        <v>162</v>
      </c>
      <c r="AF303">
        <v>0</v>
      </c>
      <c r="AG303" t="s">
        <v>213</v>
      </c>
      <c r="AH303">
        <v>46309</v>
      </c>
      <c r="AI303" t="s">
        <v>149</v>
      </c>
    </row>
    <row r="304" spans="1:35" x14ac:dyDescent="0.25">
      <c r="A304" s="1">
        <v>46309</v>
      </c>
      <c r="B304" t="s">
        <v>148</v>
      </c>
      <c r="C304" t="s">
        <v>10</v>
      </c>
      <c r="D304">
        <v>9.929757048703566</v>
      </c>
      <c r="E304">
        <v>0</v>
      </c>
      <c r="F304">
        <v>0</v>
      </c>
      <c r="G304">
        <v>10.98046875</v>
      </c>
      <c r="H304">
        <v>0</v>
      </c>
      <c r="I304">
        <v>0</v>
      </c>
      <c r="J304">
        <v>1.1058144419992244</v>
      </c>
      <c r="K304">
        <v>0.10581444199922441</v>
      </c>
      <c r="L304">
        <v>0</v>
      </c>
      <c r="M304">
        <v>0</v>
      </c>
      <c r="N304">
        <v>0</v>
      </c>
      <c r="O304">
        <v>0</v>
      </c>
      <c r="P304">
        <v>0</v>
      </c>
      <c r="Q304">
        <v>0</v>
      </c>
      <c r="R304">
        <v>0</v>
      </c>
      <c r="S304">
        <v>0</v>
      </c>
      <c r="T304">
        <v>0</v>
      </c>
      <c r="U304">
        <v>0</v>
      </c>
      <c r="V304">
        <v>0</v>
      </c>
      <c r="W304">
        <v>0</v>
      </c>
      <c r="X304">
        <v>0</v>
      </c>
      <c r="Y304">
        <v>0</v>
      </c>
      <c r="Z304">
        <v>0</v>
      </c>
      <c r="AA304">
        <v>0</v>
      </c>
      <c r="AB304">
        <v>0</v>
      </c>
      <c r="AC304">
        <v>1</v>
      </c>
      <c r="AD304">
        <v>0</v>
      </c>
      <c r="AE304" t="s">
        <v>162</v>
      </c>
      <c r="AF304">
        <v>0</v>
      </c>
      <c r="AG304" t="s">
        <v>214</v>
      </c>
      <c r="AH304">
        <v>46309</v>
      </c>
      <c r="AI304" t="s">
        <v>149</v>
      </c>
    </row>
    <row r="305" spans="1:35" x14ac:dyDescent="0.25">
      <c r="A305" s="1">
        <v>46310</v>
      </c>
      <c r="B305" t="s">
        <v>148</v>
      </c>
      <c r="C305" t="s">
        <v>10</v>
      </c>
      <c r="D305">
        <v>10.922732753573923</v>
      </c>
      <c r="E305">
        <v>0</v>
      </c>
      <c r="F305">
        <v>0</v>
      </c>
      <c r="G305">
        <v>11.977251838235295</v>
      </c>
      <c r="H305">
        <v>0</v>
      </c>
      <c r="I305">
        <v>0</v>
      </c>
      <c r="J305">
        <v>1.0965435215208696</v>
      </c>
      <c r="K305">
        <v>9.6543521520869646E-2</v>
      </c>
      <c r="L305">
        <v>0</v>
      </c>
      <c r="M305">
        <v>0</v>
      </c>
      <c r="N305">
        <v>0</v>
      </c>
      <c r="O305">
        <v>0</v>
      </c>
      <c r="P305">
        <v>0</v>
      </c>
      <c r="Q305">
        <v>0</v>
      </c>
      <c r="R305">
        <v>0</v>
      </c>
      <c r="S305">
        <v>0</v>
      </c>
      <c r="T305">
        <v>0</v>
      </c>
      <c r="U305">
        <v>0</v>
      </c>
      <c r="V305">
        <v>0</v>
      </c>
      <c r="W305">
        <v>0</v>
      </c>
      <c r="X305">
        <v>0</v>
      </c>
      <c r="Y305">
        <v>0</v>
      </c>
      <c r="Z305">
        <v>0</v>
      </c>
      <c r="AA305">
        <v>0</v>
      </c>
      <c r="AB305">
        <v>0</v>
      </c>
      <c r="AC305">
        <v>1</v>
      </c>
      <c r="AD305">
        <v>0</v>
      </c>
      <c r="AE305" t="s">
        <v>162</v>
      </c>
      <c r="AF305">
        <v>0</v>
      </c>
      <c r="AG305" t="s">
        <v>217</v>
      </c>
      <c r="AH305">
        <v>46310</v>
      </c>
      <c r="AI305" t="s">
        <v>149</v>
      </c>
    </row>
    <row r="306" spans="1:35" x14ac:dyDescent="0.25">
      <c r="A306" s="1">
        <v>46310</v>
      </c>
      <c r="B306" t="s">
        <v>148</v>
      </c>
      <c r="C306" t="s">
        <v>11</v>
      </c>
      <c r="D306">
        <v>4.4391855041263009</v>
      </c>
      <c r="E306">
        <v>0</v>
      </c>
      <c r="F306">
        <v>0</v>
      </c>
      <c r="G306">
        <v>4.9564874387254898</v>
      </c>
      <c r="H306">
        <v>0</v>
      </c>
      <c r="I306">
        <v>0</v>
      </c>
      <c r="J306">
        <v>1.1165308217280732</v>
      </c>
      <c r="K306">
        <v>0.11653082172807316</v>
      </c>
      <c r="L306">
        <v>0</v>
      </c>
      <c r="M306">
        <v>0</v>
      </c>
      <c r="N306">
        <v>0</v>
      </c>
      <c r="O306">
        <v>0</v>
      </c>
      <c r="P306">
        <v>0</v>
      </c>
      <c r="Q306">
        <v>0</v>
      </c>
      <c r="R306">
        <v>0</v>
      </c>
      <c r="S306">
        <v>0</v>
      </c>
      <c r="T306">
        <v>0</v>
      </c>
      <c r="U306">
        <v>0</v>
      </c>
      <c r="V306">
        <v>0</v>
      </c>
      <c r="W306">
        <v>0</v>
      </c>
      <c r="X306">
        <v>0</v>
      </c>
      <c r="Y306">
        <v>0</v>
      </c>
      <c r="Z306">
        <v>0</v>
      </c>
      <c r="AA306">
        <v>0</v>
      </c>
      <c r="AB306">
        <v>0</v>
      </c>
      <c r="AC306">
        <v>1</v>
      </c>
      <c r="AD306">
        <v>0</v>
      </c>
      <c r="AE306" t="s">
        <v>162</v>
      </c>
      <c r="AF306">
        <v>0</v>
      </c>
      <c r="AG306" t="s">
        <v>216</v>
      </c>
      <c r="AH306">
        <v>46310</v>
      </c>
      <c r="AI306" t="s">
        <v>149</v>
      </c>
    </row>
    <row r="307" spans="1:35" x14ac:dyDescent="0.25">
      <c r="A307" s="1">
        <v>46310</v>
      </c>
      <c r="B307" t="s">
        <v>148</v>
      </c>
      <c r="C307" t="s">
        <v>12</v>
      </c>
      <c r="D307">
        <v>8.8783710082525999</v>
      </c>
      <c r="E307">
        <v>0</v>
      </c>
      <c r="F307">
        <v>0</v>
      </c>
      <c r="G307">
        <v>10.816260723039218</v>
      </c>
      <c r="H307">
        <v>0</v>
      </c>
      <c r="I307">
        <v>0</v>
      </c>
      <c r="J307">
        <v>1.2182708644395819</v>
      </c>
      <c r="K307">
        <v>0.21827086443958188</v>
      </c>
      <c r="L307">
        <v>0</v>
      </c>
      <c r="M307">
        <v>0</v>
      </c>
      <c r="N307">
        <v>0</v>
      </c>
      <c r="O307">
        <v>0</v>
      </c>
      <c r="P307">
        <v>0</v>
      </c>
      <c r="Q307">
        <v>0</v>
      </c>
      <c r="R307">
        <v>0</v>
      </c>
      <c r="S307">
        <v>0</v>
      </c>
      <c r="T307">
        <v>0</v>
      </c>
      <c r="U307">
        <v>0</v>
      </c>
      <c r="V307">
        <v>0</v>
      </c>
      <c r="W307">
        <v>0</v>
      </c>
      <c r="X307">
        <v>0</v>
      </c>
      <c r="Y307">
        <v>0</v>
      </c>
      <c r="Z307">
        <v>0</v>
      </c>
      <c r="AA307">
        <v>0</v>
      </c>
      <c r="AB307">
        <v>0</v>
      </c>
      <c r="AC307">
        <v>1</v>
      </c>
      <c r="AD307">
        <v>0</v>
      </c>
      <c r="AE307" t="s">
        <v>162</v>
      </c>
      <c r="AF307">
        <v>0</v>
      </c>
      <c r="AG307" t="s">
        <v>215</v>
      </c>
      <c r="AH307">
        <v>46310</v>
      </c>
      <c r="AI307" t="s">
        <v>149</v>
      </c>
    </row>
    <row r="308" spans="1:35" x14ac:dyDescent="0.25">
      <c r="A308" s="1">
        <v>46311</v>
      </c>
      <c r="B308" t="s">
        <v>148</v>
      </c>
      <c r="C308" t="s">
        <v>11</v>
      </c>
      <c r="D308">
        <v>4.4391855041263009</v>
      </c>
      <c r="E308">
        <v>0</v>
      </c>
      <c r="F308">
        <v>0</v>
      </c>
      <c r="G308">
        <v>4.9868566176470583</v>
      </c>
      <c r="H308">
        <v>0</v>
      </c>
      <c r="I308">
        <v>0</v>
      </c>
      <c r="J308">
        <v>1.123371981867324</v>
      </c>
      <c r="K308">
        <v>0.12337198186732401</v>
      </c>
      <c r="L308">
        <v>0</v>
      </c>
      <c r="M308">
        <v>0</v>
      </c>
      <c r="N308">
        <v>0</v>
      </c>
      <c r="O308">
        <v>0</v>
      </c>
      <c r="P308">
        <v>0</v>
      </c>
      <c r="Q308">
        <v>0</v>
      </c>
      <c r="R308">
        <v>0</v>
      </c>
      <c r="S308">
        <v>0</v>
      </c>
      <c r="T308">
        <v>0</v>
      </c>
      <c r="U308">
        <v>0</v>
      </c>
      <c r="V308">
        <v>0</v>
      </c>
      <c r="W308">
        <v>0</v>
      </c>
      <c r="X308">
        <v>0</v>
      </c>
      <c r="Y308">
        <v>0</v>
      </c>
      <c r="Z308">
        <v>0</v>
      </c>
      <c r="AA308">
        <v>0</v>
      </c>
      <c r="AB308">
        <v>0</v>
      </c>
      <c r="AC308">
        <v>1</v>
      </c>
      <c r="AD308">
        <v>0</v>
      </c>
      <c r="AE308" t="s">
        <v>162</v>
      </c>
      <c r="AF308">
        <v>0</v>
      </c>
      <c r="AG308" t="s">
        <v>218</v>
      </c>
      <c r="AH308">
        <v>46311</v>
      </c>
      <c r="AI308" t="s">
        <v>149</v>
      </c>
    </row>
    <row r="309" spans="1:35" x14ac:dyDescent="0.25">
      <c r="A309" s="1">
        <v>46311</v>
      </c>
      <c r="B309" t="s">
        <v>148</v>
      </c>
      <c r="C309" t="s">
        <v>10</v>
      </c>
      <c r="D309">
        <v>9.929757048703566</v>
      </c>
      <c r="E309">
        <v>0</v>
      </c>
      <c r="F309">
        <v>0</v>
      </c>
      <c r="G309">
        <v>10.212545955882351</v>
      </c>
      <c r="H309">
        <v>0</v>
      </c>
      <c r="I309">
        <v>0</v>
      </c>
      <c r="J309">
        <v>1.0284789351634445</v>
      </c>
      <c r="K309">
        <v>2.8478935163444463E-2</v>
      </c>
      <c r="L309">
        <v>0</v>
      </c>
      <c r="M309">
        <v>0</v>
      </c>
      <c r="N309">
        <v>0</v>
      </c>
      <c r="O309">
        <v>0</v>
      </c>
      <c r="P309">
        <v>0</v>
      </c>
      <c r="Q309">
        <v>0</v>
      </c>
      <c r="R309">
        <v>0</v>
      </c>
      <c r="S309">
        <v>0</v>
      </c>
      <c r="T309">
        <v>0</v>
      </c>
      <c r="U309">
        <v>0</v>
      </c>
      <c r="V309">
        <v>0</v>
      </c>
      <c r="W309">
        <v>0</v>
      </c>
      <c r="X309">
        <v>0</v>
      </c>
      <c r="Y309">
        <v>0</v>
      </c>
      <c r="Z309">
        <v>0</v>
      </c>
      <c r="AA309">
        <v>0</v>
      </c>
      <c r="AB309">
        <v>0</v>
      </c>
      <c r="AC309">
        <v>1</v>
      </c>
      <c r="AD309">
        <v>0</v>
      </c>
      <c r="AE309" t="s">
        <v>162</v>
      </c>
      <c r="AF309">
        <v>0</v>
      </c>
      <c r="AG309" t="s">
        <v>220</v>
      </c>
      <c r="AH309">
        <v>46311</v>
      </c>
      <c r="AI309" t="s">
        <v>149</v>
      </c>
    </row>
    <row r="310" spans="1:35" x14ac:dyDescent="0.25">
      <c r="A310" s="1">
        <v>46311</v>
      </c>
      <c r="B310" t="s">
        <v>148</v>
      </c>
      <c r="C310" t="s">
        <v>12</v>
      </c>
      <c r="D310">
        <v>8.9367813438332107</v>
      </c>
      <c r="E310">
        <v>0</v>
      </c>
      <c r="F310">
        <v>0</v>
      </c>
      <c r="G310">
        <v>10.67559742647059</v>
      </c>
      <c r="H310">
        <v>0</v>
      </c>
      <c r="I310">
        <v>0</v>
      </c>
      <c r="J310">
        <v>1.1945684934808485</v>
      </c>
      <c r="K310">
        <v>0.19456849348084848</v>
      </c>
      <c r="L310">
        <v>0</v>
      </c>
      <c r="M310">
        <v>0</v>
      </c>
      <c r="N310">
        <v>0</v>
      </c>
      <c r="O310">
        <v>0</v>
      </c>
      <c r="P310">
        <v>0</v>
      </c>
      <c r="Q310">
        <v>0</v>
      </c>
      <c r="R310">
        <v>0</v>
      </c>
      <c r="S310">
        <v>0</v>
      </c>
      <c r="T310">
        <v>0</v>
      </c>
      <c r="U310">
        <v>0</v>
      </c>
      <c r="V310">
        <v>0</v>
      </c>
      <c r="W310">
        <v>0</v>
      </c>
      <c r="X310">
        <v>0</v>
      </c>
      <c r="Y310">
        <v>0</v>
      </c>
      <c r="Z310">
        <v>0</v>
      </c>
      <c r="AA310">
        <v>0</v>
      </c>
      <c r="AB310">
        <v>0</v>
      </c>
      <c r="AC310">
        <v>1</v>
      </c>
      <c r="AD310">
        <v>0</v>
      </c>
      <c r="AE310" t="s">
        <v>162</v>
      </c>
      <c r="AF310">
        <v>0</v>
      </c>
      <c r="AG310" t="s">
        <v>219</v>
      </c>
      <c r="AH310">
        <v>46311</v>
      </c>
      <c r="AI310" t="s">
        <v>149</v>
      </c>
    </row>
    <row r="311" spans="1:35" x14ac:dyDescent="0.25">
      <c r="A311" s="1">
        <v>46312</v>
      </c>
      <c r="B311" t="s">
        <v>148</v>
      </c>
      <c r="C311" t="s">
        <v>10</v>
      </c>
      <c r="D311">
        <v>9.929757048703566</v>
      </c>
      <c r="E311">
        <v>0</v>
      </c>
      <c r="F311">
        <v>0</v>
      </c>
      <c r="G311">
        <v>11.094898897058822</v>
      </c>
      <c r="H311">
        <v>0</v>
      </c>
      <c r="I311">
        <v>0</v>
      </c>
      <c r="J311">
        <v>1.1173384044182006</v>
      </c>
      <c r="K311">
        <v>0.11733840441820065</v>
      </c>
      <c r="L311">
        <v>0</v>
      </c>
      <c r="M311">
        <v>0</v>
      </c>
      <c r="N311">
        <v>0</v>
      </c>
      <c r="O311">
        <v>0</v>
      </c>
      <c r="P311">
        <v>0</v>
      </c>
      <c r="Q311">
        <v>0</v>
      </c>
      <c r="R311">
        <v>0</v>
      </c>
      <c r="S311">
        <v>0</v>
      </c>
      <c r="T311">
        <v>0</v>
      </c>
      <c r="U311">
        <v>0</v>
      </c>
      <c r="V311">
        <v>0</v>
      </c>
      <c r="W311">
        <v>0</v>
      </c>
      <c r="X311">
        <v>0</v>
      </c>
      <c r="Y311">
        <v>0</v>
      </c>
      <c r="Z311">
        <v>0</v>
      </c>
      <c r="AA311">
        <v>0</v>
      </c>
      <c r="AB311">
        <v>0</v>
      </c>
      <c r="AC311">
        <v>1</v>
      </c>
      <c r="AD311">
        <v>0</v>
      </c>
      <c r="AE311" t="s">
        <v>162</v>
      </c>
      <c r="AF311">
        <v>0</v>
      </c>
      <c r="AG311" t="s">
        <v>222</v>
      </c>
      <c r="AH311">
        <v>46312</v>
      </c>
      <c r="AI311" t="s">
        <v>149</v>
      </c>
    </row>
    <row r="312" spans="1:35" x14ac:dyDescent="0.25">
      <c r="A312" s="1">
        <v>46312</v>
      </c>
      <c r="B312" t="s">
        <v>148</v>
      </c>
      <c r="C312" t="s">
        <v>11</v>
      </c>
      <c r="D312">
        <v>4.4391855041263009</v>
      </c>
      <c r="E312">
        <v>0</v>
      </c>
      <c r="F312">
        <v>0</v>
      </c>
      <c r="G312">
        <v>4.9572993259803919</v>
      </c>
      <c r="H312">
        <v>0</v>
      </c>
      <c r="I312">
        <v>0</v>
      </c>
      <c r="J312">
        <v>1.116713712768366</v>
      </c>
      <c r="K312">
        <v>0.11671371276836595</v>
      </c>
      <c r="L312">
        <v>0</v>
      </c>
      <c r="M312">
        <v>0</v>
      </c>
      <c r="N312">
        <v>0</v>
      </c>
      <c r="O312">
        <v>0</v>
      </c>
      <c r="P312">
        <v>0</v>
      </c>
      <c r="Q312">
        <v>0</v>
      </c>
      <c r="R312">
        <v>0</v>
      </c>
      <c r="S312">
        <v>0</v>
      </c>
      <c r="T312">
        <v>0</v>
      </c>
      <c r="U312">
        <v>0</v>
      </c>
      <c r="V312">
        <v>0</v>
      </c>
      <c r="W312">
        <v>0</v>
      </c>
      <c r="X312">
        <v>0</v>
      </c>
      <c r="Y312">
        <v>0</v>
      </c>
      <c r="Z312">
        <v>0</v>
      </c>
      <c r="AA312">
        <v>0</v>
      </c>
      <c r="AB312">
        <v>0</v>
      </c>
      <c r="AC312">
        <v>1</v>
      </c>
      <c r="AD312">
        <v>0</v>
      </c>
      <c r="AE312" t="s">
        <v>162</v>
      </c>
      <c r="AF312">
        <v>0</v>
      </c>
      <c r="AG312" t="s">
        <v>223</v>
      </c>
      <c r="AH312">
        <v>46312</v>
      </c>
      <c r="AI312" t="s">
        <v>149</v>
      </c>
    </row>
    <row r="313" spans="1:35" x14ac:dyDescent="0.25">
      <c r="A313" s="1">
        <v>46312</v>
      </c>
      <c r="B313" t="s">
        <v>148</v>
      </c>
      <c r="C313" t="s">
        <v>12</v>
      </c>
      <c r="D313">
        <v>8.0606263101240732</v>
      </c>
      <c r="E313">
        <v>0</v>
      </c>
      <c r="F313">
        <v>0</v>
      </c>
      <c r="G313">
        <v>10.697801776960784</v>
      </c>
      <c r="H313">
        <v>0</v>
      </c>
      <c r="I313">
        <v>0</v>
      </c>
      <c r="J313">
        <v>1.3271675630868092</v>
      </c>
      <c r="K313">
        <v>0.32716756308680917</v>
      </c>
      <c r="L313">
        <v>0</v>
      </c>
      <c r="M313">
        <v>0</v>
      </c>
      <c r="N313">
        <v>0</v>
      </c>
      <c r="O313">
        <v>0</v>
      </c>
      <c r="P313">
        <v>0</v>
      </c>
      <c r="Q313">
        <v>0</v>
      </c>
      <c r="R313">
        <v>0</v>
      </c>
      <c r="S313">
        <v>0</v>
      </c>
      <c r="T313">
        <v>0</v>
      </c>
      <c r="U313">
        <v>0</v>
      </c>
      <c r="V313">
        <v>0</v>
      </c>
      <c r="W313">
        <v>0</v>
      </c>
      <c r="X313">
        <v>0</v>
      </c>
      <c r="Y313">
        <v>0</v>
      </c>
      <c r="Z313">
        <v>0</v>
      </c>
      <c r="AA313">
        <v>0</v>
      </c>
      <c r="AB313">
        <v>0</v>
      </c>
      <c r="AC313">
        <v>1</v>
      </c>
      <c r="AD313">
        <v>0</v>
      </c>
      <c r="AE313" t="s">
        <v>162</v>
      </c>
      <c r="AF313">
        <v>0</v>
      </c>
      <c r="AG313" t="s">
        <v>221</v>
      </c>
      <c r="AH313">
        <v>46312</v>
      </c>
      <c r="AI313" t="s">
        <v>149</v>
      </c>
    </row>
    <row r="314" spans="1:35" x14ac:dyDescent="0.25">
      <c r="A314" s="1">
        <v>46313</v>
      </c>
      <c r="B314" t="s">
        <v>148</v>
      </c>
      <c r="C314" t="s">
        <v>10</v>
      </c>
      <c r="D314">
        <v>9.929757048703566</v>
      </c>
      <c r="E314">
        <v>0</v>
      </c>
      <c r="F314">
        <v>0</v>
      </c>
      <c r="G314">
        <v>10.212545955882351</v>
      </c>
      <c r="H314">
        <v>0</v>
      </c>
      <c r="I314">
        <v>0</v>
      </c>
      <c r="J314">
        <v>1.0284789351634445</v>
      </c>
      <c r="K314">
        <v>2.8478935163444463E-2</v>
      </c>
      <c r="L314">
        <v>0</v>
      </c>
      <c r="M314">
        <v>0</v>
      </c>
      <c r="N314">
        <v>0</v>
      </c>
      <c r="O314">
        <v>0</v>
      </c>
      <c r="P314">
        <v>0</v>
      </c>
      <c r="Q314">
        <v>0</v>
      </c>
      <c r="R314">
        <v>0</v>
      </c>
      <c r="S314">
        <v>0</v>
      </c>
      <c r="T314">
        <v>0</v>
      </c>
      <c r="U314">
        <v>0</v>
      </c>
      <c r="V314">
        <v>0</v>
      </c>
      <c r="W314">
        <v>0</v>
      </c>
      <c r="X314">
        <v>0</v>
      </c>
      <c r="Y314">
        <v>0</v>
      </c>
      <c r="Z314">
        <v>0</v>
      </c>
      <c r="AA314">
        <v>0</v>
      </c>
      <c r="AB314">
        <v>0</v>
      </c>
      <c r="AC314">
        <v>1</v>
      </c>
      <c r="AD314">
        <v>0</v>
      </c>
      <c r="AE314" t="s">
        <v>162</v>
      </c>
      <c r="AF314">
        <v>0</v>
      </c>
      <c r="AG314" t="s">
        <v>224</v>
      </c>
      <c r="AH314">
        <v>46313</v>
      </c>
      <c r="AI314" t="s">
        <v>149</v>
      </c>
    </row>
    <row r="315" spans="1:35" x14ac:dyDescent="0.25">
      <c r="A315" s="1">
        <v>46313</v>
      </c>
      <c r="B315" t="s">
        <v>148</v>
      </c>
      <c r="C315" t="s">
        <v>11</v>
      </c>
      <c r="D315">
        <v>4.4391855041263009</v>
      </c>
      <c r="E315">
        <v>0</v>
      </c>
      <c r="F315">
        <v>0</v>
      </c>
      <c r="G315">
        <v>4.9269301470588225</v>
      </c>
      <c r="H315">
        <v>0</v>
      </c>
      <c r="I315">
        <v>0</v>
      </c>
      <c r="J315">
        <v>1.1098725526291151</v>
      </c>
      <c r="K315">
        <v>0.10987255262911511</v>
      </c>
      <c r="L315">
        <v>0</v>
      </c>
      <c r="M315">
        <v>0</v>
      </c>
      <c r="N315">
        <v>0</v>
      </c>
      <c r="O315">
        <v>0</v>
      </c>
      <c r="P315">
        <v>0</v>
      </c>
      <c r="Q315">
        <v>0</v>
      </c>
      <c r="R315">
        <v>0</v>
      </c>
      <c r="S315">
        <v>0</v>
      </c>
      <c r="T315">
        <v>0</v>
      </c>
      <c r="U315">
        <v>0</v>
      </c>
      <c r="V315">
        <v>0</v>
      </c>
      <c r="W315">
        <v>0</v>
      </c>
      <c r="X315">
        <v>0</v>
      </c>
      <c r="Y315">
        <v>0</v>
      </c>
      <c r="Z315">
        <v>0</v>
      </c>
      <c r="AA315">
        <v>0</v>
      </c>
      <c r="AB315">
        <v>0</v>
      </c>
      <c r="AC315">
        <v>1</v>
      </c>
      <c r="AD315">
        <v>0</v>
      </c>
      <c r="AE315" t="s">
        <v>162</v>
      </c>
      <c r="AF315">
        <v>0</v>
      </c>
      <c r="AG315" t="s">
        <v>225</v>
      </c>
      <c r="AH315">
        <v>46313</v>
      </c>
      <c r="AI315" t="s">
        <v>149</v>
      </c>
    </row>
    <row r="316" spans="1:35" x14ac:dyDescent="0.25">
      <c r="A316" s="1">
        <v>46313</v>
      </c>
      <c r="B316" t="s">
        <v>148</v>
      </c>
      <c r="C316" t="s">
        <v>12</v>
      </c>
      <c r="D316">
        <v>8.1190366457046803</v>
      </c>
      <c r="E316">
        <v>0</v>
      </c>
      <c r="F316">
        <v>0</v>
      </c>
      <c r="G316">
        <v>10.485523897058822</v>
      </c>
      <c r="H316">
        <v>0</v>
      </c>
      <c r="I316">
        <v>0</v>
      </c>
      <c r="J316">
        <v>1.2914738970424668</v>
      </c>
      <c r="K316">
        <v>0.29147389704246685</v>
      </c>
      <c r="L316">
        <v>0</v>
      </c>
      <c r="M316">
        <v>0</v>
      </c>
      <c r="N316">
        <v>0</v>
      </c>
      <c r="O316">
        <v>0</v>
      </c>
      <c r="P316">
        <v>0</v>
      </c>
      <c r="Q316">
        <v>0</v>
      </c>
      <c r="R316">
        <v>0</v>
      </c>
      <c r="S316">
        <v>0</v>
      </c>
      <c r="T316">
        <v>0</v>
      </c>
      <c r="U316">
        <v>0</v>
      </c>
      <c r="V316">
        <v>0</v>
      </c>
      <c r="W316">
        <v>0</v>
      </c>
      <c r="X316">
        <v>0</v>
      </c>
      <c r="Y316">
        <v>0</v>
      </c>
      <c r="Z316">
        <v>0</v>
      </c>
      <c r="AA316">
        <v>0</v>
      </c>
      <c r="AB316">
        <v>0</v>
      </c>
      <c r="AC316">
        <v>1</v>
      </c>
      <c r="AD316">
        <v>0</v>
      </c>
      <c r="AE316" t="s">
        <v>162</v>
      </c>
      <c r="AF316">
        <v>0</v>
      </c>
      <c r="AG316" t="s">
        <v>226</v>
      </c>
      <c r="AH316">
        <v>46313</v>
      </c>
      <c r="AI316" t="s">
        <v>149</v>
      </c>
    </row>
    <row r="317" spans="1:35" x14ac:dyDescent="0.25">
      <c r="A317" s="1">
        <v>46314</v>
      </c>
      <c r="B317" t="s">
        <v>148</v>
      </c>
      <c r="C317" t="s">
        <v>12</v>
      </c>
      <c r="D317">
        <v>8.177446981285291</v>
      </c>
      <c r="E317">
        <v>0</v>
      </c>
      <c r="F317">
        <v>0</v>
      </c>
      <c r="G317">
        <v>10.179541973039218</v>
      </c>
      <c r="H317">
        <v>0</v>
      </c>
      <c r="I317">
        <v>0</v>
      </c>
      <c r="J317">
        <v>1.2448313020354487</v>
      </c>
      <c r="K317">
        <v>0.24483130203544867</v>
      </c>
      <c r="L317">
        <v>0</v>
      </c>
      <c r="M317">
        <v>0</v>
      </c>
      <c r="N317">
        <v>0</v>
      </c>
      <c r="O317">
        <v>0</v>
      </c>
      <c r="P317">
        <v>0</v>
      </c>
      <c r="Q317">
        <v>0</v>
      </c>
      <c r="R317">
        <v>0</v>
      </c>
      <c r="S317">
        <v>0</v>
      </c>
      <c r="T317">
        <v>0</v>
      </c>
      <c r="U317">
        <v>0</v>
      </c>
      <c r="V317">
        <v>0</v>
      </c>
      <c r="W317">
        <v>0</v>
      </c>
      <c r="X317">
        <v>0</v>
      </c>
      <c r="Y317">
        <v>0</v>
      </c>
      <c r="Z317">
        <v>0</v>
      </c>
      <c r="AA317">
        <v>0</v>
      </c>
      <c r="AB317">
        <v>0</v>
      </c>
      <c r="AC317">
        <v>1</v>
      </c>
      <c r="AD317">
        <v>0</v>
      </c>
      <c r="AE317" t="s">
        <v>162</v>
      </c>
      <c r="AF317">
        <v>0</v>
      </c>
      <c r="AG317" t="s">
        <v>227</v>
      </c>
      <c r="AH317">
        <v>46314</v>
      </c>
      <c r="AI317" t="s">
        <v>149</v>
      </c>
    </row>
    <row r="318" spans="1:35" x14ac:dyDescent="0.25">
      <c r="A318" s="1">
        <v>46314</v>
      </c>
      <c r="B318" t="s">
        <v>148</v>
      </c>
      <c r="C318" t="s">
        <v>10</v>
      </c>
      <c r="D318">
        <v>10.864322417993314</v>
      </c>
      <c r="E318">
        <v>0</v>
      </c>
      <c r="F318">
        <v>0</v>
      </c>
      <c r="G318">
        <v>11.85960477941177</v>
      </c>
      <c r="H318">
        <v>0</v>
      </c>
      <c r="I318">
        <v>0</v>
      </c>
      <c r="J318">
        <v>1.0916101642721947</v>
      </c>
      <c r="K318">
        <v>9.1610164272194705E-2</v>
      </c>
      <c r="L318">
        <v>0</v>
      </c>
      <c r="M318">
        <v>0</v>
      </c>
      <c r="N318">
        <v>0</v>
      </c>
      <c r="O318">
        <v>0</v>
      </c>
      <c r="P318">
        <v>0</v>
      </c>
      <c r="Q318">
        <v>0</v>
      </c>
      <c r="R318">
        <v>0</v>
      </c>
      <c r="S318">
        <v>0</v>
      </c>
      <c r="T318">
        <v>0</v>
      </c>
      <c r="U318">
        <v>0</v>
      </c>
      <c r="V318">
        <v>0</v>
      </c>
      <c r="W318">
        <v>0</v>
      </c>
      <c r="X318">
        <v>0</v>
      </c>
      <c r="Y318">
        <v>0</v>
      </c>
      <c r="Z318">
        <v>0</v>
      </c>
      <c r="AA318">
        <v>0</v>
      </c>
      <c r="AB318">
        <v>0</v>
      </c>
      <c r="AC318">
        <v>1</v>
      </c>
      <c r="AD318">
        <v>0</v>
      </c>
      <c r="AE318" t="s">
        <v>162</v>
      </c>
      <c r="AF318">
        <v>0</v>
      </c>
      <c r="AG318" t="s">
        <v>229</v>
      </c>
      <c r="AH318">
        <v>46314</v>
      </c>
      <c r="AI318" t="s">
        <v>149</v>
      </c>
    </row>
    <row r="319" spans="1:35" x14ac:dyDescent="0.25">
      <c r="A319" s="1">
        <v>46314</v>
      </c>
      <c r="B319" t="s">
        <v>148</v>
      </c>
      <c r="C319" t="s">
        <v>11</v>
      </c>
      <c r="D319">
        <v>4.4391855041263009</v>
      </c>
      <c r="E319">
        <v>0</v>
      </c>
      <c r="F319">
        <v>0</v>
      </c>
      <c r="G319">
        <v>4.8983532475490188</v>
      </c>
      <c r="H319">
        <v>0</v>
      </c>
      <c r="I319">
        <v>0</v>
      </c>
      <c r="J319">
        <v>1.1034351330882464</v>
      </c>
      <c r="K319">
        <v>0.10343513308824637</v>
      </c>
      <c r="L319">
        <v>0</v>
      </c>
      <c r="M319">
        <v>0</v>
      </c>
      <c r="N319">
        <v>0</v>
      </c>
      <c r="O319">
        <v>0</v>
      </c>
      <c r="P319">
        <v>0</v>
      </c>
      <c r="Q319">
        <v>0</v>
      </c>
      <c r="R319">
        <v>0</v>
      </c>
      <c r="S319">
        <v>0</v>
      </c>
      <c r="T319">
        <v>0</v>
      </c>
      <c r="U319">
        <v>0</v>
      </c>
      <c r="V319">
        <v>0</v>
      </c>
      <c r="W319">
        <v>0</v>
      </c>
      <c r="X319">
        <v>0</v>
      </c>
      <c r="Y319">
        <v>0</v>
      </c>
      <c r="Z319">
        <v>0</v>
      </c>
      <c r="AA319">
        <v>0</v>
      </c>
      <c r="AB319">
        <v>0</v>
      </c>
      <c r="AC319">
        <v>1</v>
      </c>
      <c r="AD319">
        <v>0</v>
      </c>
      <c r="AE319" t="s">
        <v>162</v>
      </c>
      <c r="AF319">
        <v>0</v>
      </c>
      <c r="AG319" t="s">
        <v>228</v>
      </c>
      <c r="AH319">
        <v>46314</v>
      </c>
      <c r="AI319" t="s">
        <v>149</v>
      </c>
    </row>
    <row r="320" spans="1:35" x14ac:dyDescent="0.25">
      <c r="A320" s="1">
        <v>46315</v>
      </c>
      <c r="B320" t="s">
        <v>148</v>
      </c>
      <c r="C320" t="s">
        <v>10</v>
      </c>
      <c r="D320">
        <v>10.864322417993314</v>
      </c>
      <c r="E320">
        <v>0</v>
      </c>
      <c r="F320">
        <v>0</v>
      </c>
      <c r="G320">
        <v>11.962086397058822</v>
      </c>
      <c r="H320">
        <v>0</v>
      </c>
      <c r="I320">
        <v>0</v>
      </c>
      <c r="J320">
        <v>1.1010430229176014</v>
      </c>
      <c r="K320">
        <v>0.10104302291760137</v>
      </c>
      <c r="L320">
        <v>0</v>
      </c>
      <c r="M320">
        <v>0</v>
      </c>
      <c r="N320">
        <v>0</v>
      </c>
      <c r="O320">
        <v>0</v>
      </c>
      <c r="P320">
        <v>0</v>
      </c>
      <c r="Q320">
        <v>0</v>
      </c>
      <c r="R320">
        <v>0</v>
      </c>
      <c r="S320">
        <v>0</v>
      </c>
      <c r="T320">
        <v>0</v>
      </c>
      <c r="U320">
        <v>0</v>
      </c>
      <c r="V320">
        <v>0</v>
      </c>
      <c r="W320">
        <v>0</v>
      </c>
      <c r="X320">
        <v>0</v>
      </c>
      <c r="Y320">
        <v>0</v>
      </c>
      <c r="Z320">
        <v>0</v>
      </c>
      <c r="AA320">
        <v>0</v>
      </c>
      <c r="AB320">
        <v>0</v>
      </c>
      <c r="AC320">
        <v>1</v>
      </c>
      <c r="AD320">
        <v>0</v>
      </c>
      <c r="AE320" t="s">
        <v>162</v>
      </c>
      <c r="AF320">
        <v>0</v>
      </c>
      <c r="AG320" t="s">
        <v>230</v>
      </c>
      <c r="AH320">
        <v>46315</v>
      </c>
      <c r="AI320" t="s">
        <v>149</v>
      </c>
    </row>
    <row r="321" spans="1:35" x14ac:dyDescent="0.25">
      <c r="A321" s="1">
        <v>46315</v>
      </c>
      <c r="B321" t="s">
        <v>148</v>
      </c>
      <c r="C321" t="s">
        <v>11</v>
      </c>
      <c r="D321">
        <v>4.4391855041263009</v>
      </c>
      <c r="E321">
        <v>0</v>
      </c>
      <c r="F321">
        <v>0</v>
      </c>
      <c r="G321">
        <v>4.8685968137254898</v>
      </c>
      <c r="H321">
        <v>0</v>
      </c>
      <c r="I321">
        <v>0</v>
      </c>
      <c r="J321">
        <v>1.0967320039228015</v>
      </c>
      <c r="K321">
        <v>9.6732003922801457E-2</v>
      </c>
      <c r="L321">
        <v>0</v>
      </c>
      <c r="M321">
        <v>0</v>
      </c>
      <c r="N321">
        <v>0</v>
      </c>
      <c r="O321">
        <v>0</v>
      </c>
      <c r="P321">
        <v>0</v>
      </c>
      <c r="Q321">
        <v>0</v>
      </c>
      <c r="R321">
        <v>0</v>
      </c>
      <c r="S321">
        <v>0</v>
      </c>
      <c r="T321">
        <v>0</v>
      </c>
      <c r="U321">
        <v>0</v>
      </c>
      <c r="V321">
        <v>0</v>
      </c>
      <c r="W321">
        <v>0</v>
      </c>
      <c r="X321">
        <v>0</v>
      </c>
      <c r="Y321">
        <v>0</v>
      </c>
      <c r="Z321">
        <v>0</v>
      </c>
      <c r="AA321">
        <v>0</v>
      </c>
      <c r="AB321">
        <v>0</v>
      </c>
      <c r="AC321">
        <v>1</v>
      </c>
      <c r="AD321">
        <v>0</v>
      </c>
      <c r="AE321" t="s">
        <v>162</v>
      </c>
      <c r="AF321">
        <v>0</v>
      </c>
      <c r="AG321" t="s">
        <v>231</v>
      </c>
      <c r="AH321">
        <v>46315</v>
      </c>
      <c r="AI321" t="s">
        <v>149</v>
      </c>
    </row>
    <row r="322" spans="1:35" x14ac:dyDescent="0.25">
      <c r="A322" s="1">
        <v>46315</v>
      </c>
      <c r="B322" t="s">
        <v>148</v>
      </c>
      <c r="C322" t="s">
        <v>12</v>
      </c>
      <c r="D322">
        <v>9.0536020149944285</v>
      </c>
      <c r="E322">
        <v>0</v>
      </c>
      <c r="F322">
        <v>0</v>
      </c>
      <c r="G322">
        <v>9.9193167892156833</v>
      </c>
      <c r="H322">
        <v>0</v>
      </c>
      <c r="I322">
        <v>0</v>
      </c>
      <c r="J322">
        <v>1.0956210326881468</v>
      </c>
      <c r="K322">
        <v>9.5621032688146812E-2</v>
      </c>
      <c r="L322">
        <v>0</v>
      </c>
      <c r="M322">
        <v>0</v>
      </c>
      <c r="N322">
        <v>0</v>
      </c>
      <c r="O322">
        <v>0</v>
      </c>
      <c r="P322">
        <v>0</v>
      </c>
      <c r="Q322">
        <v>0</v>
      </c>
      <c r="R322">
        <v>0</v>
      </c>
      <c r="S322">
        <v>0</v>
      </c>
      <c r="T322">
        <v>0</v>
      </c>
      <c r="U322">
        <v>0</v>
      </c>
      <c r="V322">
        <v>0</v>
      </c>
      <c r="W322">
        <v>0</v>
      </c>
      <c r="X322">
        <v>0</v>
      </c>
      <c r="Y322">
        <v>0</v>
      </c>
      <c r="Z322">
        <v>0</v>
      </c>
      <c r="AA322">
        <v>0</v>
      </c>
      <c r="AB322">
        <v>0</v>
      </c>
      <c r="AC322">
        <v>1</v>
      </c>
      <c r="AD322">
        <v>0</v>
      </c>
      <c r="AE322" t="s">
        <v>162</v>
      </c>
      <c r="AF322">
        <v>0</v>
      </c>
      <c r="AG322" t="s">
        <v>232</v>
      </c>
      <c r="AH322">
        <v>46315</v>
      </c>
      <c r="AI322" t="s">
        <v>149</v>
      </c>
    </row>
    <row r="323" spans="1:35" x14ac:dyDescent="0.25">
      <c r="A323" s="1">
        <v>46316</v>
      </c>
      <c r="B323" t="s">
        <v>148</v>
      </c>
      <c r="C323" t="s">
        <v>12</v>
      </c>
      <c r="D323">
        <v>8.0022159745434642</v>
      </c>
      <c r="E323">
        <v>0</v>
      </c>
      <c r="F323">
        <v>0</v>
      </c>
      <c r="G323">
        <v>9.1511642156862756</v>
      </c>
      <c r="H323">
        <v>0</v>
      </c>
      <c r="I323">
        <v>0</v>
      </c>
      <c r="J323">
        <v>1.1435787592834072</v>
      </c>
      <c r="K323">
        <v>0.14357875928340724</v>
      </c>
      <c r="L323">
        <v>0</v>
      </c>
      <c r="M323">
        <v>0</v>
      </c>
      <c r="N323">
        <v>0</v>
      </c>
      <c r="O323">
        <v>0</v>
      </c>
      <c r="P323">
        <v>0</v>
      </c>
      <c r="Q323">
        <v>0</v>
      </c>
      <c r="R323">
        <v>0</v>
      </c>
      <c r="S323">
        <v>0</v>
      </c>
      <c r="T323">
        <v>0</v>
      </c>
      <c r="U323">
        <v>0</v>
      </c>
      <c r="V323">
        <v>0</v>
      </c>
      <c r="W323">
        <v>0</v>
      </c>
      <c r="X323">
        <v>0</v>
      </c>
      <c r="Y323">
        <v>0</v>
      </c>
      <c r="Z323">
        <v>0</v>
      </c>
      <c r="AA323">
        <v>0</v>
      </c>
      <c r="AB323">
        <v>0</v>
      </c>
      <c r="AC323">
        <v>1</v>
      </c>
      <c r="AD323">
        <v>0</v>
      </c>
      <c r="AE323" t="s">
        <v>162</v>
      </c>
      <c r="AF323">
        <v>0</v>
      </c>
      <c r="AG323" t="s">
        <v>233</v>
      </c>
      <c r="AH323">
        <v>46316</v>
      </c>
      <c r="AI323" t="s">
        <v>149</v>
      </c>
    </row>
    <row r="324" spans="1:35" x14ac:dyDescent="0.25">
      <c r="A324" s="1">
        <v>46316</v>
      </c>
      <c r="B324" t="s">
        <v>148</v>
      </c>
      <c r="C324" t="s">
        <v>11</v>
      </c>
      <c r="D324">
        <v>4.4391855041263009</v>
      </c>
      <c r="E324">
        <v>0</v>
      </c>
      <c r="F324">
        <v>0</v>
      </c>
      <c r="G324">
        <v>4.8090839460784309</v>
      </c>
      <c r="H324">
        <v>0</v>
      </c>
      <c r="I324">
        <v>0</v>
      </c>
      <c r="J324">
        <v>1.0833257455919116</v>
      </c>
      <c r="K324">
        <v>8.3325745591911637E-2</v>
      </c>
      <c r="L324">
        <v>0</v>
      </c>
      <c r="M324">
        <v>0</v>
      </c>
      <c r="N324">
        <v>0</v>
      </c>
      <c r="O324">
        <v>0</v>
      </c>
      <c r="P324">
        <v>0</v>
      </c>
      <c r="Q324">
        <v>0</v>
      </c>
      <c r="R324">
        <v>0</v>
      </c>
      <c r="S324">
        <v>0</v>
      </c>
      <c r="T324">
        <v>0</v>
      </c>
      <c r="U324">
        <v>0</v>
      </c>
      <c r="V324">
        <v>0</v>
      </c>
      <c r="W324">
        <v>0</v>
      </c>
      <c r="X324">
        <v>0</v>
      </c>
      <c r="Y324">
        <v>0</v>
      </c>
      <c r="Z324">
        <v>0</v>
      </c>
      <c r="AA324">
        <v>0</v>
      </c>
      <c r="AB324">
        <v>0</v>
      </c>
      <c r="AC324">
        <v>1</v>
      </c>
      <c r="AD324">
        <v>0</v>
      </c>
      <c r="AE324" t="s">
        <v>162</v>
      </c>
      <c r="AF324">
        <v>0</v>
      </c>
      <c r="AG324" t="s">
        <v>234</v>
      </c>
      <c r="AH324">
        <v>46316</v>
      </c>
      <c r="AI324" t="s">
        <v>149</v>
      </c>
    </row>
    <row r="325" spans="1:35" x14ac:dyDescent="0.25">
      <c r="A325" s="1">
        <v>46316</v>
      </c>
      <c r="B325" t="s">
        <v>148</v>
      </c>
      <c r="C325" t="s">
        <v>10</v>
      </c>
      <c r="D325">
        <v>9.929757048703566</v>
      </c>
      <c r="E325">
        <v>0</v>
      </c>
      <c r="F325">
        <v>0</v>
      </c>
      <c r="G325">
        <v>10.914751838235292</v>
      </c>
      <c r="H325">
        <v>0</v>
      </c>
      <c r="I325">
        <v>0</v>
      </c>
      <c r="J325">
        <v>1.0991962627786878</v>
      </c>
      <c r="K325">
        <v>9.919626277868776E-2</v>
      </c>
      <c r="L325">
        <v>0</v>
      </c>
      <c r="M325">
        <v>0</v>
      </c>
      <c r="N325">
        <v>0</v>
      </c>
      <c r="O325">
        <v>0</v>
      </c>
      <c r="P325">
        <v>0</v>
      </c>
      <c r="Q325">
        <v>0</v>
      </c>
      <c r="R325">
        <v>0</v>
      </c>
      <c r="S325">
        <v>0</v>
      </c>
      <c r="T325">
        <v>0</v>
      </c>
      <c r="U325">
        <v>0</v>
      </c>
      <c r="V325">
        <v>0</v>
      </c>
      <c r="W325">
        <v>0</v>
      </c>
      <c r="X325">
        <v>0</v>
      </c>
      <c r="Y325">
        <v>0</v>
      </c>
      <c r="Z325">
        <v>0</v>
      </c>
      <c r="AA325">
        <v>0</v>
      </c>
      <c r="AB325">
        <v>0</v>
      </c>
      <c r="AC325">
        <v>1</v>
      </c>
      <c r="AD325">
        <v>0</v>
      </c>
      <c r="AE325" t="s">
        <v>162</v>
      </c>
      <c r="AF325">
        <v>0</v>
      </c>
      <c r="AG325" t="s">
        <v>235</v>
      </c>
      <c r="AH325">
        <v>46316</v>
      </c>
      <c r="AI325" t="s">
        <v>149</v>
      </c>
    </row>
    <row r="326" spans="1:35" x14ac:dyDescent="0.25">
      <c r="A326" s="1">
        <v>46317</v>
      </c>
      <c r="B326" t="s">
        <v>148</v>
      </c>
      <c r="C326" t="s">
        <v>12</v>
      </c>
      <c r="D326">
        <v>7.9438056389628544</v>
      </c>
      <c r="E326">
        <v>0</v>
      </c>
      <c r="F326">
        <v>0</v>
      </c>
      <c r="G326">
        <v>9.8012101715686271</v>
      </c>
      <c r="H326">
        <v>0</v>
      </c>
      <c r="I326">
        <v>0</v>
      </c>
      <c r="J326">
        <v>1.2338179730248631</v>
      </c>
      <c r="K326">
        <v>0.23381797302486307</v>
      </c>
      <c r="L326">
        <v>0</v>
      </c>
      <c r="M326">
        <v>0</v>
      </c>
      <c r="N326">
        <v>0</v>
      </c>
      <c r="O326">
        <v>0</v>
      </c>
      <c r="P326">
        <v>0</v>
      </c>
      <c r="Q326">
        <v>0</v>
      </c>
      <c r="R326">
        <v>0</v>
      </c>
      <c r="S326">
        <v>0</v>
      </c>
      <c r="T326">
        <v>0</v>
      </c>
      <c r="U326">
        <v>0</v>
      </c>
      <c r="V326">
        <v>0</v>
      </c>
      <c r="W326">
        <v>0</v>
      </c>
      <c r="X326">
        <v>0</v>
      </c>
      <c r="Y326">
        <v>0</v>
      </c>
      <c r="Z326">
        <v>0</v>
      </c>
      <c r="AA326">
        <v>0</v>
      </c>
      <c r="AB326">
        <v>0</v>
      </c>
      <c r="AC326">
        <v>1</v>
      </c>
      <c r="AD326">
        <v>0</v>
      </c>
      <c r="AE326" t="s">
        <v>162</v>
      </c>
      <c r="AF326">
        <v>0</v>
      </c>
      <c r="AG326" t="s">
        <v>238</v>
      </c>
      <c r="AH326">
        <v>46317</v>
      </c>
      <c r="AI326" t="s">
        <v>149</v>
      </c>
    </row>
    <row r="327" spans="1:35" x14ac:dyDescent="0.25">
      <c r="A327" s="1">
        <v>46317</v>
      </c>
      <c r="B327" t="s">
        <v>148</v>
      </c>
      <c r="C327" t="s">
        <v>11</v>
      </c>
      <c r="D327">
        <v>4.4391855041263009</v>
      </c>
      <c r="E327">
        <v>0</v>
      </c>
      <c r="F327">
        <v>0</v>
      </c>
      <c r="G327">
        <v>4.9862438725490197</v>
      </c>
      <c r="H327">
        <v>0</v>
      </c>
      <c r="I327">
        <v>0</v>
      </c>
      <c r="J327">
        <v>1.1232339508935183</v>
      </c>
      <c r="K327">
        <v>0.1232339508935183</v>
      </c>
      <c r="L327">
        <v>0</v>
      </c>
      <c r="M327">
        <v>0</v>
      </c>
      <c r="N327">
        <v>0</v>
      </c>
      <c r="O327">
        <v>0</v>
      </c>
      <c r="P327">
        <v>0</v>
      </c>
      <c r="Q327">
        <v>0</v>
      </c>
      <c r="R327">
        <v>0</v>
      </c>
      <c r="S327">
        <v>0</v>
      </c>
      <c r="T327">
        <v>0</v>
      </c>
      <c r="U327">
        <v>0</v>
      </c>
      <c r="V327">
        <v>0</v>
      </c>
      <c r="W327">
        <v>0</v>
      </c>
      <c r="X327">
        <v>0</v>
      </c>
      <c r="Y327">
        <v>0</v>
      </c>
      <c r="Z327">
        <v>0</v>
      </c>
      <c r="AA327">
        <v>0</v>
      </c>
      <c r="AB327">
        <v>0</v>
      </c>
      <c r="AC327">
        <v>1</v>
      </c>
      <c r="AD327">
        <v>0</v>
      </c>
      <c r="AE327" t="s">
        <v>162</v>
      </c>
      <c r="AF327">
        <v>0</v>
      </c>
      <c r="AG327" t="s">
        <v>237</v>
      </c>
      <c r="AH327">
        <v>46317</v>
      </c>
      <c r="AI327" t="s">
        <v>149</v>
      </c>
    </row>
    <row r="328" spans="1:35" x14ac:dyDescent="0.25">
      <c r="A328" s="1">
        <v>46317</v>
      </c>
      <c r="B328" t="s">
        <v>148</v>
      </c>
      <c r="C328" t="s">
        <v>10</v>
      </c>
      <c r="D328">
        <v>10.864322417993314</v>
      </c>
      <c r="E328">
        <v>0</v>
      </c>
      <c r="F328">
        <v>0</v>
      </c>
      <c r="G328">
        <v>10.212545955882351</v>
      </c>
      <c r="H328">
        <v>0</v>
      </c>
      <c r="I328">
        <v>0</v>
      </c>
      <c r="J328">
        <v>0.94000762891282563</v>
      </c>
      <c r="K328">
        <v>0</v>
      </c>
      <c r="L328">
        <v>0</v>
      </c>
      <c r="M328">
        <v>0</v>
      </c>
      <c r="N328">
        <v>0</v>
      </c>
      <c r="O328">
        <v>0</v>
      </c>
      <c r="P328">
        <v>0</v>
      </c>
      <c r="Q328">
        <v>0</v>
      </c>
      <c r="R328">
        <v>0</v>
      </c>
      <c r="S328">
        <v>0</v>
      </c>
      <c r="T328">
        <v>0.94000762891282563</v>
      </c>
      <c r="U328">
        <v>5.9992371087174368E-2</v>
      </c>
      <c r="V328">
        <v>0</v>
      </c>
      <c r="W328">
        <v>0</v>
      </c>
      <c r="X328">
        <v>0</v>
      </c>
      <c r="Y328">
        <v>0</v>
      </c>
      <c r="Z328">
        <v>0</v>
      </c>
      <c r="AA328">
        <v>0</v>
      </c>
      <c r="AB328">
        <v>0</v>
      </c>
      <c r="AC328">
        <v>0</v>
      </c>
      <c r="AD328">
        <v>0</v>
      </c>
      <c r="AE328" t="s">
        <v>162</v>
      </c>
      <c r="AF328">
        <v>0</v>
      </c>
      <c r="AG328" t="s">
        <v>236</v>
      </c>
      <c r="AH328">
        <v>46317</v>
      </c>
      <c r="AI328" t="s">
        <v>149</v>
      </c>
    </row>
    <row r="329" spans="1:35" x14ac:dyDescent="0.25">
      <c r="A329" s="1">
        <v>46318</v>
      </c>
      <c r="B329" t="s">
        <v>148</v>
      </c>
      <c r="C329" t="s">
        <v>10</v>
      </c>
      <c r="D329">
        <v>9.9297570487035678</v>
      </c>
      <c r="E329">
        <v>0</v>
      </c>
      <c r="F329">
        <v>0</v>
      </c>
      <c r="G329">
        <v>10.212545955882357</v>
      </c>
      <c r="H329">
        <v>0</v>
      </c>
      <c r="I329">
        <v>0</v>
      </c>
      <c r="J329">
        <v>1.0284789351634449</v>
      </c>
      <c r="K329">
        <v>2.8478935163444907E-2</v>
      </c>
      <c r="L329">
        <v>0</v>
      </c>
      <c r="M329">
        <v>0</v>
      </c>
      <c r="N329">
        <v>0</v>
      </c>
      <c r="O329">
        <v>0</v>
      </c>
      <c r="P329">
        <v>0</v>
      </c>
      <c r="Q329">
        <v>0</v>
      </c>
      <c r="R329">
        <v>0</v>
      </c>
      <c r="S329">
        <v>0</v>
      </c>
      <c r="T329">
        <v>0</v>
      </c>
      <c r="U329">
        <v>0</v>
      </c>
      <c r="V329">
        <v>0</v>
      </c>
      <c r="W329">
        <v>0</v>
      </c>
      <c r="X329">
        <v>0</v>
      </c>
      <c r="Y329">
        <v>0</v>
      </c>
      <c r="Z329">
        <v>0</v>
      </c>
      <c r="AA329">
        <v>0</v>
      </c>
      <c r="AB329">
        <v>0</v>
      </c>
      <c r="AC329">
        <v>1</v>
      </c>
      <c r="AD329">
        <v>0</v>
      </c>
      <c r="AE329" t="s">
        <v>162</v>
      </c>
      <c r="AF329">
        <v>0</v>
      </c>
      <c r="AG329" t="s">
        <v>239</v>
      </c>
      <c r="AH329">
        <v>46318</v>
      </c>
      <c r="AI329" t="s">
        <v>149</v>
      </c>
    </row>
    <row r="330" spans="1:35" x14ac:dyDescent="0.25">
      <c r="A330" s="1">
        <v>46318</v>
      </c>
      <c r="B330" t="s">
        <v>148</v>
      </c>
      <c r="C330" t="s">
        <v>11</v>
      </c>
      <c r="D330">
        <v>4.4391855041263009</v>
      </c>
      <c r="E330">
        <v>0</v>
      </c>
      <c r="F330">
        <v>0</v>
      </c>
      <c r="G330">
        <v>4.9862438725490197</v>
      </c>
      <c r="H330">
        <v>0</v>
      </c>
      <c r="I330">
        <v>0</v>
      </c>
      <c r="J330">
        <v>1.1232339508935183</v>
      </c>
      <c r="K330">
        <v>0.1232339508935183</v>
      </c>
      <c r="L330">
        <v>0</v>
      </c>
      <c r="M330">
        <v>0</v>
      </c>
      <c r="N330">
        <v>0</v>
      </c>
      <c r="O330">
        <v>0</v>
      </c>
      <c r="P330">
        <v>0</v>
      </c>
      <c r="Q330">
        <v>0</v>
      </c>
      <c r="R330">
        <v>0</v>
      </c>
      <c r="S330">
        <v>0</v>
      </c>
      <c r="T330">
        <v>0</v>
      </c>
      <c r="U330">
        <v>0</v>
      </c>
      <c r="V330">
        <v>0</v>
      </c>
      <c r="W330">
        <v>0</v>
      </c>
      <c r="X330">
        <v>0</v>
      </c>
      <c r="Y330">
        <v>0</v>
      </c>
      <c r="Z330">
        <v>0</v>
      </c>
      <c r="AA330">
        <v>0</v>
      </c>
      <c r="AB330">
        <v>0</v>
      </c>
      <c r="AC330">
        <v>1</v>
      </c>
      <c r="AD330">
        <v>0</v>
      </c>
      <c r="AE330" t="s">
        <v>162</v>
      </c>
      <c r="AF330">
        <v>0</v>
      </c>
      <c r="AG330" t="s">
        <v>240</v>
      </c>
      <c r="AH330">
        <v>46318</v>
      </c>
      <c r="AI330" t="s">
        <v>149</v>
      </c>
    </row>
    <row r="331" spans="1:35" x14ac:dyDescent="0.25">
      <c r="A331" s="1">
        <v>46318</v>
      </c>
      <c r="B331" t="s">
        <v>148</v>
      </c>
      <c r="C331" t="s">
        <v>12</v>
      </c>
      <c r="D331">
        <v>8.9951916794138196</v>
      </c>
      <c r="E331">
        <v>0</v>
      </c>
      <c r="F331">
        <v>0</v>
      </c>
      <c r="G331">
        <v>9.9262101715686271</v>
      </c>
      <c r="H331">
        <v>0</v>
      </c>
      <c r="I331">
        <v>0</v>
      </c>
      <c r="J331">
        <v>1.1035017957744595</v>
      </c>
      <c r="K331">
        <v>0.1035017957744595</v>
      </c>
      <c r="L331">
        <v>0</v>
      </c>
      <c r="M331">
        <v>0</v>
      </c>
      <c r="N331">
        <v>0</v>
      </c>
      <c r="O331">
        <v>0</v>
      </c>
      <c r="P331">
        <v>0</v>
      </c>
      <c r="Q331">
        <v>0</v>
      </c>
      <c r="R331">
        <v>0</v>
      </c>
      <c r="S331">
        <v>0</v>
      </c>
      <c r="T331">
        <v>0</v>
      </c>
      <c r="U331">
        <v>0</v>
      </c>
      <c r="V331">
        <v>0</v>
      </c>
      <c r="W331">
        <v>0</v>
      </c>
      <c r="X331">
        <v>0</v>
      </c>
      <c r="Y331">
        <v>0</v>
      </c>
      <c r="Z331">
        <v>0</v>
      </c>
      <c r="AA331">
        <v>0</v>
      </c>
      <c r="AB331">
        <v>0</v>
      </c>
      <c r="AC331">
        <v>1</v>
      </c>
      <c r="AD331">
        <v>0</v>
      </c>
      <c r="AE331" t="s">
        <v>162</v>
      </c>
      <c r="AF331">
        <v>0</v>
      </c>
      <c r="AG331" t="s">
        <v>241</v>
      </c>
      <c r="AH331">
        <v>46318</v>
      </c>
      <c r="AI331" t="s">
        <v>149</v>
      </c>
    </row>
    <row r="332" spans="1:35" x14ac:dyDescent="0.25">
      <c r="A332" s="1">
        <v>46319</v>
      </c>
      <c r="B332" t="s">
        <v>148</v>
      </c>
      <c r="C332" t="s">
        <v>12</v>
      </c>
      <c r="D332">
        <v>8.8783710082525999</v>
      </c>
      <c r="E332">
        <v>0</v>
      </c>
      <c r="F332">
        <v>0</v>
      </c>
      <c r="G332">
        <v>10.393466605392153</v>
      </c>
      <c r="H332">
        <v>0</v>
      </c>
      <c r="I332">
        <v>0</v>
      </c>
      <c r="J332">
        <v>1.1706501784765746</v>
      </c>
      <c r="K332">
        <v>0.1706501784765746</v>
      </c>
      <c r="L332">
        <v>0</v>
      </c>
      <c r="M332">
        <v>0</v>
      </c>
      <c r="N332">
        <v>0</v>
      </c>
      <c r="O332">
        <v>0</v>
      </c>
      <c r="P332">
        <v>0</v>
      </c>
      <c r="Q332">
        <v>0</v>
      </c>
      <c r="R332">
        <v>0</v>
      </c>
      <c r="S332">
        <v>0</v>
      </c>
      <c r="T332">
        <v>0</v>
      </c>
      <c r="U332">
        <v>0</v>
      </c>
      <c r="V332">
        <v>0</v>
      </c>
      <c r="W332">
        <v>0</v>
      </c>
      <c r="X332">
        <v>0</v>
      </c>
      <c r="Y332">
        <v>0</v>
      </c>
      <c r="Z332">
        <v>0</v>
      </c>
      <c r="AA332">
        <v>0</v>
      </c>
      <c r="AB332">
        <v>0</v>
      </c>
      <c r="AC332">
        <v>1</v>
      </c>
      <c r="AD332">
        <v>0</v>
      </c>
      <c r="AE332" t="s">
        <v>162</v>
      </c>
      <c r="AF332">
        <v>0</v>
      </c>
      <c r="AG332" t="s">
        <v>242</v>
      </c>
      <c r="AH332">
        <v>46319</v>
      </c>
      <c r="AI332" t="s">
        <v>149</v>
      </c>
    </row>
    <row r="333" spans="1:35" x14ac:dyDescent="0.25">
      <c r="A333" s="1">
        <v>46319</v>
      </c>
      <c r="B333" t="s">
        <v>148</v>
      </c>
      <c r="C333" t="s">
        <v>11</v>
      </c>
      <c r="D333">
        <v>4.3223648329650821</v>
      </c>
      <c r="E333">
        <v>0</v>
      </c>
      <c r="F333">
        <v>0</v>
      </c>
      <c r="G333">
        <v>4.9564874387254898</v>
      </c>
      <c r="H333">
        <v>0</v>
      </c>
      <c r="I333">
        <v>0</v>
      </c>
      <c r="J333">
        <v>1.1467073304234268</v>
      </c>
      <c r="K333">
        <v>0.14670733042342676</v>
      </c>
      <c r="L333">
        <v>0</v>
      </c>
      <c r="M333">
        <v>0</v>
      </c>
      <c r="N333">
        <v>0</v>
      </c>
      <c r="O333">
        <v>0</v>
      </c>
      <c r="P333">
        <v>0</v>
      </c>
      <c r="Q333">
        <v>0</v>
      </c>
      <c r="R333">
        <v>0</v>
      </c>
      <c r="S333">
        <v>0</v>
      </c>
      <c r="T333">
        <v>0</v>
      </c>
      <c r="U333">
        <v>0</v>
      </c>
      <c r="V333">
        <v>0</v>
      </c>
      <c r="W333">
        <v>0</v>
      </c>
      <c r="X333">
        <v>0</v>
      </c>
      <c r="Y333">
        <v>0</v>
      </c>
      <c r="Z333">
        <v>0</v>
      </c>
      <c r="AA333">
        <v>0</v>
      </c>
      <c r="AB333">
        <v>0</v>
      </c>
      <c r="AC333">
        <v>1</v>
      </c>
      <c r="AD333">
        <v>0</v>
      </c>
      <c r="AE333" t="s">
        <v>162</v>
      </c>
      <c r="AF333">
        <v>0</v>
      </c>
      <c r="AG333" t="s">
        <v>243</v>
      </c>
      <c r="AH333">
        <v>46319</v>
      </c>
      <c r="AI333" t="s">
        <v>149</v>
      </c>
    </row>
    <row r="334" spans="1:35" x14ac:dyDescent="0.25">
      <c r="A334" s="1">
        <v>46319</v>
      </c>
      <c r="B334" t="s">
        <v>148</v>
      </c>
      <c r="C334" t="s">
        <v>10</v>
      </c>
      <c r="D334">
        <v>9.929757048703566</v>
      </c>
      <c r="E334">
        <v>0</v>
      </c>
      <c r="F334">
        <v>0</v>
      </c>
      <c r="G334">
        <v>10.212545955882351</v>
      </c>
      <c r="H334">
        <v>0</v>
      </c>
      <c r="I334">
        <v>0</v>
      </c>
      <c r="J334">
        <v>1.0284789351634445</v>
      </c>
      <c r="K334">
        <v>2.8478935163444463E-2</v>
      </c>
      <c r="L334">
        <v>0</v>
      </c>
      <c r="M334">
        <v>0</v>
      </c>
      <c r="N334">
        <v>0</v>
      </c>
      <c r="O334">
        <v>0</v>
      </c>
      <c r="P334">
        <v>0</v>
      </c>
      <c r="Q334">
        <v>0</v>
      </c>
      <c r="R334">
        <v>0</v>
      </c>
      <c r="S334">
        <v>0</v>
      </c>
      <c r="T334">
        <v>0</v>
      </c>
      <c r="U334">
        <v>0</v>
      </c>
      <c r="V334">
        <v>0</v>
      </c>
      <c r="W334">
        <v>0</v>
      </c>
      <c r="X334">
        <v>0</v>
      </c>
      <c r="Y334">
        <v>0</v>
      </c>
      <c r="Z334">
        <v>0</v>
      </c>
      <c r="AA334">
        <v>0</v>
      </c>
      <c r="AB334">
        <v>0</v>
      </c>
      <c r="AC334">
        <v>1</v>
      </c>
      <c r="AD334">
        <v>0</v>
      </c>
      <c r="AE334" t="s">
        <v>162</v>
      </c>
      <c r="AF334">
        <v>0</v>
      </c>
      <c r="AG334" t="s">
        <v>244</v>
      </c>
      <c r="AH334">
        <v>46319</v>
      </c>
      <c r="AI334" t="s">
        <v>149</v>
      </c>
    </row>
    <row r="335" spans="1:35" x14ac:dyDescent="0.25">
      <c r="A335" s="1">
        <v>46320</v>
      </c>
      <c r="B335" t="s">
        <v>148</v>
      </c>
      <c r="C335" t="s">
        <v>12</v>
      </c>
      <c r="D335">
        <v>8.9367813438332107</v>
      </c>
      <c r="E335">
        <v>0</v>
      </c>
      <c r="F335">
        <v>0</v>
      </c>
      <c r="G335">
        <v>10.676210171568629</v>
      </c>
      <c r="H335">
        <v>0</v>
      </c>
      <c r="I335">
        <v>0</v>
      </c>
      <c r="J335">
        <v>1.1946370578861374</v>
      </c>
      <c r="K335">
        <v>0.19463705788613739</v>
      </c>
      <c r="L335">
        <v>0</v>
      </c>
      <c r="M335">
        <v>0</v>
      </c>
      <c r="N335">
        <v>0</v>
      </c>
      <c r="O335">
        <v>0</v>
      </c>
      <c r="P335">
        <v>0</v>
      </c>
      <c r="Q335">
        <v>0</v>
      </c>
      <c r="R335">
        <v>0</v>
      </c>
      <c r="S335">
        <v>0</v>
      </c>
      <c r="T335">
        <v>0</v>
      </c>
      <c r="U335">
        <v>0</v>
      </c>
      <c r="V335">
        <v>0</v>
      </c>
      <c r="W335">
        <v>0</v>
      </c>
      <c r="X335">
        <v>0</v>
      </c>
      <c r="Y335">
        <v>0</v>
      </c>
      <c r="Z335">
        <v>0</v>
      </c>
      <c r="AA335">
        <v>0</v>
      </c>
      <c r="AB335">
        <v>0</v>
      </c>
      <c r="AC335">
        <v>1</v>
      </c>
      <c r="AD335">
        <v>0</v>
      </c>
      <c r="AE335" t="s">
        <v>162</v>
      </c>
      <c r="AF335">
        <v>0</v>
      </c>
      <c r="AG335" t="s">
        <v>245</v>
      </c>
      <c r="AH335">
        <v>46320</v>
      </c>
      <c r="AI335" t="s">
        <v>149</v>
      </c>
    </row>
    <row r="336" spans="1:35" x14ac:dyDescent="0.25">
      <c r="A336" s="1">
        <v>46320</v>
      </c>
      <c r="B336" t="s">
        <v>148</v>
      </c>
      <c r="C336" t="s">
        <v>11</v>
      </c>
      <c r="D336">
        <v>4.4391855041263009</v>
      </c>
      <c r="E336">
        <v>0</v>
      </c>
      <c r="F336">
        <v>0</v>
      </c>
      <c r="G336">
        <v>4.9862438725490197</v>
      </c>
      <c r="H336">
        <v>0</v>
      </c>
      <c r="I336">
        <v>0</v>
      </c>
      <c r="J336">
        <v>1.1232339508935183</v>
      </c>
      <c r="K336">
        <v>0.1232339508935183</v>
      </c>
      <c r="L336">
        <v>0</v>
      </c>
      <c r="M336">
        <v>0</v>
      </c>
      <c r="N336">
        <v>0</v>
      </c>
      <c r="O336">
        <v>0</v>
      </c>
      <c r="P336">
        <v>0</v>
      </c>
      <c r="Q336">
        <v>0</v>
      </c>
      <c r="R336">
        <v>0</v>
      </c>
      <c r="S336">
        <v>0</v>
      </c>
      <c r="T336">
        <v>0</v>
      </c>
      <c r="U336">
        <v>0</v>
      </c>
      <c r="V336">
        <v>0</v>
      </c>
      <c r="W336">
        <v>0</v>
      </c>
      <c r="X336">
        <v>0</v>
      </c>
      <c r="Y336">
        <v>0</v>
      </c>
      <c r="Z336">
        <v>0</v>
      </c>
      <c r="AA336">
        <v>0</v>
      </c>
      <c r="AB336">
        <v>0</v>
      </c>
      <c r="AC336">
        <v>1</v>
      </c>
      <c r="AD336">
        <v>0</v>
      </c>
      <c r="AE336" t="s">
        <v>162</v>
      </c>
      <c r="AF336">
        <v>0</v>
      </c>
      <c r="AG336" t="s">
        <v>247</v>
      </c>
      <c r="AH336">
        <v>46320</v>
      </c>
      <c r="AI336" t="s">
        <v>149</v>
      </c>
    </row>
    <row r="337" spans="1:35" x14ac:dyDescent="0.25">
      <c r="A337" s="1">
        <v>46320</v>
      </c>
      <c r="B337" t="s">
        <v>148</v>
      </c>
      <c r="C337" t="s">
        <v>10</v>
      </c>
      <c r="D337">
        <v>9.929757048703566</v>
      </c>
      <c r="E337">
        <v>0</v>
      </c>
      <c r="F337">
        <v>0</v>
      </c>
      <c r="G337">
        <v>10.212545955882351</v>
      </c>
      <c r="H337">
        <v>0</v>
      </c>
      <c r="I337">
        <v>0</v>
      </c>
      <c r="J337">
        <v>1.0284789351634445</v>
      </c>
      <c r="K337">
        <v>2.8478935163444463E-2</v>
      </c>
      <c r="L337">
        <v>0</v>
      </c>
      <c r="M337">
        <v>0</v>
      </c>
      <c r="N337">
        <v>0</v>
      </c>
      <c r="O337">
        <v>0</v>
      </c>
      <c r="P337">
        <v>0</v>
      </c>
      <c r="Q337">
        <v>0</v>
      </c>
      <c r="R337">
        <v>0</v>
      </c>
      <c r="S337">
        <v>0</v>
      </c>
      <c r="T337">
        <v>0</v>
      </c>
      <c r="U337">
        <v>0</v>
      </c>
      <c r="V337">
        <v>0</v>
      </c>
      <c r="W337">
        <v>0</v>
      </c>
      <c r="X337">
        <v>0</v>
      </c>
      <c r="Y337">
        <v>0</v>
      </c>
      <c r="Z337">
        <v>0</v>
      </c>
      <c r="AA337">
        <v>0</v>
      </c>
      <c r="AB337">
        <v>0</v>
      </c>
      <c r="AC337">
        <v>1</v>
      </c>
      <c r="AD337">
        <v>0</v>
      </c>
      <c r="AE337" t="s">
        <v>162</v>
      </c>
      <c r="AF337">
        <v>0</v>
      </c>
      <c r="AG337" t="s">
        <v>246</v>
      </c>
      <c r="AH337">
        <v>46320</v>
      </c>
      <c r="AI337" t="s">
        <v>149</v>
      </c>
    </row>
    <row r="338" spans="1:35" x14ac:dyDescent="0.25">
      <c r="A338" s="1">
        <v>46321</v>
      </c>
      <c r="B338" t="s">
        <v>148</v>
      </c>
      <c r="C338" t="s">
        <v>12</v>
      </c>
      <c r="D338">
        <v>8.177446981285291</v>
      </c>
      <c r="E338">
        <v>0</v>
      </c>
      <c r="F338">
        <v>0</v>
      </c>
      <c r="G338">
        <v>9.2212775735294148</v>
      </c>
      <c r="H338">
        <v>0</v>
      </c>
      <c r="I338">
        <v>0</v>
      </c>
      <c r="J338">
        <v>1.1276474912809595</v>
      </c>
      <c r="K338">
        <v>0.12764749128095954</v>
      </c>
      <c r="L338">
        <v>0</v>
      </c>
      <c r="M338">
        <v>0</v>
      </c>
      <c r="N338">
        <v>0</v>
      </c>
      <c r="O338">
        <v>0</v>
      </c>
      <c r="P338">
        <v>0</v>
      </c>
      <c r="Q338">
        <v>0</v>
      </c>
      <c r="R338">
        <v>0</v>
      </c>
      <c r="S338">
        <v>0</v>
      </c>
      <c r="T338">
        <v>0</v>
      </c>
      <c r="U338">
        <v>0</v>
      </c>
      <c r="V338">
        <v>0</v>
      </c>
      <c r="W338">
        <v>0</v>
      </c>
      <c r="X338">
        <v>0</v>
      </c>
      <c r="Y338">
        <v>0</v>
      </c>
      <c r="Z338">
        <v>0</v>
      </c>
      <c r="AA338">
        <v>0</v>
      </c>
      <c r="AB338">
        <v>0</v>
      </c>
      <c r="AC338">
        <v>1</v>
      </c>
      <c r="AD338">
        <v>0</v>
      </c>
      <c r="AE338" t="s">
        <v>162</v>
      </c>
      <c r="AF338">
        <v>0</v>
      </c>
      <c r="AG338" t="s">
        <v>248</v>
      </c>
      <c r="AH338">
        <v>46321</v>
      </c>
      <c r="AI338" t="s">
        <v>149</v>
      </c>
    </row>
    <row r="339" spans="1:35" x14ac:dyDescent="0.25">
      <c r="A339" s="1">
        <v>46321</v>
      </c>
      <c r="B339" t="s">
        <v>148</v>
      </c>
      <c r="C339" t="s">
        <v>10</v>
      </c>
      <c r="D339">
        <v>10.864322417993314</v>
      </c>
      <c r="E339">
        <v>0</v>
      </c>
      <c r="F339">
        <v>0</v>
      </c>
      <c r="G339">
        <v>9.2851256127450963</v>
      </c>
      <c r="H339">
        <v>0</v>
      </c>
      <c r="I339">
        <v>0</v>
      </c>
      <c r="J339">
        <v>0.85464378315643708</v>
      </c>
      <c r="K339">
        <v>0</v>
      </c>
      <c r="L339">
        <v>0</v>
      </c>
      <c r="M339">
        <v>0</v>
      </c>
      <c r="N339">
        <v>0</v>
      </c>
      <c r="O339">
        <v>0</v>
      </c>
      <c r="P339">
        <v>0</v>
      </c>
      <c r="Q339">
        <v>0</v>
      </c>
      <c r="R339">
        <v>0</v>
      </c>
      <c r="S339">
        <v>0</v>
      </c>
      <c r="T339">
        <v>0.85464378315643708</v>
      </c>
      <c r="U339">
        <v>0.14535621684356292</v>
      </c>
      <c r="V339">
        <v>0</v>
      </c>
      <c r="W339">
        <v>0</v>
      </c>
      <c r="X339">
        <v>0</v>
      </c>
      <c r="Y339">
        <v>0</v>
      </c>
      <c r="Z339">
        <v>0</v>
      </c>
      <c r="AA339">
        <v>0</v>
      </c>
      <c r="AB339">
        <v>0</v>
      </c>
      <c r="AC339">
        <v>0</v>
      </c>
      <c r="AD339">
        <v>0</v>
      </c>
      <c r="AE339" t="s">
        <v>162</v>
      </c>
      <c r="AF339">
        <v>0</v>
      </c>
      <c r="AG339" t="s">
        <v>249</v>
      </c>
      <c r="AH339">
        <v>46321</v>
      </c>
      <c r="AI339" t="s">
        <v>149</v>
      </c>
    </row>
    <row r="340" spans="1:35" x14ac:dyDescent="0.25">
      <c r="A340" s="1">
        <v>46321</v>
      </c>
      <c r="B340" t="s">
        <v>148</v>
      </c>
      <c r="C340" t="s">
        <v>11</v>
      </c>
      <c r="D340">
        <v>4.4391855041263009</v>
      </c>
      <c r="E340">
        <v>0</v>
      </c>
      <c r="F340">
        <v>0</v>
      </c>
      <c r="G340">
        <v>4.0482843137254898</v>
      </c>
      <c r="H340">
        <v>0</v>
      </c>
      <c r="I340">
        <v>0</v>
      </c>
      <c r="J340">
        <v>0.91194303774026531</v>
      </c>
      <c r="K340">
        <v>0</v>
      </c>
      <c r="L340">
        <v>0</v>
      </c>
      <c r="M340">
        <v>0</v>
      </c>
      <c r="N340">
        <v>0</v>
      </c>
      <c r="O340">
        <v>0</v>
      </c>
      <c r="P340">
        <v>0</v>
      </c>
      <c r="Q340">
        <v>0</v>
      </c>
      <c r="R340">
        <v>0</v>
      </c>
      <c r="S340">
        <v>0</v>
      </c>
      <c r="T340">
        <v>0.91194303774026531</v>
      </c>
      <c r="U340">
        <v>8.8056962259734695E-2</v>
      </c>
      <c r="V340">
        <v>0</v>
      </c>
      <c r="W340">
        <v>0</v>
      </c>
      <c r="X340">
        <v>0</v>
      </c>
      <c r="Y340">
        <v>0</v>
      </c>
      <c r="Z340">
        <v>0</v>
      </c>
      <c r="AA340">
        <v>0</v>
      </c>
      <c r="AB340">
        <v>0</v>
      </c>
      <c r="AC340">
        <v>0</v>
      </c>
      <c r="AD340">
        <v>0</v>
      </c>
      <c r="AE340" t="s">
        <v>162</v>
      </c>
      <c r="AF340">
        <v>0</v>
      </c>
      <c r="AG340" t="s">
        <v>250</v>
      </c>
      <c r="AH340">
        <v>46321</v>
      </c>
      <c r="AI340" t="s">
        <v>149</v>
      </c>
    </row>
    <row r="341" spans="1:35" x14ac:dyDescent="0.25">
      <c r="A341" s="1">
        <v>46293</v>
      </c>
      <c r="B341" t="s">
        <v>97</v>
      </c>
      <c r="C341" t="s">
        <v>11</v>
      </c>
      <c r="D341">
        <v>0</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c r="AE341" t="s">
        <v>162</v>
      </c>
      <c r="AF341">
        <v>0</v>
      </c>
      <c r="AG341" t="s">
        <v>165</v>
      </c>
      <c r="AH341">
        <v>46293</v>
      </c>
      <c r="AI341" t="s">
        <v>149</v>
      </c>
    </row>
    <row r="342" spans="1:35" x14ac:dyDescent="0.25">
      <c r="A342" s="1">
        <v>46293</v>
      </c>
      <c r="B342" t="s">
        <v>97</v>
      </c>
      <c r="C342" t="s">
        <v>12</v>
      </c>
      <c r="D342">
        <v>1.4293352706784377</v>
      </c>
      <c r="E342">
        <v>0</v>
      </c>
      <c r="F342">
        <v>0</v>
      </c>
      <c r="G342">
        <v>1.0449826989619375</v>
      </c>
      <c r="H342">
        <v>0</v>
      </c>
      <c r="I342">
        <v>0</v>
      </c>
      <c r="J342">
        <v>0.73109697941332807</v>
      </c>
      <c r="K342">
        <v>0</v>
      </c>
      <c r="L342">
        <v>0</v>
      </c>
      <c r="M342">
        <v>0</v>
      </c>
      <c r="N342">
        <v>0</v>
      </c>
      <c r="O342">
        <v>0</v>
      </c>
      <c r="P342">
        <v>0</v>
      </c>
      <c r="Q342">
        <v>0</v>
      </c>
      <c r="R342">
        <v>0</v>
      </c>
      <c r="S342">
        <v>0</v>
      </c>
      <c r="T342">
        <v>0.73109697941332807</v>
      </c>
      <c r="U342">
        <v>0.26890302058667193</v>
      </c>
      <c r="V342">
        <v>0</v>
      </c>
      <c r="W342">
        <v>0</v>
      </c>
      <c r="X342">
        <v>0</v>
      </c>
      <c r="Y342">
        <v>0</v>
      </c>
      <c r="Z342">
        <v>0</v>
      </c>
      <c r="AA342">
        <v>0</v>
      </c>
      <c r="AB342">
        <v>0</v>
      </c>
      <c r="AC342">
        <v>0</v>
      </c>
      <c r="AD342">
        <v>0</v>
      </c>
      <c r="AE342" t="s">
        <v>162</v>
      </c>
      <c r="AF342">
        <v>0</v>
      </c>
      <c r="AG342" t="s">
        <v>164</v>
      </c>
      <c r="AH342">
        <v>46293</v>
      </c>
      <c r="AI342" t="s">
        <v>149</v>
      </c>
    </row>
    <row r="343" spans="1:35" x14ac:dyDescent="0.25">
      <c r="A343" s="1">
        <v>46293</v>
      </c>
      <c r="B343" t="s">
        <v>97</v>
      </c>
      <c r="C343" t="s">
        <v>10</v>
      </c>
      <c r="D343">
        <v>0.93456536928974754</v>
      </c>
      <c r="E343">
        <v>0</v>
      </c>
      <c r="F343">
        <v>0</v>
      </c>
      <c r="G343">
        <v>1.7647058823529411</v>
      </c>
      <c r="H343">
        <v>0</v>
      </c>
      <c r="I343">
        <v>0</v>
      </c>
      <c r="J343">
        <v>1.8882637216635634</v>
      </c>
      <c r="K343">
        <v>0.88826372166356338</v>
      </c>
      <c r="L343">
        <v>0</v>
      </c>
      <c r="M343">
        <v>0</v>
      </c>
      <c r="N343">
        <v>0</v>
      </c>
      <c r="O343">
        <v>0</v>
      </c>
      <c r="P343">
        <v>0</v>
      </c>
      <c r="Q343">
        <v>0</v>
      </c>
      <c r="R343">
        <v>0</v>
      </c>
      <c r="S343">
        <v>0</v>
      </c>
      <c r="T343">
        <v>0</v>
      </c>
      <c r="U343">
        <v>0</v>
      </c>
      <c r="V343">
        <v>0</v>
      </c>
      <c r="W343">
        <v>0</v>
      </c>
      <c r="X343">
        <v>0</v>
      </c>
      <c r="Y343">
        <v>0</v>
      </c>
      <c r="Z343">
        <v>0</v>
      </c>
      <c r="AA343">
        <v>0</v>
      </c>
      <c r="AB343">
        <v>0</v>
      </c>
      <c r="AC343">
        <v>1</v>
      </c>
      <c r="AD343">
        <v>0</v>
      </c>
      <c r="AE343" t="s">
        <v>162</v>
      </c>
      <c r="AF343">
        <v>0</v>
      </c>
      <c r="AG343" t="s">
        <v>166</v>
      </c>
      <c r="AH343">
        <v>46293</v>
      </c>
      <c r="AI343" t="s">
        <v>149</v>
      </c>
    </row>
    <row r="344" spans="1:35" x14ac:dyDescent="0.25">
      <c r="A344" s="1">
        <v>46294</v>
      </c>
      <c r="B344" t="s">
        <v>97</v>
      </c>
      <c r="C344" t="s">
        <v>11</v>
      </c>
      <c r="D344">
        <v>0</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c r="AE344" t="s">
        <v>162</v>
      </c>
      <c r="AF344">
        <v>0</v>
      </c>
      <c r="AG344" t="s">
        <v>168</v>
      </c>
      <c r="AH344">
        <v>46294</v>
      </c>
      <c r="AI344" t="s">
        <v>149</v>
      </c>
    </row>
    <row r="345" spans="1:35" x14ac:dyDescent="0.25">
      <c r="A345" s="1">
        <v>46294</v>
      </c>
      <c r="B345" t="s">
        <v>97</v>
      </c>
      <c r="C345" t="s">
        <v>12</v>
      </c>
      <c r="D345">
        <v>1.4293352706784377</v>
      </c>
      <c r="E345">
        <v>0</v>
      </c>
      <c r="F345">
        <v>0</v>
      </c>
      <c r="G345">
        <v>0.93425605536332179</v>
      </c>
      <c r="H345">
        <v>0</v>
      </c>
      <c r="I345">
        <v>0</v>
      </c>
      <c r="J345">
        <v>0.65362974980661792</v>
      </c>
      <c r="K345">
        <v>0</v>
      </c>
      <c r="L345">
        <v>0</v>
      </c>
      <c r="M345">
        <v>0</v>
      </c>
      <c r="N345">
        <v>0</v>
      </c>
      <c r="O345">
        <v>0</v>
      </c>
      <c r="P345">
        <v>0</v>
      </c>
      <c r="Q345">
        <v>0</v>
      </c>
      <c r="R345">
        <v>0</v>
      </c>
      <c r="S345">
        <v>0</v>
      </c>
      <c r="T345">
        <v>0.65362974980661792</v>
      </c>
      <c r="U345">
        <v>0.34637025019338208</v>
      </c>
      <c r="V345">
        <v>0</v>
      </c>
      <c r="W345">
        <v>0</v>
      </c>
      <c r="X345">
        <v>0</v>
      </c>
      <c r="Y345">
        <v>0</v>
      </c>
      <c r="Z345">
        <v>0</v>
      </c>
      <c r="AA345">
        <v>0</v>
      </c>
      <c r="AB345">
        <v>0</v>
      </c>
      <c r="AC345">
        <v>0</v>
      </c>
      <c r="AD345">
        <v>0</v>
      </c>
      <c r="AE345" t="s">
        <v>162</v>
      </c>
      <c r="AF345">
        <v>0</v>
      </c>
      <c r="AG345" t="s">
        <v>169</v>
      </c>
      <c r="AH345">
        <v>46294</v>
      </c>
      <c r="AI345" t="s">
        <v>149</v>
      </c>
    </row>
    <row r="346" spans="1:35" x14ac:dyDescent="0.25">
      <c r="A346" s="1">
        <v>46294</v>
      </c>
      <c r="B346" t="s">
        <v>97</v>
      </c>
      <c r="C346" t="s">
        <v>10</v>
      </c>
      <c r="D346">
        <v>0.93456536928974754</v>
      </c>
      <c r="E346">
        <v>0</v>
      </c>
      <c r="F346">
        <v>0</v>
      </c>
      <c r="G346">
        <v>0.88235294117647045</v>
      </c>
      <c r="H346">
        <v>0</v>
      </c>
      <c r="I346">
        <v>0</v>
      </c>
      <c r="J346">
        <v>0.94413186083178158</v>
      </c>
      <c r="K346">
        <v>0</v>
      </c>
      <c r="L346">
        <v>0</v>
      </c>
      <c r="M346">
        <v>0</v>
      </c>
      <c r="N346">
        <v>0</v>
      </c>
      <c r="O346">
        <v>0</v>
      </c>
      <c r="P346">
        <v>0</v>
      </c>
      <c r="Q346">
        <v>0</v>
      </c>
      <c r="R346">
        <v>0</v>
      </c>
      <c r="S346">
        <v>0</v>
      </c>
      <c r="T346">
        <v>0.94413186083178158</v>
      </c>
      <c r="U346">
        <v>5.5868139168218423E-2</v>
      </c>
      <c r="V346">
        <v>0</v>
      </c>
      <c r="W346">
        <v>0</v>
      </c>
      <c r="X346">
        <v>0</v>
      </c>
      <c r="Y346">
        <v>0</v>
      </c>
      <c r="Z346">
        <v>0</v>
      </c>
      <c r="AA346">
        <v>0</v>
      </c>
      <c r="AB346">
        <v>0</v>
      </c>
      <c r="AC346">
        <v>0</v>
      </c>
      <c r="AD346">
        <v>0</v>
      </c>
      <c r="AE346" t="s">
        <v>162</v>
      </c>
      <c r="AF346">
        <v>0</v>
      </c>
      <c r="AG346" t="s">
        <v>167</v>
      </c>
      <c r="AH346">
        <v>46294</v>
      </c>
      <c r="AI346" t="s">
        <v>149</v>
      </c>
    </row>
    <row r="347" spans="1:35" x14ac:dyDescent="0.25">
      <c r="A347" s="1">
        <v>46295</v>
      </c>
      <c r="B347" t="s">
        <v>97</v>
      </c>
      <c r="C347" t="s">
        <v>10</v>
      </c>
      <c r="D347">
        <v>1.8691307385794953</v>
      </c>
      <c r="E347">
        <v>0</v>
      </c>
      <c r="F347">
        <v>0</v>
      </c>
      <c r="G347">
        <v>1.7647058823529411</v>
      </c>
      <c r="H347">
        <v>0</v>
      </c>
      <c r="I347">
        <v>0</v>
      </c>
      <c r="J347">
        <v>0.94413186083178158</v>
      </c>
      <c r="K347">
        <v>0</v>
      </c>
      <c r="L347">
        <v>0</v>
      </c>
      <c r="M347">
        <v>0</v>
      </c>
      <c r="N347">
        <v>0</v>
      </c>
      <c r="O347">
        <v>0</v>
      </c>
      <c r="P347">
        <v>0</v>
      </c>
      <c r="Q347">
        <v>0</v>
      </c>
      <c r="R347">
        <v>0</v>
      </c>
      <c r="S347">
        <v>0</v>
      </c>
      <c r="T347">
        <v>0.94413186083178158</v>
      </c>
      <c r="U347">
        <v>5.5868139168218423E-2</v>
      </c>
      <c r="V347">
        <v>0</v>
      </c>
      <c r="W347">
        <v>0</v>
      </c>
      <c r="X347">
        <v>0</v>
      </c>
      <c r="Y347">
        <v>0</v>
      </c>
      <c r="Z347">
        <v>0</v>
      </c>
      <c r="AA347">
        <v>0</v>
      </c>
      <c r="AB347">
        <v>0</v>
      </c>
      <c r="AC347">
        <v>0</v>
      </c>
      <c r="AD347">
        <v>0</v>
      </c>
      <c r="AE347" t="s">
        <v>162</v>
      </c>
      <c r="AF347">
        <v>0</v>
      </c>
      <c r="AG347" t="s">
        <v>170</v>
      </c>
      <c r="AH347">
        <v>46295</v>
      </c>
      <c r="AI347" t="s">
        <v>149</v>
      </c>
    </row>
    <row r="348" spans="1:35" x14ac:dyDescent="0.25">
      <c r="A348" s="1">
        <v>46295</v>
      </c>
      <c r="B348" t="s">
        <v>97</v>
      </c>
      <c r="C348" t="s">
        <v>11</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c r="AE348" t="s">
        <v>162</v>
      </c>
      <c r="AF348">
        <v>0</v>
      </c>
      <c r="AG348" t="s">
        <v>171</v>
      </c>
      <c r="AH348">
        <v>46295</v>
      </c>
      <c r="AI348" t="s">
        <v>149</v>
      </c>
    </row>
    <row r="349" spans="1:35" x14ac:dyDescent="0.25">
      <c r="A349" s="1">
        <v>46295</v>
      </c>
      <c r="B349" t="s">
        <v>97</v>
      </c>
      <c r="C349" t="s">
        <v>12</v>
      </c>
      <c r="D349">
        <v>1.5942585711413342</v>
      </c>
      <c r="E349">
        <v>0</v>
      </c>
      <c r="F349">
        <v>0</v>
      </c>
      <c r="G349">
        <v>1.0449826989619375</v>
      </c>
      <c r="H349">
        <v>0</v>
      </c>
      <c r="I349">
        <v>0</v>
      </c>
      <c r="J349">
        <v>0.65546625740505282</v>
      </c>
      <c r="K349">
        <v>0</v>
      </c>
      <c r="L349">
        <v>0</v>
      </c>
      <c r="M349">
        <v>0</v>
      </c>
      <c r="N349">
        <v>0</v>
      </c>
      <c r="O349">
        <v>0</v>
      </c>
      <c r="P349">
        <v>0</v>
      </c>
      <c r="Q349">
        <v>0</v>
      </c>
      <c r="R349">
        <v>0</v>
      </c>
      <c r="S349">
        <v>0</v>
      </c>
      <c r="T349">
        <v>0.65546625740505282</v>
      </c>
      <c r="U349">
        <v>0.34453374259494718</v>
      </c>
      <c r="V349">
        <v>0</v>
      </c>
      <c r="W349">
        <v>0</v>
      </c>
      <c r="X349">
        <v>0</v>
      </c>
      <c r="Y349">
        <v>0</v>
      </c>
      <c r="Z349">
        <v>0</v>
      </c>
      <c r="AA349">
        <v>0</v>
      </c>
      <c r="AB349">
        <v>0</v>
      </c>
      <c r="AC349">
        <v>0</v>
      </c>
      <c r="AD349">
        <v>0</v>
      </c>
      <c r="AE349" t="s">
        <v>162</v>
      </c>
      <c r="AF349">
        <v>0</v>
      </c>
      <c r="AG349" t="s">
        <v>172</v>
      </c>
      <c r="AH349">
        <v>46295</v>
      </c>
      <c r="AI349" t="s">
        <v>149</v>
      </c>
    </row>
    <row r="350" spans="1:35" x14ac:dyDescent="0.25">
      <c r="A350" s="1">
        <v>46296</v>
      </c>
      <c r="B350" t="s">
        <v>97</v>
      </c>
      <c r="C350" t="s">
        <v>12</v>
      </c>
      <c r="D350">
        <v>0.65969320185158642</v>
      </c>
      <c r="E350">
        <v>0</v>
      </c>
      <c r="F350">
        <v>0</v>
      </c>
      <c r="G350">
        <v>0.11072664359861592</v>
      </c>
      <c r="H350">
        <v>0</v>
      </c>
      <c r="I350">
        <v>0</v>
      </c>
      <c r="J350">
        <v>0.16784566414787233</v>
      </c>
      <c r="K350">
        <v>0</v>
      </c>
      <c r="L350">
        <v>0</v>
      </c>
      <c r="M350">
        <v>0</v>
      </c>
      <c r="N350">
        <v>0</v>
      </c>
      <c r="O350">
        <v>0</v>
      </c>
      <c r="P350">
        <v>0</v>
      </c>
      <c r="Q350">
        <v>0</v>
      </c>
      <c r="R350">
        <v>0</v>
      </c>
      <c r="S350">
        <v>0</v>
      </c>
      <c r="T350">
        <v>0.16784566414787233</v>
      </c>
      <c r="U350">
        <v>0.83215433585212772</v>
      </c>
      <c r="V350">
        <v>0</v>
      </c>
      <c r="W350">
        <v>0</v>
      </c>
      <c r="X350">
        <v>0</v>
      </c>
      <c r="Y350">
        <v>0</v>
      </c>
      <c r="Z350">
        <v>0</v>
      </c>
      <c r="AA350">
        <v>0</v>
      </c>
      <c r="AB350">
        <v>0</v>
      </c>
      <c r="AC350">
        <v>0</v>
      </c>
      <c r="AD350">
        <v>0</v>
      </c>
      <c r="AE350" t="s">
        <v>162</v>
      </c>
      <c r="AF350">
        <v>0</v>
      </c>
      <c r="AG350" t="s">
        <v>174</v>
      </c>
      <c r="AH350">
        <v>46296</v>
      </c>
      <c r="AI350" t="s">
        <v>149</v>
      </c>
    </row>
    <row r="351" spans="1:35" x14ac:dyDescent="0.25">
      <c r="A351" s="1">
        <v>46296</v>
      </c>
      <c r="B351" t="s">
        <v>97</v>
      </c>
      <c r="C351" t="s">
        <v>11</v>
      </c>
      <c r="D351">
        <v>0</v>
      </c>
      <c r="E351">
        <v>0</v>
      </c>
      <c r="F351">
        <v>0</v>
      </c>
      <c r="G351">
        <v>0</v>
      </c>
      <c r="H351">
        <v>0</v>
      </c>
      <c r="I351">
        <v>0</v>
      </c>
      <c r="J351">
        <v>0</v>
      </c>
      <c r="K351">
        <v>0</v>
      </c>
      <c r="L351">
        <v>0</v>
      </c>
      <c r="M351">
        <v>0</v>
      </c>
      <c r="N351">
        <v>0</v>
      </c>
      <c r="O351">
        <v>0</v>
      </c>
      <c r="P351">
        <v>0</v>
      </c>
      <c r="Q351">
        <v>0</v>
      </c>
      <c r="R351">
        <v>0</v>
      </c>
      <c r="S351">
        <v>0</v>
      </c>
      <c r="T351">
        <v>0</v>
      </c>
      <c r="U351">
        <v>0</v>
      </c>
      <c r="V351">
        <v>0</v>
      </c>
      <c r="W351">
        <v>0</v>
      </c>
      <c r="X351">
        <v>0</v>
      </c>
      <c r="Y351">
        <v>0</v>
      </c>
      <c r="Z351">
        <v>0</v>
      </c>
      <c r="AA351">
        <v>0</v>
      </c>
      <c r="AB351">
        <v>0</v>
      </c>
      <c r="AC351">
        <v>0</v>
      </c>
      <c r="AD351">
        <v>0</v>
      </c>
      <c r="AE351" t="s">
        <v>162</v>
      </c>
      <c r="AF351">
        <v>0</v>
      </c>
      <c r="AG351" t="s">
        <v>175</v>
      </c>
      <c r="AH351">
        <v>46296</v>
      </c>
      <c r="AI351" t="s">
        <v>149</v>
      </c>
    </row>
    <row r="352" spans="1:35" x14ac:dyDescent="0.25">
      <c r="A352" s="1">
        <v>46296</v>
      </c>
      <c r="B352" t="s">
        <v>97</v>
      </c>
      <c r="C352" t="s">
        <v>10</v>
      </c>
      <c r="D352">
        <v>0.93456536928974754</v>
      </c>
      <c r="E352">
        <v>0</v>
      </c>
      <c r="F352">
        <v>0</v>
      </c>
      <c r="G352">
        <v>0.88235294117647045</v>
      </c>
      <c r="H352">
        <v>0</v>
      </c>
      <c r="I352">
        <v>0</v>
      </c>
      <c r="J352">
        <v>0.94413186083178158</v>
      </c>
      <c r="K352">
        <v>0</v>
      </c>
      <c r="L352">
        <v>0</v>
      </c>
      <c r="M352">
        <v>0</v>
      </c>
      <c r="N352">
        <v>0</v>
      </c>
      <c r="O352">
        <v>0</v>
      </c>
      <c r="P352">
        <v>0</v>
      </c>
      <c r="Q352">
        <v>0</v>
      </c>
      <c r="R352">
        <v>0</v>
      </c>
      <c r="S352">
        <v>0</v>
      </c>
      <c r="T352">
        <v>0.94413186083178158</v>
      </c>
      <c r="U352">
        <v>5.5868139168218423E-2</v>
      </c>
      <c r="V352">
        <v>0</v>
      </c>
      <c r="W352">
        <v>0</v>
      </c>
      <c r="X352">
        <v>0</v>
      </c>
      <c r="Y352">
        <v>0</v>
      </c>
      <c r="Z352">
        <v>0</v>
      </c>
      <c r="AA352">
        <v>0</v>
      </c>
      <c r="AB352">
        <v>0</v>
      </c>
      <c r="AC352">
        <v>0</v>
      </c>
      <c r="AD352">
        <v>0</v>
      </c>
      <c r="AE352" t="s">
        <v>162</v>
      </c>
      <c r="AF352">
        <v>0</v>
      </c>
      <c r="AG352" t="s">
        <v>173</v>
      </c>
      <c r="AH352">
        <v>46296</v>
      </c>
      <c r="AI352" t="s">
        <v>149</v>
      </c>
    </row>
    <row r="353" spans="1:35" x14ac:dyDescent="0.25">
      <c r="A353" s="1">
        <v>46297</v>
      </c>
      <c r="B353" t="s">
        <v>97</v>
      </c>
      <c r="C353" t="s">
        <v>10</v>
      </c>
      <c r="D353">
        <v>1.8691307385794953</v>
      </c>
      <c r="E353">
        <v>0</v>
      </c>
      <c r="F353">
        <v>0</v>
      </c>
      <c r="G353">
        <v>0</v>
      </c>
      <c r="H353">
        <v>0</v>
      </c>
      <c r="I353">
        <v>0</v>
      </c>
      <c r="J353">
        <v>0</v>
      </c>
      <c r="K353">
        <v>0</v>
      </c>
      <c r="L353">
        <v>0</v>
      </c>
      <c r="M353">
        <v>0</v>
      </c>
      <c r="N353">
        <v>0</v>
      </c>
      <c r="O353">
        <v>0</v>
      </c>
      <c r="P353">
        <v>0</v>
      </c>
      <c r="Q353">
        <v>0</v>
      </c>
      <c r="R353">
        <v>0</v>
      </c>
      <c r="S353">
        <v>0</v>
      </c>
      <c r="T353">
        <v>0</v>
      </c>
      <c r="U353">
        <v>1</v>
      </c>
      <c r="V353">
        <v>0</v>
      </c>
      <c r="W353">
        <v>0</v>
      </c>
      <c r="X353">
        <v>0</v>
      </c>
      <c r="Y353">
        <v>0</v>
      </c>
      <c r="Z353">
        <v>0</v>
      </c>
      <c r="AA353">
        <v>0</v>
      </c>
      <c r="AB353">
        <v>0</v>
      </c>
      <c r="AC353">
        <v>0</v>
      </c>
      <c r="AD353">
        <v>0</v>
      </c>
      <c r="AE353" t="s">
        <v>162</v>
      </c>
      <c r="AF353">
        <v>0</v>
      </c>
      <c r="AG353" t="s">
        <v>176</v>
      </c>
      <c r="AH353">
        <v>46297</v>
      </c>
      <c r="AI353" t="s">
        <v>149</v>
      </c>
    </row>
    <row r="354" spans="1:35" x14ac:dyDescent="0.25">
      <c r="A354" s="1">
        <v>46297</v>
      </c>
      <c r="B354" t="s">
        <v>97</v>
      </c>
      <c r="C354" t="s">
        <v>11</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c r="AE354" t="s">
        <v>162</v>
      </c>
      <c r="AF354">
        <v>0</v>
      </c>
      <c r="AG354" t="s">
        <v>177</v>
      </c>
      <c r="AH354">
        <v>46297</v>
      </c>
      <c r="AI354" t="s">
        <v>149</v>
      </c>
    </row>
    <row r="355" spans="1:35" x14ac:dyDescent="0.25">
      <c r="A355" s="1">
        <v>46297</v>
      </c>
      <c r="B355" t="s">
        <v>97</v>
      </c>
      <c r="C355" t="s">
        <v>12</v>
      </c>
      <c r="D355">
        <v>0.65969320185158642</v>
      </c>
      <c r="E355">
        <v>0</v>
      </c>
      <c r="F355">
        <v>0</v>
      </c>
      <c r="G355">
        <v>0</v>
      </c>
      <c r="H355">
        <v>0</v>
      </c>
      <c r="I355">
        <v>0</v>
      </c>
      <c r="J355">
        <v>0</v>
      </c>
      <c r="K355">
        <v>0</v>
      </c>
      <c r="L355">
        <v>0</v>
      </c>
      <c r="M355">
        <v>0</v>
      </c>
      <c r="N355">
        <v>0</v>
      </c>
      <c r="O355">
        <v>0</v>
      </c>
      <c r="P355">
        <v>0</v>
      </c>
      <c r="Q355">
        <v>0</v>
      </c>
      <c r="R355">
        <v>0</v>
      </c>
      <c r="S355">
        <v>0</v>
      </c>
      <c r="T355">
        <v>0</v>
      </c>
      <c r="U355">
        <v>1</v>
      </c>
      <c r="V355">
        <v>0</v>
      </c>
      <c r="W355">
        <v>0</v>
      </c>
      <c r="X355">
        <v>0</v>
      </c>
      <c r="Y355">
        <v>0</v>
      </c>
      <c r="Z355">
        <v>0</v>
      </c>
      <c r="AA355">
        <v>0</v>
      </c>
      <c r="AB355">
        <v>0</v>
      </c>
      <c r="AC355">
        <v>0</v>
      </c>
      <c r="AD355">
        <v>0</v>
      </c>
      <c r="AE355" t="s">
        <v>162</v>
      </c>
      <c r="AF355">
        <v>0</v>
      </c>
      <c r="AG355" t="s">
        <v>178</v>
      </c>
      <c r="AH355">
        <v>46297</v>
      </c>
      <c r="AI355" t="s">
        <v>149</v>
      </c>
    </row>
    <row r="356" spans="1:35" x14ac:dyDescent="0.25">
      <c r="A356" s="1">
        <v>46298</v>
      </c>
      <c r="B356" t="s">
        <v>97</v>
      </c>
      <c r="C356" t="s">
        <v>11</v>
      </c>
      <c r="D356">
        <v>0</v>
      </c>
      <c r="E356">
        <v>0</v>
      </c>
      <c r="F356">
        <v>0</v>
      </c>
      <c r="G356">
        <v>0</v>
      </c>
      <c r="H356">
        <v>0</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t="s">
        <v>162</v>
      </c>
      <c r="AF356">
        <v>0</v>
      </c>
      <c r="AG356" t="s">
        <v>179</v>
      </c>
      <c r="AH356">
        <v>46298</v>
      </c>
      <c r="AI356" t="s">
        <v>149</v>
      </c>
    </row>
    <row r="357" spans="1:35" x14ac:dyDescent="0.25">
      <c r="A357" s="1">
        <v>46298</v>
      </c>
      <c r="B357" t="s">
        <v>97</v>
      </c>
      <c r="C357" t="s">
        <v>10</v>
      </c>
      <c r="D357">
        <v>1.8691307385794953</v>
      </c>
      <c r="E357">
        <v>0</v>
      </c>
      <c r="F357">
        <v>0</v>
      </c>
      <c r="G357">
        <v>0.88235294117647045</v>
      </c>
      <c r="H357">
        <v>0</v>
      </c>
      <c r="I357">
        <v>0</v>
      </c>
      <c r="J357">
        <v>0.47206593041589073</v>
      </c>
      <c r="K357">
        <v>0</v>
      </c>
      <c r="L357">
        <v>0</v>
      </c>
      <c r="M357">
        <v>0</v>
      </c>
      <c r="N357">
        <v>0</v>
      </c>
      <c r="O357">
        <v>0</v>
      </c>
      <c r="P357">
        <v>0</v>
      </c>
      <c r="Q357">
        <v>0</v>
      </c>
      <c r="R357">
        <v>0</v>
      </c>
      <c r="S357">
        <v>0</v>
      </c>
      <c r="T357">
        <v>0.47206593041589073</v>
      </c>
      <c r="U357">
        <v>0.52793406958410927</v>
      </c>
      <c r="V357">
        <v>0</v>
      </c>
      <c r="W357">
        <v>0</v>
      </c>
      <c r="X357">
        <v>0</v>
      </c>
      <c r="Y357">
        <v>0</v>
      </c>
      <c r="Z357">
        <v>0</v>
      </c>
      <c r="AA357">
        <v>0</v>
      </c>
      <c r="AB357">
        <v>0</v>
      </c>
      <c r="AC357">
        <v>0</v>
      </c>
      <c r="AD357">
        <v>0</v>
      </c>
      <c r="AE357" t="s">
        <v>162</v>
      </c>
      <c r="AF357">
        <v>0</v>
      </c>
      <c r="AG357" t="s">
        <v>180</v>
      </c>
      <c r="AH357">
        <v>46298</v>
      </c>
      <c r="AI357" t="s">
        <v>149</v>
      </c>
    </row>
    <row r="358" spans="1:35" x14ac:dyDescent="0.25">
      <c r="A358" s="1">
        <v>46298</v>
      </c>
      <c r="B358" t="s">
        <v>97</v>
      </c>
      <c r="C358" t="s">
        <v>12</v>
      </c>
      <c r="D358">
        <v>1.4293352706784377</v>
      </c>
      <c r="E358">
        <v>0</v>
      </c>
      <c r="F358">
        <v>0</v>
      </c>
      <c r="G358">
        <v>0.93425605536332179</v>
      </c>
      <c r="H358">
        <v>0</v>
      </c>
      <c r="I358">
        <v>0</v>
      </c>
      <c r="J358">
        <v>0.65362974980661792</v>
      </c>
      <c r="K358">
        <v>0</v>
      </c>
      <c r="L358">
        <v>0</v>
      </c>
      <c r="M358">
        <v>0</v>
      </c>
      <c r="N358">
        <v>0</v>
      </c>
      <c r="O358">
        <v>0</v>
      </c>
      <c r="P358">
        <v>0</v>
      </c>
      <c r="Q358">
        <v>0</v>
      </c>
      <c r="R358">
        <v>0</v>
      </c>
      <c r="S358">
        <v>0</v>
      </c>
      <c r="T358">
        <v>0.65362974980661792</v>
      </c>
      <c r="U358">
        <v>0.34637025019338208</v>
      </c>
      <c r="V358">
        <v>0</v>
      </c>
      <c r="W358">
        <v>0</v>
      </c>
      <c r="X358">
        <v>0</v>
      </c>
      <c r="Y358">
        <v>0</v>
      </c>
      <c r="Z358">
        <v>0</v>
      </c>
      <c r="AA358">
        <v>0</v>
      </c>
      <c r="AB358">
        <v>0</v>
      </c>
      <c r="AC358">
        <v>0</v>
      </c>
      <c r="AD358">
        <v>0</v>
      </c>
      <c r="AE358" t="s">
        <v>162</v>
      </c>
      <c r="AF358">
        <v>0</v>
      </c>
      <c r="AG358" t="s">
        <v>181</v>
      </c>
      <c r="AH358">
        <v>46298</v>
      </c>
      <c r="AI358" t="s">
        <v>149</v>
      </c>
    </row>
    <row r="359" spans="1:35" x14ac:dyDescent="0.25">
      <c r="A359" s="1">
        <v>46299</v>
      </c>
      <c r="B359" t="s">
        <v>97</v>
      </c>
      <c r="C359" t="s">
        <v>10</v>
      </c>
      <c r="D359">
        <v>1.8691307385794953</v>
      </c>
      <c r="E359">
        <v>0</v>
      </c>
      <c r="F359">
        <v>0</v>
      </c>
      <c r="G359">
        <v>0.88235294117647045</v>
      </c>
      <c r="H359">
        <v>0</v>
      </c>
      <c r="I359">
        <v>0</v>
      </c>
      <c r="J359">
        <v>0.47206593041589073</v>
      </c>
      <c r="K359">
        <v>0</v>
      </c>
      <c r="L359">
        <v>0</v>
      </c>
      <c r="M359">
        <v>0</v>
      </c>
      <c r="N359">
        <v>0</v>
      </c>
      <c r="O359">
        <v>0</v>
      </c>
      <c r="P359">
        <v>0</v>
      </c>
      <c r="Q359">
        <v>0</v>
      </c>
      <c r="R359">
        <v>0</v>
      </c>
      <c r="S359">
        <v>0</v>
      </c>
      <c r="T359">
        <v>0.47206593041589073</v>
      </c>
      <c r="U359">
        <v>0.52793406958410927</v>
      </c>
      <c r="V359">
        <v>0</v>
      </c>
      <c r="W359">
        <v>0</v>
      </c>
      <c r="X359">
        <v>0</v>
      </c>
      <c r="Y359">
        <v>0</v>
      </c>
      <c r="Z359">
        <v>0</v>
      </c>
      <c r="AA359">
        <v>0</v>
      </c>
      <c r="AB359">
        <v>0</v>
      </c>
      <c r="AC359">
        <v>0</v>
      </c>
      <c r="AD359">
        <v>0</v>
      </c>
      <c r="AE359" t="s">
        <v>162</v>
      </c>
      <c r="AF359">
        <v>0</v>
      </c>
      <c r="AG359" t="s">
        <v>182</v>
      </c>
      <c r="AH359">
        <v>46299</v>
      </c>
      <c r="AI359" t="s">
        <v>149</v>
      </c>
    </row>
    <row r="360" spans="1:35" x14ac:dyDescent="0.25">
      <c r="A360" s="1">
        <v>46299</v>
      </c>
      <c r="B360" t="s">
        <v>97</v>
      </c>
      <c r="C360" t="s">
        <v>12</v>
      </c>
      <c r="D360">
        <v>1.4293352706784377</v>
      </c>
      <c r="E360">
        <v>0</v>
      </c>
      <c r="F360">
        <v>0</v>
      </c>
      <c r="G360">
        <v>0.93425605536332179</v>
      </c>
      <c r="H360">
        <v>0</v>
      </c>
      <c r="I360">
        <v>0</v>
      </c>
      <c r="J360">
        <v>0.65362974980661792</v>
      </c>
      <c r="K360">
        <v>0</v>
      </c>
      <c r="L360">
        <v>0</v>
      </c>
      <c r="M360">
        <v>0</v>
      </c>
      <c r="N360">
        <v>0</v>
      </c>
      <c r="O360">
        <v>0</v>
      </c>
      <c r="P360">
        <v>0</v>
      </c>
      <c r="Q360">
        <v>0</v>
      </c>
      <c r="R360">
        <v>0</v>
      </c>
      <c r="S360">
        <v>0</v>
      </c>
      <c r="T360">
        <v>0.65362974980661792</v>
      </c>
      <c r="U360">
        <v>0.34637025019338208</v>
      </c>
      <c r="V360">
        <v>0</v>
      </c>
      <c r="W360">
        <v>0</v>
      </c>
      <c r="X360">
        <v>0</v>
      </c>
      <c r="Y360">
        <v>0</v>
      </c>
      <c r="Z360">
        <v>0</v>
      </c>
      <c r="AA360">
        <v>0</v>
      </c>
      <c r="AB360">
        <v>0</v>
      </c>
      <c r="AC360">
        <v>0</v>
      </c>
      <c r="AD360">
        <v>0</v>
      </c>
      <c r="AE360" t="s">
        <v>162</v>
      </c>
      <c r="AF360">
        <v>0</v>
      </c>
      <c r="AG360" t="s">
        <v>184</v>
      </c>
      <c r="AH360">
        <v>46299</v>
      </c>
      <c r="AI360" t="s">
        <v>149</v>
      </c>
    </row>
    <row r="361" spans="1:35" x14ac:dyDescent="0.25">
      <c r="A361" s="1">
        <v>46299</v>
      </c>
      <c r="B361" t="s">
        <v>97</v>
      </c>
      <c r="C361" t="s">
        <v>11</v>
      </c>
      <c r="D361">
        <v>0</v>
      </c>
      <c r="E361">
        <v>0</v>
      </c>
      <c r="F361">
        <v>0</v>
      </c>
      <c r="G361">
        <v>0</v>
      </c>
      <c r="H361">
        <v>0</v>
      </c>
      <c r="I361">
        <v>0</v>
      </c>
      <c r="J361">
        <v>0</v>
      </c>
      <c r="K361">
        <v>0</v>
      </c>
      <c r="L361">
        <v>0</v>
      </c>
      <c r="M361">
        <v>0</v>
      </c>
      <c r="N361">
        <v>0</v>
      </c>
      <c r="O361">
        <v>0</v>
      </c>
      <c r="P361">
        <v>0</v>
      </c>
      <c r="Q361">
        <v>0</v>
      </c>
      <c r="R361">
        <v>0</v>
      </c>
      <c r="S361">
        <v>0</v>
      </c>
      <c r="T361">
        <v>0</v>
      </c>
      <c r="U361">
        <v>0</v>
      </c>
      <c r="V361">
        <v>0</v>
      </c>
      <c r="W361">
        <v>0</v>
      </c>
      <c r="X361">
        <v>0</v>
      </c>
      <c r="Y361">
        <v>0</v>
      </c>
      <c r="Z361">
        <v>0</v>
      </c>
      <c r="AA361">
        <v>0</v>
      </c>
      <c r="AB361">
        <v>0</v>
      </c>
      <c r="AC361">
        <v>0</v>
      </c>
      <c r="AD361">
        <v>0</v>
      </c>
      <c r="AE361" t="s">
        <v>162</v>
      </c>
      <c r="AF361">
        <v>0</v>
      </c>
      <c r="AG361" t="s">
        <v>183</v>
      </c>
      <c r="AH361">
        <v>46299</v>
      </c>
      <c r="AI361" t="s">
        <v>149</v>
      </c>
    </row>
    <row r="362" spans="1:35" x14ac:dyDescent="0.25">
      <c r="A362" s="1">
        <v>46300</v>
      </c>
      <c r="B362" t="s">
        <v>97</v>
      </c>
      <c r="C362" t="s">
        <v>11</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c r="AE362" t="s">
        <v>162</v>
      </c>
      <c r="AF362">
        <v>0</v>
      </c>
      <c r="AG362" t="s">
        <v>185</v>
      </c>
      <c r="AH362">
        <v>46300</v>
      </c>
      <c r="AI362" t="s">
        <v>149</v>
      </c>
    </row>
    <row r="363" spans="1:35" x14ac:dyDescent="0.25">
      <c r="A363" s="1">
        <v>46300</v>
      </c>
      <c r="B363" t="s">
        <v>97</v>
      </c>
      <c r="C363" t="s">
        <v>10</v>
      </c>
      <c r="D363">
        <v>0.93456536928974754</v>
      </c>
      <c r="E363">
        <v>0</v>
      </c>
      <c r="F363">
        <v>0</v>
      </c>
      <c r="G363">
        <v>0.88235294117647045</v>
      </c>
      <c r="H363">
        <v>0</v>
      </c>
      <c r="I363">
        <v>0</v>
      </c>
      <c r="J363">
        <v>0.94413186083178158</v>
      </c>
      <c r="K363">
        <v>0</v>
      </c>
      <c r="L363">
        <v>0</v>
      </c>
      <c r="M363">
        <v>0</v>
      </c>
      <c r="N363">
        <v>0</v>
      </c>
      <c r="O363">
        <v>0</v>
      </c>
      <c r="P363">
        <v>0</v>
      </c>
      <c r="Q363">
        <v>0</v>
      </c>
      <c r="R363">
        <v>0</v>
      </c>
      <c r="S363">
        <v>0</v>
      </c>
      <c r="T363">
        <v>0.94413186083178158</v>
      </c>
      <c r="U363">
        <v>5.5868139168218423E-2</v>
      </c>
      <c r="V363">
        <v>0</v>
      </c>
      <c r="W363">
        <v>0</v>
      </c>
      <c r="X363">
        <v>0</v>
      </c>
      <c r="Y363">
        <v>0</v>
      </c>
      <c r="Z363">
        <v>0</v>
      </c>
      <c r="AA363">
        <v>0</v>
      </c>
      <c r="AB363">
        <v>0</v>
      </c>
      <c r="AC363">
        <v>0</v>
      </c>
      <c r="AD363">
        <v>0</v>
      </c>
      <c r="AE363" t="s">
        <v>162</v>
      </c>
      <c r="AF363">
        <v>0</v>
      </c>
      <c r="AG363" t="s">
        <v>186</v>
      </c>
      <c r="AH363">
        <v>46300</v>
      </c>
      <c r="AI363" t="s">
        <v>149</v>
      </c>
    </row>
    <row r="364" spans="1:35" x14ac:dyDescent="0.25">
      <c r="A364" s="1">
        <v>46300</v>
      </c>
      <c r="B364" t="s">
        <v>97</v>
      </c>
      <c r="C364" t="s">
        <v>12</v>
      </c>
      <c r="D364">
        <v>1.4293352706784377</v>
      </c>
      <c r="E364">
        <v>0</v>
      </c>
      <c r="F364">
        <v>0</v>
      </c>
      <c r="G364">
        <v>0.93425605536332179</v>
      </c>
      <c r="H364">
        <v>0</v>
      </c>
      <c r="I364">
        <v>0</v>
      </c>
      <c r="J364">
        <v>0.65362974980661792</v>
      </c>
      <c r="K364">
        <v>0</v>
      </c>
      <c r="L364">
        <v>0</v>
      </c>
      <c r="M364">
        <v>0</v>
      </c>
      <c r="N364">
        <v>0</v>
      </c>
      <c r="O364">
        <v>0</v>
      </c>
      <c r="P364">
        <v>0</v>
      </c>
      <c r="Q364">
        <v>0</v>
      </c>
      <c r="R364">
        <v>0</v>
      </c>
      <c r="S364">
        <v>0</v>
      </c>
      <c r="T364">
        <v>0.65362974980661792</v>
      </c>
      <c r="U364">
        <v>0.34637025019338208</v>
      </c>
      <c r="V364">
        <v>0</v>
      </c>
      <c r="W364">
        <v>0</v>
      </c>
      <c r="X364">
        <v>0</v>
      </c>
      <c r="Y364">
        <v>0</v>
      </c>
      <c r="Z364">
        <v>0</v>
      </c>
      <c r="AA364">
        <v>0</v>
      </c>
      <c r="AB364">
        <v>0</v>
      </c>
      <c r="AC364">
        <v>0</v>
      </c>
      <c r="AD364">
        <v>0</v>
      </c>
      <c r="AE364" t="s">
        <v>162</v>
      </c>
      <c r="AF364">
        <v>0</v>
      </c>
      <c r="AG364" t="s">
        <v>187</v>
      </c>
      <c r="AH364">
        <v>46300</v>
      </c>
      <c r="AI364" t="s">
        <v>149</v>
      </c>
    </row>
    <row r="365" spans="1:35" x14ac:dyDescent="0.25">
      <c r="A365" s="1">
        <v>46301</v>
      </c>
      <c r="B365" t="s">
        <v>97</v>
      </c>
      <c r="C365" t="s">
        <v>12</v>
      </c>
      <c r="D365">
        <v>1.4293352706784377</v>
      </c>
      <c r="E365">
        <v>0</v>
      </c>
      <c r="F365">
        <v>0</v>
      </c>
      <c r="G365">
        <v>0.93425605536332179</v>
      </c>
      <c r="H365">
        <v>0</v>
      </c>
      <c r="I365">
        <v>0</v>
      </c>
      <c r="J365">
        <v>0.65362974980661792</v>
      </c>
      <c r="K365">
        <v>0</v>
      </c>
      <c r="L365">
        <v>0</v>
      </c>
      <c r="M365">
        <v>0</v>
      </c>
      <c r="N365">
        <v>0</v>
      </c>
      <c r="O365">
        <v>0</v>
      </c>
      <c r="P365">
        <v>0</v>
      </c>
      <c r="Q365">
        <v>0</v>
      </c>
      <c r="R365">
        <v>0</v>
      </c>
      <c r="S365">
        <v>0</v>
      </c>
      <c r="T365">
        <v>0.65362974980661792</v>
      </c>
      <c r="U365">
        <v>0.34637025019338208</v>
      </c>
      <c r="V365">
        <v>0</v>
      </c>
      <c r="W365">
        <v>0</v>
      </c>
      <c r="X365">
        <v>0</v>
      </c>
      <c r="Y365">
        <v>0</v>
      </c>
      <c r="Z365">
        <v>0</v>
      </c>
      <c r="AA365">
        <v>0</v>
      </c>
      <c r="AB365">
        <v>0</v>
      </c>
      <c r="AC365">
        <v>0</v>
      </c>
      <c r="AD365">
        <v>0</v>
      </c>
      <c r="AE365" t="s">
        <v>162</v>
      </c>
      <c r="AF365">
        <v>0</v>
      </c>
      <c r="AG365" t="s">
        <v>188</v>
      </c>
      <c r="AH365">
        <v>46301</v>
      </c>
      <c r="AI365" t="s">
        <v>149</v>
      </c>
    </row>
    <row r="366" spans="1:35" x14ac:dyDescent="0.25">
      <c r="A366" s="1">
        <v>46301</v>
      </c>
      <c r="B366" t="s">
        <v>97</v>
      </c>
      <c r="C366" t="s">
        <v>11</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c r="AE366" t="s">
        <v>162</v>
      </c>
      <c r="AF366">
        <v>0</v>
      </c>
      <c r="AG366" t="s">
        <v>189</v>
      </c>
      <c r="AH366">
        <v>46301</v>
      </c>
      <c r="AI366" t="s">
        <v>149</v>
      </c>
    </row>
    <row r="367" spans="1:35" x14ac:dyDescent="0.25">
      <c r="A367" s="1">
        <v>46301</v>
      </c>
      <c r="B367" t="s">
        <v>97</v>
      </c>
      <c r="C367" t="s">
        <v>10</v>
      </c>
      <c r="D367">
        <v>0.93456536928974754</v>
      </c>
      <c r="E367">
        <v>0</v>
      </c>
      <c r="F367">
        <v>0</v>
      </c>
      <c r="G367">
        <v>0.88235294117647045</v>
      </c>
      <c r="H367">
        <v>0</v>
      </c>
      <c r="I367">
        <v>0</v>
      </c>
      <c r="J367">
        <v>0.94413186083178158</v>
      </c>
      <c r="K367">
        <v>0</v>
      </c>
      <c r="L367">
        <v>0</v>
      </c>
      <c r="M367">
        <v>0</v>
      </c>
      <c r="N367">
        <v>0</v>
      </c>
      <c r="O367">
        <v>0</v>
      </c>
      <c r="P367">
        <v>0</v>
      </c>
      <c r="Q367">
        <v>0</v>
      </c>
      <c r="R367">
        <v>0</v>
      </c>
      <c r="S367">
        <v>0</v>
      </c>
      <c r="T367">
        <v>0.94413186083178158</v>
      </c>
      <c r="U367">
        <v>5.5868139168218423E-2</v>
      </c>
      <c r="V367">
        <v>0</v>
      </c>
      <c r="W367">
        <v>0</v>
      </c>
      <c r="X367">
        <v>0</v>
      </c>
      <c r="Y367">
        <v>0</v>
      </c>
      <c r="Z367">
        <v>0</v>
      </c>
      <c r="AA367">
        <v>0</v>
      </c>
      <c r="AB367">
        <v>0</v>
      </c>
      <c r="AC367">
        <v>0</v>
      </c>
      <c r="AD367">
        <v>0</v>
      </c>
      <c r="AE367" t="s">
        <v>162</v>
      </c>
      <c r="AF367">
        <v>0</v>
      </c>
      <c r="AG367" t="s">
        <v>190</v>
      </c>
      <c r="AH367">
        <v>46301</v>
      </c>
      <c r="AI367" t="s">
        <v>149</v>
      </c>
    </row>
    <row r="368" spans="1:35" x14ac:dyDescent="0.25">
      <c r="A368" s="1">
        <v>46302</v>
      </c>
      <c r="B368" t="s">
        <v>97</v>
      </c>
      <c r="C368" t="s">
        <v>12</v>
      </c>
      <c r="D368">
        <v>1.5942585711413342</v>
      </c>
      <c r="E368">
        <v>0</v>
      </c>
      <c r="F368">
        <v>0</v>
      </c>
      <c r="G368">
        <v>0.93425605536332179</v>
      </c>
      <c r="H368">
        <v>0</v>
      </c>
      <c r="I368">
        <v>0</v>
      </c>
      <c r="J368">
        <v>0.58601287913696787</v>
      </c>
      <c r="K368">
        <v>0</v>
      </c>
      <c r="L368">
        <v>0</v>
      </c>
      <c r="M368">
        <v>0</v>
      </c>
      <c r="N368">
        <v>0</v>
      </c>
      <c r="O368">
        <v>0</v>
      </c>
      <c r="P368">
        <v>0</v>
      </c>
      <c r="Q368">
        <v>0</v>
      </c>
      <c r="R368">
        <v>0</v>
      </c>
      <c r="S368">
        <v>0</v>
      </c>
      <c r="T368">
        <v>0.58601287913696787</v>
      </c>
      <c r="U368">
        <v>0.41398712086303213</v>
      </c>
      <c r="V368">
        <v>0</v>
      </c>
      <c r="W368">
        <v>0</v>
      </c>
      <c r="X368">
        <v>0</v>
      </c>
      <c r="Y368">
        <v>0</v>
      </c>
      <c r="Z368">
        <v>0</v>
      </c>
      <c r="AA368">
        <v>0</v>
      </c>
      <c r="AB368">
        <v>0</v>
      </c>
      <c r="AC368">
        <v>0</v>
      </c>
      <c r="AD368">
        <v>0</v>
      </c>
      <c r="AE368" t="s">
        <v>162</v>
      </c>
      <c r="AF368">
        <v>0</v>
      </c>
      <c r="AG368" t="s">
        <v>191</v>
      </c>
      <c r="AH368">
        <v>46302</v>
      </c>
      <c r="AI368" t="s">
        <v>149</v>
      </c>
    </row>
    <row r="369" spans="1:35" x14ac:dyDescent="0.25">
      <c r="A369" s="1">
        <v>46302</v>
      </c>
      <c r="B369" t="s">
        <v>97</v>
      </c>
      <c r="C369" t="s">
        <v>11</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0</v>
      </c>
      <c r="AE369" t="s">
        <v>162</v>
      </c>
      <c r="AF369">
        <v>0</v>
      </c>
      <c r="AG369" t="s">
        <v>192</v>
      </c>
      <c r="AH369">
        <v>46302</v>
      </c>
      <c r="AI369" t="s">
        <v>149</v>
      </c>
    </row>
    <row r="370" spans="1:35" x14ac:dyDescent="0.25">
      <c r="A370" s="1">
        <v>46302</v>
      </c>
      <c r="B370" t="s">
        <v>97</v>
      </c>
      <c r="C370" t="s">
        <v>10</v>
      </c>
      <c r="D370">
        <v>1.635489396257058</v>
      </c>
      <c r="E370">
        <v>0</v>
      </c>
      <c r="F370">
        <v>0</v>
      </c>
      <c r="G370">
        <v>1.6323529411764706</v>
      </c>
      <c r="H370">
        <v>0</v>
      </c>
      <c r="I370">
        <v>0</v>
      </c>
      <c r="J370">
        <v>0.99808225287931218</v>
      </c>
      <c r="K370">
        <v>0</v>
      </c>
      <c r="L370">
        <v>0</v>
      </c>
      <c r="M370">
        <v>0</v>
      </c>
      <c r="N370">
        <v>0</v>
      </c>
      <c r="O370">
        <v>0</v>
      </c>
      <c r="P370">
        <v>0</v>
      </c>
      <c r="Q370">
        <v>0</v>
      </c>
      <c r="R370">
        <v>0</v>
      </c>
      <c r="S370">
        <v>0</v>
      </c>
      <c r="T370">
        <v>0.99808225287931218</v>
      </c>
      <c r="U370">
        <v>1.9177471206878183E-3</v>
      </c>
      <c r="V370">
        <v>0</v>
      </c>
      <c r="W370">
        <v>0</v>
      </c>
      <c r="X370">
        <v>0</v>
      </c>
      <c r="Y370">
        <v>0</v>
      </c>
      <c r="Z370">
        <v>0</v>
      </c>
      <c r="AA370">
        <v>0</v>
      </c>
      <c r="AB370">
        <v>0</v>
      </c>
      <c r="AC370">
        <v>0</v>
      </c>
      <c r="AD370">
        <v>0</v>
      </c>
      <c r="AE370" t="s">
        <v>162</v>
      </c>
      <c r="AF370">
        <v>0</v>
      </c>
      <c r="AG370" t="s">
        <v>193</v>
      </c>
      <c r="AH370">
        <v>46302</v>
      </c>
      <c r="AI370" t="s">
        <v>149</v>
      </c>
    </row>
    <row r="371" spans="1:35" x14ac:dyDescent="0.25">
      <c r="A371" s="1">
        <v>46303</v>
      </c>
      <c r="B371" t="s">
        <v>97</v>
      </c>
      <c r="C371" t="s">
        <v>12</v>
      </c>
      <c r="D371">
        <v>0.65969320185158642</v>
      </c>
      <c r="E371">
        <v>0</v>
      </c>
      <c r="F371">
        <v>0</v>
      </c>
      <c r="G371">
        <v>0.11072664359861592</v>
      </c>
      <c r="H371">
        <v>0</v>
      </c>
      <c r="I371">
        <v>0</v>
      </c>
      <c r="J371">
        <v>0.16784566414787233</v>
      </c>
      <c r="K371">
        <v>0</v>
      </c>
      <c r="L371">
        <v>0</v>
      </c>
      <c r="M371">
        <v>0</v>
      </c>
      <c r="N371">
        <v>0</v>
      </c>
      <c r="O371">
        <v>0</v>
      </c>
      <c r="P371">
        <v>0</v>
      </c>
      <c r="Q371">
        <v>0</v>
      </c>
      <c r="R371">
        <v>0</v>
      </c>
      <c r="S371">
        <v>0</v>
      </c>
      <c r="T371">
        <v>0.16784566414787233</v>
      </c>
      <c r="U371">
        <v>0.83215433585212772</v>
      </c>
      <c r="V371">
        <v>0</v>
      </c>
      <c r="W371">
        <v>0</v>
      </c>
      <c r="X371">
        <v>0</v>
      </c>
      <c r="Y371">
        <v>0</v>
      </c>
      <c r="Z371">
        <v>0</v>
      </c>
      <c r="AA371">
        <v>0</v>
      </c>
      <c r="AB371">
        <v>0</v>
      </c>
      <c r="AC371">
        <v>0</v>
      </c>
      <c r="AD371">
        <v>0</v>
      </c>
      <c r="AE371" t="s">
        <v>162</v>
      </c>
      <c r="AF371">
        <v>0</v>
      </c>
      <c r="AG371" t="s">
        <v>194</v>
      </c>
      <c r="AH371">
        <v>46303</v>
      </c>
      <c r="AI371" t="s">
        <v>149</v>
      </c>
    </row>
    <row r="372" spans="1:35" x14ac:dyDescent="0.25">
      <c r="A372" s="1">
        <v>46303</v>
      </c>
      <c r="B372" t="s">
        <v>97</v>
      </c>
      <c r="C372" t="s">
        <v>11</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c r="AE372" t="s">
        <v>162</v>
      </c>
      <c r="AF372">
        <v>0</v>
      </c>
      <c r="AG372" t="s">
        <v>195</v>
      </c>
      <c r="AH372">
        <v>46303</v>
      </c>
      <c r="AI372" t="s">
        <v>149</v>
      </c>
    </row>
    <row r="373" spans="1:35" x14ac:dyDescent="0.25">
      <c r="A373" s="1">
        <v>46303</v>
      </c>
      <c r="B373" t="s">
        <v>97</v>
      </c>
      <c r="C373" t="s">
        <v>10</v>
      </c>
      <c r="D373">
        <v>0.93456536928974754</v>
      </c>
      <c r="E373">
        <v>0</v>
      </c>
      <c r="F373">
        <v>0</v>
      </c>
      <c r="G373">
        <v>0.88235294117647045</v>
      </c>
      <c r="H373">
        <v>0</v>
      </c>
      <c r="I373">
        <v>0</v>
      </c>
      <c r="J373">
        <v>0.94413186083178158</v>
      </c>
      <c r="K373">
        <v>0</v>
      </c>
      <c r="L373">
        <v>0</v>
      </c>
      <c r="M373">
        <v>0</v>
      </c>
      <c r="N373">
        <v>0</v>
      </c>
      <c r="O373">
        <v>0</v>
      </c>
      <c r="P373">
        <v>0</v>
      </c>
      <c r="Q373">
        <v>0</v>
      </c>
      <c r="R373">
        <v>0</v>
      </c>
      <c r="S373">
        <v>0</v>
      </c>
      <c r="T373">
        <v>0.94413186083178158</v>
      </c>
      <c r="U373">
        <v>5.5868139168218423E-2</v>
      </c>
      <c r="V373">
        <v>0</v>
      </c>
      <c r="W373">
        <v>0</v>
      </c>
      <c r="X373">
        <v>0</v>
      </c>
      <c r="Y373">
        <v>0</v>
      </c>
      <c r="Z373">
        <v>0</v>
      </c>
      <c r="AA373">
        <v>0</v>
      </c>
      <c r="AB373">
        <v>0</v>
      </c>
      <c r="AC373">
        <v>0</v>
      </c>
      <c r="AD373">
        <v>0</v>
      </c>
      <c r="AE373" t="s">
        <v>162</v>
      </c>
      <c r="AF373">
        <v>0</v>
      </c>
      <c r="AG373" t="s">
        <v>196</v>
      </c>
      <c r="AH373">
        <v>46303</v>
      </c>
      <c r="AI373" t="s">
        <v>149</v>
      </c>
    </row>
    <row r="374" spans="1:35" x14ac:dyDescent="0.25">
      <c r="A374" s="1">
        <v>46304</v>
      </c>
      <c r="B374" t="s">
        <v>97</v>
      </c>
      <c r="C374" t="s">
        <v>12</v>
      </c>
      <c r="D374">
        <v>0.65969320185158642</v>
      </c>
      <c r="E374">
        <v>0</v>
      </c>
      <c r="F374">
        <v>0</v>
      </c>
      <c r="G374">
        <v>0.22145328719723184</v>
      </c>
      <c r="H374">
        <v>0</v>
      </c>
      <c r="I374">
        <v>0</v>
      </c>
      <c r="J374">
        <v>0.33569132829574466</v>
      </c>
      <c r="K374">
        <v>0</v>
      </c>
      <c r="L374">
        <v>0</v>
      </c>
      <c r="M374">
        <v>0</v>
      </c>
      <c r="N374">
        <v>0</v>
      </c>
      <c r="O374">
        <v>0</v>
      </c>
      <c r="P374">
        <v>0</v>
      </c>
      <c r="Q374">
        <v>0</v>
      </c>
      <c r="R374">
        <v>0</v>
      </c>
      <c r="S374">
        <v>0</v>
      </c>
      <c r="T374">
        <v>0.33569132829574466</v>
      </c>
      <c r="U374">
        <v>0.66430867170425534</v>
      </c>
      <c r="V374">
        <v>0</v>
      </c>
      <c r="W374">
        <v>0</v>
      </c>
      <c r="X374">
        <v>0</v>
      </c>
      <c r="Y374">
        <v>0</v>
      </c>
      <c r="Z374">
        <v>0</v>
      </c>
      <c r="AA374">
        <v>0</v>
      </c>
      <c r="AB374">
        <v>0</v>
      </c>
      <c r="AC374">
        <v>0</v>
      </c>
      <c r="AD374">
        <v>0</v>
      </c>
      <c r="AE374" t="s">
        <v>162</v>
      </c>
      <c r="AF374">
        <v>0</v>
      </c>
      <c r="AG374" t="s">
        <v>197</v>
      </c>
      <c r="AH374">
        <v>46304</v>
      </c>
      <c r="AI374" t="s">
        <v>149</v>
      </c>
    </row>
    <row r="375" spans="1:35" x14ac:dyDescent="0.25">
      <c r="A375" s="1">
        <v>46304</v>
      </c>
      <c r="B375" t="s">
        <v>97</v>
      </c>
      <c r="C375" t="s">
        <v>10</v>
      </c>
      <c r="D375">
        <v>1.8691307385794953</v>
      </c>
      <c r="E375">
        <v>0</v>
      </c>
      <c r="F375">
        <v>0</v>
      </c>
      <c r="G375">
        <v>1.7647058823529409</v>
      </c>
      <c r="H375">
        <v>0</v>
      </c>
      <c r="I375">
        <v>0</v>
      </c>
      <c r="J375">
        <v>0.94413186083178147</v>
      </c>
      <c r="K375">
        <v>0</v>
      </c>
      <c r="L375">
        <v>0</v>
      </c>
      <c r="M375">
        <v>0</v>
      </c>
      <c r="N375">
        <v>0</v>
      </c>
      <c r="O375">
        <v>0</v>
      </c>
      <c r="P375">
        <v>0</v>
      </c>
      <c r="Q375">
        <v>0</v>
      </c>
      <c r="R375">
        <v>0</v>
      </c>
      <c r="S375">
        <v>0</v>
      </c>
      <c r="T375">
        <v>0.94413186083178147</v>
      </c>
      <c r="U375">
        <v>5.5868139168218534E-2</v>
      </c>
      <c r="V375">
        <v>0</v>
      </c>
      <c r="W375">
        <v>0</v>
      </c>
      <c r="X375">
        <v>0</v>
      </c>
      <c r="Y375">
        <v>0</v>
      </c>
      <c r="Z375">
        <v>0</v>
      </c>
      <c r="AA375">
        <v>0</v>
      </c>
      <c r="AB375">
        <v>0</v>
      </c>
      <c r="AC375">
        <v>0</v>
      </c>
      <c r="AD375">
        <v>0</v>
      </c>
      <c r="AE375" t="s">
        <v>162</v>
      </c>
      <c r="AF375">
        <v>0</v>
      </c>
      <c r="AG375" t="s">
        <v>198</v>
      </c>
      <c r="AH375">
        <v>46304</v>
      </c>
      <c r="AI375" t="s">
        <v>149</v>
      </c>
    </row>
    <row r="376" spans="1:35" x14ac:dyDescent="0.25">
      <c r="A376" s="1">
        <v>46304</v>
      </c>
      <c r="B376" t="s">
        <v>97</v>
      </c>
      <c r="C376" t="s">
        <v>11</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c r="AE376" t="s">
        <v>162</v>
      </c>
      <c r="AF376">
        <v>0</v>
      </c>
      <c r="AG376" t="s">
        <v>199</v>
      </c>
      <c r="AH376">
        <v>46304</v>
      </c>
      <c r="AI376" t="s">
        <v>149</v>
      </c>
    </row>
    <row r="377" spans="1:35" x14ac:dyDescent="0.25">
      <c r="A377" s="1">
        <v>46305</v>
      </c>
      <c r="B377" t="s">
        <v>97</v>
      </c>
      <c r="C377" t="s">
        <v>10</v>
      </c>
      <c r="D377">
        <v>1.8691307385794953</v>
      </c>
      <c r="E377">
        <v>0</v>
      </c>
      <c r="F377">
        <v>0</v>
      </c>
      <c r="G377">
        <v>0</v>
      </c>
      <c r="H377">
        <v>0</v>
      </c>
      <c r="I377">
        <v>0</v>
      </c>
      <c r="J377">
        <v>0</v>
      </c>
      <c r="K377">
        <v>0</v>
      </c>
      <c r="L377">
        <v>0</v>
      </c>
      <c r="M377">
        <v>0</v>
      </c>
      <c r="N377">
        <v>0</v>
      </c>
      <c r="O377">
        <v>0</v>
      </c>
      <c r="P377">
        <v>0</v>
      </c>
      <c r="Q377">
        <v>0</v>
      </c>
      <c r="R377">
        <v>0</v>
      </c>
      <c r="S377">
        <v>0</v>
      </c>
      <c r="T377">
        <v>0</v>
      </c>
      <c r="U377">
        <v>1</v>
      </c>
      <c r="V377">
        <v>0</v>
      </c>
      <c r="W377">
        <v>0</v>
      </c>
      <c r="X377">
        <v>0</v>
      </c>
      <c r="Y377">
        <v>0</v>
      </c>
      <c r="Z377">
        <v>0</v>
      </c>
      <c r="AA377">
        <v>0</v>
      </c>
      <c r="AB377">
        <v>0</v>
      </c>
      <c r="AC377">
        <v>0</v>
      </c>
      <c r="AD377">
        <v>0</v>
      </c>
      <c r="AE377" t="s">
        <v>162</v>
      </c>
      <c r="AF377">
        <v>0</v>
      </c>
      <c r="AG377" t="s">
        <v>200</v>
      </c>
      <c r="AH377">
        <v>46305</v>
      </c>
      <c r="AI377" t="s">
        <v>149</v>
      </c>
    </row>
    <row r="378" spans="1:35" x14ac:dyDescent="0.25">
      <c r="A378" s="1">
        <v>46305</v>
      </c>
      <c r="B378" t="s">
        <v>97</v>
      </c>
      <c r="C378" t="s">
        <v>11</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c r="AE378" t="s">
        <v>162</v>
      </c>
      <c r="AF378">
        <v>0</v>
      </c>
      <c r="AG378" t="s">
        <v>201</v>
      </c>
      <c r="AH378">
        <v>46305</v>
      </c>
      <c r="AI378" t="s">
        <v>149</v>
      </c>
    </row>
    <row r="379" spans="1:35" x14ac:dyDescent="0.25">
      <c r="A379" s="1">
        <v>46305</v>
      </c>
      <c r="B379" t="s">
        <v>97</v>
      </c>
      <c r="C379" t="s">
        <v>12</v>
      </c>
      <c r="D379">
        <v>0.65969320185158642</v>
      </c>
      <c r="E379">
        <v>0</v>
      </c>
      <c r="F379">
        <v>0</v>
      </c>
      <c r="G379">
        <v>0.70588235294117641</v>
      </c>
      <c r="H379">
        <v>0</v>
      </c>
      <c r="I379">
        <v>0</v>
      </c>
      <c r="J379">
        <v>1.0700161089426858</v>
      </c>
      <c r="K379">
        <v>7.001610894268584E-2</v>
      </c>
      <c r="L379">
        <v>0</v>
      </c>
      <c r="M379">
        <v>0</v>
      </c>
      <c r="N379">
        <v>0</v>
      </c>
      <c r="O379">
        <v>0</v>
      </c>
      <c r="P379">
        <v>0</v>
      </c>
      <c r="Q379">
        <v>0</v>
      </c>
      <c r="R379">
        <v>0</v>
      </c>
      <c r="S379">
        <v>0</v>
      </c>
      <c r="T379">
        <v>0</v>
      </c>
      <c r="U379">
        <v>0</v>
      </c>
      <c r="V379">
        <v>0</v>
      </c>
      <c r="W379">
        <v>0</v>
      </c>
      <c r="X379">
        <v>0</v>
      </c>
      <c r="Y379">
        <v>0</v>
      </c>
      <c r="Z379">
        <v>0</v>
      </c>
      <c r="AA379">
        <v>0</v>
      </c>
      <c r="AB379">
        <v>0</v>
      </c>
      <c r="AC379">
        <v>0</v>
      </c>
      <c r="AD379">
        <v>0</v>
      </c>
      <c r="AE379" t="s">
        <v>162</v>
      </c>
      <c r="AF379">
        <v>0</v>
      </c>
      <c r="AG379" t="s">
        <v>202</v>
      </c>
      <c r="AH379">
        <v>46305</v>
      </c>
      <c r="AI379" t="s">
        <v>149</v>
      </c>
    </row>
    <row r="380" spans="1:35" x14ac:dyDescent="0.25">
      <c r="A380" s="1">
        <v>46306</v>
      </c>
      <c r="B380" t="s">
        <v>97</v>
      </c>
      <c r="C380" t="s">
        <v>11</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c r="AE380" t="s">
        <v>162</v>
      </c>
      <c r="AF380">
        <v>0</v>
      </c>
      <c r="AG380" t="s">
        <v>203</v>
      </c>
      <c r="AH380">
        <v>46306</v>
      </c>
      <c r="AI380" t="s">
        <v>149</v>
      </c>
    </row>
    <row r="381" spans="1:35" x14ac:dyDescent="0.25">
      <c r="A381" s="1">
        <v>46306</v>
      </c>
      <c r="B381" t="s">
        <v>97</v>
      </c>
      <c r="C381" t="s">
        <v>10</v>
      </c>
      <c r="D381">
        <v>1.8691307385794953</v>
      </c>
      <c r="E381">
        <v>0</v>
      </c>
      <c r="F381">
        <v>0</v>
      </c>
      <c r="G381">
        <v>0.88235294117647045</v>
      </c>
      <c r="H381">
        <v>0</v>
      </c>
      <c r="I381">
        <v>0</v>
      </c>
      <c r="J381">
        <v>0.47206593041589073</v>
      </c>
      <c r="K381">
        <v>0</v>
      </c>
      <c r="L381">
        <v>0</v>
      </c>
      <c r="M381">
        <v>0</v>
      </c>
      <c r="N381">
        <v>0</v>
      </c>
      <c r="O381">
        <v>0</v>
      </c>
      <c r="P381">
        <v>0</v>
      </c>
      <c r="Q381">
        <v>0</v>
      </c>
      <c r="R381">
        <v>0</v>
      </c>
      <c r="S381">
        <v>0</v>
      </c>
      <c r="T381">
        <v>0.47206593041589073</v>
      </c>
      <c r="U381">
        <v>0.52793406958410927</v>
      </c>
      <c r="V381">
        <v>0</v>
      </c>
      <c r="W381">
        <v>0</v>
      </c>
      <c r="X381">
        <v>0</v>
      </c>
      <c r="Y381">
        <v>0</v>
      </c>
      <c r="Z381">
        <v>0</v>
      </c>
      <c r="AA381">
        <v>0</v>
      </c>
      <c r="AB381">
        <v>0</v>
      </c>
      <c r="AC381">
        <v>0</v>
      </c>
      <c r="AD381">
        <v>0</v>
      </c>
      <c r="AE381" t="s">
        <v>162</v>
      </c>
      <c r="AF381">
        <v>0</v>
      </c>
      <c r="AG381" t="s">
        <v>204</v>
      </c>
      <c r="AH381">
        <v>46306</v>
      </c>
      <c r="AI381" t="s">
        <v>149</v>
      </c>
    </row>
    <row r="382" spans="1:35" x14ac:dyDescent="0.25">
      <c r="A382" s="1">
        <v>46306</v>
      </c>
      <c r="B382" t="s">
        <v>97</v>
      </c>
      <c r="C382" t="s">
        <v>12</v>
      </c>
      <c r="D382">
        <v>0.65969320185158642</v>
      </c>
      <c r="E382">
        <v>0</v>
      </c>
      <c r="F382">
        <v>0</v>
      </c>
      <c r="G382">
        <v>0.11072664359861592</v>
      </c>
      <c r="H382">
        <v>0</v>
      </c>
      <c r="I382">
        <v>0</v>
      </c>
      <c r="J382">
        <v>0.16784566414787233</v>
      </c>
      <c r="K382">
        <v>0</v>
      </c>
      <c r="L382">
        <v>0</v>
      </c>
      <c r="M382">
        <v>0</v>
      </c>
      <c r="N382">
        <v>0</v>
      </c>
      <c r="O382">
        <v>0</v>
      </c>
      <c r="P382">
        <v>0</v>
      </c>
      <c r="Q382">
        <v>0</v>
      </c>
      <c r="R382">
        <v>0</v>
      </c>
      <c r="S382">
        <v>0</v>
      </c>
      <c r="T382">
        <v>0.16784566414787233</v>
      </c>
      <c r="U382">
        <v>0.83215433585212772</v>
      </c>
      <c r="V382">
        <v>0</v>
      </c>
      <c r="W382">
        <v>0</v>
      </c>
      <c r="X382">
        <v>0</v>
      </c>
      <c r="Y382">
        <v>0</v>
      </c>
      <c r="Z382">
        <v>0</v>
      </c>
      <c r="AA382">
        <v>0</v>
      </c>
      <c r="AB382">
        <v>0</v>
      </c>
      <c r="AC382">
        <v>0</v>
      </c>
      <c r="AD382">
        <v>0</v>
      </c>
      <c r="AE382" t="s">
        <v>162</v>
      </c>
      <c r="AF382">
        <v>0</v>
      </c>
      <c r="AG382" t="s">
        <v>205</v>
      </c>
      <c r="AH382">
        <v>46306</v>
      </c>
      <c r="AI382" t="s">
        <v>149</v>
      </c>
    </row>
    <row r="383" spans="1:35" x14ac:dyDescent="0.25">
      <c r="A383" s="1">
        <v>46307</v>
      </c>
      <c r="B383" t="s">
        <v>97</v>
      </c>
      <c r="C383" t="s">
        <v>11</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c r="AE383" t="s">
        <v>162</v>
      </c>
      <c r="AF383">
        <v>0</v>
      </c>
      <c r="AG383" t="s">
        <v>206</v>
      </c>
      <c r="AH383">
        <v>46307</v>
      </c>
      <c r="AI383" t="s">
        <v>149</v>
      </c>
    </row>
    <row r="384" spans="1:35" x14ac:dyDescent="0.25">
      <c r="A384" s="1">
        <v>46307</v>
      </c>
      <c r="B384" t="s">
        <v>97</v>
      </c>
      <c r="C384" t="s">
        <v>12</v>
      </c>
      <c r="D384">
        <v>1.4293352706784377</v>
      </c>
      <c r="E384">
        <v>0</v>
      </c>
      <c r="F384">
        <v>0</v>
      </c>
      <c r="G384">
        <v>1.0449826989619375</v>
      </c>
      <c r="H384">
        <v>0</v>
      </c>
      <c r="I384">
        <v>0</v>
      </c>
      <c r="J384">
        <v>0.73109697941332807</v>
      </c>
      <c r="K384">
        <v>0</v>
      </c>
      <c r="L384">
        <v>0</v>
      </c>
      <c r="M384">
        <v>0</v>
      </c>
      <c r="N384">
        <v>0</v>
      </c>
      <c r="O384">
        <v>0</v>
      </c>
      <c r="P384">
        <v>0</v>
      </c>
      <c r="Q384">
        <v>0</v>
      </c>
      <c r="R384">
        <v>0</v>
      </c>
      <c r="S384">
        <v>0</v>
      </c>
      <c r="T384">
        <v>0.73109697941332807</v>
      </c>
      <c r="U384">
        <v>0.26890302058667193</v>
      </c>
      <c r="V384">
        <v>0</v>
      </c>
      <c r="W384">
        <v>0</v>
      </c>
      <c r="X384">
        <v>0</v>
      </c>
      <c r="Y384">
        <v>0</v>
      </c>
      <c r="Z384">
        <v>0</v>
      </c>
      <c r="AA384">
        <v>0</v>
      </c>
      <c r="AB384">
        <v>0</v>
      </c>
      <c r="AC384">
        <v>0</v>
      </c>
      <c r="AD384">
        <v>0</v>
      </c>
      <c r="AE384" t="s">
        <v>162</v>
      </c>
      <c r="AF384">
        <v>0</v>
      </c>
      <c r="AG384" t="s">
        <v>207</v>
      </c>
      <c r="AH384">
        <v>46307</v>
      </c>
      <c r="AI384" t="s">
        <v>149</v>
      </c>
    </row>
    <row r="385" spans="1:35" x14ac:dyDescent="0.25">
      <c r="A385" s="1">
        <v>46307</v>
      </c>
      <c r="B385" t="s">
        <v>97</v>
      </c>
      <c r="C385" t="s">
        <v>10</v>
      </c>
      <c r="D385">
        <v>0.93456536928974754</v>
      </c>
      <c r="E385">
        <v>0</v>
      </c>
      <c r="F385">
        <v>0</v>
      </c>
      <c r="G385">
        <v>1.7647058823529409</v>
      </c>
      <c r="H385">
        <v>0</v>
      </c>
      <c r="I385">
        <v>0</v>
      </c>
      <c r="J385">
        <v>1.8882637216635632</v>
      </c>
      <c r="K385">
        <v>0.88826372166356315</v>
      </c>
      <c r="L385">
        <v>0</v>
      </c>
      <c r="M385">
        <v>0</v>
      </c>
      <c r="N385">
        <v>0</v>
      </c>
      <c r="O385">
        <v>0</v>
      </c>
      <c r="P385">
        <v>0</v>
      </c>
      <c r="Q385">
        <v>0</v>
      </c>
      <c r="R385">
        <v>0</v>
      </c>
      <c r="S385">
        <v>0</v>
      </c>
      <c r="T385">
        <v>0</v>
      </c>
      <c r="U385">
        <v>0</v>
      </c>
      <c r="V385">
        <v>0</v>
      </c>
      <c r="W385">
        <v>0</v>
      </c>
      <c r="X385">
        <v>0</v>
      </c>
      <c r="Y385">
        <v>0</v>
      </c>
      <c r="Z385">
        <v>0</v>
      </c>
      <c r="AA385">
        <v>0</v>
      </c>
      <c r="AB385">
        <v>0</v>
      </c>
      <c r="AC385">
        <v>1</v>
      </c>
      <c r="AD385">
        <v>0</v>
      </c>
      <c r="AE385" t="s">
        <v>162</v>
      </c>
      <c r="AF385">
        <v>0</v>
      </c>
      <c r="AG385" t="s">
        <v>208</v>
      </c>
      <c r="AH385">
        <v>46307</v>
      </c>
      <c r="AI385" t="s">
        <v>149</v>
      </c>
    </row>
    <row r="386" spans="1:35" x14ac:dyDescent="0.25">
      <c r="A386" s="1">
        <v>46308</v>
      </c>
      <c r="B386" t="s">
        <v>97</v>
      </c>
      <c r="C386" t="s">
        <v>11</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c r="AE386" t="s">
        <v>162</v>
      </c>
      <c r="AF386">
        <v>0</v>
      </c>
      <c r="AG386" t="s">
        <v>211</v>
      </c>
      <c r="AH386">
        <v>46308</v>
      </c>
      <c r="AI386" t="s">
        <v>149</v>
      </c>
    </row>
    <row r="387" spans="1:35" x14ac:dyDescent="0.25">
      <c r="A387" s="1">
        <v>46308</v>
      </c>
      <c r="B387" t="s">
        <v>97</v>
      </c>
      <c r="C387" t="s">
        <v>12</v>
      </c>
      <c r="D387">
        <v>1.4293352706784377</v>
      </c>
      <c r="E387">
        <v>0</v>
      </c>
      <c r="F387">
        <v>0</v>
      </c>
      <c r="G387">
        <v>0.93425605536332179</v>
      </c>
      <c r="H387">
        <v>0</v>
      </c>
      <c r="I387">
        <v>0</v>
      </c>
      <c r="J387">
        <v>0.65362974980661792</v>
      </c>
      <c r="K387">
        <v>0</v>
      </c>
      <c r="L387">
        <v>0</v>
      </c>
      <c r="M387">
        <v>0</v>
      </c>
      <c r="N387">
        <v>0</v>
      </c>
      <c r="O387">
        <v>0</v>
      </c>
      <c r="P387">
        <v>0</v>
      </c>
      <c r="Q387">
        <v>0</v>
      </c>
      <c r="R387">
        <v>0</v>
      </c>
      <c r="S387">
        <v>0</v>
      </c>
      <c r="T387">
        <v>0.65362974980661792</v>
      </c>
      <c r="U387">
        <v>0.34637025019338208</v>
      </c>
      <c r="V387">
        <v>0</v>
      </c>
      <c r="W387">
        <v>0</v>
      </c>
      <c r="X387">
        <v>0</v>
      </c>
      <c r="Y387">
        <v>0</v>
      </c>
      <c r="Z387">
        <v>0</v>
      </c>
      <c r="AA387">
        <v>0</v>
      </c>
      <c r="AB387">
        <v>0</v>
      </c>
      <c r="AC387">
        <v>0</v>
      </c>
      <c r="AD387">
        <v>0</v>
      </c>
      <c r="AE387" t="s">
        <v>162</v>
      </c>
      <c r="AF387">
        <v>0</v>
      </c>
      <c r="AG387" t="s">
        <v>209</v>
      </c>
      <c r="AH387">
        <v>46308</v>
      </c>
      <c r="AI387" t="s">
        <v>149</v>
      </c>
    </row>
    <row r="388" spans="1:35" x14ac:dyDescent="0.25">
      <c r="A388" s="1">
        <v>46308</v>
      </c>
      <c r="B388" t="s">
        <v>97</v>
      </c>
      <c r="C388" t="s">
        <v>10</v>
      </c>
      <c r="D388">
        <v>0.93456536928974754</v>
      </c>
      <c r="E388">
        <v>0</v>
      </c>
      <c r="F388">
        <v>0</v>
      </c>
      <c r="G388">
        <v>0.88235294117647045</v>
      </c>
      <c r="H388">
        <v>0</v>
      </c>
      <c r="I388">
        <v>0</v>
      </c>
      <c r="J388">
        <v>0.94413186083178158</v>
      </c>
      <c r="K388">
        <v>0</v>
      </c>
      <c r="L388">
        <v>0</v>
      </c>
      <c r="M388">
        <v>0</v>
      </c>
      <c r="N388">
        <v>0</v>
      </c>
      <c r="O388">
        <v>0</v>
      </c>
      <c r="P388">
        <v>0</v>
      </c>
      <c r="Q388">
        <v>0</v>
      </c>
      <c r="R388">
        <v>0</v>
      </c>
      <c r="S388">
        <v>0</v>
      </c>
      <c r="T388">
        <v>0.94413186083178158</v>
      </c>
      <c r="U388">
        <v>5.5868139168218423E-2</v>
      </c>
      <c r="V388">
        <v>0</v>
      </c>
      <c r="W388">
        <v>0</v>
      </c>
      <c r="X388">
        <v>0</v>
      </c>
      <c r="Y388">
        <v>0</v>
      </c>
      <c r="Z388">
        <v>0</v>
      </c>
      <c r="AA388">
        <v>0</v>
      </c>
      <c r="AB388">
        <v>0</v>
      </c>
      <c r="AC388">
        <v>0</v>
      </c>
      <c r="AD388">
        <v>0</v>
      </c>
      <c r="AE388" t="s">
        <v>162</v>
      </c>
      <c r="AF388">
        <v>0</v>
      </c>
      <c r="AG388" t="s">
        <v>210</v>
      </c>
      <c r="AH388">
        <v>46308</v>
      </c>
      <c r="AI388" t="s">
        <v>149</v>
      </c>
    </row>
    <row r="389" spans="1:35" x14ac:dyDescent="0.25">
      <c r="A389" s="1">
        <v>46309</v>
      </c>
      <c r="B389" t="s">
        <v>97</v>
      </c>
      <c r="C389" t="s">
        <v>12</v>
      </c>
      <c r="D389">
        <v>1.5942585711413342</v>
      </c>
      <c r="E389">
        <v>0</v>
      </c>
      <c r="F389">
        <v>0</v>
      </c>
      <c r="G389">
        <v>1.0449826989619375</v>
      </c>
      <c r="H389">
        <v>0</v>
      </c>
      <c r="I389">
        <v>0</v>
      </c>
      <c r="J389">
        <v>0.65546625740505282</v>
      </c>
      <c r="K389">
        <v>0</v>
      </c>
      <c r="L389">
        <v>0</v>
      </c>
      <c r="M389">
        <v>0</v>
      </c>
      <c r="N389">
        <v>0</v>
      </c>
      <c r="O389">
        <v>0</v>
      </c>
      <c r="P389">
        <v>0</v>
      </c>
      <c r="Q389">
        <v>0</v>
      </c>
      <c r="R389">
        <v>0</v>
      </c>
      <c r="S389">
        <v>0</v>
      </c>
      <c r="T389">
        <v>0.65546625740505282</v>
      </c>
      <c r="U389">
        <v>0.34453374259494718</v>
      </c>
      <c r="V389">
        <v>0</v>
      </c>
      <c r="W389">
        <v>0</v>
      </c>
      <c r="X389">
        <v>0</v>
      </c>
      <c r="Y389">
        <v>0</v>
      </c>
      <c r="Z389">
        <v>0</v>
      </c>
      <c r="AA389">
        <v>0</v>
      </c>
      <c r="AB389">
        <v>0</v>
      </c>
      <c r="AC389">
        <v>0</v>
      </c>
      <c r="AD389">
        <v>0</v>
      </c>
      <c r="AE389" t="s">
        <v>162</v>
      </c>
      <c r="AF389">
        <v>0</v>
      </c>
      <c r="AG389" t="s">
        <v>213</v>
      </c>
      <c r="AH389">
        <v>46309</v>
      </c>
      <c r="AI389" t="s">
        <v>149</v>
      </c>
    </row>
    <row r="390" spans="1:35" x14ac:dyDescent="0.25">
      <c r="A390" s="1">
        <v>46309</v>
      </c>
      <c r="B390" t="s">
        <v>97</v>
      </c>
      <c r="C390" t="s">
        <v>11</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c r="AE390" t="s">
        <v>162</v>
      </c>
      <c r="AF390">
        <v>0</v>
      </c>
      <c r="AG390" t="s">
        <v>212</v>
      </c>
      <c r="AH390">
        <v>46309</v>
      </c>
      <c r="AI390" t="s">
        <v>149</v>
      </c>
    </row>
    <row r="391" spans="1:35" x14ac:dyDescent="0.25">
      <c r="A391" s="1">
        <v>46309</v>
      </c>
      <c r="B391" t="s">
        <v>97</v>
      </c>
      <c r="C391" t="s">
        <v>10</v>
      </c>
      <c r="D391">
        <v>1.8691307385794953</v>
      </c>
      <c r="E391">
        <v>0</v>
      </c>
      <c r="F391">
        <v>0</v>
      </c>
      <c r="G391">
        <v>1.7647058823529409</v>
      </c>
      <c r="H391">
        <v>0</v>
      </c>
      <c r="I391">
        <v>0</v>
      </c>
      <c r="J391">
        <v>0.94413186083178147</v>
      </c>
      <c r="K391">
        <v>0</v>
      </c>
      <c r="L391">
        <v>0</v>
      </c>
      <c r="M391">
        <v>0</v>
      </c>
      <c r="N391">
        <v>0</v>
      </c>
      <c r="O391">
        <v>0</v>
      </c>
      <c r="P391">
        <v>0</v>
      </c>
      <c r="Q391">
        <v>0</v>
      </c>
      <c r="R391">
        <v>0</v>
      </c>
      <c r="S391">
        <v>0</v>
      </c>
      <c r="T391">
        <v>0.94413186083178147</v>
      </c>
      <c r="U391">
        <v>5.5868139168218534E-2</v>
      </c>
      <c r="V391">
        <v>0</v>
      </c>
      <c r="W391">
        <v>0</v>
      </c>
      <c r="X391">
        <v>0</v>
      </c>
      <c r="Y391">
        <v>0</v>
      </c>
      <c r="Z391">
        <v>0</v>
      </c>
      <c r="AA391">
        <v>0</v>
      </c>
      <c r="AB391">
        <v>0</v>
      </c>
      <c r="AC391">
        <v>0</v>
      </c>
      <c r="AD391">
        <v>0</v>
      </c>
      <c r="AE391" t="s">
        <v>162</v>
      </c>
      <c r="AF391">
        <v>0</v>
      </c>
      <c r="AG391" t="s">
        <v>214</v>
      </c>
      <c r="AH391">
        <v>46309</v>
      </c>
      <c r="AI391" t="s">
        <v>149</v>
      </c>
    </row>
    <row r="392" spans="1:35" x14ac:dyDescent="0.25">
      <c r="A392" s="1">
        <v>46310</v>
      </c>
      <c r="B392" t="s">
        <v>97</v>
      </c>
      <c r="C392" t="s">
        <v>10</v>
      </c>
      <c r="D392">
        <v>0.93456536928974754</v>
      </c>
      <c r="E392">
        <v>0</v>
      </c>
      <c r="F392">
        <v>0</v>
      </c>
      <c r="G392">
        <v>0</v>
      </c>
      <c r="H392">
        <v>0</v>
      </c>
      <c r="I392">
        <v>0</v>
      </c>
      <c r="J392">
        <v>0</v>
      </c>
      <c r="K392">
        <v>0</v>
      </c>
      <c r="L392">
        <v>0</v>
      </c>
      <c r="M392">
        <v>0</v>
      </c>
      <c r="N392">
        <v>0</v>
      </c>
      <c r="O392">
        <v>0</v>
      </c>
      <c r="P392">
        <v>0</v>
      </c>
      <c r="Q392">
        <v>0</v>
      </c>
      <c r="R392">
        <v>0</v>
      </c>
      <c r="S392">
        <v>0</v>
      </c>
      <c r="T392">
        <v>0</v>
      </c>
      <c r="U392">
        <v>1</v>
      </c>
      <c r="V392">
        <v>0</v>
      </c>
      <c r="W392">
        <v>0</v>
      </c>
      <c r="X392">
        <v>0</v>
      </c>
      <c r="Y392">
        <v>0</v>
      </c>
      <c r="Z392">
        <v>0</v>
      </c>
      <c r="AA392">
        <v>0</v>
      </c>
      <c r="AB392">
        <v>0</v>
      </c>
      <c r="AC392">
        <v>0</v>
      </c>
      <c r="AD392">
        <v>0</v>
      </c>
      <c r="AE392" t="s">
        <v>162</v>
      </c>
      <c r="AF392">
        <v>0</v>
      </c>
      <c r="AG392" t="s">
        <v>217</v>
      </c>
      <c r="AH392">
        <v>46310</v>
      </c>
      <c r="AI392" t="s">
        <v>149</v>
      </c>
    </row>
    <row r="393" spans="1:35" x14ac:dyDescent="0.25">
      <c r="A393" s="1">
        <v>46310</v>
      </c>
      <c r="B393" t="s">
        <v>97</v>
      </c>
      <c r="C393" t="s">
        <v>11</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c r="AE393" t="s">
        <v>162</v>
      </c>
      <c r="AF393">
        <v>0</v>
      </c>
      <c r="AG393" t="s">
        <v>216</v>
      </c>
      <c r="AH393">
        <v>46310</v>
      </c>
      <c r="AI393" t="s">
        <v>149</v>
      </c>
    </row>
    <row r="394" spans="1:35" x14ac:dyDescent="0.25">
      <c r="A394" s="1">
        <v>46310</v>
      </c>
      <c r="B394" t="s">
        <v>97</v>
      </c>
      <c r="C394" t="s">
        <v>12</v>
      </c>
      <c r="D394">
        <v>0.65969320185158642</v>
      </c>
      <c r="E394">
        <v>0</v>
      </c>
      <c r="F394">
        <v>0</v>
      </c>
      <c r="G394">
        <v>0</v>
      </c>
      <c r="H394">
        <v>0</v>
      </c>
      <c r="I394">
        <v>0</v>
      </c>
      <c r="J394">
        <v>0</v>
      </c>
      <c r="K394">
        <v>0</v>
      </c>
      <c r="L394">
        <v>0</v>
      </c>
      <c r="M394">
        <v>0</v>
      </c>
      <c r="N394">
        <v>0</v>
      </c>
      <c r="O394">
        <v>0</v>
      </c>
      <c r="P394">
        <v>0</v>
      </c>
      <c r="Q394">
        <v>0</v>
      </c>
      <c r="R394">
        <v>0</v>
      </c>
      <c r="S394">
        <v>0</v>
      </c>
      <c r="T394">
        <v>0</v>
      </c>
      <c r="U394">
        <v>1</v>
      </c>
      <c r="V394">
        <v>0</v>
      </c>
      <c r="W394">
        <v>0</v>
      </c>
      <c r="X394">
        <v>0</v>
      </c>
      <c r="Y394">
        <v>0</v>
      </c>
      <c r="Z394">
        <v>0</v>
      </c>
      <c r="AA394">
        <v>0</v>
      </c>
      <c r="AB394">
        <v>0</v>
      </c>
      <c r="AC394">
        <v>0</v>
      </c>
      <c r="AD394">
        <v>0</v>
      </c>
      <c r="AE394" t="s">
        <v>162</v>
      </c>
      <c r="AF394">
        <v>0</v>
      </c>
      <c r="AG394" t="s">
        <v>215</v>
      </c>
      <c r="AH394">
        <v>46310</v>
      </c>
      <c r="AI394" t="s">
        <v>149</v>
      </c>
    </row>
    <row r="395" spans="1:35" x14ac:dyDescent="0.25">
      <c r="A395" s="1">
        <v>46311</v>
      </c>
      <c r="B395" t="s">
        <v>97</v>
      </c>
      <c r="C395" t="s">
        <v>11</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c r="AD395">
        <v>0</v>
      </c>
      <c r="AE395" t="s">
        <v>162</v>
      </c>
      <c r="AF395">
        <v>0</v>
      </c>
      <c r="AG395" t="s">
        <v>218</v>
      </c>
      <c r="AH395">
        <v>46311</v>
      </c>
      <c r="AI395" t="s">
        <v>149</v>
      </c>
    </row>
    <row r="396" spans="1:35" x14ac:dyDescent="0.25">
      <c r="A396" s="1">
        <v>46311</v>
      </c>
      <c r="B396" t="s">
        <v>97</v>
      </c>
      <c r="C396" t="s">
        <v>12</v>
      </c>
      <c r="D396">
        <v>0.65969320185158642</v>
      </c>
      <c r="E396">
        <v>0</v>
      </c>
      <c r="F396">
        <v>0</v>
      </c>
      <c r="G396">
        <v>0.22145328719723184</v>
      </c>
      <c r="H396">
        <v>0</v>
      </c>
      <c r="I396">
        <v>0</v>
      </c>
      <c r="J396">
        <v>0.33569132829574466</v>
      </c>
      <c r="K396">
        <v>0</v>
      </c>
      <c r="L396">
        <v>0</v>
      </c>
      <c r="M396">
        <v>0</v>
      </c>
      <c r="N396">
        <v>0</v>
      </c>
      <c r="O396">
        <v>0</v>
      </c>
      <c r="P396">
        <v>0</v>
      </c>
      <c r="Q396">
        <v>0</v>
      </c>
      <c r="R396">
        <v>0</v>
      </c>
      <c r="S396">
        <v>0</v>
      </c>
      <c r="T396">
        <v>0.33569132829574466</v>
      </c>
      <c r="U396">
        <v>0.66430867170425534</v>
      </c>
      <c r="V396">
        <v>0</v>
      </c>
      <c r="W396">
        <v>0</v>
      </c>
      <c r="X396">
        <v>0</v>
      </c>
      <c r="Y396">
        <v>0</v>
      </c>
      <c r="Z396">
        <v>0</v>
      </c>
      <c r="AA396">
        <v>0</v>
      </c>
      <c r="AB396">
        <v>0</v>
      </c>
      <c r="AC396">
        <v>0</v>
      </c>
      <c r="AD396">
        <v>0</v>
      </c>
      <c r="AE396" t="s">
        <v>162</v>
      </c>
      <c r="AF396">
        <v>0</v>
      </c>
      <c r="AG396" t="s">
        <v>219</v>
      </c>
      <c r="AH396">
        <v>46311</v>
      </c>
      <c r="AI396" t="s">
        <v>149</v>
      </c>
    </row>
    <row r="397" spans="1:35" x14ac:dyDescent="0.25">
      <c r="A397" s="1">
        <v>46311</v>
      </c>
      <c r="B397" t="s">
        <v>97</v>
      </c>
      <c r="C397" t="s">
        <v>10</v>
      </c>
      <c r="D397">
        <v>1.8691307385794953</v>
      </c>
      <c r="E397">
        <v>0</v>
      </c>
      <c r="F397">
        <v>0</v>
      </c>
      <c r="G397">
        <v>1.7647058823529409</v>
      </c>
      <c r="H397">
        <v>0</v>
      </c>
      <c r="I397">
        <v>0</v>
      </c>
      <c r="J397">
        <v>0.94413186083178147</v>
      </c>
      <c r="K397">
        <v>0</v>
      </c>
      <c r="L397">
        <v>0</v>
      </c>
      <c r="M397">
        <v>0</v>
      </c>
      <c r="N397">
        <v>0</v>
      </c>
      <c r="O397">
        <v>0</v>
      </c>
      <c r="P397">
        <v>0</v>
      </c>
      <c r="Q397">
        <v>0</v>
      </c>
      <c r="R397">
        <v>0</v>
      </c>
      <c r="S397">
        <v>0</v>
      </c>
      <c r="T397">
        <v>0.94413186083178147</v>
      </c>
      <c r="U397">
        <v>5.5868139168218534E-2</v>
      </c>
      <c r="V397">
        <v>0</v>
      </c>
      <c r="W397">
        <v>0</v>
      </c>
      <c r="X397">
        <v>0</v>
      </c>
      <c r="Y397">
        <v>0</v>
      </c>
      <c r="Z397">
        <v>0</v>
      </c>
      <c r="AA397">
        <v>0</v>
      </c>
      <c r="AB397">
        <v>0</v>
      </c>
      <c r="AC397">
        <v>0</v>
      </c>
      <c r="AD397">
        <v>0</v>
      </c>
      <c r="AE397" t="s">
        <v>162</v>
      </c>
      <c r="AF397">
        <v>0</v>
      </c>
      <c r="AG397" t="s">
        <v>220</v>
      </c>
      <c r="AH397">
        <v>46311</v>
      </c>
      <c r="AI397" t="s">
        <v>149</v>
      </c>
    </row>
    <row r="398" spans="1:35" x14ac:dyDescent="0.25">
      <c r="A398" s="1">
        <v>46312</v>
      </c>
      <c r="B398" t="s">
        <v>97</v>
      </c>
      <c r="C398" t="s">
        <v>10</v>
      </c>
      <c r="D398">
        <v>1.8691307385794953</v>
      </c>
      <c r="E398">
        <v>0</v>
      </c>
      <c r="F398">
        <v>0</v>
      </c>
      <c r="G398">
        <v>0.88235294117647045</v>
      </c>
      <c r="H398">
        <v>0</v>
      </c>
      <c r="I398">
        <v>0</v>
      </c>
      <c r="J398">
        <v>0.47206593041589073</v>
      </c>
      <c r="K398">
        <v>0</v>
      </c>
      <c r="L398">
        <v>0</v>
      </c>
      <c r="M398">
        <v>0</v>
      </c>
      <c r="N398">
        <v>0</v>
      </c>
      <c r="O398">
        <v>0</v>
      </c>
      <c r="P398">
        <v>0</v>
      </c>
      <c r="Q398">
        <v>0</v>
      </c>
      <c r="R398">
        <v>0</v>
      </c>
      <c r="S398">
        <v>0</v>
      </c>
      <c r="T398">
        <v>0.47206593041589073</v>
      </c>
      <c r="U398">
        <v>0.52793406958410927</v>
      </c>
      <c r="V398">
        <v>0</v>
      </c>
      <c r="W398">
        <v>0</v>
      </c>
      <c r="X398">
        <v>0</v>
      </c>
      <c r="Y398">
        <v>0</v>
      </c>
      <c r="Z398">
        <v>0</v>
      </c>
      <c r="AA398">
        <v>0</v>
      </c>
      <c r="AB398">
        <v>0</v>
      </c>
      <c r="AC398">
        <v>0</v>
      </c>
      <c r="AD398">
        <v>0</v>
      </c>
      <c r="AE398" t="s">
        <v>162</v>
      </c>
      <c r="AF398">
        <v>0</v>
      </c>
      <c r="AG398" t="s">
        <v>222</v>
      </c>
      <c r="AH398">
        <v>46312</v>
      </c>
      <c r="AI398" t="s">
        <v>149</v>
      </c>
    </row>
    <row r="399" spans="1:35" x14ac:dyDescent="0.25">
      <c r="A399" s="1">
        <v>46312</v>
      </c>
      <c r="B399" t="s">
        <v>97</v>
      </c>
      <c r="C399" t="s">
        <v>11</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c r="AD399">
        <v>0</v>
      </c>
      <c r="AE399" t="s">
        <v>162</v>
      </c>
      <c r="AF399">
        <v>0</v>
      </c>
      <c r="AG399" t="s">
        <v>223</v>
      </c>
      <c r="AH399">
        <v>46312</v>
      </c>
      <c r="AI399" t="s">
        <v>149</v>
      </c>
    </row>
    <row r="400" spans="1:35" x14ac:dyDescent="0.25">
      <c r="A400" s="1">
        <v>46312</v>
      </c>
      <c r="B400" t="s">
        <v>97</v>
      </c>
      <c r="C400" t="s">
        <v>12</v>
      </c>
      <c r="D400">
        <v>1.4293352706784377</v>
      </c>
      <c r="E400">
        <v>0</v>
      </c>
      <c r="F400">
        <v>0</v>
      </c>
      <c r="G400">
        <v>0.11072664359861592</v>
      </c>
      <c r="H400">
        <v>0</v>
      </c>
      <c r="I400">
        <v>0</v>
      </c>
      <c r="J400">
        <v>7.7467229606710278E-2</v>
      </c>
      <c r="K400">
        <v>0</v>
      </c>
      <c r="L400">
        <v>0</v>
      </c>
      <c r="M400">
        <v>0</v>
      </c>
      <c r="N400">
        <v>0</v>
      </c>
      <c r="O400">
        <v>0</v>
      </c>
      <c r="P400">
        <v>0</v>
      </c>
      <c r="Q400">
        <v>0</v>
      </c>
      <c r="R400">
        <v>0</v>
      </c>
      <c r="S400">
        <v>0</v>
      </c>
      <c r="T400">
        <v>7.7467229606710278E-2</v>
      </c>
      <c r="U400">
        <v>0.92253277039328974</v>
      </c>
      <c r="V400">
        <v>0</v>
      </c>
      <c r="W400">
        <v>0</v>
      </c>
      <c r="X400">
        <v>0</v>
      </c>
      <c r="Y400">
        <v>0</v>
      </c>
      <c r="Z400">
        <v>0</v>
      </c>
      <c r="AA400">
        <v>0</v>
      </c>
      <c r="AB400">
        <v>0</v>
      </c>
      <c r="AC400">
        <v>0</v>
      </c>
      <c r="AD400">
        <v>0</v>
      </c>
      <c r="AE400" t="s">
        <v>162</v>
      </c>
      <c r="AF400">
        <v>0</v>
      </c>
      <c r="AG400" t="s">
        <v>221</v>
      </c>
      <c r="AH400">
        <v>46312</v>
      </c>
      <c r="AI400" t="s">
        <v>149</v>
      </c>
    </row>
    <row r="401" spans="1:35" x14ac:dyDescent="0.25">
      <c r="A401" s="1">
        <v>46313</v>
      </c>
      <c r="B401" t="s">
        <v>97</v>
      </c>
      <c r="C401" t="s">
        <v>11</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c r="AE401" t="s">
        <v>162</v>
      </c>
      <c r="AF401">
        <v>0</v>
      </c>
      <c r="AG401" t="s">
        <v>225</v>
      </c>
      <c r="AH401">
        <v>46313</v>
      </c>
      <c r="AI401" t="s">
        <v>149</v>
      </c>
    </row>
    <row r="402" spans="1:35" x14ac:dyDescent="0.25">
      <c r="A402" s="1">
        <v>46313</v>
      </c>
      <c r="B402" t="s">
        <v>97</v>
      </c>
      <c r="C402" t="s">
        <v>12</v>
      </c>
      <c r="D402">
        <v>1.4293352706784377</v>
      </c>
      <c r="E402">
        <v>0</v>
      </c>
      <c r="F402">
        <v>0</v>
      </c>
      <c r="G402">
        <v>0.22145328719723184</v>
      </c>
      <c r="H402">
        <v>0</v>
      </c>
      <c r="I402">
        <v>0</v>
      </c>
      <c r="J402">
        <v>0.15493445921342056</v>
      </c>
      <c r="K402">
        <v>0</v>
      </c>
      <c r="L402">
        <v>0</v>
      </c>
      <c r="M402">
        <v>0</v>
      </c>
      <c r="N402">
        <v>0</v>
      </c>
      <c r="O402">
        <v>0</v>
      </c>
      <c r="P402">
        <v>0</v>
      </c>
      <c r="Q402">
        <v>0</v>
      </c>
      <c r="R402">
        <v>0</v>
      </c>
      <c r="S402">
        <v>0</v>
      </c>
      <c r="T402">
        <v>0.15493445921342056</v>
      </c>
      <c r="U402">
        <v>0.84506554078657947</v>
      </c>
      <c r="V402">
        <v>0</v>
      </c>
      <c r="W402">
        <v>0</v>
      </c>
      <c r="X402">
        <v>0</v>
      </c>
      <c r="Y402">
        <v>0</v>
      </c>
      <c r="Z402">
        <v>0</v>
      </c>
      <c r="AA402">
        <v>0</v>
      </c>
      <c r="AB402">
        <v>0</v>
      </c>
      <c r="AC402">
        <v>0</v>
      </c>
      <c r="AD402">
        <v>0</v>
      </c>
      <c r="AE402" t="s">
        <v>162</v>
      </c>
      <c r="AF402">
        <v>0</v>
      </c>
      <c r="AG402" t="s">
        <v>226</v>
      </c>
      <c r="AH402">
        <v>46313</v>
      </c>
      <c r="AI402" t="s">
        <v>149</v>
      </c>
    </row>
    <row r="403" spans="1:35" x14ac:dyDescent="0.25">
      <c r="A403" s="1">
        <v>46313</v>
      </c>
      <c r="B403" t="s">
        <v>97</v>
      </c>
      <c r="C403" t="s">
        <v>10</v>
      </c>
      <c r="D403">
        <v>1.8691307385794953</v>
      </c>
      <c r="E403">
        <v>0</v>
      </c>
      <c r="F403">
        <v>0</v>
      </c>
      <c r="G403">
        <v>1.7647058823529409</v>
      </c>
      <c r="H403">
        <v>0</v>
      </c>
      <c r="I403">
        <v>0</v>
      </c>
      <c r="J403">
        <v>0.94413186083178147</v>
      </c>
      <c r="K403">
        <v>0</v>
      </c>
      <c r="L403">
        <v>0</v>
      </c>
      <c r="M403">
        <v>0</v>
      </c>
      <c r="N403">
        <v>0</v>
      </c>
      <c r="O403">
        <v>0</v>
      </c>
      <c r="P403">
        <v>0</v>
      </c>
      <c r="Q403">
        <v>0</v>
      </c>
      <c r="R403">
        <v>0</v>
      </c>
      <c r="S403">
        <v>0</v>
      </c>
      <c r="T403">
        <v>0.94413186083178147</v>
      </c>
      <c r="U403">
        <v>5.5868139168218534E-2</v>
      </c>
      <c r="V403">
        <v>0</v>
      </c>
      <c r="W403">
        <v>0</v>
      </c>
      <c r="X403">
        <v>0</v>
      </c>
      <c r="Y403">
        <v>0</v>
      </c>
      <c r="Z403">
        <v>0</v>
      </c>
      <c r="AA403">
        <v>0</v>
      </c>
      <c r="AB403">
        <v>0</v>
      </c>
      <c r="AC403">
        <v>0</v>
      </c>
      <c r="AD403">
        <v>0</v>
      </c>
      <c r="AE403" t="s">
        <v>162</v>
      </c>
      <c r="AF403">
        <v>0</v>
      </c>
      <c r="AG403" t="s">
        <v>224</v>
      </c>
      <c r="AH403">
        <v>46313</v>
      </c>
      <c r="AI403" t="s">
        <v>149</v>
      </c>
    </row>
    <row r="404" spans="1:35" x14ac:dyDescent="0.25">
      <c r="A404" s="1">
        <v>46314</v>
      </c>
      <c r="B404" t="s">
        <v>97</v>
      </c>
      <c r="C404" t="s">
        <v>10</v>
      </c>
      <c r="D404">
        <v>0.93456536928974754</v>
      </c>
      <c r="E404">
        <v>0</v>
      </c>
      <c r="F404">
        <v>0</v>
      </c>
      <c r="G404">
        <v>0.88235294117647056</v>
      </c>
      <c r="H404">
        <v>0</v>
      </c>
      <c r="I404">
        <v>0</v>
      </c>
      <c r="J404">
        <v>0.94413186083178169</v>
      </c>
      <c r="K404">
        <v>0</v>
      </c>
      <c r="L404">
        <v>0</v>
      </c>
      <c r="M404">
        <v>0</v>
      </c>
      <c r="N404">
        <v>0</v>
      </c>
      <c r="O404">
        <v>0</v>
      </c>
      <c r="P404">
        <v>0</v>
      </c>
      <c r="Q404">
        <v>0</v>
      </c>
      <c r="R404">
        <v>0</v>
      </c>
      <c r="S404">
        <v>0</v>
      </c>
      <c r="T404">
        <v>0.94413186083178169</v>
      </c>
      <c r="U404">
        <v>5.5868139168218311E-2</v>
      </c>
      <c r="V404">
        <v>0</v>
      </c>
      <c r="W404">
        <v>0</v>
      </c>
      <c r="X404">
        <v>0</v>
      </c>
      <c r="Y404">
        <v>0</v>
      </c>
      <c r="Z404">
        <v>0</v>
      </c>
      <c r="AA404">
        <v>0</v>
      </c>
      <c r="AB404">
        <v>0</v>
      </c>
      <c r="AC404">
        <v>0</v>
      </c>
      <c r="AD404">
        <v>0</v>
      </c>
      <c r="AE404" t="s">
        <v>162</v>
      </c>
      <c r="AF404">
        <v>0</v>
      </c>
      <c r="AG404" t="s">
        <v>229</v>
      </c>
      <c r="AH404">
        <v>46314</v>
      </c>
      <c r="AI404" t="s">
        <v>149</v>
      </c>
    </row>
    <row r="405" spans="1:35" x14ac:dyDescent="0.25">
      <c r="A405" s="1">
        <v>46314</v>
      </c>
      <c r="B405" t="s">
        <v>97</v>
      </c>
      <c r="C405" t="s">
        <v>11</v>
      </c>
      <c r="D405">
        <v>0</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c r="AE405" t="s">
        <v>162</v>
      </c>
      <c r="AF405">
        <v>0</v>
      </c>
      <c r="AG405" t="s">
        <v>228</v>
      </c>
      <c r="AH405">
        <v>46314</v>
      </c>
      <c r="AI405" t="s">
        <v>149</v>
      </c>
    </row>
    <row r="406" spans="1:35" x14ac:dyDescent="0.25">
      <c r="A406" s="1">
        <v>46314</v>
      </c>
      <c r="B406" t="s">
        <v>97</v>
      </c>
      <c r="C406" t="s">
        <v>12</v>
      </c>
      <c r="D406">
        <v>1.4293352706784377</v>
      </c>
      <c r="E406">
        <v>0</v>
      </c>
      <c r="F406">
        <v>0</v>
      </c>
      <c r="G406">
        <v>0.93425605536332179</v>
      </c>
      <c r="H406">
        <v>0</v>
      </c>
      <c r="I406">
        <v>0</v>
      </c>
      <c r="J406">
        <v>0.65362974980661792</v>
      </c>
      <c r="K406">
        <v>0</v>
      </c>
      <c r="L406">
        <v>0</v>
      </c>
      <c r="M406">
        <v>0</v>
      </c>
      <c r="N406">
        <v>0</v>
      </c>
      <c r="O406">
        <v>0</v>
      </c>
      <c r="P406">
        <v>0</v>
      </c>
      <c r="Q406">
        <v>0</v>
      </c>
      <c r="R406">
        <v>0</v>
      </c>
      <c r="S406">
        <v>0</v>
      </c>
      <c r="T406">
        <v>0.65362974980661792</v>
      </c>
      <c r="U406">
        <v>0.34637025019338208</v>
      </c>
      <c r="V406">
        <v>0</v>
      </c>
      <c r="W406">
        <v>0</v>
      </c>
      <c r="X406">
        <v>0</v>
      </c>
      <c r="Y406">
        <v>0</v>
      </c>
      <c r="Z406">
        <v>0</v>
      </c>
      <c r="AA406">
        <v>0</v>
      </c>
      <c r="AB406">
        <v>0</v>
      </c>
      <c r="AC406">
        <v>0</v>
      </c>
      <c r="AD406">
        <v>0</v>
      </c>
      <c r="AE406" t="s">
        <v>162</v>
      </c>
      <c r="AF406">
        <v>0</v>
      </c>
      <c r="AG406" t="s">
        <v>227</v>
      </c>
      <c r="AH406">
        <v>46314</v>
      </c>
      <c r="AI406" t="s">
        <v>149</v>
      </c>
    </row>
    <row r="407" spans="1:35" x14ac:dyDescent="0.25">
      <c r="A407" s="1">
        <v>46315</v>
      </c>
      <c r="B407" t="s">
        <v>97</v>
      </c>
      <c r="C407" t="s">
        <v>10</v>
      </c>
      <c r="D407">
        <v>0.93456536928974754</v>
      </c>
      <c r="E407">
        <v>0</v>
      </c>
      <c r="F407">
        <v>0</v>
      </c>
      <c r="G407">
        <v>0</v>
      </c>
      <c r="H407">
        <v>0</v>
      </c>
      <c r="I407">
        <v>0</v>
      </c>
      <c r="J407">
        <v>0</v>
      </c>
      <c r="K407">
        <v>0</v>
      </c>
      <c r="L407">
        <v>0</v>
      </c>
      <c r="M407">
        <v>0</v>
      </c>
      <c r="N407">
        <v>0</v>
      </c>
      <c r="O407">
        <v>0</v>
      </c>
      <c r="P407">
        <v>0</v>
      </c>
      <c r="Q407">
        <v>0</v>
      </c>
      <c r="R407">
        <v>0</v>
      </c>
      <c r="S407">
        <v>0</v>
      </c>
      <c r="T407">
        <v>0</v>
      </c>
      <c r="U407">
        <v>1</v>
      </c>
      <c r="V407">
        <v>0</v>
      </c>
      <c r="W407">
        <v>0</v>
      </c>
      <c r="X407">
        <v>0</v>
      </c>
      <c r="Y407">
        <v>0</v>
      </c>
      <c r="Z407">
        <v>0</v>
      </c>
      <c r="AA407">
        <v>0</v>
      </c>
      <c r="AB407">
        <v>0</v>
      </c>
      <c r="AC407">
        <v>0</v>
      </c>
      <c r="AD407">
        <v>0</v>
      </c>
      <c r="AE407" t="s">
        <v>162</v>
      </c>
      <c r="AF407">
        <v>0</v>
      </c>
      <c r="AG407" t="s">
        <v>230</v>
      </c>
      <c r="AH407">
        <v>46315</v>
      </c>
      <c r="AI407" t="s">
        <v>149</v>
      </c>
    </row>
    <row r="408" spans="1:35" x14ac:dyDescent="0.25">
      <c r="A408" s="1">
        <v>46315</v>
      </c>
      <c r="B408" t="s">
        <v>97</v>
      </c>
      <c r="C408" t="s">
        <v>11</v>
      </c>
      <c r="D408">
        <v>0</v>
      </c>
      <c r="E408">
        <v>0</v>
      </c>
      <c r="F408">
        <v>0</v>
      </c>
      <c r="G408">
        <v>0</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c r="AE408" t="s">
        <v>162</v>
      </c>
      <c r="AF408">
        <v>0</v>
      </c>
      <c r="AG408" t="s">
        <v>231</v>
      </c>
      <c r="AH408">
        <v>46315</v>
      </c>
      <c r="AI408" t="s">
        <v>149</v>
      </c>
    </row>
    <row r="409" spans="1:35" x14ac:dyDescent="0.25">
      <c r="A409" s="1">
        <v>46315</v>
      </c>
      <c r="B409" t="s">
        <v>97</v>
      </c>
      <c r="C409" t="s">
        <v>12</v>
      </c>
      <c r="D409">
        <v>1.4293352706784377</v>
      </c>
      <c r="E409">
        <v>0</v>
      </c>
      <c r="F409">
        <v>0</v>
      </c>
      <c r="G409">
        <v>0.82352941176470595</v>
      </c>
      <c r="H409">
        <v>0</v>
      </c>
      <c r="I409">
        <v>0</v>
      </c>
      <c r="J409">
        <v>0.57616252019990777</v>
      </c>
      <c r="K409">
        <v>0</v>
      </c>
      <c r="L409">
        <v>0</v>
      </c>
      <c r="M409">
        <v>0</v>
      </c>
      <c r="N409">
        <v>0</v>
      </c>
      <c r="O409">
        <v>0</v>
      </c>
      <c r="P409">
        <v>0</v>
      </c>
      <c r="Q409">
        <v>0</v>
      </c>
      <c r="R409">
        <v>0</v>
      </c>
      <c r="S409">
        <v>0</v>
      </c>
      <c r="T409">
        <v>0.57616252019990777</v>
      </c>
      <c r="U409">
        <v>0.42383747980009223</v>
      </c>
      <c r="V409">
        <v>0</v>
      </c>
      <c r="W409">
        <v>0</v>
      </c>
      <c r="X409">
        <v>0</v>
      </c>
      <c r="Y409">
        <v>0</v>
      </c>
      <c r="Z409">
        <v>0</v>
      </c>
      <c r="AA409">
        <v>0</v>
      </c>
      <c r="AB409">
        <v>0</v>
      </c>
      <c r="AC409">
        <v>0</v>
      </c>
      <c r="AD409">
        <v>0</v>
      </c>
      <c r="AE409" t="s">
        <v>162</v>
      </c>
      <c r="AF409">
        <v>0</v>
      </c>
      <c r="AG409" t="s">
        <v>232</v>
      </c>
      <c r="AH409">
        <v>46315</v>
      </c>
      <c r="AI409" t="s">
        <v>149</v>
      </c>
    </row>
    <row r="410" spans="1:35" x14ac:dyDescent="0.25">
      <c r="A410" s="1">
        <v>46316</v>
      </c>
      <c r="B410" t="s">
        <v>97</v>
      </c>
      <c r="C410" t="s">
        <v>11</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c r="AE410" t="s">
        <v>162</v>
      </c>
      <c r="AF410">
        <v>0</v>
      </c>
      <c r="AG410" t="s">
        <v>234</v>
      </c>
      <c r="AH410">
        <v>46316</v>
      </c>
      <c r="AI410" t="s">
        <v>149</v>
      </c>
    </row>
    <row r="411" spans="1:35" x14ac:dyDescent="0.25">
      <c r="A411" s="1">
        <v>46316</v>
      </c>
      <c r="B411" t="s">
        <v>97</v>
      </c>
      <c r="C411" t="s">
        <v>12</v>
      </c>
      <c r="D411">
        <v>1.5942585711413342</v>
      </c>
      <c r="E411">
        <v>0</v>
      </c>
      <c r="F411">
        <v>0</v>
      </c>
      <c r="G411">
        <v>0.93425605536332179</v>
      </c>
      <c r="H411">
        <v>0</v>
      </c>
      <c r="I411">
        <v>0</v>
      </c>
      <c r="J411">
        <v>0.58601287913696787</v>
      </c>
      <c r="K411">
        <v>0</v>
      </c>
      <c r="L411">
        <v>0</v>
      </c>
      <c r="M411">
        <v>0</v>
      </c>
      <c r="N411">
        <v>0</v>
      </c>
      <c r="O411">
        <v>0</v>
      </c>
      <c r="P411">
        <v>0</v>
      </c>
      <c r="Q411">
        <v>0</v>
      </c>
      <c r="R411">
        <v>0</v>
      </c>
      <c r="S411">
        <v>0</v>
      </c>
      <c r="T411">
        <v>0.58601287913696787</v>
      </c>
      <c r="U411">
        <v>0.41398712086303213</v>
      </c>
      <c r="V411">
        <v>0</v>
      </c>
      <c r="W411">
        <v>0</v>
      </c>
      <c r="X411">
        <v>0</v>
      </c>
      <c r="Y411">
        <v>0</v>
      </c>
      <c r="Z411">
        <v>0</v>
      </c>
      <c r="AA411">
        <v>0</v>
      </c>
      <c r="AB411">
        <v>0</v>
      </c>
      <c r="AC411">
        <v>0</v>
      </c>
      <c r="AD411">
        <v>0</v>
      </c>
      <c r="AE411" t="s">
        <v>162</v>
      </c>
      <c r="AF411">
        <v>0</v>
      </c>
      <c r="AG411" t="s">
        <v>233</v>
      </c>
      <c r="AH411">
        <v>46316</v>
      </c>
      <c r="AI411" t="s">
        <v>149</v>
      </c>
    </row>
    <row r="412" spans="1:35" x14ac:dyDescent="0.25">
      <c r="A412" s="1">
        <v>46316</v>
      </c>
      <c r="B412" t="s">
        <v>97</v>
      </c>
      <c r="C412" t="s">
        <v>10</v>
      </c>
      <c r="D412">
        <v>1.635489396257058</v>
      </c>
      <c r="E412">
        <v>0</v>
      </c>
      <c r="F412">
        <v>0</v>
      </c>
      <c r="G412">
        <v>1.6323529411764706</v>
      </c>
      <c r="H412">
        <v>0</v>
      </c>
      <c r="I412">
        <v>0</v>
      </c>
      <c r="J412">
        <v>0.99808225287931218</v>
      </c>
      <c r="K412">
        <v>0</v>
      </c>
      <c r="L412">
        <v>0</v>
      </c>
      <c r="M412">
        <v>0</v>
      </c>
      <c r="N412">
        <v>0</v>
      </c>
      <c r="O412">
        <v>0</v>
      </c>
      <c r="P412">
        <v>0</v>
      </c>
      <c r="Q412">
        <v>0</v>
      </c>
      <c r="R412">
        <v>0</v>
      </c>
      <c r="S412">
        <v>0</v>
      </c>
      <c r="T412">
        <v>0.99808225287931218</v>
      </c>
      <c r="U412">
        <v>1.9177471206878183E-3</v>
      </c>
      <c r="V412">
        <v>0</v>
      </c>
      <c r="W412">
        <v>0</v>
      </c>
      <c r="X412">
        <v>0</v>
      </c>
      <c r="Y412">
        <v>0</v>
      </c>
      <c r="Z412">
        <v>0</v>
      </c>
      <c r="AA412">
        <v>0</v>
      </c>
      <c r="AB412">
        <v>0</v>
      </c>
      <c r="AC412">
        <v>0</v>
      </c>
      <c r="AD412">
        <v>0</v>
      </c>
      <c r="AE412" t="s">
        <v>162</v>
      </c>
      <c r="AF412">
        <v>0</v>
      </c>
      <c r="AG412" t="s">
        <v>235</v>
      </c>
      <c r="AH412">
        <v>46316</v>
      </c>
      <c r="AI412" t="s">
        <v>149</v>
      </c>
    </row>
    <row r="413" spans="1:35" x14ac:dyDescent="0.25">
      <c r="A413" s="1">
        <v>46317</v>
      </c>
      <c r="B413" t="s">
        <v>97</v>
      </c>
      <c r="C413" t="s">
        <v>12</v>
      </c>
      <c r="D413">
        <v>0.65969320185158642</v>
      </c>
      <c r="E413">
        <v>0</v>
      </c>
      <c r="F413">
        <v>0</v>
      </c>
      <c r="G413">
        <v>0.22145328719723184</v>
      </c>
      <c r="H413">
        <v>0</v>
      </c>
      <c r="I413">
        <v>0</v>
      </c>
      <c r="J413">
        <v>0.33569132829574466</v>
      </c>
      <c r="K413">
        <v>0</v>
      </c>
      <c r="L413">
        <v>0</v>
      </c>
      <c r="M413">
        <v>0</v>
      </c>
      <c r="N413">
        <v>0</v>
      </c>
      <c r="O413">
        <v>0</v>
      </c>
      <c r="P413">
        <v>0</v>
      </c>
      <c r="Q413">
        <v>0</v>
      </c>
      <c r="R413">
        <v>0</v>
      </c>
      <c r="S413">
        <v>0</v>
      </c>
      <c r="T413">
        <v>0.33569132829574466</v>
      </c>
      <c r="U413">
        <v>0.66430867170425534</v>
      </c>
      <c r="V413">
        <v>0</v>
      </c>
      <c r="W413">
        <v>0</v>
      </c>
      <c r="X413">
        <v>0</v>
      </c>
      <c r="Y413">
        <v>0</v>
      </c>
      <c r="Z413">
        <v>0</v>
      </c>
      <c r="AA413">
        <v>0</v>
      </c>
      <c r="AB413">
        <v>0</v>
      </c>
      <c r="AC413">
        <v>0</v>
      </c>
      <c r="AD413">
        <v>0</v>
      </c>
      <c r="AE413" t="s">
        <v>162</v>
      </c>
      <c r="AF413">
        <v>0</v>
      </c>
      <c r="AG413" t="s">
        <v>238</v>
      </c>
      <c r="AH413">
        <v>46317</v>
      </c>
      <c r="AI413" t="s">
        <v>149</v>
      </c>
    </row>
    <row r="414" spans="1:35" x14ac:dyDescent="0.25">
      <c r="A414" s="1">
        <v>46317</v>
      </c>
      <c r="B414" t="s">
        <v>97</v>
      </c>
      <c r="C414" t="s">
        <v>11</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c r="AE414" t="s">
        <v>162</v>
      </c>
      <c r="AF414">
        <v>0</v>
      </c>
      <c r="AG414" t="s">
        <v>237</v>
      </c>
      <c r="AH414">
        <v>46317</v>
      </c>
      <c r="AI414" t="s">
        <v>149</v>
      </c>
    </row>
    <row r="415" spans="1:35" x14ac:dyDescent="0.25">
      <c r="A415" s="1">
        <v>46317</v>
      </c>
      <c r="B415" t="s">
        <v>97</v>
      </c>
      <c r="C415" t="s">
        <v>10</v>
      </c>
      <c r="D415">
        <v>0.93456536928974754</v>
      </c>
      <c r="E415">
        <v>0</v>
      </c>
      <c r="F415">
        <v>0</v>
      </c>
      <c r="G415">
        <v>1.7647058823529409</v>
      </c>
      <c r="H415">
        <v>0</v>
      </c>
      <c r="I415">
        <v>0</v>
      </c>
      <c r="J415">
        <v>1.8882637216635632</v>
      </c>
      <c r="K415">
        <v>0.88826372166356315</v>
      </c>
      <c r="L415">
        <v>0</v>
      </c>
      <c r="M415">
        <v>0</v>
      </c>
      <c r="N415">
        <v>0</v>
      </c>
      <c r="O415">
        <v>0</v>
      </c>
      <c r="P415">
        <v>0</v>
      </c>
      <c r="Q415">
        <v>0</v>
      </c>
      <c r="R415">
        <v>0</v>
      </c>
      <c r="S415">
        <v>0</v>
      </c>
      <c r="T415">
        <v>0</v>
      </c>
      <c r="U415">
        <v>0</v>
      </c>
      <c r="V415">
        <v>0</v>
      </c>
      <c r="W415">
        <v>0</v>
      </c>
      <c r="X415">
        <v>0</v>
      </c>
      <c r="Y415">
        <v>0</v>
      </c>
      <c r="Z415">
        <v>0</v>
      </c>
      <c r="AA415">
        <v>0</v>
      </c>
      <c r="AB415">
        <v>0</v>
      </c>
      <c r="AC415">
        <v>1</v>
      </c>
      <c r="AD415">
        <v>0</v>
      </c>
      <c r="AE415" t="s">
        <v>162</v>
      </c>
      <c r="AF415">
        <v>0</v>
      </c>
      <c r="AG415" t="s">
        <v>236</v>
      </c>
      <c r="AH415">
        <v>46317</v>
      </c>
      <c r="AI415" t="s">
        <v>149</v>
      </c>
    </row>
    <row r="416" spans="1:35" x14ac:dyDescent="0.25">
      <c r="A416" s="1">
        <v>46318</v>
      </c>
      <c r="B416" t="s">
        <v>97</v>
      </c>
      <c r="C416" t="s">
        <v>10</v>
      </c>
      <c r="D416">
        <v>1.8691307385794953</v>
      </c>
      <c r="E416">
        <v>0</v>
      </c>
      <c r="F416">
        <v>0</v>
      </c>
      <c r="G416">
        <v>1.7647058823529411</v>
      </c>
      <c r="H416">
        <v>0</v>
      </c>
      <c r="I416">
        <v>0</v>
      </c>
      <c r="J416">
        <v>0.94413186083178158</v>
      </c>
      <c r="K416">
        <v>0</v>
      </c>
      <c r="L416">
        <v>0</v>
      </c>
      <c r="M416">
        <v>0</v>
      </c>
      <c r="N416">
        <v>0</v>
      </c>
      <c r="O416">
        <v>0</v>
      </c>
      <c r="P416">
        <v>0</v>
      </c>
      <c r="Q416">
        <v>0</v>
      </c>
      <c r="R416">
        <v>0</v>
      </c>
      <c r="S416">
        <v>0</v>
      </c>
      <c r="T416">
        <v>0.94413186083178158</v>
      </c>
      <c r="U416">
        <v>5.5868139168218423E-2</v>
      </c>
      <c r="V416">
        <v>0</v>
      </c>
      <c r="W416">
        <v>0</v>
      </c>
      <c r="X416">
        <v>0</v>
      </c>
      <c r="Y416">
        <v>0</v>
      </c>
      <c r="Z416">
        <v>0</v>
      </c>
      <c r="AA416">
        <v>0</v>
      </c>
      <c r="AB416">
        <v>0</v>
      </c>
      <c r="AC416">
        <v>0</v>
      </c>
      <c r="AD416">
        <v>0</v>
      </c>
      <c r="AE416" t="s">
        <v>162</v>
      </c>
      <c r="AF416">
        <v>0</v>
      </c>
      <c r="AG416" t="s">
        <v>239</v>
      </c>
      <c r="AH416">
        <v>46318</v>
      </c>
      <c r="AI416" t="s">
        <v>149</v>
      </c>
    </row>
    <row r="417" spans="1:35" x14ac:dyDescent="0.25">
      <c r="A417" s="1">
        <v>46318</v>
      </c>
      <c r="B417" t="s">
        <v>97</v>
      </c>
      <c r="C417" t="s">
        <v>11</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c r="AD417">
        <v>0</v>
      </c>
      <c r="AE417" t="s">
        <v>162</v>
      </c>
      <c r="AF417">
        <v>0</v>
      </c>
      <c r="AG417" t="s">
        <v>240</v>
      </c>
      <c r="AH417">
        <v>46318</v>
      </c>
      <c r="AI417" t="s">
        <v>149</v>
      </c>
    </row>
    <row r="418" spans="1:35" x14ac:dyDescent="0.25">
      <c r="A418" s="1">
        <v>46318</v>
      </c>
      <c r="B418" t="s">
        <v>97</v>
      </c>
      <c r="C418" t="s">
        <v>12</v>
      </c>
      <c r="D418">
        <v>0.65969320185158642</v>
      </c>
      <c r="E418">
        <v>0</v>
      </c>
      <c r="F418">
        <v>0</v>
      </c>
      <c r="G418">
        <v>0.92733564013840819</v>
      </c>
      <c r="H418">
        <v>0</v>
      </c>
      <c r="I418">
        <v>0</v>
      </c>
      <c r="J418">
        <v>1.4057074372384306</v>
      </c>
      <c r="K418">
        <v>0.40570743723843061</v>
      </c>
      <c r="L418">
        <v>0</v>
      </c>
      <c r="M418">
        <v>0</v>
      </c>
      <c r="N418">
        <v>0</v>
      </c>
      <c r="O418">
        <v>0</v>
      </c>
      <c r="P418">
        <v>0</v>
      </c>
      <c r="Q418">
        <v>0</v>
      </c>
      <c r="R418">
        <v>0</v>
      </c>
      <c r="S418">
        <v>0</v>
      </c>
      <c r="T418">
        <v>0</v>
      </c>
      <c r="U418">
        <v>0</v>
      </c>
      <c r="V418">
        <v>0</v>
      </c>
      <c r="W418">
        <v>0</v>
      </c>
      <c r="X418">
        <v>0</v>
      </c>
      <c r="Y418">
        <v>0</v>
      </c>
      <c r="Z418">
        <v>0</v>
      </c>
      <c r="AA418">
        <v>0</v>
      </c>
      <c r="AB418">
        <v>0</v>
      </c>
      <c r="AC418">
        <v>0</v>
      </c>
      <c r="AD418">
        <v>0</v>
      </c>
      <c r="AE418" t="s">
        <v>162</v>
      </c>
      <c r="AF418">
        <v>0</v>
      </c>
      <c r="AG418" t="s">
        <v>241</v>
      </c>
      <c r="AH418">
        <v>46318</v>
      </c>
      <c r="AI418" t="s">
        <v>149</v>
      </c>
    </row>
    <row r="419" spans="1:35" x14ac:dyDescent="0.25">
      <c r="A419" s="1">
        <v>46319</v>
      </c>
      <c r="B419" t="s">
        <v>97</v>
      </c>
      <c r="C419" t="s">
        <v>12</v>
      </c>
      <c r="D419">
        <v>0.65969320185158642</v>
      </c>
      <c r="E419">
        <v>0</v>
      </c>
      <c r="F419">
        <v>0</v>
      </c>
      <c r="G419">
        <v>0.22145328719723184</v>
      </c>
      <c r="H419">
        <v>0</v>
      </c>
      <c r="I419">
        <v>0</v>
      </c>
      <c r="J419">
        <v>0.33569132829574466</v>
      </c>
      <c r="K419">
        <v>0</v>
      </c>
      <c r="L419">
        <v>0</v>
      </c>
      <c r="M419">
        <v>0</v>
      </c>
      <c r="N419">
        <v>0</v>
      </c>
      <c r="O419">
        <v>0</v>
      </c>
      <c r="P419">
        <v>0</v>
      </c>
      <c r="Q419">
        <v>0</v>
      </c>
      <c r="R419">
        <v>0</v>
      </c>
      <c r="S419">
        <v>0</v>
      </c>
      <c r="T419">
        <v>0.33569132829574466</v>
      </c>
      <c r="U419">
        <v>0.66430867170425534</v>
      </c>
      <c r="V419">
        <v>0</v>
      </c>
      <c r="W419">
        <v>0</v>
      </c>
      <c r="X419">
        <v>0</v>
      </c>
      <c r="Y419">
        <v>0</v>
      </c>
      <c r="Z419">
        <v>0</v>
      </c>
      <c r="AA419">
        <v>0</v>
      </c>
      <c r="AB419">
        <v>0</v>
      </c>
      <c r="AC419">
        <v>0</v>
      </c>
      <c r="AD419">
        <v>0</v>
      </c>
      <c r="AE419" t="s">
        <v>162</v>
      </c>
      <c r="AF419">
        <v>0</v>
      </c>
      <c r="AG419" t="s">
        <v>242</v>
      </c>
      <c r="AH419">
        <v>46319</v>
      </c>
      <c r="AI419" t="s">
        <v>149</v>
      </c>
    </row>
    <row r="420" spans="1:35" x14ac:dyDescent="0.25">
      <c r="A420" s="1">
        <v>46319</v>
      </c>
      <c r="B420" t="s">
        <v>97</v>
      </c>
      <c r="C420" t="s">
        <v>11</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c r="AE420" t="s">
        <v>162</v>
      </c>
      <c r="AF420">
        <v>0</v>
      </c>
      <c r="AG420" t="s">
        <v>243</v>
      </c>
      <c r="AH420">
        <v>46319</v>
      </c>
      <c r="AI420" t="s">
        <v>149</v>
      </c>
    </row>
    <row r="421" spans="1:35" x14ac:dyDescent="0.25">
      <c r="A421" s="1">
        <v>46319</v>
      </c>
      <c r="B421" t="s">
        <v>97</v>
      </c>
      <c r="C421" t="s">
        <v>10</v>
      </c>
      <c r="D421">
        <v>1.8691307385794953</v>
      </c>
      <c r="E421">
        <v>0</v>
      </c>
      <c r="F421">
        <v>0</v>
      </c>
      <c r="G421">
        <v>1.7647058823529409</v>
      </c>
      <c r="H421">
        <v>0</v>
      </c>
      <c r="I421">
        <v>0</v>
      </c>
      <c r="J421">
        <v>0.94413186083178147</v>
      </c>
      <c r="K421">
        <v>0</v>
      </c>
      <c r="L421">
        <v>0</v>
      </c>
      <c r="M421">
        <v>0</v>
      </c>
      <c r="N421">
        <v>0</v>
      </c>
      <c r="O421">
        <v>0</v>
      </c>
      <c r="P421">
        <v>0</v>
      </c>
      <c r="Q421">
        <v>0</v>
      </c>
      <c r="R421">
        <v>0</v>
      </c>
      <c r="S421">
        <v>0</v>
      </c>
      <c r="T421">
        <v>0.94413186083178147</v>
      </c>
      <c r="U421">
        <v>5.5868139168218534E-2</v>
      </c>
      <c r="V421">
        <v>0</v>
      </c>
      <c r="W421">
        <v>0</v>
      </c>
      <c r="X421">
        <v>0</v>
      </c>
      <c r="Y421">
        <v>0</v>
      </c>
      <c r="Z421">
        <v>0</v>
      </c>
      <c r="AA421">
        <v>0</v>
      </c>
      <c r="AB421">
        <v>0</v>
      </c>
      <c r="AC421">
        <v>0</v>
      </c>
      <c r="AD421">
        <v>0</v>
      </c>
      <c r="AE421" t="s">
        <v>162</v>
      </c>
      <c r="AF421">
        <v>0</v>
      </c>
      <c r="AG421" t="s">
        <v>244</v>
      </c>
      <c r="AH421">
        <v>46319</v>
      </c>
      <c r="AI421" t="s">
        <v>149</v>
      </c>
    </row>
    <row r="422" spans="1:35" x14ac:dyDescent="0.25">
      <c r="A422" s="1">
        <v>46320</v>
      </c>
      <c r="B422" t="s">
        <v>97</v>
      </c>
      <c r="C422" t="s">
        <v>12</v>
      </c>
      <c r="D422">
        <v>0.65969320185158642</v>
      </c>
      <c r="E422">
        <v>0</v>
      </c>
      <c r="F422">
        <v>0</v>
      </c>
      <c r="G422">
        <v>0.22145328719723184</v>
      </c>
      <c r="H422">
        <v>0</v>
      </c>
      <c r="I422">
        <v>0</v>
      </c>
      <c r="J422">
        <v>0.33569132829574466</v>
      </c>
      <c r="K422">
        <v>0</v>
      </c>
      <c r="L422">
        <v>0</v>
      </c>
      <c r="M422">
        <v>0</v>
      </c>
      <c r="N422">
        <v>0</v>
      </c>
      <c r="O422">
        <v>0</v>
      </c>
      <c r="P422">
        <v>0</v>
      </c>
      <c r="Q422">
        <v>0</v>
      </c>
      <c r="R422">
        <v>0</v>
      </c>
      <c r="S422">
        <v>0</v>
      </c>
      <c r="T422">
        <v>0.33569132829574466</v>
      </c>
      <c r="U422">
        <v>0.66430867170425534</v>
      </c>
      <c r="V422">
        <v>0</v>
      </c>
      <c r="W422">
        <v>0</v>
      </c>
      <c r="X422">
        <v>0</v>
      </c>
      <c r="Y422">
        <v>0</v>
      </c>
      <c r="Z422">
        <v>0</v>
      </c>
      <c r="AA422">
        <v>0</v>
      </c>
      <c r="AB422">
        <v>0</v>
      </c>
      <c r="AC422">
        <v>0</v>
      </c>
      <c r="AD422">
        <v>0</v>
      </c>
      <c r="AE422" t="s">
        <v>162</v>
      </c>
      <c r="AF422">
        <v>0</v>
      </c>
      <c r="AG422" t="s">
        <v>245</v>
      </c>
      <c r="AH422">
        <v>46320</v>
      </c>
      <c r="AI422" t="s">
        <v>149</v>
      </c>
    </row>
    <row r="423" spans="1:35" x14ac:dyDescent="0.25">
      <c r="A423" s="1">
        <v>46320</v>
      </c>
      <c r="B423" t="s">
        <v>97</v>
      </c>
      <c r="C423" t="s">
        <v>10</v>
      </c>
      <c r="D423">
        <v>1.8691307385794953</v>
      </c>
      <c r="E423">
        <v>0</v>
      </c>
      <c r="F423">
        <v>0</v>
      </c>
      <c r="G423">
        <v>1.7647058823529409</v>
      </c>
      <c r="H423">
        <v>0</v>
      </c>
      <c r="I423">
        <v>0</v>
      </c>
      <c r="J423">
        <v>0.94413186083178147</v>
      </c>
      <c r="K423">
        <v>0</v>
      </c>
      <c r="L423">
        <v>0</v>
      </c>
      <c r="M423">
        <v>0</v>
      </c>
      <c r="N423">
        <v>0</v>
      </c>
      <c r="O423">
        <v>0</v>
      </c>
      <c r="P423">
        <v>0</v>
      </c>
      <c r="Q423">
        <v>0</v>
      </c>
      <c r="R423">
        <v>0</v>
      </c>
      <c r="S423">
        <v>0</v>
      </c>
      <c r="T423">
        <v>0.94413186083178147</v>
      </c>
      <c r="U423">
        <v>5.5868139168218534E-2</v>
      </c>
      <c r="V423">
        <v>0</v>
      </c>
      <c r="W423">
        <v>0</v>
      </c>
      <c r="X423">
        <v>0</v>
      </c>
      <c r="Y423">
        <v>0</v>
      </c>
      <c r="Z423">
        <v>0</v>
      </c>
      <c r="AA423">
        <v>0</v>
      </c>
      <c r="AB423">
        <v>0</v>
      </c>
      <c r="AC423">
        <v>0</v>
      </c>
      <c r="AD423">
        <v>0</v>
      </c>
      <c r="AE423" t="s">
        <v>162</v>
      </c>
      <c r="AF423">
        <v>0</v>
      </c>
      <c r="AG423" t="s">
        <v>246</v>
      </c>
      <c r="AH423">
        <v>46320</v>
      </c>
      <c r="AI423" t="s">
        <v>149</v>
      </c>
    </row>
    <row r="424" spans="1:35" x14ac:dyDescent="0.25">
      <c r="A424" s="1">
        <v>46320</v>
      </c>
      <c r="B424" t="s">
        <v>97</v>
      </c>
      <c r="C424" t="s">
        <v>11</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0</v>
      </c>
      <c r="AD424">
        <v>0</v>
      </c>
      <c r="AE424" t="s">
        <v>162</v>
      </c>
      <c r="AF424">
        <v>0</v>
      </c>
      <c r="AG424" t="s">
        <v>247</v>
      </c>
      <c r="AH424">
        <v>46320</v>
      </c>
      <c r="AI424" t="s">
        <v>149</v>
      </c>
    </row>
    <row r="425" spans="1:35" x14ac:dyDescent="0.25">
      <c r="A425" s="1">
        <v>46321</v>
      </c>
      <c r="B425" t="s">
        <v>97</v>
      </c>
      <c r="C425" t="s">
        <v>10</v>
      </c>
      <c r="D425">
        <v>0.93456536928974754</v>
      </c>
      <c r="E425">
        <v>0</v>
      </c>
      <c r="F425">
        <v>0</v>
      </c>
      <c r="G425">
        <v>0.88235294117647045</v>
      </c>
      <c r="H425">
        <v>0</v>
      </c>
      <c r="I425">
        <v>0</v>
      </c>
      <c r="J425">
        <v>0.94413186083178158</v>
      </c>
      <c r="K425">
        <v>0</v>
      </c>
      <c r="L425">
        <v>0</v>
      </c>
      <c r="M425">
        <v>0</v>
      </c>
      <c r="N425">
        <v>0</v>
      </c>
      <c r="O425">
        <v>0</v>
      </c>
      <c r="P425">
        <v>0</v>
      </c>
      <c r="Q425">
        <v>0</v>
      </c>
      <c r="R425">
        <v>0</v>
      </c>
      <c r="S425">
        <v>0</v>
      </c>
      <c r="T425">
        <v>0.94413186083178158</v>
      </c>
      <c r="U425">
        <v>5.5868139168218423E-2</v>
      </c>
      <c r="V425">
        <v>0</v>
      </c>
      <c r="W425">
        <v>0</v>
      </c>
      <c r="X425">
        <v>0</v>
      </c>
      <c r="Y425">
        <v>0</v>
      </c>
      <c r="Z425">
        <v>0</v>
      </c>
      <c r="AA425">
        <v>0</v>
      </c>
      <c r="AB425">
        <v>0</v>
      </c>
      <c r="AC425">
        <v>0</v>
      </c>
      <c r="AD425">
        <v>0</v>
      </c>
      <c r="AE425" t="s">
        <v>162</v>
      </c>
      <c r="AF425">
        <v>0</v>
      </c>
      <c r="AG425" t="s">
        <v>249</v>
      </c>
      <c r="AH425">
        <v>46321</v>
      </c>
      <c r="AI425" t="s">
        <v>149</v>
      </c>
    </row>
    <row r="426" spans="1:35" x14ac:dyDescent="0.25">
      <c r="A426" s="1">
        <v>46321</v>
      </c>
      <c r="B426" t="s">
        <v>97</v>
      </c>
      <c r="C426" t="s">
        <v>11</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c r="AE426" t="s">
        <v>162</v>
      </c>
      <c r="AF426">
        <v>0</v>
      </c>
      <c r="AG426" t="s">
        <v>250</v>
      </c>
      <c r="AH426">
        <v>46321</v>
      </c>
      <c r="AI426" t="s">
        <v>149</v>
      </c>
    </row>
    <row r="427" spans="1:35" x14ac:dyDescent="0.25">
      <c r="A427" s="1">
        <v>46321</v>
      </c>
      <c r="B427" t="s">
        <v>97</v>
      </c>
      <c r="C427" t="s">
        <v>12</v>
      </c>
      <c r="D427">
        <v>1.4293352706784377</v>
      </c>
      <c r="E427">
        <v>0</v>
      </c>
      <c r="F427">
        <v>0</v>
      </c>
      <c r="G427">
        <v>0.93425605536332179</v>
      </c>
      <c r="H427">
        <v>0</v>
      </c>
      <c r="I427">
        <v>0</v>
      </c>
      <c r="J427">
        <v>0.65362974980661792</v>
      </c>
      <c r="K427">
        <v>0</v>
      </c>
      <c r="L427">
        <v>0</v>
      </c>
      <c r="M427">
        <v>0</v>
      </c>
      <c r="N427">
        <v>0</v>
      </c>
      <c r="O427">
        <v>0</v>
      </c>
      <c r="P427">
        <v>0</v>
      </c>
      <c r="Q427">
        <v>0</v>
      </c>
      <c r="R427">
        <v>0</v>
      </c>
      <c r="S427">
        <v>0</v>
      </c>
      <c r="T427">
        <v>0.65362974980661792</v>
      </c>
      <c r="U427">
        <v>0.34637025019338208</v>
      </c>
      <c r="V427">
        <v>0</v>
      </c>
      <c r="W427">
        <v>0</v>
      </c>
      <c r="X427">
        <v>0</v>
      </c>
      <c r="Y427">
        <v>0</v>
      </c>
      <c r="Z427">
        <v>0</v>
      </c>
      <c r="AA427">
        <v>0</v>
      </c>
      <c r="AB427">
        <v>0</v>
      </c>
      <c r="AC427">
        <v>0</v>
      </c>
      <c r="AD427">
        <v>0</v>
      </c>
      <c r="AE427" t="s">
        <v>162</v>
      </c>
      <c r="AF427">
        <v>0</v>
      </c>
      <c r="AG427" t="s">
        <v>248</v>
      </c>
      <c r="AH427">
        <v>46321</v>
      </c>
      <c r="AI427" t="s">
        <v>149</v>
      </c>
    </row>
    <row r="428" spans="1:35" x14ac:dyDescent="0.25">
      <c r="A428" s="1">
        <v>46293</v>
      </c>
      <c r="B428" t="s">
        <v>13</v>
      </c>
      <c r="C428" t="s">
        <v>12</v>
      </c>
      <c r="D428">
        <v>2.4372947976878616</v>
      </c>
      <c r="E428">
        <v>0</v>
      </c>
      <c r="F428">
        <v>0</v>
      </c>
      <c r="G428">
        <v>1.9382929642445217</v>
      </c>
      <c r="H428">
        <v>0</v>
      </c>
      <c r="I428">
        <v>0</v>
      </c>
      <c r="J428">
        <v>0.79526406328987465</v>
      </c>
      <c r="K428">
        <v>0</v>
      </c>
      <c r="L428">
        <v>0</v>
      </c>
      <c r="M428">
        <v>0</v>
      </c>
      <c r="N428">
        <v>0</v>
      </c>
      <c r="O428">
        <v>0</v>
      </c>
      <c r="P428">
        <v>0</v>
      </c>
      <c r="Q428">
        <v>0</v>
      </c>
      <c r="R428">
        <v>0</v>
      </c>
      <c r="S428">
        <v>0</v>
      </c>
      <c r="T428">
        <v>0.79526406328987465</v>
      </c>
      <c r="U428">
        <v>0.20473593671012535</v>
      </c>
      <c r="V428">
        <v>0</v>
      </c>
      <c r="W428">
        <v>0</v>
      </c>
      <c r="X428">
        <v>0</v>
      </c>
      <c r="Y428">
        <v>0</v>
      </c>
      <c r="Z428">
        <v>0</v>
      </c>
      <c r="AA428">
        <v>0</v>
      </c>
      <c r="AB428">
        <v>0</v>
      </c>
      <c r="AC428">
        <v>0</v>
      </c>
      <c r="AD428">
        <v>0</v>
      </c>
      <c r="AE428" t="s">
        <v>162</v>
      </c>
      <c r="AF428">
        <v>0</v>
      </c>
      <c r="AG428" t="s">
        <v>164</v>
      </c>
      <c r="AH428">
        <v>46293</v>
      </c>
      <c r="AI428" t="s">
        <v>149</v>
      </c>
    </row>
    <row r="429" spans="1:35" x14ac:dyDescent="0.25">
      <c r="A429" s="1">
        <v>46293</v>
      </c>
      <c r="B429" t="s">
        <v>13</v>
      </c>
      <c r="C429" t="s">
        <v>11</v>
      </c>
      <c r="D429">
        <v>2.7622674373795766</v>
      </c>
      <c r="E429">
        <v>0</v>
      </c>
      <c r="F429">
        <v>0</v>
      </c>
      <c r="G429">
        <v>2.0078431372549019</v>
      </c>
      <c r="H429">
        <v>0</v>
      </c>
      <c r="I429">
        <v>0</v>
      </c>
      <c r="J429">
        <v>0.72688223815129249</v>
      </c>
      <c r="K429">
        <v>0</v>
      </c>
      <c r="L429">
        <v>0</v>
      </c>
      <c r="M429">
        <v>0</v>
      </c>
      <c r="N429">
        <v>0</v>
      </c>
      <c r="O429">
        <v>0</v>
      </c>
      <c r="P429">
        <v>0</v>
      </c>
      <c r="Q429">
        <v>0</v>
      </c>
      <c r="R429">
        <v>0</v>
      </c>
      <c r="S429">
        <v>0</v>
      </c>
      <c r="T429">
        <v>0.72688223815129249</v>
      </c>
      <c r="U429">
        <v>0.27311776184870751</v>
      </c>
      <c r="V429">
        <v>0</v>
      </c>
      <c r="W429">
        <v>0</v>
      </c>
      <c r="X429">
        <v>0</v>
      </c>
      <c r="Y429">
        <v>0</v>
      </c>
      <c r="Z429">
        <v>0</v>
      </c>
      <c r="AA429">
        <v>0</v>
      </c>
      <c r="AB429">
        <v>0</v>
      </c>
      <c r="AC429">
        <v>0</v>
      </c>
      <c r="AD429">
        <v>0</v>
      </c>
      <c r="AE429" t="s">
        <v>162</v>
      </c>
      <c r="AF429">
        <v>0</v>
      </c>
      <c r="AG429" t="s">
        <v>165</v>
      </c>
      <c r="AH429">
        <v>46293</v>
      </c>
      <c r="AI429" t="s">
        <v>149</v>
      </c>
    </row>
    <row r="430" spans="1:35" x14ac:dyDescent="0.25">
      <c r="A430" s="1">
        <v>46293</v>
      </c>
      <c r="B430" t="s">
        <v>13</v>
      </c>
      <c r="C430" t="s">
        <v>10</v>
      </c>
      <c r="D430">
        <v>2.589625722543353</v>
      </c>
      <c r="E430">
        <v>0</v>
      </c>
      <c r="F430">
        <v>0</v>
      </c>
      <c r="G430">
        <v>0.88541666666666674</v>
      </c>
      <c r="H430">
        <v>0</v>
      </c>
      <c r="I430">
        <v>0</v>
      </c>
      <c r="J430">
        <v>0.34190912569290943</v>
      </c>
      <c r="K430">
        <v>0</v>
      </c>
      <c r="L430">
        <v>0</v>
      </c>
      <c r="M430">
        <v>0</v>
      </c>
      <c r="N430">
        <v>0</v>
      </c>
      <c r="O430">
        <v>0</v>
      </c>
      <c r="P430">
        <v>0</v>
      </c>
      <c r="Q430">
        <v>0</v>
      </c>
      <c r="R430">
        <v>0</v>
      </c>
      <c r="S430">
        <v>0</v>
      </c>
      <c r="T430">
        <v>0.34190912569290943</v>
      </c>
      <c r="U430">
        <v>0.65809087430709057</v>
      </c>
      <c r="V430">
        <v>0</v>
      </c>
      <c r="W430">
        <v>0</v>
      </c>
      <c r="X430">
        <v>0</v>
      </c>
      <c r="Y430">
        <v>0</v>
      </c>
      <c r="Z430">
        <v>0</v>
      </c>
      <c r="AA430">
        <v>0</v>
      </c>
      <c r="AB430">
        <v>0</v>
      </c>
      <c r="AC430">
        <v>0</v>
      </c>
      <c r="AD430">
        <v>0</v>
      </c>
      <c r="AE430" t="s">
        <v>162</v>
      </c>
      <c r="AF430">
        <v>0</v>
      </c>
      <c r="AG430" t="s">
        <v>166</v>
      </c>
      <c r="AH430">
        <v>46293</v>
      </c>
      <c r="AI430" t="s">
        <v>149</v>
      </c>
    </row>
    <row r="431" spans="1:35" x14ac:dyDescent="0.25">
      <c r="A431" s="1">
        <v>46294</v>
      </c>
      <c r="B431" t="s">
        <v>13</v>
      </c>
      <c r="C431" t="s">
        <v>10</v>
      </c>
      <c r="D431">
        <v>3.7321076589595386</v>
      </c>
      <c r="E431">
        <v>0</v>
      </c>
      <c r="F431">
        <v>0</v>
      </c>
      <c r="G431">
        <v>2.0061274509803924</v>
      </c>
      <c r="H431">
        <v>0</v>
      </c>
      <c r="I431">
        <v>0</v>
      </c>
      <c r="J431">
        <v>0.53753204202573135</v>
      </c>
      <c r="K431">
        <v>0</v>
      </c>
      <c r="L431">
        <v>0</v>
      </c>
      <c r="M431">
        <v>0</v>
      </c>
      <c r="N431">
        <v>0</v>
      </c>
      <c r="O431">
        <v>0</v>
      </c>
      <c r="P431">
        <v>0</v>
      </c>
      <c r="Q431">
        <v>0</v>
      </c>
      <c r="R431">
        <v>0</v>
      </c>
      <c r="S431">
        <v>0</v>
      </c>
      <c r="T431">
        <v>0.53753204202573135</v>
      </c>
      <c r="U431">
        <v>0.46246795797426865</v>
      </c>
      <c r="V431">
        <v>0</v>
      </c>
      <c r="W431">
        <v>0</v>
      </c>
      <c r="X431">
        <v>0</v>
      </c>
      <c r="Y431">
        <v>0</v>
      </c>
      <c r="Z431">
        <v>0</v>
      </c>
      <c r="AA431">
        <v>0</v>
      </c>
      <c r="AB431">
        <v>0</v>
      </c>
      <c r="AC431">
        <v>0</v>
      </c>
      <c r="AD431">
        <v>0</v>
      </c>
      <c r="AE431" t="s">
        <v>162</v>
      </c>
      <c r="AF431">
        <v>0</v>
      </c>
      <c r="AG431" t="s">
        <v>167</v>
      </c>
      <c r="AH431">
        <v>46294</v>
      </c>
      <c r="AI431" t="s">
        <v>149</v>
      </c>
    </row>
    <row r="432" spans="1:35" x14ac:dyDescent="0.25">
      <c r="A432" s="1">
        <v>46294</v>
      </c>
      <c r="B432" t="s">
        <v>13</v>
      </c>
      <c r="C432" t="s">
        <v>11</v>
      </c>
      <c r="D432">
        <v>2.7622674373795766</v>
      </c>
      <c r="E432">
        <v>0</v>
      </c>
      <c r="F432">
        <v>0</v>
      </c>
      <c r="G432">
        <v>2.0078431372549019</v>
      </c>
      <c r="H432">
        <v>0</v>
      </c>
      <c r="I432">
        <v>0</v>
      </c>
      <c r="J432">
        <v>0.72688223815129249</v>
      </c>
      <c r="K432">
        <v>0</v>
      </c>
      <c r="L432">
        <v>0</v>
      </c>
      <c r="M432">
        <v>0</v>
      </c>
      <c r="N432">
        <v>0</v>
      </c>
      <c r="O432">
        <v>0</v>
      </c>
      <c r="P432">
        <v>0</v>
      </c>
      <c r="Q432">
        <v>0</v>
      </c>
      <c r="R432">
        <v>0</v>
      </c>
      <c r="S432">
        <v>0</v>
      </c>
      <c r="T432">
        <v>0.72688223815129249</v>
      </c>
      <c r="U432">
        <v>0.27311776184870751</v>
      </c>
      <c r="V432">
        <v>0</v>
      </c>
      <c r="W432">
        <v>0</v>
      </c>
      <c r="X432">
        <v>0</v>
      </c>
      <c r="Y432">
        <v>0</v>
      </c>
      <c r="Z432">
        <v>0</v>
      </c>
      <c r="AA432">
        <v>0</v>
      </c>
      <c r="AB432">
        <v>0</v>
      </c>
      <c r="AC432">
        <v>0</v>
      </c>
      <c r="AD432">
        <v>0</v>
      </c>
      <c r="AE432" t="s">
        <v>162</v>
      </c>
      <c r="AF432">
        <v>0</v>
      </c>
      <c r="AG432" t="s">
        <v>168</v>
      </c>
      <c r="AH432">
        <v>46294</v>
      </c>
      <c r="AI432" t="s">
        <v>149</v>
      </c>
    </row>
    <row r="433" spans="1:35" x14ac:dyDescent="0.25">
      <c r="A433" s="1">
        <v>46294</v>
      </c>
      <c r="B433" t="s">
        <v>13</v>
      </c>
      <c r="C433" t="s">
        <v>12</v>
      </c>
      <c r="D433">
        <v>2.4372947976878616</v>
      </c>
      <c r="E433">
        <v>0</v>
      </c>
      <c r="F433">
        <v>0</v>
      </c>
      <c r="G433">
        <v>2.1049596309111882</v>
      </c>
      <c r="H433">
        <v>0</v>
      </c>
      <c r="I433">
        <v>0</v>
      </c>
      <c r="J433">
        <v>0.86364588842845647</v>
      </c>
      <c r="K433">
        <v>0</v>
      </c>
      <c r="L433">
        <v>0</v>
      </c>
      <c r="M433">
        <v>0</v>
      </c>
      <c r="N433">
        <v>0</v>
      </c>
      <c r="O433">
        <v>0</v>
      </c>
      <c r="P433">
        <v>0</v>
      </c>
      <c r="Q433">
        <v>0</v>
      </c>
      <c r="R433">
        <v>0</v>
      </c>
      <c r="S433">
        <v>0</v>
      </c>
      <c r="T433">
        <v>0.86364588842845647</v>
      </c>
      <c r="U433">
        <v>0.13635411157154353</v>
      </c>
      <c r="V433">
        <v>0</v>
      </c>
      <c r="W433">
        <v>0</v>
      </c>
      <c r="X433">
        <v>0</v>
      </c>
      <c r="Y433">
        <v>0</v>
      </c>
      <c r="Z433">
        <v>0</v>
      </c>
      <c r="AA433">
        <v>0</v>
      </c>
      <c r="AB433">
        <v>0</v>
      </c>
      <c r="AC433">
        <v>0</v>
      </c>
      <c r="AD433">
        <v>0</v>
      </c>
      <c r="AE433" t="s">
        <v>162</v>
      </c>
      <c r="AF433">
        <v>0</v>
      </c>
      <c r="AG433" t="s">
        <v>169</v>
      </c>
      <c r="AH433">
        <v>46294</v>
      </c>
      <c r="AI433" t="s">
        <v>149</v>
      </c>
    </row>
    <row r="434" spans="1:35" x14ac:dyDescent="0.25">
      <c r="A434" s="1">
        <v>46295</v>
      </c>
      <c r="B434" t="s">
        <v>13</v>
      </c>
      <c r="C434" t="s">
        <v>10</v>
      </c>
      <c r="D434">
        <v>2.5134602601156071</v>
      </c>
      <c r="E434">
        <v>0</v>
      </c>
      <c r="F434">
        <v>0</v>
      </c>
      <c r="G434">
        <v>2.7144607843137254</v>
      </c>
      <c r="H434">
        <v>0</v>
      </c>
      <c r="I434">
        <v>0</v>
      </c>
      <c r="J434">
        <v>1.0799696447911507</v>
      </c>
      <c r="K434">
        <v>7.9969644791150651E-2</v>
      </c>
      <c r="L434">
        <v>0</v>
      </c>
      <c r="M434">
        <v>0</v>
      </c>
      <c r="N434">
        <v>0</v>
      </c>
      <c r="O434">
        <v>0</v>
      </c>
      <c r="P434">
        <v>0</v>
      </c>
      <c r="Q434">
        <v>0</v>
      </c>
      <c r="R434">
        <v>0</v>
      </c>
      <c r="S434">
        <v>0</v>
      </c>
      <c r="T434">
        <v>0</v>
      </c>
      <c r="U434">
        <v>0</v>
      </c>
      <c r="V434">
        <v>0</v>
      </c>
      <c r="W434">
        <v>0</v>
      </c>
      <c r="X434">
        <v>0</v>
      </c>
      <c r="Y434">
        <v>0</v>
      </c>
      <c r="Z434">
        <v>0</v>
      </c>
      <c r="AA434">
        <v>0</v>
      </c>
      <c r="AB434">
        <v>0</v>
      </c>
      <c r="AC434">
        <v>1</v>
      </c>
      <c r="AD434">
        <v>0</v>
      </c>
      <c r="AE434" t="s">
        <v>162</v>
      </c>
      <c r="AF434">
        <v>0</v>
      </c>
      <c r="AG434" t="s">
        <v>170</v>
      </c>
      <c r="AH434">
        <v>46295</v>
      </c>
      <c r="AI434" t="s">
        <v>149</v>
      </c>
    </row>
    <row r="435" spans="1:35" x14ac:dyDescent="0.25">
      <c r="A435" s="1">
        <v>46295</v>
      </c>
      <c r="B435" t="s">
        <v>13</v>
      </c>
      <c r="C435" t="s">
        <v>11</v>
      </c>
      <c r="D435">
        <v>2.7622674373795766</v>
      </c>
      <c r="E435">
        <v>0</v>
      </c>
      <c r="F435">
        <v>0</v>
      </c>
      <c r="G435">
        <v>2.0078431372549019</v>
      </c>
      <c r="H435">
        <v>0</v>
      </c>
      <c r="I435">
        <v>0</v>
      </c>
      <c r="J435">
        <v>0.72688223815129249</v>
      </c>
      <c r="K435">
        <v>0</v>
      </c>
      <c r="L435">
        <v>0</v>
      </c>
      <c r="M435">
        <v>0</v>
      </c>
      <c r="N435">
        <v>0</v>
      </c>
      <c r="O435">
        <v>0</v>
      </c>
      <c r="P435">
        <v>0</v>
      </c>
      <c r="Q435">
        <v>0</v>
      </c>
      <c r="R435">
        <v>0</v>
      </c>
      <c r="S435">
        <v>0</v>
      </c>
      <c r="T435">
        <v>0.72688223815129249</v>
      </c>
      <c r="U435">
        <v>0.27311776184870751</v>
      </c>
      <c r="V435">
        <v>0</v>
      </c>
      <c r="W435">
        <v>0</v>
      </c>
      <c r="X435">
        <v>0</v>
      </c>
      <c r="Y435">
        <v>0</v>
      </c>
      <c r="Z435">
        <v>0</v>
      </c>
      <c r="AA435">
        <v>0</v>
      </c>
      <c r="AB435">
        <v>0</v>
      </c>
      <c r="AC435">
        <v>0</v>
      </c>
      <c r="AD435">
        <v>0</v>
      </c>
      <c r="AE435" t="s">
        <v>162</v>
      </c>
      <c r="AF435">
        <v>0</v>
      </c>
      <c r="AG435" t="s">
        <v>171</v>
      </c>
      <c r="AH435">
        <v>46295</v>
      </c>
      <c r="AI435" t="s">
        <v>149</v>
      </c>
    </row>
    <row r="436" spans="1:35" x14ac:dyDescent="0.25">
      <c r="A436" s="1">
        <v>46295</v>
      </c>
      <c r="B436" t="s">
        <v>13</v>
      </c>
      <c r="C436" t="s">
        <v>12</v>
      </c>
      <c r="D436">
        <v>2.4372947976878616</v>
      </c>
      <c r="E436">
        <v>0</v>
      </c>
      <c r="F436">
        <v>0</v>
      </c>
      <c r="G436">
        <v>2.4382929642445212</v>
      </c>
      <c r="H436">
        <v>0</v>
      </c>
      <c r="I436">
        <v>0</v>
      </c>
      <c r="J436">
        <v>1.00040953870562</v>
      </c>
      <c r="K436">
        <v>4.0953870561999395E-4</v>
      </c>
      <c r="L436">
        <v>0</v>
      </c>
      <c r="M436">
        <v>0</v>
      </c>
      <c r="N436">
        <v>0</v>
      </c>
      <c r="O436">
        <v>0</v>
      </c>
      <c r="P436">
        <v>0</v>
      </c>
      <c r="Q436">
        <v>0</v>
      </c>
      <c r="R436">
        <v>0</v>
      </c>
      <c r="S436">
        <v>0</v>
      </c>
      <c r="T436">
        <v>0</v>
      </c>
      <c r="U436">
        <v>0</v>
      </c>
      <c r="V436">
        <v>0</v>
      </c>
      <c r="W436">
        <v>0</v>
      </c>
      <c r="X436">
        <v>0</v>
      </c>
      <c r="Y436">
        <v>0</v>
      </c>
      <c r="Z436">
        <v>0</v>
      </c>
      <c r="AA436">
        <v>0</v>
      </c>
      <c r="AB436">
        <v>0</v>
      </c>
      <c r="AC436">
        <v>1</v>
      </c>
      <c r="AD436">
        <v>0</v>
      </c>
      <c r="AE436" t="s">
        <v>162</v>
      </c>
      <c r="AF436">
        <v>0</v>
      </c>
      <c r="AG436" t="s">
        <v>172</v>
      </c>
      <c r="AH436">
        <v>46295</v>
      </c>
      <c r="AI436" t="s">
        <v>149</v>
      </c>
    </row>
    <row r="437" spans="1:35" x14ac:dyDescent="0.25">
      <c r="A437" s="1">
        <v>46296</v>
      </c>
      <c r="B437" t="s">
        <v>13</v>
      </c>
      <c r="C437" t="s">
        <v>12</v>
      </c>
      <c r="D437">
        <v>2.4372947976878616</v>
      </c>
      <c r="E437">
        <v>0</v>
      </c>
      <c r="F437">
        <v>0</v>
      </c>
      <c r="G437">
        <v>1.8823529411764703</v>
      </c>
      <c r="H437">
        <v>0</v>
      </c>
      <c r="I437">
        <v>0</v>
      </c>
      <c r="J437">
        <v>0.77231237803574826</v>
      </c>
      <c r="K437">
        <v>0</v>
      </c>
      <c r="L437">
        <v>0</v>
      </c>
      <c r="M437">
        <v>0</v>
      </c>
      <c r="N437">
        <v>0</v>
      </c>
      <c r="O437">
        <v>0</v>
      </c>
      <c r="P437">
        <v>0</v>
      </c>
      <c r="Q437">
        <v>0</v>
      </c>
      <c r="R437">
        <v>0</v>
      </c>
      <c r="S437">
        <v>0</v>
      </c>
      <c r="T437">
        <v>0.77231237803574826</v>
      </c>
      <c r="U437">
        <v>0.22768762196425174</v>
      </c>
      <c r="V437">
        <v>0</v>
      </c>
      <c r="W437">
        <v>0</v>
      </c>
      <c r="X437">
        <v>0</v>
      </c>
      <c r="Y437">
        <v>0</v>
      </c>
      <c r="Z437">
        <v>0</v>
      </c>
      <c r="AA437">
        <v>0</v>
      </c>
      <c r="AB437">
        <v>0</v>
      </c>
      <c r="AC437">
        <v>0</v>
      </c>
      <c r="AD437">
        <v>0</v>
      </c>
      <c r="AE437" t="s">
        <v>162</v>
      </c>
      <c r="AF437">
        <v>0</v>
      </c>
      <c r="AG437" t="s">
        <v>174</v>
      </c>
      <c r="AH437">
        <v>46296</v>
      </c>
      <c r="AI437" t="s">
        <v>149</v>
      </c>
    </row>
    <row r="438" spans="1:35" x14ac:dyDescent="0.25">
      <c r="A438" s="1">
        <v>46296</v>
      </c>
      <c r="B438" t="s">
        <v>13</v>
      </c>
      <c r="C438" t="s">
        <v>11</v>
      </c>
      <c r="D438">
        <v>2.7622674373795766</v>
      </c>
      <c r="E438">
        <v>0</v>
      </c>
      <c r="F438">
        <v>0</v>
      </c>
      <c r="G438">
        <v>2.0078431372549019</v>
      </c>
      <c r="H438">
        <v>0</v>
      </c>
      <c r="I438">
        <v>0</v>
      </c>
      <c r="J438">
        <v>0.72688223815129249</v>
      </c>
      <c r="K438">
        <v>0</v>
      </c>
      <c r="L438">
        <v>0</v>
      </c>
      <c r="M438">
        <v>0</v>
      </c>
      <c r="N438">
        <v>0</v>
      </c>
      <c r="O438">
        <v>0</v>
      </c>
      <c r="P438">
        <v>0</v>
      </c>
      <c r="Q438">
        <v>0</v>
      </c>
      <c r="R438">
        <v>0</v>
      </c>
      <c r="S438">
        <v>0</v>
      </c>
      <c r="T438">
        <v>0.72688223815129249</v>
      </c>
      <c r="U438">
        <v>0.27311776184870751</v>
      </c>
      <c r="V438">
        <v>0</v>
      </c>
      <c r="W438">
        <v>0</v>
      </c>
      <c r="X438">
        <v>0</v>
      </c>
      <c r="Y438">
        <v>0</v>
      </c>
      <c r="Z438">
        <v>0</v>
      </c>
      <c r="AA438">
        <v>0</v>
      </c>
      <c r="AB438">
        <v>0</v>
      </c>
      <c r="AC438">
        <v>0</v>
      </c>
      <c r="AD438">
        <v>0</v>
      </c>
      <c r="AE438" t="s">
        <v>162</v>
      </c>
      <c r="AF438">
        <v>0</v>
      </c>
      <c r="AG438" t="s">
        <v>175</v>
      </c>
      <c r="AH438">
        <v>46296</v>
      </c>
      <c r="AI438" t="s">
        <v>149</v>
      </c>
    </row>
    <row r="439" spans="1:35" x14ac:dyDescent="0.25">
      <c r="A439" s="1">
        <v>46296</v>
      </c>
      <c r="B439" t="s">
        <v>13</v>
      </c>
      <c r="C439" t="s">
        <v>10</v>
      </c>
      <c r="D439">
        <v>3.8844385838150295</v>
      </c>
      <c r="E439">
        <v>0</v>
      </c>
      <c r="F439">
        <v>0</v>
      </c>
      <c r="G439">
        <v>1.1176470588235294</v>
      </c>
      <c r="H439">
        <v>0</v>
      </c>
      <c r="I439">
        <v>0</v>
      </c>
      <c r="J439">
        <v>0.28772421926822001</v>
      </c>
      <c r="K439">
        <v>0</v>
      </c>
      <c r="L439">
        <v>0</v>
      </c>
      <c r="M439">
        <v>0</v>
      </c>
      <c r="N439">
        <v>0</v>
      </c>
      <c r="O439">
        <v>0</v>
      </c>
      <c r="P439">
        <v>0</v>
      </c>
      <c r="Q439">
        <v>0</v>
      </c>
      <c r="R439">
        <v>0</v>
      </c>
      <c r="S439">
        <v>0</v>
      </c>
      <c r="T439">
        <v>0.28772421926822001</v>
      </c>
      <c r="U439">
        <v>0.71227578073177999</v>
      </c>
      <c r="V439">
        <v>0</v>
      </c>
      <c r="W439">
        <v>0</v>
      </c>
      <c r="X439">
        <v>0</v>
      </c>
      <c r="Y439">
        <v>0</v>
      </c>
      <c r="Z439">
        <v>0</v>
      </c>
      <c r="AA439">
        <v>0</v>
      </c>
      <c r="AB439">
        <v>0</v>
      </c>
      <c r="AC439">
        <v>0</v>
      </c>
      <c r="AD439">
        <v>0</v>
      </c>
      <c r="AE439" t="s">
        <v>162</v>
      </c>
      <c r="AF439">
        <v>0</v>
      </c>
      <c r="AG439" t="s">
        <v>173</v>
      </c>
      <c r="AH439">
        <v>46296</v>
      </c>
      <c r="AI439" t="s">
        <v>149</v>
      </c>
    </row>
    <row r="440" spans="1:35" x14ac:dyDescent="0.25">
      <c r="A440" s="1">
        <v>46297</v>
      </c>
      <c r="B440" t="s">
        <v>13</v>
      </c>
      <c r="C440" t="s">
        <v>10</v>
      </c>
      <c r="D440">
        <v>3.8082731213872831</v>
      </c>
      <c r="E440">
        <v>0</v>
      </c>
      <c r="F440">
        <v>0</v>
      </c>
      <c r="G440">
        <v>2.0061274509803924</v>
      </c>
      <c r="H440">
        <v>0</v>
      </c>
      <c r="I440">
        <v>0</v>
      </c>
      <c r="J440">
        <v>0.52678140118521688</v>
      </c>
      <c r="K440">
        <v>0</v>
      </c>
      <c r="L440">
        <v>0</v>
      </c>
      <c r="M440">
        <v>0</v>
      </c>
      <c r="N440">
        <v>0</v>
      </c>
      <c r="O440">
        <v>0</v>
      </c>
      <c r="P440">
        <v>0</v>
      </c>
      <c r="Q440">
        <v>0</v>
      </c>
      <c r="R440">
        <v>0</v>
      </c>
      <c r="S440">
        <v>0</v>
      </c>
      <c r="T440">
        <v>0.52678140118521688</v>
      </c>
      <c r="U440">
        <v>0.47321859881478312</v>
      </c>
      <c r="V440">
        <v>0</v>
      </c>
      <c r="W440">
        <v>0</v>
      </c>
      <c r="X440">
        <v>0</v>
      </c>
      <c r="Y440">
        <v>0</v>
      </c>
      <c r="Z440">
        <v>0</v>
      </c>
      <c r="AA440">
        <v>0</v>
      </c>
      <c r="AB440">
        <v>0</v>
      </c>
      <c r="AC440">
        <v>0</v>
      </c>
      <c r="AD440">
        <v>0</v>
      </c>
      <c r="AE440" t="s">
        <v>162</v>
      </c>
      <c r="AF440">
        <v>0</v>
      </c>
      <c r="AG440" t="s">
        <v>176</v>
      </c>
      <c r="AH440">
        <v>46297</v>
      </c>
      <c r="AI440" t="s">
        <v>149</v>
      </c>
    </row>
    <row r="441" spans="1:35" x14ac:dyDescent="0.25">
      <c r="A441" s="1">
        <v>46297</v>
      </c>
      <c r="B441" t="s">
        <v>13</v>
      </c>
      <c r="C441" t="s">
        <v>11</v>
      </c>
      <c r="D441">
        <v>2.7622674373795766</v>
      </c>
      <c r="E441">
        <v>0</v>
      </c>
      <c r="F441">
        <v>0</v>
      </c>
      <c r="G441">
        <v>2.0078431372549019</v>
      </c>
      <c r="H441">
        <v>0</v>
      </c>
      <c r="I441">
        <v>0</v>
      </c>
      <c r="J441">
        <v>0.72688223815129249</v>
      </c>
      <c r="K441">
        <v>0</v>
      </c>
      <c r="L441">
        <v>0</v>
      </c>
      <c r="M441">
        <v>0</v>
      </c>
      <c r="N441">
        <v>0</v>
      </c>
      <c r="O441">
        <v>0</v>
      </c>
      <c r="P441">
        <v>0</v>
      </c>
      <c r="Q441">
        <v>0</v>
      </c>
      <c r="R441">
        <v>0</v>
      </c>
      <c r="S441">
        <v>0</v>
      </c>
      <c r="T441">
        <v>0.72688223815129249</v>
      </c>
      <c r="U441">
        <v>0.27311776184870751</v>
      </c>
      <c r="V441">
        <v>0</v>
      </c>
      <c r="W441">
        <v>0</v>
      </c>
      <c r="X441">
        <v>0</v>
      </c>
      <c r="Y441">
        <v>0</v>
      </c>
      <c r="Z441">
        <v>0</v>
      </c>
      <c r="AA441">
        <v>0</v>
      </c>
      <c r="AB441">
        <v>0</v>
      </c>
      <c r="AC441">
        <v>0</v>
      </c>
      <c r="AD441">
        <v>0</v>
      </c>
      <c r="AE441" t="s">
        <v>162</v>
      </c>
      <c r="AF441">
        <v>0</v>
      </c>
      <c r="AG441" t="s">
        <v>177</v>
      </c>
      <c r="AH441">
        <v>46297</v>
      </c>
      <c r="AI441" t="s">
        <v>149</v>
      </c>
    </row>
    <row r="442" spans="1:35" x14ac:dyDescent="0.25">
      <c r="A442" s="1">
        <v>46297</v>
      </c>
      <c r="B442" t="s">
        <v>13</v>
      </c>
      <c r="C442" t="s">
        <v>12</v>
      </c>
      <c r="D442">
        <v>2.4372947976878616</v>
      </c>
      <c r="E442">
        <v>0</v>
      </c>
      <c r="F442">
        <v>0</v>
      </c>
      <c r="G442">
        <v>2.1049596309111882</v>
      </c>
      <c r="H442">
        <v>0</v>
      </c>
      <c r="I442">
        <v>0</v>
      </c>
      <c r="J442">
        <v>0.86364588842845647</v>
      </c>
      <c r="K442">
        <v>0</v>
      </c>
      <c r="L442">
        <v>0</v>
      </c>
      <c r="M442">
        <v>0</v>
      </c>
      <c r="N442">
        <v>0</v>
      </c>
      <c r="O442">
        <v>0</v>
      </c>
      <c r="P442">
        <v>0</v>
      </c>
      <c r="Q442">
        <v>0</v>
      </c>
      <c r="R442">
        <v>0</v>
      </c>
      <c r="S442">
        <v>0</v>
      </c>
      <c r="T442">
        <v>0.86364588842845647</v>
      </c>
      <c r="U442">
        <v>0.13635411157154353</v>
      </c>
      <c r="V442">
        <v>0</v>
      </c>
      <c r="W442">
        <v>0</v>
      </c>
      <c r="X442">
        <v>0</v>
      </c>
      <c r="Y442">
        <v>0</v>
      </c>
      <c r="Z442">
        <v>0</v>
      </c>
      <c r="AA442">
        <v>0</v>
      </c>
      <c r="AB442">
        <v>0</v>
      </c>
      <c r="AC442">
        <v>0</v>
      </c>
      <c r="AD442">
        <v>0</v>
      </c>
      <c r="AE442" t="s">
        <v>162</v>
      </c>
      <c r="AF442">
        <v>0</v>
      </c>
      <c r="AG442" t="s">
        <v>178</v>
      </c>
      <c r="AH442">
        <v>46297</v>
      </c>
      <c r="AI442" t="s">
        <v>149</v>
      </c>
    </row>
    <row r="443" spans="1:35" x14ac:dyDescent="0.25">
      <c r="A443" s="1">
        <v>46298</v>
      </c>
      <c r="B443" t="s">
        <v>13</v>
      </c>
      <c r="C443" t="s">
        <v>10</v>
      </c>
      <c r="D443">
        <v>0</v>
      </c>
      <c r="E443">
        <v>0</v>
      </c>
      <c r="F443">
        <v>0</v>
      </c>
      <c r="G443">
        <v>2</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1</v>
      </c>
      <c r="AC443">
        <v>0</v>
      </c>
      <c r="AD443">
        <v>0</v>
      </c>
      <c r="AE443" t="s">
        <v>162</v>
      </c>
      <c r="AF443">
        <v>0</v>
      </c>
      <c r="AG443" t="s">
        <v>180</v>
      </c>
      <c r="AH443">
        <v>46298</v>
      </c>
      <c r="AI443" t="s">
        <v>149</v>
      </c>
    </row>
    <row r="444" spans="1:35" x14ac:dyDescent="0.25">
      <c r="A444" s="1">
        <v>46298</v>
      </c>
      <c r="B444" t="s">
        <v>13</v>
      </c>
      <c r="C444" t="s">
        <v>11</v>
      </c>
      <c r="D444">
        <v>2.7622674373795766</v>
      </c>
      <c r="E444">
        <v>0</v>
      </c>
      <c r="F444">
        <v>0</v>
      </c>
      <c r="G444">
        <v>2.0078431372549019</v>
      </c>
      <c r="H444">
        <v>0</v>
      </c>
      <c r="I444">
        <v>0</v>
      </c>
      <c r="J444">
        <v>0.72688223815129249</v>
      </c>
      <c r="K444">
        <v>0</v>
      </c>
      <c r="L444">
        <v>0</v>
      </c>
      <c r="M444">
        <v>0</v>
      </c>
      <c r="N444">
        <v>0</v>
      </c>
      <c r="O444">
        <v>0</v>
      </c>
      <c r="P444">
        <v>0</v>
      </c>
      <c r="Q444">
        <v>0</v>
      </c>
      <c r="R444">
        <v>0</v>
      </c>
      <c r="S444">
        <v>0</v>
      </c>
      <c r="T444">
        <v>0.72688223815129249</v>
      </c>
      <c r="U444">
        <v>0.27311776184870751</v>
      </c>
      <c r="V444">
        <v>0</v>
      </c>
      <c r="W444">
        <v>0</v>
      </c>
      <c r="X444">
        <v>0</v>
      </c>
      <c r="Y444">
        <v>0</v>
      </c>
      <c r="Z444">
        <v>0</v>
      </c>
      <c r="AA444">
        <v>0</v>
      </c>
      <c r="AB444">
        <v>0</v>
      </c>
      <c r="AC444">
        <v>0</v>
      </c>
      <c r="AD444">
        <v>0</v>
      </c>
      <c r="AE444" t="s">
        <v>162</v>
      </c>
      <c r="AF444">
        <v>0</v>
      </c>
      <c r="AG444" t="s">
        <v>179</v>
      </c>
      <c r="AH444">
        <v>46298</v>
      </c>
      <c r="AI444" t="s">
        <v>149</v>
      </c>
    </row>
    <row r="445" spans="1:35" x14ac:dyDescent="0.25">
      <c r="A445" s="1">
        <v>46298</v>
      </c>
      <c r="B445" t="s">
        <v>13</v>
      </c>
      <c r="C445" t="s">
        <v>12</v>
      </c>
      <c r="D445">
        <v>2.4372947976878616</v>
      </c>
      <c r="E445">
        <v>0</v>
      </c>
      <c r="F445">
        <v>0</v>
      </c>
      <c r="G445">
        <v>1.9930795847750864</v>
      </c>
      <c r="H445">
        <v>0</v>
      </c>
      <c r="I445">
        <v>0</v>
      </c>
      <c r="J445">
        <v>0.81774251792020414</v>
      </c>
      <c r="K445">
        <v>0</v>
      </c>
      <c r="L445">
        <v>0</v>
      </c>
      <c r="M445">
        <v>0</v>
      </c>
      <c r="N445">
        <v>0</v>
      </c>
      <c r="O445">
        <v>0</v>
      </c>
      <c r="P445">
        <v>0</v>
      </c>
      <c r="Q445">
        <v>0</v>
      </c>
      <c r="R445">
        <v>0</v>
      </c>
      <c r="S445">
        <v>0</v>
      </c>
      <c r="T445">
        <v>0.81774251792020414</v>
      </c>
      <c r="U445">
        <v>0.18225748207979586</v>
      </c>
      <c r="V445">
        <v>0</v>
      </c>
      <c r="W445">
        <v>0</v>
      </c>
      <c r="X445">
        <v>0</v>
      </c>
      <c r="Y445">
        <v>0</v>
      </c>
      <c r="Z445">
        <v>0</v>
      </c>
      <c r="AA445">
        <v>0</v>
      </c>
      <c r="AB445">
        <v>0</v>
      </c>
      <c r="AC445">
        <v>0</v>
      </c>
      <c r="AD445">
        <v>0</v>
      </c>
      <c r="AE445" t="s">
        <v>162</v>
      </c>
      <c r="AF445">
        <v>0</v>
      </c>
      <c r="AG445" t="s">
        <v>181</v>
      </c>
      <c r="AH445">
        <v>46298</v>
      </c>
      <c r="AI445" t="s">
        <v>149</v>
      </c>
    </row>
    <row r="446" spans="1:35" x14ac:dyDescent="0.25">
      <c r="A446" s="1">
        <v>46299</v>
      </c>
      <c r="B446" t="s">
        <v>13</v>
      </c>
      <c r="C446" t="s">
        <v>10</v>
      </c>
      <c r="D446">
        <v>0</v>
      </c>
      <c r="E446">
        <v>0</v>
      </c>
      <c r="F446">
        <v>0</v>
      </c>
      <c r="G446">
        <v>2</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1</v>
      </c>
      <c r="AC446">
        <v>0</v>
      </c>
      <c r="AD446">
        <v>0</v>
      </c>
      <c r="AE446" t="s">
        <v>162</v>
      </c>
      <c r="AF446">
        <v>0</v>
      </c>
      <c r="AG446" t="s">
        <v>182</v>
      </c>
      <c r="AH446">
        <v>46299</v>
      </c>
      <c r="AI446" t="s">
        <v>149</v>
      </c>
    </row>
    <row r="447" spans="1:35" x14ac:dyDescent="0.25">
      <c r="A447" s="1">
        <v>46299</v>
      </c>
      <c r="B447" t="s">
        <v>13</v>
      </c>
      <c r="C447" t="s">
        <v>12</v>
      </c>
      <c r="D447">
        <v>2.4372947976878616</v>
      </c>
      <c r="E447">
        <v>0</v>
      </c>
      <c r="F447">
        <v>0</v>
      </c>
      <c r="G447">
        <v>1.9930795847750864</v>
      </c>
      <c r="H447">
        <v>0</v>
      </c>
      <c r="I447">
        <v>0</v>
      </c>
      <c r="J447">
        <v>0.81774251792020414</v>
      </c>
      <c r="K447">
        <v>0</v>
      </c>
      <c r="L447">
        <v>0</v>
      </c>
      <c r="M447">
        <v>0</v>
      </c>
      <c r="N447">
        <v>0</v>
      </c>
      <c r="O447">
        <v>0</v>
      </c>
      <c r="P447">
        <v>0</v>
      </c>
      <c r="Q447">
        <v>0</v>
      </c>
      <c r="R447">
        <v>0</v>
      </c>
      <c r="S447">
        <v>0</v>
      </c>
      <c r="T447">
        <v>0.81774251792020414</v>
      </c>
      <c r="U447">
        <v>0.18225748207979586</v>
      </c>
      <c r="V447">
        <v>0</v>
      </c>
      <c r="W447">
        <v>0</v>
      </c>
      <c r="X447">
        <v>0</v>
      </c>
      <c r="Y447">
        <v>0</v>
      </c>
      <c r="Z447">
        <v>0</v>
      </c>
      <c r="AA447">
        <v>0</v>
      </c>
      <c r="AB447">
        <v>0</v>
      </c>
      <c r="AC447">
        <v>0</v>
      </c>
      <c r="AD447">
        <v>0</v>
      </c>
      <c r="AE447" t="s">
        <v>162</v>
      </c>
      <c r="AF447">
        <v>0</v>
      </c>
      <c r="AG447" t="s">
        <v>184</v>
      </c>
      <c r="AH447">
        <v>46299</v>
      </c>
      <c r="AI447" t="s">
        <v>149</v>
      </c>
    </row>
    <row r="448" spans="1:35" x14ac:dyDescent="0.25">
      <c r="A448" s="1">
        <v>46299</v>
      </c>
      <c r="B448" t="s">
        <v>13</v>
      </c>
      <c r="C448" t="s">
        <v>11</v>
      </c>
      <c r="D448">
        <v>2.7622674373795766</v>
      </c>
      <c r="E448">
        <v>0</v>
      </c>
      <c r="F448">
        <v>0</v>
      </c>
      <c r="G448">
        <v>2.0078431372549019</v>
      </c>
      <c r="H448">
        <v>0</v>
      </c>
      <c r="I448">
        <v>0</v>
      </c>
      <c r="J448">
        <v>0.72688223815129249</v>
      </c>
      <c r="K448">
        <v>0</v>
      </c>
      <c r="L448">
        <v>0</v>
      </c>
      <c r="M448">
        <v>0</v>
      </c>
      <c r="N448">
        <v>0</v>
      </c>
      <c r="O448">
        <v>0</v>
      </c>
      <c r="P448">
        <v>0</v>
      </c>
      <c r="Q448">
        <v>0</v>
      </c>
      <c r="R448">
        <v>0</v>
      </c>
      <c r="S448">
        <v>0</v>
      </c>
      <c r="T448">
        <v>0.72688223815129249</v>
      </c>
      <c r="U448">
        <v>0.27311776184870751</v>
      </c>
      <c r="V448">
        <v>0</v>
      </c>
      <c r="W448">
        <v>0</v>
      </c>
      <c r="X448">
        <v>0</v>
      </c>
      <c r="Y448">
        <v>0</v>
      </c>
      <c r="Z448">
        <v>0</v>
      </c>
      <c r="AA448">
        <v>0</v>
      </c>
      <c r="AB448">
        <v>0</v>
      </c>
      <c r="AC448">
        <v>0</v>
      </c>
      <c r="AD448">
        <v>0</v>
      </c>
      <c r="AE448" t="s">
        <v>162</v>
      </c>
      <c r="AF448">
        <v>0</v>
      </c>
      <c r="AG448" t="s">
        <v>183</v>
      </c>
      <c r="AH448">
        <v>46299</v>
      </c>
      <c r="AI448" t="s">
        <v>149</v>
      </c>
    </row>
    <row r="449" spans="1:35" x14ac:dyDescent="0.25">
      <c r="A449" s="1">
        <v>46300</v>
      </c>
      <c r="B449" t="s">
        <v>13</v>
      </c>
      <c r="C449" t="s">
        <v>11</v>
      </c>
      <c r="D449">
        <v>2.7622674373795766</v>
      </c>
      <c r="E449">
        <v>0</v>
      </c>
      <c r="F449">
        <v>0</v>
      </c>
      <c r="G449">
        <v>2.0080610021786489</v>
      </c>
      <c r="H449">
        <v>0</v>
      </c>
      <c r="I449">
        <v>0</v>
      </c>
      <c r="J449">
        <v>0.7269611099219252</v>
      </c>
      <c r="K449">
        <v>0</v>
      </c>
      <c r="L449">
        <v>0</v>
      </c>
      <c r="M449">
        <v>0</v>
      </c>
      <c r="N449">
        <v>0</v>
      </c>
      <c r="O449">
        <v>0</v>
      </c>
      <c r="P449">
        <v>0</v>
      </c>
      <c r="Q449">
        <v>0</v>
      </c>
      <c r="R449">
        <v>0</v>
      </c>
      <c r="S449">
        <v>0</v>
      </c>
      <c r="T449">
        <v>0.7269611099219252</v>
      </c>
      <c r="U449">
        <v>0.2730388900780748</v>
      </c>
      <c r="V449">
        <v>0</v>
      </c>
      <c r="W449">
        <v>0</v>
      </c>
      <c r="X449">
        <v>0</v>
      </c>
      <c r="Y449">
        <v>0</v>
      </c>
      <c r="Z449">
        <v>0</v>
      </c>
      <c r="AA449">
        <v>0</v>
      </c>
      <c r="AB449">
        <v>0</v>
      </c>
      <c r="AC449">
        <v>0</v>
      </c>
      <c r="AD449">
        <v>0</v>
      </c>
      <c r="AE449" t="s">
        <v>162</v>
      </c>
      <c r="AF449">
        <v>0</v>
      </c>
      <c r="AG449" t="s">
        <v>185</v>
      </c>
      <c r="AH449">
        <v>46300</v>
      </c>
      <c r="AI449" t="s">
        <v>149</v>
      </c>
    </row>
    <row r="450" spans="1:35" x14ac:dyDescent="0.25">
      <c r="A450" s="1">
        <v>46300</v>
      </c>
      <c r="B450" t="s">
        <v>13</v>
      </c>
      <c r="C450" t="s">
        <v>10</v>
      </c>
      <c r="D450">
        <v>2.5134602601156071</v>
      </c>
      <c r="E450">
        <v>0</v>
      </c>
      <c r="F450">
        <v>0</v>
      </c>
      <c r="G450">
        <v>2</v>
      </c>
      <c r="H450">
        <v>0</v>
      </c>
      <c r="I450">
        <v>0</v>
      </c>
      <c r="J450">
        <v>0.7957157834307711</v>
      </c>
      <c r="K450">
        <v>0</v>
      </c>
      <c r="L450">
        <v>0</v>
      </c>
      <c r="M450">
        <v>0</v>
      </c>
      <c r="N450">
        <v>0</v>
      </c>
      <c r="O450">
        <v>0</v>
      </c>
      <c r="P450">
        <v>0</v>
      </c>
      <c r="Q450">
        <v>0</v>
      </c>
      <c r="R450">
        <v>0</v>
      </c>
      <c r="S450">
        <v>0</v>
      </c>
      <c r="T450">
        <v>0.7957157834307711</v>
      </c>
      <c r="U450">
        <v>0.2042842165692289</v>
      </c>
      <c r="V450">
        <v>0</v>
      </c>
      <c r="W450">
        <v>0</v>
      </c>
      <c r="X450">
        <v>0</v>
      </c>
      <c r="Y450">
        <v>0</v>
      </c>
      <c r="Z450">
        <v>0</v>
      </c>
      <c r="AA450">
        <v>0</v>
      </c>
      <c r="AB450">
        <v>0</v>
      </c>
      <c r="AC450">
        <v>0</v>
      </c>
      <c r="AD450">
        <v>0</v>
      </c>
      <c r="AE450" t="s">
        <v>162</v>
      </c>
      <c r="AF450">
        <v>0</v>
      </c>
      <c r="AG450" t="s">
        <v>186</v>
      </c>
      <c r="AH450">
        <v>46300</v>
      </c>
      <c r="AI450" t="s">
        <v>149</v>
      </c>
    </row>
    <row r="451" spans="1:35" x14ac:dyDescent="0.25">
      <c r="A451" s="1">
        <v>46300</v>
      </c>
      <c r="B451" t="s">
        <v>13</v>
      </c>
      <c r="C451" t="s">
        <v>12</v>
      </c>
      <c r="D451">
        <v>2.5089799387963283</v>
      </c>
      <c r="E451">
        <v>0</v>
      </c>
      <c r="F451">
        <v>0</v>
      </c>
      <c r="G451">
        <v>2.0517108804306035</v>
      </c>
      <c r="H451">
        <v>0</v>
      </c>
      <c r="I451">
        <v>0</v>
      </c>
      <c r="J451">
        <v>0.81774702487852591</v>
      </c>
      <c r="K451">
        <v>0</v>
      </c>
      <c r="L451">
        <v>0</v>
      </c>
      <c r="M451">
        <v>0</v>
      </c>
      <c r="N451">
        <v>0</v>
      </c>
      <c r="O451">
        <v>0</v>
      </c>
      <c r="P451">
        <v>0</v>
      </c>
      <c r="Q451">
        <v>0</v>
      </c>
      <c r="R451">
        <v>0</v>
      </c>
      <c r="S451">
        <v>0</v>
      </c>
      <c r="T451">
        <v>0.81774702487852591</v>
      </c>
      <c r="U451">
        <v>0.18225297512147409</v>
      </c>
      <c r="V451">
        <v>0</v>
      </c>
      <c r="W451">
        <v>0</v>
      </c>
      <c r="X451">
        <v>0</v>
      </c>
      <c r="Y451">
        <v>0</v>
      </c>
      <c r="Z451">
        <v>0</v>
      </c>
      <c r="AA451">
        <v>0</v>
      </c>
      <c r="AB451">
        <v>0</v>
      </c>
      <c r="AC451">
        <v>0</v>
      </c>
      <c r="AD451">
        <v>0</v>
      </c>
      <c r="AE451" t="s">
        <v>162</v>
      </c>
      <c r="AF451">
        <v>0</v>
      </c>
      <c r="AG451" t="s">
        <v>187</v>
      </c>
      <c r="AH451">
        <v>46300</v>
      </c>
      <c r="AI451" t="s">
        <v>149</v>
      </c>
    </row>
    <row r="452" spans="1:35" x14ac:dyDescent="0.25">
      <c r="A452" s="1">
        <v>46301</v>
      </c>
      <c r="B452" t="s">
        <v>13</v>
      </c>
      <c r="C452" t="s">
        <v>12</v>
      </c>
      <c r="D452">
        <v>2.4372947976878616</v>
      </c>
      <c r="E452">
        <v>0</v>
      </c>
      <c r="F452">
        <v>0</v>
      </c>
      <c r="G452">
        <v>2.0490196078431371</v>
      </c>
      <c r="H452">
        <v>0</v>
      </c>
      <c r="I452">
        <v>0</v>
      </c>
      <c r="J452">
        <v>0.84069420317433019</v>
      </c>
      <c r="K452">
        <v>0</v>
      </c>
      <c r="L452">
        <v>0</v>
      </c>
      <c r="M452">
        <v>0</v>
      </c>
      <c r="N452">
        <v>0</v>
      </c>
      <c r="O452">
        <v>0</v>
      </c>
      <c r="P452">
        <v>0</v>
      </c>
      <c r="Q452">
        <v>0</v>
      </c>
      <c r="R452">
        <v>0</v>
      </c>
      <c r="S452">
        <v>0</v>
      </c>
      <c r="T452">
        <v>0.84069420317433019</v>
      </c>
      <c r="U452">
        <v>0.15930579682566981</v>
      </c>
      <c r="V452">
        <v>0</v>
      </c>
      <c r="W452">
        <v>0</v>
      </c>
      <c r="X452">
        <v>0</v>
      </c>
      <c r="Y452">
        <v>0</v>
      </c>
      <c r="Z452">
        <v>0</v>
      </c>
      <c r="AA452">
        <v>0</v>
      </c>
      <c r="AB452">
        <v>0</v>
      </c>
      <c r="AC452">
        <v>0</v>
      </c>
      <c r="AD452">
        <v>0</v>
      </c>
      <c r="AE452" t="s">
        <v>162</v>
      </c>
      <c r="AF452">
        <v>0</v>
      </c>
      <c r="AG452" t="s">
        <v>188</v>
      </c>
      <c r="AH452">
        <v>46301</v>
      </c>
      <c r="AI452" t="s">
        <v>149</v>
      </c>
    </row>
    <row r="453" spans="1:35" x14ac:dyDescent="0.25">
      <c r="A453" s="1">
        <v>46301</v>
      </c>
      <c r="B453" t="s">
        <v>13</v>
      </c>
      <c r="C453" t="s">
        <v>11</v>
      </c>
      <c r="D453">
        <v>2.7622674373795766</v>
      </c>
      <c r="E453">
        <v>0</v>
      </c>
      <c r="F453">
        <v>0</v>
      </c>
      <c r="G453">
        <v>2.0078431372549019</v>
      </c>
      <c r="H453">
        <v>0</v>
      </c>
      <c r="I453">
        <v>0</v>
      </c>
      <c r="J453">
        <v>0.72688223815129249</v>
      </c>
      <c r="K453">
        <v>0</v>
      </c>
      <c r="L453">
        <v>0</v>
      </c>
      <c r="M453">
        <v>0</v>
      </c>
      <c r="N453">
        <v>0</v>
      </c>
      <c r="O453">
        <v>0</v>
      </c>
      <c r="P453">
        <v>0</v>
      </c>
      <c r="Q453">
        <v>0</v>
      </c>
      <c r="R453">
        <v>0</v>
      </c>
      <c r="S453">
        <v>0</v>
      </c>
      <c r="T453">
        <v>0.72688223815129249</v>
      </c>
      <c r="U453">
        <v>0.27311776184870751</v>
      </c>
      <c r="V453">
        <v>0</v>
      </c>
      <c r="W453">
        <v>0</v>
      </c>
      <c r="X453">
        <v>0</v>
      </c>
      <c r="Y453">
        <v>0</v>
      </c>
      <c r="Z453">
        <v>0</v>
      </c>
      <c r="AA453">
        <v>0</v>
      </c>
      <c r="AB453">
        <v>0</v>
      </c>
      <c r="AC453">
        <v>0</v>
      </c>
      <c r="AD453">
        <v>0</v>
      </c>
      <c r="AE453" t="s">
        <v>162</v>
      </c>
      <c r="AF453">
        <v>0</v>
      </c>
      <c r="AG453" t="s">
        <v>189</v>
      </c>
      <c r="AH453">
        <v>46301</v>
      </c>
      <c r="AI453" t="s">
        <v>149</v>
      </c>
    </row>
    <row r="454" spans="1:35" x14ac:dyDescent="0.25">
      <c r="A454" s="1">
        <v>46301</v>
      </c>
      <c r="B454" t="s">
        <v>13</v>
      </c>
      <c r="C454" t="s">
        <v>10</v>
      </c>
      <c r="D454">
        <v>3.8082731213872831</v>
      </c>
      <c r="E454">
        <v>0</v>
      </c>
      <c r="F454">
        <v>0</v>
      </c>
      <c r="G454">
        <v>2.003063725490196</v>
      </c>
      <c r="H454">
        <v>0</v>
      </c>
      <c r="I454">
        <v>0</v>
      </c>
      <c r="J454">
        <v>0.5259769091247628</v>
      </c>
      <c r="K454">
        <v>0</v>
      </c>
      <c r="L454">
        <v>0</v>
      </c>
      <c r="M454">
        <v>0</v>
      </c>
      <c r="N454">
        <v>0</v>
      </c>
      <c r="O454">
        <v>0</v>
      </c>
      <c r="P454">
        <v>0</v>
      </c>
      <c r="Q454">
        <v>0</v>
      </c>
      <c r="R454">
        <v>0</v>
      </c>
      <c r="S454">
        <v>0</v>
      </c>
      <c r="T454">
        <v>0.5259769091247628</v>
      </c>
      <c r="U454">
        <v>0.4740230908752372</v>
      </c>
      <c r="V454">
        <v>0</v>
      </c>
      <c r="W454">
        <v>0</v>
      </c>
      <c r="X454">
        <v>0</v>
      </c>
      <c r="Y454">
        <v>0</v>
      </c>
      <c r="Z454">
        <v>0</v>
      </c>
      <c r="AA454">
        <v>0</v>
      </c>
      <c r="AB454">
        <v>0</v>
      </c>
      <c r="AC454">
        <v>0</v>
      </c>
      <c r="AD454">
        <v>0</v>
      </c>
      <c r="AE454" t="s">
        <v>162</v>
      </c>
      <c r="AF454">
        <v>0</v>
      </c>
      <c r="AG454" t="s">
        <v>190</v>
      </c>
      <c r="AH454">
        <v>46301</v>
      </c>
      <c r="AI454" t="s">
        <v>149</v>
      </c>
    </row>
    <row r="455" spans="1:35" x14ac:dyDescent="0.25">
      <c r="A455" s="1">
        <v>46302</v>
      </c>
      <c r="B455" t="s">
        <v>13</v>
      </c>
      <c r="C455" t="s">
        <v>12</v>
      </c>
      <c r="D455">
        <v>2.4372947976878616</v>
      </c>
      <c r="E455">
        <v>0</v>
      </c>
      <c r="F455">
        <v>0</v>
      </c>
      <c r="G455">
        <v>1.9382929642445217</v>
      </c>
      <c r="H455">
        <v>0</v>
      </c>
      <c r="I455">
        <v>0</v>
      </c>
      <c r="J455">
        <v>0.79526406328987465</v>
      </c>
      <c r="K455">
        <v>0</v>
      </c>
      <c r="L455">
        <v>0</v>
      </c>
      <c r="M455">
        <v>0</v>
      </c>
      <c r="N455">
        <v>0</v>
      </c>
      <c r="O455">
        <v>0</v>
      </c>
      <c r="P455">
        <v>0</v>
      </c>
      <c r="Q455">
        <v>0</v>
      </c>
      <c r="R455">
        <v>0</v>
      </c>
      <c r="S455">
        <v>0</v>
      </c>
      <c r="T455">
        <v>0.79526406328987465</v>
      </c>
      <c r="U455">
        <v>0.20473593671012535</v>
      </c>
      <c r="V455">
        <v>0</v>
      </c>
      <c r="W455">
        <v>0</v>
      </c>
      <c r="X455">
        <v>0</v>
      </c>
      <c r="Y455">
        <v>0</v>
      </c>
      <c r="Z455">
        <v>0</v>
      </c>
      <c r="AA455">
        <v>0</v>
      </c>
      <c r="AB455">
        <v>0</v>
      </c>
      <c r="AC455">
        <v>0</v>
      </c>
      <c r="AD455">
        <v>0</v>
      </c>
      <c r="AE455" t="s">
        <v>162</v>
      </c>
      <c r="AF455">
        <v>0</v>
      </c>
      <c r="AG455" t="s">
        <v>191</v>
      </c>
      <c r="AH455">
        <v>46302</v>
      </c>
      <c r="AI455" t="s">
        <v>149</v>
      </c>
    </row>
    <row r="456" spans="1:35" x14ac:dyDescent="0.25">
      <c r="A456" s="1">
        <v>46302</v>
      </c>
      <c r="B456" t="s">
        <v>13</v>
      </c>
      <c r="C456" t="s">
        <v>11</v>
      </c>
      <c r="D456">
        <v>2.7622674373795766</v>
      </c>
      <c r="E456">
        <v>0</v>
      </c>
      <c r="F456">
        <v>0</v>
      </c>
      <c r="G456">
        <v>2.0078431372549019</v>
      </c>
      <c r="H456">
        <v>0</v>
      </c>
      <c r="I456">
        <v>0</v>
      </c>
      <c r="J456">
        <v>0.72688223815129249</v>
      </c>
      <c r="K456">
        <v>0</v>
      </c>
      <c r="L456">
        <v>0</v>
      </c>
      <c r="M456">
        <v>0</v>
      </c>
      <c r="N456">
        <v>0</v>
      </c>
      <c r="O456">
        <v>0</v>
      </c>
      <c r="P456">
        <v>0</v>
      </c>
      <c r="Q456">
        <v>0</v>
      </c>
      <c r="R456">
        <v>0</v>
      </c>
      <c r="S456">
        <v>0</v>
      </c>
      <c r="T456">
        <v>0.72688223815129249</v>
      </c>
      <c r="U456">
        <v>0.27311776184870751</v>
      </c>
      <c r="V456">
        <v>0</v>
      </c>
      <c r="W456">
        <v>0</v>
      </c>
      <c r="X456">
        <v>0</v>
      </c>
      <c r="Y456">
        <v>0</v>
      </c>
      <c r="Z456">
        <v>0</v>
      </c>
      <c r="AA456">
        <v>0</v>
      </c>
      <c r="AB456">
        <v>0</v>
      </c>
      <c r="AC456">
        <v>0</v>
      </c>
      <c r="AD456">
        <v>0</v>
      </c>
      <c r="AE456" t="s">
        <v>162</v>
      </c>
      <c r="AF456">
        <v>0</v>
      </c>
      <c r="AG456" t="s">
        <v>192</v>
      </c>
      <c r="AH456">
        <v>46302</v>
      </c>
      <c r="AI456" t="s">
        <v>149</v>
      </c>
    </row>
    <row r="457" spans="1:35" x14ac:dyDescent="0.25">
      <c r="A457" s="1">
        <v>46302</v>
      </c>
      <c r="B457" t="s">
        <v>13</v>
      </c>
      <c r="C457" t="s">
        <v>10</v>
      </c>
      <c r="D457">
        <v>3.8844385838150295</v>
      </c>
      <c r="E457">
        <v>0</v>
      </c>
      <c r="F457">
        <v>0</v>
      </c>
      <c r="G457">
        <v>1.1207107843137254</v>
      </c>
      <c r="H457">
        <v>0</v>
      </c>
      <c r="I457">
        <v>0</v>
      </c>
      <c r="J457">
        <v>0.28851293697454733</v>
      </c>
      <c r="K457">
        <v>0</v>
      </c>
      <c r="L457">
        <v>0</v>
      </c>
      <c r="M457">
        <v>0</v>
      </c>
      <c r="N457">
        <v>0</v>
      </c>
      <c r="O457">
        <v>0</v>
      </c>
      <c r="P457">
        <v>0</v>
      </c>
      <c r="Q457">
        <v>0</v>
      </c>
      <c r="R457">
        <v>0</v>
      </c>
      <c r="S457">
        <v>0</v>
      </c>
      <c r="T457">
        <v>0.28851293697454733</v>
      </c>
      <c r="U457">
        <v>0.71148706302545262</v>
      </c>
      <c r="V457">
        <v>0</v>
      </c>
      <c r="W457">
        <v>0</v>
      </c>
      <c r="X457">
        <v>0</v>
      </c>
      <c r="Y457">
        <v>0</v>
      </c>
      <c r="Z457">
        <v>0</v>
      </c>
      <c r="AA457">
        <v>0</v>
      </c>
      <c r="AB457">
        <v>0</v>
      </c>
      <c r="AC457">
        <v>0</v>
      </c>
      <c r="AD457">
        <v>0</v>
      </c>
      <c r="AE457" t="s">
        <v>162</v>
      </c>
      <c r="AF457">
        <v>0</v>
      </c>
      <c r="AG457" t="s">
        <v>193</v>
      </c>
      <c r="AH457">
        <v>46302</v>
      </c>
      <c r="AI457" t="s">
        <v>149</v>
      </c>
    </row>
    <row r="458" spans="1:35" x14ac:dyDescent="0.25">
      <c r="A458" s="1">
        <v>46303</v>
      </c>
      <c r="B458" t="s">
        <v>13</v>
      </c>
      <c r="C458" t="s">
        <v>12</v>
      </c>
      <c r="D458">
        <v>2.4372947976878616</v>
      </c>
      <c r="E458">
        <v>0</v>
      </c>
      <c r="F458">
        <v>0</v>
      </c>
      <c r="G458">
        <v>2.1049596309111882</v>
      </c>
      <c r="H458">
        <v>0</v>
      </c>
      <c r="I458">
        <v>0</v>
      </c>
      <c r="J458">
        <v>0.86364588842845647</v>
      </c>
      <c r="K458">
        <v>0</v>
      </c>
      <c r="L458">
        <v>0</v>
      </c>
      <c r="M458">
        <v>0</v>
      </c>
      <c r="N458">
        <v>0</v>
      </c>
      <c r="O458">
        <v>0</v>
      </c>
      <c r="P458">
        <v>0</v>
      </c>
      <c r="Q458">
        <v>0</v>
      </c>
      <c r="R458">
        <v>0</v>
      </c>
      <c r="S458">
        <v>0</v>
      </c>
      <c r="T458">
        <v>0.86364588842845647</v>
      </c>
      <c r="U458">
        <v>0.13635411157154353</v>
      </c>
      <c r="V458">
        <v>0</v>
      </c>
      <c r="W458">
        <v>0</v>
      </c>
      <c r="X458">
        <v>0</v>
      </c>
      <c r="Y458">
        <v>0</v>
      </c>
      <c r="Z458">
        <v>0</v>
      </c>
      <c r="AA458">
        <v>0</v>
      </c>
      <c r="AB458">
        <v>0</v>
      </c>
      <c r="AC458">
        <v>0</v>
      </c>
      <c r="AD458">
        <v>0</v>
      </c>
      <c r="AE458" t="s">
        <v>162</v>
      </c>
      <c r="AF458">
        <v>0</v>
      </c>
      <c r="AG458" t="s">
        <v>194</v>
      </c>
      <c r="AH458">
        <v>46303</v>
      </c>
      <c r="AI458" t="s">
        <v>149</v>
      </c>
    </row>
    <row r="459" spans="1:35" x14ac:dyDescent="0.25">
      <c r="A459" s="1">
        <v>46303</v>
      </c>
      <c r="B459" t="s">
        <v>13</v>
      </c>
      <c r="C459" t="s">
        <v>11</v>
      </c>
      <c r="D459">
        <v>2.7622674373795766</v>
      </c>
      <c r="E459">
        <v>0</v>
      </c>
      <c r="F459">
        <v>0</v>
      </c>
      <c r="G459">
        <v>2.0078431372549019</v>
      </c>
      <c r="H459">
        <v>0</v>
      </c>
      <c r="I459">
        <v>0</v>
      </c>
      <c r="J459">
        <v>0.72688223815129249</v>
      </c>
      <c r="K459">
        <v>0</v>
      </c>
      <c r="L459">
        <v>0</v>
      </c>
      <c r="M459">
        <v>0</v>
      </c>
      <c r="N459">
        <v>0</v>
      </c>
      <c r="O459">
        <v>0</v>
      </c>
      <c r="P459">
        <v>0</v>
      </c>
      <c r="Q459">
        <v>0</v>
      </c>
      <c r="R459">
        <v>0</v>
      </c>
      <c r="S459">
        <v>0</v>
      </c>
      <c r="T459">
        <v>0.72688223815129249</v>
      </c>
      <c r="U459">
        <v>0.27311776184870751</v>
      </c>
      <c r="V459">
        <v>0</v>
      </c>
      <c r="W459">
        <v>0</v>
      </c>
      <c r="X459">
        <v>0</v>
      </c>
      <c r="Y459">
        <v>0</v>
      </c>
      <c r="Z459">
        <v>0</v>
      </c>
      <c r="AA459">
        <v>0</v>
      </c>
      <c r="AB459">
        <v>0</v>
      </c>
      <c r="AC459">
        <v>0</v>
      </c>
      <c r="AD459">
        <v>0</v>
      </c>
      <c r="AE459" t="s">
        <v>162</v>
      </c>
      <c r="AF459">
        <v>0</v>
      </c>
      <c r="AG459" t="s">
        <v>195</v>
      </c>
      <c r="AH459">
        <v>46303</v>
      </c>
      <c r="AI459" t="s">
        <v>149</v>
      </c>
    </row>
    <row r="460" spans="1:35" x14ac:dyDescent="0.25">
      <c r="A460" s="1">
        <v>46303</v>
      </c>
      <c r="B460" t="s">
        <v>13</v>
      </c>
      <c r="C460" t="s">
        <v>10</v>
      </c>
      <c r="D460">
        <v>2.5134602601156071</v>
      </c>
      <c r="E460">
        <v>0</v>
      </c>
      <c r="F460">
        <v>0</v>
      </c>
      <c r="G460">
        <v>2.0061274509803924</v>
      </c>
      <c r="H460">
        <v>0</v>
      </c>
      <c r="I460">
        <v>0</v>
      </c>
      <c r="J460">
        <v>0.79815363815941942</v>
      </c>
      <c r="K460">
        <v>0</v>
      </c>
      <c r="L460">
        <v>0</v>
      </c>
      <c r="M460">
        <v>0</v>
      </c>
      <c r="N460">
        <v>0</v>
      </c>
      <c r="O460">
        <v>0</v>
      </c>
      <c r="P460">
        <v>0</v>
      </c>
      <c r="Q460">
        <v>0</v>
      </c>
      <c r="R460">
        <v>0</v>
      </c>
      <c r="S460">
        <v>0</v>
      </c>
      <c r="T460">
        <v>0.79815363815941942</v>
      </c>
      <c r="U460">
        <v>0.20184636184058058</v>
      </c>
      <c r="V460">
        <v>0</v>
      </c>
      <c r="W460">
        <v>0</v>
      </c>
      <c r="X460">
        <v>0</v>
      </c>
      <c r="Y460">
        <v>0</v>
      </c>
      <c r="Z460">
        <v>0</v>
      </c>
      <c r="AA460">
        <v>0</v>
      </c>
      <c r="AB460">
        <v>0</v>
      </c>
      <c r="AC460">
        <v>0</v>
      </c>
      <c r="AD460">
        <v>0</v>
      </c>
      <c r="AE460" t="s">
        <v>162</v>
      </c>
      <c r="AF460">
        <v>0</v>
      </c>
      <c r="AG460" t="s">
        <v>196</v>
      </c>
      <c r="AH460">
        <v>46303</v>
      </c>
      <c r="AI460" t="s">
        <v>149</v>
      </c>
    </row>
    <row r="461" spans="1:35" x14ac:dyDescent="0.25">
      <c r="A461" s="1">
        <v>46304</v>
      </c>
      <c r="B461" t="s">
        <v>13</v>
      </c>
      <c r="C461" t="s">
        <v>10</v>
      </c>
      <c r="D461">
        <v>3.7321076589595386</v>
      </c>
      <c r="E461">
        <v>0</v>
      </c>
      <c r="F461">
        <v>0</v>
      </c>
      <c r="G461">
        <v>2.003063725490196</v>
      </c>
      <c r="H461">
        <v>0</v>
      </c>
      <c r="I461">
        <v>0</v>
      </c>
      <c r="J461">
        <v>0.53671113175996188</v>
      </c>
      <c r="K461">
        <v>0</v>
      </c>
      <c r="L461">
        <v>0</v>
      </c>
      <c r="M461">
        <v>0</v>
      </c>
      <c r="N461">
        <v>0</v>
      </c>
      <c r="O461">
        <v>0</v>
      </c>
      <c r="P461">
        <v>0</v>
      </c>
      <c r="Q461">
        <v>0</v>
      </c>
      <c r="R461">
        <v>0</v>
      </c>
      <c r="S461">
        <v>0</v>
      </c>
      <c r="T461">
        <v>0.53671113175996188</v>
      </c>
      <c r="U461">
        <v>0.46328886824003812</v>
      </c>
      <c r="V461">
        <v>0</v>
      </c>
      <c r="W461">
        <v>0</v>
      </c>
      <c r="X461">
        <v>0</v>
      </c>
      <c r="Y461">
        <v>0</v>
      </c>
      <c r="Z461">
        <v>0</v>
      </c>
      <c r="AA461">
        <v>0</v>
      </c>
      <c r="AB461">
        <v>0</v>
      </c>
      <c r="AC461">
        <v>0</v>
      </c>
      <c r="AD461">
        <v>0</v>
      </c>
      <c r="AE461" t="s">
        <v>162</v>
      </c>
      <c r="AF461">
        <v>0</v>
      </c>
      <c r="AG461" t="s">
        <v>198</v>
      </c>
      <c r="AH461">
        <v>46304</v>
      </c>
      <c r="AI461" t="s">
        <v>149</v>
      </c>
    </row>
    <row r="462" spans="1:35" x14ac:dyDescent="0.25">
      <c r="A462" s="1">
        <v>46304</v>
      </c>
      <c r="B462" t="s">
        <v>13</v>
      </c>
      <c r="C462" t="s">
        <v>11</v>
      </c>
      <c r="D462">
        <v>2.7622674373795766</v>
      </c>
      <c r="E462">
        <v>0</v>
      </c>
      <c r="F462">
        <v>0</v>
      </c>
      <c r="G462">
        <v>2.0078431372549019</v>
      </c>
      <c r="H462">
        <v>0</v>
      </c>
      <c r="I462">
        <v>0</v>
      </c>
      <c r="J462">
        <v>0.72688223815129249</v>
      </c>
      <c r="K462">
        <v>0</v>
      </c>
      <c r="L462">
        <v>0</v>
      </c>
      <c r="M462">
        <v>0</v>
      </c>
      <c r="N462">
        <v>0</v>
      </c>
      <c r="O462">
        <v>0</v>
      </c>
      <c r="P462">
        <v>0</v>
      </c>
      <c r="Q462">
        <v>0</v>
      </c>
      <c r="R462">
        <v>0</v>
      </c>
      <c r="S462">
        <v>0</v>
      </c>
      <c r="T462">
        <v>0.72688223815129249</v>
      </c>
      <c r="U462">
        <v>0.27311776184870751</v>
      </c>
      <c r="V462">
        <v>0</v>
      </c>
      <c r="W462">
        <v>0</v>
      </c>
      <c r="X462">
        <v>0</v>
      </c>
      <c r="Y462">
        <v>0</v>
      </c>
      <c r="Z462">
        <v>0</v>
      </c>
      <c r="AA462">
        <v>0</v>
      </c>
      <c r="AB462">
        <v>0</v>
      </c>
      <c r="AC462">
        <v>0</v>
      </c>
      <c r="AD462">
        <v>0</v>
      </c>
      <c r="AE462" t="s">
        <v>162</v>
      </c>
      <c r="AF462">
        <v>0</v>
      </c>
      <c r="AG462" t="s">
        <v>199</v>
      </c>
      <c r="AH462">
        <v>46304</v>
      </c>
      <c r="AI462" t="s">
        <v>149</v>
      </c>
    </row>
    <row r="463" spans="1:35" x14ac:dyDescent="0.25">
      <c r="A463" s="1">
        <v>46304</v>
      </c>
      <c r="B463" t="s">
        <v>13</v>
      </c>
      <c r="C463" t="s">
        <v>12</v>
      </c>
      <c r="D463">
        <v>2.4372947976878616</v>
      </c>
      <c r="E463">
        <v>0</v>
      </c>
      <c r="F463">
        <v>0</v>
      </c>
      <c r="G463">
        <v>2.0490196078431371</v>
      </c>
      <c r="H463">
        <v>0</v>
      </c>
      <c r="I463">
        <v>0</v>
      </c>
      <c r="J463">
        <v>0.84069420317433019</v>
      </c>
      <c r="K463">
        <v>0</v>
      </c>
      <c r="L463">
        <v>0</v>
      </c>
      <c r="M463">
        <v>0</v>
      </c>
      <c r="N463">
        <v>0</v>
      </c>
      <c r="O463">
        <v>0</v>
      </c>
      <c r="P463">
        <v>0</v>
      </c>
      <c r="Q463">
        <v>0</v>
      </c>
      <c r="R463">
        <v>0</v>
      </c>
      <c r="S463">
        <v>0</v>
      </c>
      <c r="T463">
        <v>0.84069420317433019</v>
      </c>
      <c r="U463">
        <v>0.15930579682566981</v>
      </c>
      <c r="V463">
        <v>0</v>
      </c>
      <c r="W463">
        <v>0</v>
      </c>
      <c r="X463">
        <v>0</v>
      </c>
      <c r="Y463">
        <v>0</v>
      </c>
      <c r="Z463">
        <v>0</v>
      </c>
      <c r="AA463">
        <v>0</v>
      </c>
      <c r="AB463">
        <v>0</v>
      </c>
      <c r="AC463">
        <v>0</v>
      </c>
      <c r="AD463">
        <v>0</v>
      </c>
      <c r="AE463" t="s">
        <v>162</v>
      </c>
      <c r="AF463">
        <v>0</v>
      </c>
      <c r="AG463" t="s">
        <v>197</v>
      </c>
      <c r="AH463">
        <v>46304</v>
      </c>
      <c r="AI463" t="s">
        <v>149</v>
      </c>
    </row>
    <row r="464" spans="1:35" x14ac:dyDescent="0.25">
      <c r="A464" s="1">
        <v>46305</v>
      </c>
      <c r="B464" t="s">
        <v>13</v>
      </c>
      <c r="C464" t="s">
        <v>12</v>
      </c>
      <c r="D464">
        <v>2.4372947976878616</v>
      </c>
      <c r="E464">
        <v>0</v>
      </c>
      <c r="F464">
        <v>0</v>
      </c>
      <c r="G464">
        <v>1.7716262975778552</v>
      </c>
      <c r="H464">
        <v>0</v>
      </c>
      <c r="I464">
        <v>0</v>
      </c>
      <c r="J464">
        <v>0.72688223815129283</v>
      </c>
      <c r="K464">
        <v>0</v>
      </c>
      <c r="L464">
        <v>0</v>
      </c>
      <c r="M464">
        <v>0</v>
      </c>
      <c r="N464">
        <v>0</v>
      </c>
      <c r="O464">
        <v>0</v>
      </c>
      <c r="P464">
        <v>0</v>
      </c>
      <c r="Q464">
        <v>0</v>
      </c>
      <c r="R464">
        <v>0</v>
      </c>
      <c r="S464">
        <v>0</v>
      </c>
      <c r="T464">
        <v>0.72688223815129283</v>
      </c>
      <c r="U464">
        <v>0.27311776184870717</v>
      </c>
      <c r="V464">
        <v>0</v>
      </c>
      <c r="W464">
        <v>0</v>
      </c>
      <c r="X464">
        <v>0</v>
      </c>
      <c r="Y464">
        <v>0</v>
      </c>
      <c r="Z464">
        <v>0</v>
      </c>
      <c r="AA464">
        <v>0</v>
      </c>
      <c r="AB464">
        <v>0</v>
      </c>
      <c r="AC464">
        <v>0</v>
      </c>
      <c r="AD464">
        <v>0</v>
      </c>
      <c r="AE464" t="s">
        <v>162</v>
      </c>
      <c r="AF464">
        <v>0</v>
      </c>
      <c r="AG464" t="s">
        <v>202</v>
      </c>
      <c r="AH464">
        <v>46305</v>
      </c>
      <c r="AI464" t="s">
        <v>149</v>
      </c>
    </row>
    <row r="465" spans="1:35" x14ac:dyDescent="0.25">
      <c r="A465" s="1">
        <v>46305</v>
      </c>
      <c r="B465" t="s">
        <v>13</v>
      </c>
      <c r="C465" t="s">
        <v>10</v>
      </c>
      <c r="D465">
        <v>0</v>
      </c>
      <c r="E465">
        <v>0</v>
      </c>
      <c r="F465">
        <v>0</v>
      </c>
      <c r="G465">
        <v>0.23529411764705879</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1</v>
      </c>
      <c r="AC465">
        <v>0</v>
      </c>
      <c r="AD465">
        <v>0</v>
      </c>
      <c r="AE465" t="s">
        <v>162</v>
      </c>
      <c r="AF465">
        <v>0</v>
      </c>
      <c r="AG465" t="s">
        <v>200</v>
      </c>
      <c r="AH465">
        <v>46305</v>
      </c>
      <c r="AI465" t="s">
        <v>149</v>
      </c>
    </row>
    <row r="466" spans="1:35" x14ac:dyDescent="0.25">
      <c r="A466" s="1">
        <v>46305</v>
      </c>
      <c r="B466" t="s">
        <v>13</v>
      </c>
      <c r="C466" t="s">
        <v>11</v>
      </c>
      <c r="D466">
        <v>2.5997811175337189</v>
      </c>
      <c r="E466">
        <v>0</v>
      </c>
      <c r="F466">
        <v>0</v>
      </c>
      <c r="G466">
        <v>2.0078431372549019</v>
      </c>
      <c r="H466">
        <v>0</v>
      </c>
      <c r="I466">
        <v>0</v>
      </c>
      <c r="J466">
        <v>0.77231237803574837</v>
      </c>
      <c r="K466">
        <v>0</v>
      </c>
      <c r="L466">
        <v>0</v>
      </c>
      <c r="M466">
        <v>0</v>
      </c>
      <c r="N466">
        <v>0</v>
      </c>
      <c r="O466">
        <v>0</v>
      </c>
      <c r="P466">
        <v>0</v>
      </c>
      <c r="Q466">
        <v>0</v>
      </c>
      <c r="R466">
        <v>0</v>
      </c>
      <c r="S466">
        <v>0</v>
      </c>
      <c r="T466">
        <v>0.77231237803574837</v>
      </c>
      <c r="U466">
        <v>0.22768762196425163</v>
      </c>
      <c r="V466">
        <v>0</v>
      </c>
      <c r="W466">
        <v>0</v>
      </c>
      <c r="X466">
        <v>0</v>
      </c>
      <c r="Y466">
        <v>0</v>
      </c>
      <c r="Z466">
        <v>0</v>
      </c>
      <c r="AA466">
        <v>0</v>
      </c>
      <c r="AB466">
        <v>0</v>
      </c>
      <c r="AC466">
        <v>0</v>
      </c>
      <c r="AD466">
        <v>0</v>
      </c>
      <c r="AE466" t="s">
        <v>162</v>
      </c>
      <c r="AF466">
        <v>0</v>
      </c>
      <c r="AG466" t="s">
        <v>201</v>
      </c>
      <c r="AH466">
        <v>46305</v>
      </c>
      <c r="AI466" t="s">
        <v>149</v>
      </c>
    </row>
    <row r="467" spans="1:35" x14ac:dyDescent="0.25">
      <c r="A467" s="1">
        <v>46306</v>
      </c>
      <c r="B467" t="s">
        <v>13</v>
      </c>
      <c r="C467" t="s">
        <v>12</v>
      </c>
      <c r="D467">
        <v>2.4372947976878616</v>
      </c>
      <c r="E467">
        <v>0</v>
      </c>
      <c r="F467">
        <v>0</v>
      </c>
      <c r="G467">
        <v>1.7716262975778547</v>
      </c>
      <c r="H467">
        <v>0</v>
      </c>
      <c r="I467">
        <v>0</v>
      </c>
      <c r="J467">
        <v>0.7268822381512926</v>
      </c>
      <c r="K467">
        <v>0</v>
      </c>
      <c r="L467">
        <v>0</v>
      </c>
      <c r="M467">
        <v>0</v>
      </c>
      <c r="N467">
        <v>0</v>
      </c>
      <c r="O467">
        <v>0</v>
      </c>
      <c r="P467">
        <v>0</v>
      </c>
      <c r="Q467">
        <v>0</v>
      </c>
      <c r="R467">
        <v>0</v>
      </c>
      <c r="S467">
        <v>0</v>
      </c>
      <c r="T467">
        <v>0.7268822381512926</v>
      </c>
      <c r="U467">
        <v>0.2731177618487074</v>
      </c>
      <c r="V467">
        <v>0</v>
      </c>
      <c r="W467">
        <v>0</v>
      </c>
      <c r="X467">
        <v>0</v>
      </c>
      <c r="Y467">
        <v>0</v>
      </c>
      <c r="Z467">
        <v>0</v>
      </c>
      <c r="AA467">
        <v>0</v>
      </c>
      <c r="AB467">
        <v>0</v>
      </c>
      <c r="AC467">
        <v>0</v>
      </c>
      <c r="AD467">
        <v>0</v>
      </c>
      <c r="AE467" t="s">
        <v>162</v>
      </c>
      <c r="AF467">
        <v>0</v>
      </c>
      <c r="AG467" t="s">
        <v>205</v>
      </c>
      <c r="AH467">
        <v>46306</v>
      </c>
      <c r="AI467" t="s">
        <v>149</v>
      </c>
    </row>
    <row r="468" spans="1:35" x14ac:dyDescent="0.25">
      <c r="A468" s="1">
        <v>46306</v>
      </c>
      <c r="B468" t="s">
        <v>13</v>
      </c>
      <c r="C468" t="s">
        <v>11</v>
      </c>
      <c r="D468">
        <v>2.7622674373795766</v>
      </c>
      <c r="E468">
        <v>0</v>
      </c>
      <c r="F468">
        <v>0</v>
      </c>
      <c r="G468">
        <v>2.0078431372549019</v>
      </c>
      <c r="H468">
        <v>0</v>
      </c>
      <c r="I468">
        <v>0</v>
      </c>
      <c r="J468">
        <v>0.72688223815129249</v>
      </c>
      <c r="K468">
        <v>0</v>
      </c>
      <c r="L468">
        <v>0</v>
      </c>
      <c r="M468">
        <v>0</v>
      </c>
      <c r="N468">
        <v>0</v>
      </c>
      <c r="O468">
        <v>0</v>
      </c>
      <c r="P468">
        <v>0</v>
      </c>
      <c r="Q468">
        <v>0</v>
      </c>
      <c r="R468">
        <v>0</v>
      </c>
      <c r="S468">
        <v>0</v>
      </c>
      <c r="T468">
        <v>0.72688223815129249</v>
      </c>
      <c r="U468">
        <v>0.27311776184870751</v>
      </c>
      <c r="V468">
        <v>0</v>
      </c>
      <c r="W468">
        <v>0</v>
      </c>
      <c r="X468">
        <v>0</v>
      </c>
      <c r="Y468">
        <v>0</v>
      </c>
      <c r="Z468">
        <v>0</v>
      </c>
      <c r="AA468">
        <v>0</v>
      </c>
      <c r="AB468">
        <v>0</v>
      </c>
      <c r="AC468">
        <v>0</v>
      </c>
      <c r="AD468">
        <v>0</v>
      </c>
      <c r="AE468" t="s">
        <v>162</v>
      </c>
      <c r="AF468">
        <v>0</v>
      </c>
      <c r="AG468" t="s">
        <v>203</v>
      </c>
      <c r="AH468">
        <v>46306</v>
      </c>
      <c r="AI468" t="s">
        <v>149</v>
      </c>
    </row>
    <row r="469" spans="1:35" x14ac:dyDescent="0.25">
      <c r="A469" s="1">
        <v>46306</v>
      </c>
      <c r="B469" t="s">
        <v>13</v>
      </c>
      <c r="C469" t="s">
        <v>10</v>
      </c>
      <c r="D469">
        <v>0</v>
      </c>
      <c r="E469">
        <v>0</v>
      </c>
      <c r="F469">
        <v>0</v>
      </c>
      <c r="G469">
        <v>0.23529411764705879</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1</v>
      </c>
      <c r="AC469">
        <v>0</v>
      </c>
      <c r="AD469">
        <v>0</v>
      </c>
      <c r="AE469" t="s">
        <v>162</v>
      </c>
      <c r="AF469">
        <v>0</v>
      </c>
      <c r="AG469" t="s">
        <v>204</v>
      </c>
      <c r="AH469">
        <v>46306</v>
      </c>
      <c r="AI469" t="s">
        <v>149</v>
      </c>
    </row>
    <row r="470" spans="1:35" x14ac:dyDescent="0.25">
      <c r="A470" s="1">
        <v>46307</v>
      </c>
      <c r="B470" t="s">
        <v>13</v>
      </c>
      <c r="C470" t="s">
        <v>12</v>
      </c>
      <c r="D470">
        <v>2.4372947976878616</v>
      </c>
      <c r="E470">
        <v>0</v>
      </c>
      <c r="F470">
        <v>0</v>
      </c>
      <c r="G470">
        <v>2.0490196078431371</v>
      </c>
      <c r="H470">
        <v>0</v>
      </c>
      <c r="I470">
        <v>0</v>
      </c>
      <c r="J470">
        <v>0.84069420317433019</v>
      </c>
      <c r="K470">
        <v>0</v>
      </c>
      <c r="L470">
        <v>0</v>
      </c>
      <c r="M470">
        <v>0</v>
      </c>
      <c r="N470">
        <v>0</v>
      </c>
      <c r="O470">
        <v>0</v>
      </c>
      <c r="P470">
        <v>0</v>
      </c>
      <c r="Q470">
        <v>0</v>
      </c>
      <c r="R470">
        <v>0</v>
      </c>
      <c r="S470">
        <v>0</v>
      </c>
      <c r="T470">
        <v>0.84069420317433019</v>
      </c>
      <c r="U470">
        <v>0.15930579682566981</v>
      </c>
      <c r="V470">
        <v>0</v>
      </c>
      <c r="W470">
        <v>0</v>
      </c>
      <c r="X470">
        <v>0</v>
      </c>
      <c r="Y470">
        <v>0</v>
      </c>
      <c r="Z470">
        <v>0</v>
      </c>
      <c r="AA470">
        <v>0</v>
      </c>
      <c r="AB470">
        <v>0</v>
      </c>
      <c r="AC470">
        <v>0</v>
      </c>
      <c r="AD470">
        <v>0</v>
      </c>
      <c r="AE470" t="s">
        <v>162</v>
      </c>
      <c r="AF470">
        <v>0</v>
      </c>
      <c r="AG470" t="s">
        <v>207</v>
      </c>
      <c r="AH470">
        <v>46307</v>
      </c>
      <c r="AI470" t="s">
        <v>149</v>
      </c>
    </row>
    <row r="471" spans="1:35" x14ac:dyDescent="0.25">
      <c r="A471" s="1">
        <v>46307</v>
      </c>
      <c r="B471" t="s">
        <v>13</v>
      </c>
      <c r="C471" t="s">
        <v>10</v>
      </c>
      <c r="D471">
        <v>2.589625722543353</v>
      </c>
      <c r="E471">
        <v>0</v>
      </c>
      <c r="F471">
        <v>0</v>
      </c>
      <c r="G471">
        <v>2.003063725490196</v>
      </c>
      <c r="H471">
        <v>0</v>
      </c>
      <c r="I471">
        <v>0</v>
      </c>
      <c r="J471">
        <v>0.77349545459523938</v>
      </c>
      <c r="K471">
        <v>0</v>
      </c>
      <c r="L471">
        <v>0</v>
      </c>
      <c r="M471">
        <v>0</v>
      </c>
      <c r="N471">
        <v>0</v>
      </c>
      <c r="O471">
        <v>0</v>
      </c>
      <c r="P471">
        <v>0</v>
      </c>
      <c r="Q471">
        <v>0</v>
      </c>
      <c r="R471">
        <v>0</v>
      </c>
      <c r="S471">
        <v>0</v>
      </c>
      <c r="T471">
        <v>0.77349545459523938</v>
      </c>
      <c r="U471">
        <v>0.22650454540476062</v>
      </c>
      <c r="V471">
        <v>0</v>
      </c>
      <c r="W471">
        <v>0</v>
      </c>
      <c r="X471">
        <v>0</v>
      </c>
      <c r="Y471">
        <v>0</v>
      </c>
      <c r="Z471">
        <v>0</v>
      </c>
      <c r="AA471">
        <v>0</v>
      </c>
      <c r="AB471">
        <v>0</v>
      </c>
      <c r="AC471">
        <v>0</v>
      </c>
      <c r="AD471">
        <v>0</v>
      </c>
      <c r="AE471" t="s">
        <v>162</v>
      </c>
      <c r="AF471">
        <v>0</v>
      </c>
      <c r="AG471" t="s">
        <v>208</v>
      </c>
      <c r="AH471">
        <v>46307</v>
      </c>
      <c r="AI471" t="s">
        <v>149</v>
      </c>
    </row>
    <row r="472" spans="1:35" x14ac:dyDescent="0.25">
      <c r="A472" s="1">
        <v>46307</v>
      </c>
      <c r="B472" t="s">
        <v>13</v>
      </c>
      <c r="C472" t="s">
        <v>11</v>
      </c>
      <c r="D472">
        <v>2.7622674373795766</v>
      </c>
      <c r="E472">
        <v>0</v>
      </c>
      <c r="F472">
        <v>0</v>
      </c>
      <c r="G472">
        <v>2.0078431372549019</v>
      </c>
      <c r="H472">
        <v>0</v>
      </c>
      <c r="I472">
        <v>0</v>
      </c>
      <c r="J472">
        <v>0.72688223815129249</v>
      </c>
      <c r="K472">
        <v>0</v>
      </c>
      <c r="L472">
        <v>0</v>
      </c>
      <c r="M472">
        <v>0</v>
      </c>
      <c r="N472">
        <v>0</v>
      </c>
      <c r="O472">
        <v>0</v>
      </c>
      <c r="P472">
        <v>0</v>
      </c>
      <c r="Q472">
        <v>0</v>
      </c>
      <c r="R472">
        <v>0</v>
      </c>
      <c r="S472">
        <v>0</v>
      </c>
      <c r="T472">
        <v>0.72688223815129249</v>
      </c>
      <c r="U472">
        <v>0.27311776184870751</v>
      </c>
      <c r="V472">
        <v>0</v>
      </c>
      <c r="W472">
        <v>0</v>
      </c>
      <c r="X472">
        <v>0</v>
      </c>
      <c r="Y472">
        <v>0</v>
      </c>
      <c r="Z472">
        <v>0</v>
      </c>
      <c r="AA472">
        <v>0</v>
      </c>
      <c r="AB472">
        <v>0</v>
      </c>
      <c r="AC472">
        <v>0</v>
      </c>
      <c r="AD472">
        <v>0</v>
      </c>
      <c r="AE472" t="s">
        <v>162</v>
      </c>
      <c r="AF472">
        <v>0</v>
      </c>
      <c r="AG472" t="s">
        <v>206</v>
      </c>
      <c r="AH472">
        <v>46307</v>
      </c>
      <c r="AI472" t="s">
        <v>149</v>
      </c>
    </row>
    <row r="473" spans="1:35" x14ac:dyDescent="0.25">
      <c r="A473" s="1">
        <v>46308</v>
      </c>
      <c r="B473" t="s">
        <v>13</v>
      </c>
      <c r="C473" t="s">
        <v>10</v>
      </c>
      <c r="D473">
        <v>3.7321076589595386</v>
      </c>
      <c r="E473">
        <v>0</v>
      </c>
      <c r="F473">
        <v>0</v>
      </c>
      <c r="G473">
        <v>2.003063725490196</v>
      </c>
      <c r="H473">
        <v>0</v>
      </c>
      <c r="I473">
        <v>0</v>
      </c>
      <c r="J473">
        <v>0.53671113175996188</v>
      </c>
      <c r="K473">
        <v>0</v>
      </c>
      <c r="L473">
        <v>0</v>
      </c>
      <c r="M473">
        <v>0</v>
      </c>
      <c r="N473">
        <v>0</v>
      </c>
      <c r="O473">
        <v>0</v>
      </c>
      <c r="P473">
        <v>0</v>
      </c>
      <c r="Q473">
        <v>0</v>
      </c>
      <c r="R473">
        <v>0</v>
      </c>
      <c r="S473">
        <v>0</v>
      </c>
      <c r="T473">
        <v>0.53671113175996188</v>
      </c>
      <c r="U473">
        <v>0.46328886824003812</v>
      </c>
      <c r="V473">
        <v>0</v>
      </c>
      <c r="W473">
        <v>0</v>
      </c>
      <c r="X473">
        <v>0</v>
      </c>
      <c r="Y473">
        <v>0</v>
      </c>
      <c r="Z473">
        <v>0</v>
      </c>
      <c r="AA473">
        <v>0</v>
      </c>
      <c r="AB473">
        <v>0</v>
      </c>
      <c r="AC473">
        <v>0</v>
      </c>
      <c r="AD473">
        <v>0</v>
      </c>
      <c r="AE473" t="s">
        <v>162</v>
      </c>
      <c r="AF473">
        <v>0</v>
      </c>
      <c r="AG473" t="s">
        <v>210</v>
      </c>
      <c r="AH473">
        <v>46308</v>
      </c>
      <c r="AI473" t="s">
        <v>149</v>
      </c>
    </row>
    <row r="474" spans="1:35" x14ac:dyDescent="0.25">
      <c r="A474" s="1">
        <v>46308</v>
      </c>
      <c r="B474" t="s">
        <v>13</v>
      </c>
      <c r="C474" t="s">
        <v>11</v>
      </c>
      <c r="D474">
        <v>2.7622674373795766</v>
      </c>
      <c r="E474">
        <v>0</v>
      </c>
      <c r="F474">
        <v>0</v>
      </c>
      <c r="G474">
        <v>2.0078431372549019</v>
      </c>
      <c r="H474">
        <v>0</v>
      </c>
      <c r="I474">
        <v>0</v>
      </c>
      <c r="J474">
        <v>0.72688223815129249</v>
      </c>
      <c r="K474">
        <v>0</v>
      </c>
      <c r="L474">
        <v>0</v>
      </c>
      <c r="M474">
        <v>0</v>
      </c>
      <c r="N474">
        <v>0</v>
      </c>
      <c r="O474">
        <v>0</v>
      </c>
      <c r="P474">
        <v>0</v>
      </c>
      <c r="Q474">
        <v>0</v>
      </c>
      <c r="R474">
        <v>0</v>
      </c>
      <c r="S474">
        <v>0</v>
      </c>
      <c r="T474">
        <v>0.72688223815129249</v>
      </c>
      <c r="U474">
        <v>0.27311776184870751</v>
      </c>
      <c r="V474">
        <v>0</v>
      </c>
      <c r="W474">
        <v>0</v>
      </c>
      <c r="X474">
        <v>0</v>
      </c>
      <c r="Y474">
        <v>0</v>
      </c>
      <c r="Z474">
        <v>0</v>
      </c>
      <c r="AA474">
        <v>0</v>
      </c>
      <c r="AB474">
        <v>0</v>
      </c>
      <c r="AC474">
        <v>0</v>
      </c>
      <c r="AD474">
        <v>0</v>
      </c>
      <c r="AE474" t="s">
        <v>162</v>
      </c>
      <c r="AF474">
        <v>0</v>
      </c>
      <c r="AG474" t="s">
        <v>211</v>
      </c>
      <c r="AH474">
        <v>46308</v>
      </c>
      <c r="AI474" t="s">
        <v>149</v>
      </c>
    </row>
    <row r="475" spans="1:35" x14ac:dyDescent="0.25">
      <c r="A475" s="1">
        <v>46308</v>
      </c>
      <c r="B475" t="s">
        <v>13</v>
      </c>
      <c r="C475" t="s">
        <v>12</v>
      </c>
      <c r="D475">
        <v>2.4372947976878616</v>
      </c>
      <c r="E475">
        <v>0</v>
      </c>
      <c r="F475">
        <v>0</v>
      </c>
      <c r="G475">
        <v>2.0490196078431371</v>
      </c>
      <c r="H475">
        <v>0</v>
      </c>
      <c r="I475">
        <v>0</v>
      </c>
      <c r="J475">
        <v>0.84069420317433019</v>
      </c>
      <c r="K475">
        <v>0</v>
      </c>
      <c r="L475">
        <v>0</v>
      </c>
      <c r="M475">
        <v>0</v>
      </c>
      <c r="N475">
        <v>0</v>
      </c>
      <c r="O475">
        <v>0</v>
      </c>
      <c r="P475">
        <v>0</v>
      </c>
      <c r="Q475">
        <v>0</v>
      </c>
      <c r="R475">
        <v>0</v>
      </c>
      <c r="S475">
        <v>0</v>
      </c>
      <c r="T475">
        <v>0.84069420317433019</v>
      </c>
      <c r="U475">
        <v>0.15930579682566981</v>
      </c>
      <c r="V475">
        <v>0</v>
      </c>
      <c r="W475">
        <v>0</v>
      </c>
      <c r="X475">
        <v>0</v>
      </c>
      <c r="Y475">
        <v>0</v>
      </c>
      <c r="Z475">
        <v>0</v>
      </c>
      <c r="AA475">
        <v>0</v>
      </c>
      <c r="AB475">
        <v>0</v>
      </c>
      <c r="AC475">
        <v>0</v>
      </c>
      <c r="AD475">
        <v>0</v>
      </c>
      <c r="AE475" t="s">
        <v>162</v>
      </c>
      <c r="AF475">
        <v>0</v>
      </c>
      <c r="AG475" t="s">
        <v>209</v>
      </c>
      <c r="AH475">
        <v>46308</v>
      </c>
      <c r="AI475" t="s">
        <v>149</v>
      </c>
    </row>
    <row r="476" spans="1:35" x14ac:dyDescent="0.25">
      <c r="A476" s="1">
        <v>46309</v>
      </c>
      <c r="B476" t="s">
        <v>13</v>
      </c>
      <c r="C476" t="s">
        <v>11</v>
      </c>
      <c r="D476">
        <v>2.7622674373795766</v>
      </c>
      <c r="E476">
        <v>0</v>
      </c>
      <c r="F476">
        <v>0</v>
      </c>
      <c r="G476">
        <v>2.0078431372549019</v>
      </c>
      <c r="H476">
        <v>0</v>
      </c>
      <c r="I476">
        <v>0</v>
      </c>
      <c r="J476">
        <v>0.72688223815129249</v>
      </c>
      <c r="K476">
        <v>0</v>
      </c>
      <c r="L476">
        <v>0</v>
      </c>
      <c r="M476">
        <v>0</v>
      </c>
      <c r="N476">
        <v>0</v>
      </c>
      <c r="O476">
        <v>0</v>
      </c>
      <c r="P476">
        <v>0</v>
      </c>
      <c r="Q476">
        <v>0</v>
      </c>
      <c r="R476">
        <v>0</v>
      </c>
      <c r="S476">
        <v>0</v>
      </c>
      <c r="T476">
        <v>0.72688223815129249</v>
      </c>
      <c r="U476">
        <v>0.27311776184870751</v>
      </c>
      <c r="V476">
        <v>0</v>
      </c>
      <c r="W476">
        <v>0</v>
      </c>
      <c r="X476">
        <v>0</v>
      </c>
      <c r="Y476">
        <v>0</v>
      </c>
      <c r="Z476">
        <v>0</v>
      </c>
      <c r="AA476">
        <v>0</v>
      </c>
      <c r="AB476">
        <v>0</v>
      </c>
      <c r="AC476">
        <v>0</v>
      </c>
      <c r="AD476">
        <v>0</v>
      </c>
      <c r="AE476" t="s">
        <v>162</v>
      </c>
      <c r="AF476">
        <v>0</v>
      </c>
      <c r="AG476" t="s">
        <v>212</v>
      </c>
      <c r="AH476">
        <v>46309</v>
      </c>
      <c r="AI476" t="s">
        <v>149</v>
      </c>
    </row>
    <row r="477" spans="1:35" x14ac:dyDescent="0.25">
      <c r="A477" s="1">
        <v>46309</v>
      </c>
      <c r="B477" t="s">
        <v>13</v>
      </c>
      <c r="C477" t="s">
        <v>12</v>
      </c>
      <c r="D477">
        <v>2.4372947976878616</v>
      </c>
      <c r="E477">
        <v>0</v>
      </c>
      <c r="F477">
        <v>0</v>
      </c>
      <c r="G477">
        <v>2.0490196078431371</v>
      </c>
      <c r="H477">
        <v>0</v>
      </c>
      <c r="I477">
        <v>0</v>
      </c>
      <c r="J477">
        <v>0.84069420317433019</v>
      </c>
      <c r="K477">
        <v>0</v>
      </c>
      <c r="L477">
        <v>0</v>
      </c>
      <c r="M477">
        <v>0</v>
      </c>
      <c r="N477">
        <v>0</v>
      </c>
      <c r="O477">
        <v>0</v>
      </c>
      <c r="P477">
        <v>0</v>
      </c>
      <c r="Q477">
        <v>0</v>
      </c>
      <c r="R477">
        <v>0</v>
      </c>
      <c r="S477">
        <v>0</v>
      </c>
      <c r="T477">
        <v>0.84069420317433019</v>
      </c>
      <c r="U477">
        <v>0.15930579682566981</v>
      </c>
      <c r="V477">
        <v>0</v>
      </c>
      <c r="W477">
        <v>0</v>
      </c>
      <c r="X477">
        <v>0</v>
      </c>
      <c r="Y477">
        <v>0</v>
      </c>
      <c r="Z477">
        <v>0</v>
      </c>
      <c r="AA477">
        <v>0</v>
      </c>
      <c r="AB477">
        <v>0</v>
      </c>
      <c r="AC477">
        <v>0</v>
      </c>
      <c r="AD477">
        <v>0</v>
      </c>
      <c r="AE477" t="s">
        <v>162</v>
      </c>
      <c r="AF477">
        <v>0</v>
      </c>
      <c r="AG477" t="s">
        <v>213</v>
      </c>
      <c r="AH477">
        <v>46309</v>
      </c>
      <c r="AI477" t="s">
        <v>149</v>
      </c>
    </row>
    <row r="478" spans="1:35" x14ac:dyDescent="0.25">
      <c r="A478" s="1">
        <v>46309</v>
      </c>
      <c r="B478" t="s">
        <v>13</v>
      </c>
      <c r="C478" t="s">
        <v>10</v>
      </c>
      <c r="D478">
        <v>2.5134602601156071</v>
      </c>
      <c r="E478">
        <v>0</v>
      </c>
      <c r="F478">
        <v>0</v>
      </c>
      <c r="G478">
        <v>2.003063725490196</v>
      </c>
      <c r="H478">
        <v>0</v>
      </c>
      <c r="I478">
        <v>0</v>
      </c>
      <c r="J478">
        <v>0.79693471079509515</v>
      </c>
      <c r="K478">
        <v>0</v>
      </c>
      <c r="L478">
        <v>0</v>
      </c>
      <c r="M478">
        <v>0</v>
      </c>
      <c r="N478">
        <v>0</v>
      </c>
      <c r="O478">
        <v>0</v>
      </c>
      <c r="P478">
        <v>0</v>
      </c>
      <c r="Q478">
        <v>0</v>
      </c>
      <c r="R478">
        <v>0</v>
      </c>
      <c r="S478">
        <v>0</v>
      </c>
      <c r="T478">
        <v>0.79693471079509515</v>
      </c>
      <c r="U478">
        <v>0.20306528920490485</v>
      </c>
      <c r="V478">
        <v>0</v>
      </c>
      <c r="W478">
        <v>0</v>
      </c>
      <c r="X478">
        <v>0</v>
      </c>
      <c r="Y478">
        <v>0</v>
      </c>
      <c r="Z478">
        <v>0</v>
      </c>
      <c r="AA478">
        <v>0</v>
      </c>
      <c r="AB478">
        <v>0</v>
      </c>
      <c r="AC478">
        <v>0</v>
      </c>
      <c r="AD478">
        <v>0</v>
      </c>
      <c r="AE478" t="s">
        <v>162</v>
      </c>
      <c r="AF478">
        <v>0</v>
      </c>
      <c r="AG478" t="s">
        <v>214</v>
      </c>
      <c r="AH478">
        <v>46309</v>
      </c>
      <c r="AI478" t="s">
        <v>149</v>
      </c>
    </row>
    <row r="479" spans="1:35" x14ac:dyDescent="0.25">
      <c r="A479" s="1">
        <v>46310</v>
      </c>
      <c r="B479" t="s">
        <v>13</v>
      </c>
      <c r="C479" t="s">
        <v>10</v>
      </c>
      <c r="D479">
        <v>3.8844385838150295</v>
      </c>
      <c r="E479">
        <v>0</v>
      </c>
      <c r="F479">
        <v>0</v>
      </c>
      <c r="G479">
        <v>2.0061274509803924</v>
      </c>
      <c r="H479">
        <v>0</v>
      </c>
      <c r="I479">
        <v>0</v>
      </c>
      <c r="J479">
        <v>0.51645235410315371</v>
      </c>
      <c r="K479">
        <v>0</v>
      </c>
      <c r="L479">
        <v>0</v>
      </c>
      <c r="M479">
        <v>0</v>
      </c>
      <c r="N479">
        <v>0</v>
      </c>
      <c r="O479">
        <v>0</v>
      </c>
      <c r="P479">
        <v>0</v>
      </c>
      <c r="Q479">
        <v>0</v>
      </c>
      <c r="R479">
        <v>0</v>
      </c>
      <c r="S479">
        <v>0</v>
      </c>
      <c r="T479">
        <v>0.51645235410315371</v>
      </c>
      <c r="U479">
        <v>0.48354764589684629</v>
      </c>
      <c r="V479">
        <v>0</v>
      </c>
      <c r="W479">
        <v>0</v>
      </c>
      <c r="X479">
        <v>0</v>
      </c>
      <c r="Y479">
        <v>0</v>
      </c>
      <c r="Z479">
        <v>0</v>
      </c>
      <c r="AA479">
        <v>0</v>
      </c>
      <c r="AB479">
        <v>0</v>
      </c>
      <c r="AC479">
        <v>0</v>
      </c>
      <c r="AD479">
        <v>0</v>
      </c>
      <c r="AE479" t="s">
        <v>162</v>
      </c>
      <c r="AF479">
        <v>0</v>
      </c>
      <c r="AG479" t="s">
        <v>217</v>
      </c>
      <c r="AH479">
        <v>46310</v>
      </c>
      <c r="AI479" t="s">
        <v>149</v>
      </c>
    </row>
    <row r="480" spans="1:35" x14ac:dyDescent="0.25">
      <c r="A480" s="1">
        <v>46310</v>
      </c>
      <c r="B480" t="s">
        <v>13</v>
      </c>
      <c r="C480" t="s">
        <v>11</v>
      </c>
      <c r="D480">
        <v>2.7622674373795766</v>
      </c>
      <c r="E480">
        <v>0</v>
      </c>
      <c r="F480">
        <v>0</v>
      </c>
      <c r="G480">
        <v>2.0078431372549019</v>
      </c>
      <c r="H480">
        <v>0</v>
      </c>
      <c r="I480">
        <v>0</v>
      </c>
      <c r="J480">
        <v>0.72688223815129249</v>
      </c>
      <c r="K480">
        <v>0</v>
      </c>
      <c r="L480">
        <v>0</v>
      </c>
      <c r="M480">
        <v>0</v>
      </c>
      <c r="N480">
        <v>0</v>
      </c>
      <c r="O480">
        <v>0</v>
      </c>
      <c r="P480">
        <v>0</v>
      </c>
      <c r="Q480">
        <v>0</v>
      </c>
      <c r="R480">
        <v>0</v>
      </c>
      <c r="S480">
        <v>0</v>
      </c>
      <c r="T480">
        <v>0.72688223815129249</v>
      </c>
      <c r="U480">
        <v>0.27311776184870751</v>
      </c>
      <c r="V480">
        <v>0</v>
      </c>
      <c r="W480">
        <v>0</v>
      </c>
      <c r="X480">
        <v>0</v>
      </c>
      <c r="Y480">
        <v>0</v>
      </c>
      <c r="Z480">
        <v>0</v>
      </c>
      <c r="AA480">
        <v>0</v>
      </c>
      <c r="AB480">
        <v>0</v>
      </c>
      <c r="AC480">
        <v>0</v>
      </c>
      <c r="AD480">
        <v>0</v>
      </c>
      <c r="AE480" t="s">
        <v>162</v>
      </c>
      <c r="AF480">
        <v>0</v>
      </c>
      <c r="AG480" t="s">
        <v>216</v>
      </c>
      <c r="AH480">
        <v>46310</v>
      </c>
      <c r="AI480" t="s">
        <v>149</v>
      </c>
    </row>
    <row r="481" spans="1:35" x14ac:dyDescent="0.25">
      <c r="A481" s="1">
        <v>46310</v>
      </c>
      <c r="B481" t="s">
        <v>13</v>
      </c>
      <c r="C481" t="s">
        <v>12</v>
      </c>
      <c r="D481">
        <v>2.4372947976878616</v>
      </c>
      <c r="E481">
        <v>0</v>
      </c>
      <c r="F481">
        <v>0</v>
      </c>
      <c r="G481">
        <v>2.1049596309111882</v>
      </c>
      <c r="H481">
        <v>0</v>
      </c>
      <c r="I481">
        <v>0</v>
      </c>
      <c r="J481">
        <v>0.86364588842845647</v>
      </c>
      <c r="K481">
        <v>0</v>
      </c>
      <c r="L481">
        <v>0</v>
      </c>
      <c r="M481">
        <v>0</v>
      </c>
      <c r="N481">
        <v>0</v>
      </c>
      <c r="O481">
        <v>0</v>
      </c>
      <c r="P481">
        <v>0</v>
      </c>
      <c r="Q481">
        <v>0</v>
      </c>
      <c r="R481">
        <v>0</v>
      </c>
      <c r="S481">
        <v>0</v>
      </c>
      <c r="T481">
        <v>0.86364588842845647</v>
      </c>
      <c r="U481">
        <v>0.13635411157154353</v>
      </c>
      <c r="V481">
        <v>0</v>
      </c>
      <c r="W481">
        <v>0</v>
      </c>
      <c r="X481">
        <v>0</v>
      </c>
      <c r="Y481">
        <v>0</v>
      </c>
      <c r="Z481">
        <v>0</v>
      </c>
      <c r="AA481">
        <v>0</v>
      </c>
      <c r="AB481">
        <v>0</v>
      </c>
      <c r="AC481">
        <v>0</v>
      </c>
      <c r="AD481">
        <v>0</v>
      </c>
      <c r="AE481" t="s">
        <v>162</v>
      </c>
      <c r="AF481">
        <v>0</v>
      </c>
      <c r="AG481" t="s">
        <v>215</v>
      </c>
      <c r="AH481">
        <v>46310</v>
      </c>
      <c r="AI481" t="s">
        <v>149</v>
      </c>
    </row>
    <row r="482" spans="1:35" x14ac:dyDescent="0.25">
      <c r="A482" s="1">
        <v>46311</v>
      </c>
      <c r="B482" t="s">
        <v>13</v>
      </c>
      <c r="C482" t="s">
        <v>11</v>
      </c>
      <c r="D482">
        <v>2.7622674373795766</v>
      </c>
      <c r="E482">
        <v>0</v>
      </c>
      <c r="F482">
        <v>0</v>
      </c>
      <c r="G482">
        <v>2.0078431372549019</v>
      </c>
      <c r="H482">
        <v>0</v>
      </c>
      <c r="I482">
        <v>0</v>
      </c>
      <c r="J482">
        <v>0.72688223815129249</v>
      </c>
      <c r="K482">
        <v>0</v>
      </c>
      <c r="L482">
        <v>0</v>
      </c>
      <c r="M482">
        <v>0</v>
      </c>
      <c r="N482">
        <v>0</v>
      </c>
      <c r="O482">
        <v>0</v>
      </c>
      <c r="P482">
        <v>0</v>
      </c>
      <c r="Q482">
        <v>0</v>
      </c>
      <c r="R482">
        <v>0</v>
      </c>
      <c r="S482">
        <v>0</v>
      </c>
      <c r="T482">
        <v>0.72688223815129249</v>
      </c>
      <c r="U482">
        <v>0.27311776184870751</v>
      </c>
      <c r="V482">
        <v>0</v>
      </c>
      <c r="W482">
        <v>0</v>
      </c>
      <c r="X482">
        <v>0</v>
      </c>
      <c r="Y482">
        <v>0</v>
      </c>
      <c r="Z482">
        <v>0</v>
      </c>
      <c r="AA482">
        <v>0</v>
      </c>
      <c r="AB482">
        <v>0</v>
      </c>
      <c r="AC482">
        <v>0</v>
      </c>
      <c r="AD482">
        <v>0</v>
      </c>
      <c r="AE482" t="s">
        <v>162</v>
      </c>
      <c r="AF482">
        <v>0</v>
      </c>
      <c r="AG482" t="s">
        <v>218</v>
      </c>
      <c r="AH482">
        <v>46311</v>
      </c>
      <c r="AI482" t="s">
        <v>149</v>
      </c>
    </row>
    <row r="483" spans="1:35" x14ac:dyDescent="0.25">
      <c r="A483" s="1">
        <v>46311</v>
      </c>
      <c r="B483" t="s">
        <v>13</v>
      </c>
      <c r="C483" t="s">
        <v>12</v>
      </c>
      <c r="D483">
        <v>2.4372947976878616</v>
      </c>
      <c r="E483">
        <v>0</v>
      </c>
      <c r="F483">
        <v>0</v>
      </c>
      <c r="G483">
        <v>2.1049596309111882</v>
      </c>
      <c r="H483">
        <v>0</v>
      </c>
      <c r="I483">
        <v>0</v>
      </c>
      <c r="J483">
        <v>0.86364588842845647</v>
      </c>
      <c r="K483">
        <v>0</v>
      </c>
      <c r="L483">
        <v>0</v>
      </c>
      <c r="M483">
        <v>0</v>
      </c>
      <c r="N483">
        <v>0</v>
      </c>
      <c r="O483">
        <v>0</v>
      </c>
      <c r="P483">
        <v>0</v>
      </c>
      <c r="Q483">
        <v>0</v>
      </c>
      <c r="R483">
        <v>0</v>
      </c>
      <c r="S483">
        <v>0</v>
      </c>
      <c r="T483">
        <v>0.86364588842845647</v>
      </c>
      <c r="U483">
        <v>0.13635411157154353</v>
      </c>
      <c r="V483">
        <v>0</v>
      </c>
      <c r="W483">
        <v>0</v>
      </c>
      <c r="X483">
        <v>0</v>
      </c>
      <c r="Y483">
        <v>0</v>
      </c>
      <c r="Z483">
        <v>0</v>
      </c>
      <c r="AA483">
        <v>0</v>
      </c>
      <c r="AB483">
        <v>0</v>
      </c>
      <c r="AC483">
        <v>0</v>
      </c>
      <c r="AD483">
        <v>0</v>
      </c>
      <c r="AE483" t="s">
        <v>162</v>
      </c>
      <c r="AF483">
        <v>0</v>
      </c>
      <c r="AG483" t="s">
        <v>219</v>
      </c>
      <c r="AH483">
        <v>46311</v>
      </c>
      <c r="AI483" t="s">
        <v>149</v>
      </c>
    </row>
    <row r="484" spans="1:35" x14ac:dyDescent="0.25">
      <c r="A484" s="1">
        <v>46311</v>
      </c>
      <c r="B484" t="s">
        <v>13</v>
      </c>
      <c r="C484" t="s">
        <v>10</v>
      </c>
      <c r="D484">
        <v>3.8082731213872831</v>
      </c>
      <c r="E484">
        <v>0</v>
      </c>
      <c r="F484">
        <v>0</v>
      </c>
      <c r="G484">
        <v>2.0061274509803924</v>
      </c>
      <c r="H484">
        <v>0</v>
      </c>
      <c r="I484">
        <v>0</v>
      </c>
      <c r="J484">
        <v>0.52678140118521688</v>
      </c>
      <c r="K484">
        <v>0</v>
      </c>
      <c r="L484">
        <v>0</v>
      </c>
      <c r="M484">
        <v>0</v>
      </c>
      <c r="N484">
        <v>0</v>
      </c>
      <c r="O484">
        <v>0</v>
      </c>
      <c r="P484">
        <v>0</v>
      </c>
      <c r="Q484">
        <v>0</v>
      </c>
      <c r="R484">
        <v>0</v>
      </c>
      <c r="S484">
        <v>0</v>
      </c>
      <c r="T484">
        <v>0.52678140118521688</v>
      </c>
      <c r="U484">
        <v>0.47321859881478312</v>
      </c>
      <c r="V484">
        <v>0</v>
      </c>
      <c r="W484">
        <v>0</v>
      </c>
      <c r="X484">
        <v>0</v>
      </c>
      <c r="Y484">
        <v>0</v>
      </c>
      <c r="Z484">
        <v>0</v>
      </c>
      <c r="AA484">
        <v>0</v>
      </c>
      <c r="AB484">
        <v>0</v>
      </c>
      <c r="AC484">
        <v>0</v>
      </c>
      <c r="AD484">
        <v>0</v>
      </c>
      <c r="AE484" t="s">
        <v>162</v>
      </c>
      <c r="AF484">
        <v>0</v>
      </c>
      <c r="AG484" t="s">
        <v>220</v>
      </c>
      <c r="AH484">
        <v>46311</v>
      </c>
      <c r="AI484" t="s">
        <v>149</v>
      </c>
    </row>
    <row r="485" spans="1:35" x14ac:dyDescent="0.25">
      <c r="A485" s="1">
        <v>46312</v>
      </c>
      <c r="B485" t="s">
        <v>13</v>
      </c>
      <c r="C485" t="s">
        <v>10</v>
      </c>
      <c r="D485">
        <v>0</v>
      </c>
      <c r="E485">
        <v>0</v>
      </c>
      <c r="F485">
        <v>0</v>
      </c>
      <c r="G485">
        <v>1.1176470588235294</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1</v>
      </c>
      <c r="AC485">
        <v>0</v>
      </c>
      <c r="AD485">
        <v>0</v>
      </c>
      <c r="AE485" t="s">
        <v>162</v>
      </c>
      <c r="AF485">
        <v>0</v>
      </c>
      <c r="AG485" t="s">
        <v>222</v>
      </c>
      <c r="AH485">
        <v>46312</v>
      </c>
      <c r="AI485" t="s">
        <v>149</v>
      </c>
    </row>
    <row r="486" spans="1:35" x14ac:dyDescent="0.25">
      <c r="A486" s="1">
        <v>46312</v>
      </c>
      <c r="B486" t="s">
        <v>13</v>
      </c>
      <c r="C486" t="s">
        <v>11</v>
      </c>
      <c r="D486">
        <v>2.7622674373795766</v>
      </c>
      <c r="E486">
        <v>0</v>
      </c>
      <c r="F486">
        <v>0</v>
      </c>
      <c r="G486">
        <v>2.0078431372549019</v>
      </c>
      <c r="H486">
        <v>0</v>
      </c>
      <c r="I486">
        <v>0</v>
      </c>
      <c r="J486">
        <v>0.72688223815129249</v>
      </c>
      <c r="K486">
        <v>0</v>
      </c>
      <c r="L486">
        <v>0</v>
      </c>
      <c r="M486">
        <v>0</v>
      </c>
      <c r="N486">
        <v>0</v>
      </c>
      <c r="O486">
        <v>0</v>
      </c>
      <c r="P486">
        <v>0</v>
      </c>
      <c r="Q486">
        <v>0</v>
      </c>
      <c r="R486">
        <v>0</v>
      </c>
      <c r="S486">
        <v>0</v>
      </c>
      <c r="T486">
        <v>0.72688223815129249</v>
      </c>
      <c r="U486">
        <v>0.27311776184870751</v>
      </c>
      <c r="V486">
        <v>0</v>
      </c>
      <c r="W486">
        <v>0</v>
      </c>
      <c r="X486">
        <v>0</v>
      </c>
      <c r="Y486">
        <v>0</v>
      </c>
      <c r="Z486">
        <v>0</v>
      </c>
      <c r="AA486">
        <v>0</v>
      </c>
      <c r="AB486">
        <v>0</v>
      </c>
      <c r="AC486">
        <v>0</v>
      </c>
      <c r="AD486">
        <v>0</v>
      </c>
      <c r="AE486" t="s">
        <v>162</v>
      </c>
      <c r="AF486">
        <v>0</v>
      </c>
      <c r="AG486" t="s">
        <v>223</v>
      </c>
      <c r="AH486">
        <v>46312</v>
      </c>
      <c r="AI486" t="s">
        <v>149</v>
      </c>
    </row>
    <row r="487" spans="1:35" x14ac:dyDescent="0.25">
      <c r="A487" s="1">
        <v>46312</v>
      </c>
      <c r="B487" t="s">
        <v>13</v>
      </c>
      <c r="C487" t="s">
        <v>12</v>
      </c>
      <c r="D487">
        <v>2.4372947976878616</v>
      </c>
      <c r="E487">
        <v>0</v>
      </c>
      <c r="F487">
        <v>0</v>
      </c>
      <c r="G487">
        <v>1.8823529411764703</v>
      </c>
      <c r="H487">
        <v>0</v>
      </c>
      <c r="I487">
        <v>0</v>
      </c>
      <c r="J487">
        <v>0.77231237803574826</v>
      </c>
      <c r="K487">
        <v>0</v>
      </c>
      <c r="L487">
        <v>0</v>
      </c>
      <c r="M487">
        <v>0</v>
      </c>
      <c r="N487">
        <v>0</v>
      </c>
      <c r="O487">
        <v>0</v>
      </c>
      <c r="P487">
        <v>0</v>
      </c>
      <c r="Q487">
        <v>0</v>
      </c>
      <c r="R487">
        <v>0</v>
      </c>
      <c r="S487">
        <v>0</v>
      </c>
      <c r="T487">
        <v>0.77231237803574826</v>
      </c>
      <c r="U487">
        <v>0.22768762196425174</v>
      </c>
      <c r="V487">
        <v>0</v>
      </c>
      <c r="W487">
        <v>0</v>
      </c>
      <c r="X487">
        <v>0</v>
      </c>
      <c r="Y487">
        <v>0</v>
      </c>
      <c r="Z487">
        <v>0</v>
      </c>
      <c r="AA487">
        <v>0</v>
      </c>
      <c r="AB487">
        <v>0</v>
      </c>
      <c r="AC487">
        <v>0</v>
      </c>
      <c r="AD487">
        <v>0</v>
      </c>
      <c r="AE487" t="s">
        <v>162</v>
      </c>
      <c r="AF487">
        <v>0</v>
      </c>
      <c r="AG487" t="s">
        <v>221</v>
      </c>
      <c r="AH487">
        <v>46312</v>
      </c>
      <c r="AI487" t="s">
        <v>149</v>
      </c>
    </row>
    <row r="488" spans="1:35" x14ac:dyDescent="0.25">
      <c r="A488" s="1">
        <v>46313</v>
      </c>
      <c r="B488" t="s">
        <v>13</v>
      </c>
      <c r="C488" t="s">
        <v>10</v>
      </c>
      <c r="D488">
        <v>0</v>
      </c>
      <c r="E488">
        <v>0</v>
      </c>
      <c r="F488">
        <v>0</v>
      </c>
      <c r="G488">
        <v>1.1176470588235294</v>
      </c>
      <c r="H488">
        <v>0</v>
      </c>
      <c r="I488">
        <v>0</v>
      </c>
      <c r="J488">
        <v>0</v>
      </c>
      <c r="K488">
        <v>0</v>
      </c>
      <c r="L488">
        <v>0</v>
      </c>
      <c r="M488">
        <v>0</v>
      </c>
      <c r="N488">
        <v>0</v>
      </c>
      <c r="O488">
        <v>0</v>
      </c>
      <c r="P488">
        <v>0</v>
      </c>
      <c r="Q488">
        <v>0</v>
      </c>
      <c r="R488">
        <v>0</v>
      </c>
      <c r="S488">
        <v>0</v>
      </c>
      <c r="T488">
        <v>0</v>
      </c>
      <c r="U488">
        <v>0</v>
      </c>
      <c r="V488">
        <v>0</v>
      </c>
      <c r="W488">
        <v>0</v>
      </c>
      <c r="X488">
        <v>0</v>
      </c>
      <c r="Y488">
        <v>0</v>
      </c>
      <c r="Z488">
        <v>0</v>
      </c>
      <c r="AA488">
        <v>0</v>
      </c>
      <c r="AB488">
        <v>1</v>
      </c>
      <c r="AC488">
        <v>0</v>
      </c>
      <c r="AD488">
        <v>0</v>
      </c>
      <c r="AE488" t="s">
        <v>162</v>
      </c>
      <c r="AF488">
        <v>0</v>
      </c>
      <c r="AG488" t="s">
        <v>224</v>
      </c>
      <c r="AH488">
        <v>46313</v>
      </c>
      <c r="AI488" t="s">
        <v>149</v>
      </c>
    </row>
    <row r="489" spans="1:35" x14ac:dyDescent="0.25">
      <c r="A489" s="1">
        <v>46313</v>
      </c>
      <c r="B489" t="s">
        <v>13</v>
      </c>
      <c r="C489" t="s">
        <v>12</v>
      </c>
      <c r="D489">
        <v>2.4372947976878616</v>
      </c>
      <c r="E489">
        <v>0</v>
      </c>
      <c r="F489">
        <v>0</v>
      </c>
      <c r="G489">
        <v>1.8823529411764703</v>
      </c>
      <c r="H489">
        <v>0</v>
      </c>
      <c r="I489">
        <v>0</v>
      </c>
      <c r="J489">
        <v>0.77231237803574826</v>
      </c>
      <c r="K489">
        <v>0</v>
      </c>
      <c r="L489">
        <v>0</v>
      </c>
      <c r="M489">
        <v>0</v>
      </c>
      <c r="N489">
        <v>0</v>
      </c>
      <c r="O489">
        <v>0</v>
      </c>
      <c r="P489">
        <v>0</v>
      </c>
      <c r="Q489">
        <v>0</v>
      </c>
      <c r="R489">
        <v>0</v>
      </c>
      <c r="S489">
        <v>0</v>
      </c>
      <c r="T489">
        <v>0.77231237803574826</v>
      </c>
      <c r="U489">
        <v>0.22768762196425174</v>
      </c>
      <c r="V489">
        <v>0</v>
      </c>
      <c r="W489">
        <v>0</v>
      </c>
      <c r="X489">
        <v>0</v>
      </c>
      <c r="Y489">
        <v>0</v>
      </c>
      <c r="Z489">
        <v>0</v>
      </c>
      <c r="AA489">
        <v>0</v>
      </c>
      <c r="AB489">
        <v>0</v>
      </c>
      <c r="AC489">
        <v>0</v>
      </c>
      <c r="AD489">
        <v>0</v>
      </c>
      <c r="AE489" t="s">
        <v>162</v>
      </c>
      <c r="AF489">
        <v>0</v>
      </c>
      <c r="AG489" t="s">
        <v>226</v>
      </c>
      <c r="AH489">
        <v>46313</v>
      </c>
      <c r="AI489" t="s">
        <v>149</v>
      </c>
    </row>
    <row r="490" spans="1:35" x14ac:dyDescent="0.25">
      <c r="A490" s="1">
        <v>46313</v>
      </c>
      <c r="B490" t="s">
        <v>13</v>
      </c>
      <c r="C490" t="s">
        <v>11</v>
      </c>
      <c r="D490">
        <v>2.7622674373795766</v>
      </c>
      <c r="E490">
        <v>0</v>
      </c>
      <c r="F490">
        <v>0</v>
      </c>
      <c r="G490">
        <v>2.0078431372549019</v>
      </c>
      <c r="H490">
        <v>0</v>
      </c>
      <c r="I490">
        <v>0</v>
      </c>
      <c r="J490">
        <v>0.72688223815129249</v>
      </c>
      <c r="K490">
        <v>0</v>
      </c>
      <c r="L490">
        <v>0</v>
      </c>
      <c r="M490">
        <v>0</v>
      </c>
      <c r="N490">
        <v>0</v>
      </c>
      <c r="O490">
        <v>0</v>
      </c>
      <c r="P490">
        <v>0</v>
      </c>
      <c r="Q490">
        <v>0</v>
      </c>
      <c r="R490">
        <v>0</v>
      </c>
      <c r="S490">
        <v>0</v>
      </c>
      <c r="T490">
        <v>0.72688223815129249</v>
      </c>
      <c r="U490">
        <v>0.27311776184870751</v>
      </c>
      <c r="V490">
        <v>0</v>
      </c>
      <c r="W490">
        <v>0</v>
      </c>
      <c r="X490">
        <v>0</v>
      </c>
      <c r="Y490">
        <v>0</v>
      </c>
      <c r="Z490">
        <v>0</v>
      </c>
      <c r="AA490">
        <v>0</v>
      </c>
      <c r="AB490">
        <v>0</v>
      </c>
      <c r="AC490">
        <v>0</v>
      </c>
      <c r="AD490">
        <v>0</v>
      </c>
      <c r="AE490" t="s">
        <v>162</v>
      </c>
      <c r="AF490">
        <v>0</v>
      </c>
      <c r="AG490" t="s">
        <v>225</v>
      </c>
      <c r="AH490">
        <v>46313</v>
      </c>
      <c r="AI490" t="s">
        <v>149</v>
      </c>
    </row>
    <row r="491" spans="1:35" x14ac:dyDescent="0.25">
      <c r="A491" s="1">
        <v>46314</v>
      </c>
      <c r="B491" t="s">
        <v>13</v>
      </c>
      <c r="C491" t="s">
        <v>10</v>
      </c>
      <c r="D491">
        <v>2.5134602601156071</v>
      </c>
      <c r="E491">
        <v>0</v>
      </c>
      <c r="F491">
        <v>0</v>
      </c>
      <c r="G491">
        <v>2.5712455436720143</v>
      </c>
      <c r="H491">
        <v>0</v>
      </c>
      <c r="I491">
        <v>0</v>
      </c>
      <c r="J491">
        <v>1.0229903310879278</v>
      </c>
      <c r="K491">
        <v>2.2990331087927807E-2</v>
      </c>
      <c r="L491">
        <v>0</v>
      </c>
      <c r="M491">
        <v>0</v>
      </c>
      <c r="N491">
        <v>0</v>
      </c>
      <c r="O491">
        <v>0</v>
      </c>
      <c r="P491">
        <v>0</v>
      </c>
      <c r="Q491">
        <v>0</v>
      </c>
      <c r="R491">
        <v>0</v>
      </c>
      <c r="S491">
        <v>0</v>
      </c>
      <c r="T491">
        <v>0</v>
      </c>
      <c r="U491">
        <v>0</v>
      </c>
      <c r="V491">
        <v>0</v>
      </c>
      <c r="W491">
        <v>0</v>
      </c>
      <c r="X491">
        <v>0</v>
      </c>
      <c r="Y491">
        <v>0</v>
      </c>
      <c r="Z491">
        <v>0</v>
      </c>
      <c r="AA491">
        <v>0</v>
      </c>
      <c r="AB491">
        <v>0</v>
      </c>
      <c r="AC491">
        <v>1</v>
      </c>
      <c r="AD491">
        <v>0</v>
      </c>
      <c r="AE491" t="s">
        <v>162</v>
      </c>
      <c r="AF491">
        <v>0</v>
      </c>
      <c r="AG491" t="s">
        <v>229</v>
      </c>
      <c r="AH491">
        <v>46314</v>
      </c>
      <c r="AI491" t="s">
        <v>149</v>
      </c>
    </row>
    <row r="492" spans="1:35" x14ac:dyDescent="0.25">
      <c r="A492" s="1">
        <v>46314</v>
      </c>
      <c r="B492" t="s">
        <v>13</v>
      </c>
      <c r="C492" t="s">
        <v>11</v>
      </c>
      <c r="D492">
        <v>2.7622674373795766</v>
      </c>
      <c r="E492">
        <v>0</v>
      </c>
      <c r="F492">
        <v>0</v>
      </c>
      <c r="G492">
        <v>2.0078431372549019</v>
      </c>
      <c r="H492">
        <v>0</v>
      </c>
      <c r="I492">
        <v>0</v>
      </c>
      <c r="J492">
        <v>0.72688223815129249</v>
      </c>
      <c r="K492">
        <v>0</v>
      </c>
      <c r="L492">
        <v>0</v>
      </c>
      <c r="M492">
        <v>0</v>
      </c>
      <c r="N492">
        <v>0</v>
      </c>
      <c r="O492">
        <v>0</v>
      </c>
      <c r="P492">
        <v>0</v>
      </c>
      <c r="Q492">
        <v>0</v>
      </c>
      <c r="R492">
        <v>0</v>
      </c>
      <c r="S492">
        <v>0</v>
      </c>
      <c r="T492">
        <v>0.72688223815129249</v>
      </c>
      <c r="U492">
        <v>0.27311776184870751</v>
      </c>
      <c r="V492">
        <v>0</v>
      </c>
      <c r="W492">
        <v>0</v>
      </c>
      <c r="X492">
        <v>0</v>
      </c>
      <c r="Y492">
        <v>0</v>
      </c>
      <c r="Z492">
        <v>0</v>
      </c>
      <c r="AA492">
        <v>0</v>
      </c>
      <c r="AB492">
        <v>0</v>
      </c>
      <c r="AC492">
        <v>0</v>
      </c>
      <c r="AD492">
        <v>0</v>
      </c>
      <c r="AE492" t="s">
        <v>162</v>
      </c>
      <c r="AF492">
        <v>0</v>
      </c>
      <c r="AG492" t="s">
        <v>228</v>
      </c>
      <c r="AH492">
        <v>46314</v>
      </c>
      <c r="AI492" t="s">
        <v>149</v>
      </c>
    </row>
    <row r="493" spans="1:35" x14ac:dyDescent="0.25">
      <c r="A493" s="1">
        <v>46314</v>
      </c>
      <c r="B493" t="s">
        <v>13</v>
      </c>
      <c r="C493" t="s">
        <v>12</v>
      </c>
      <c r="D493">
        <v>2.5089799387963283</v>
      </c>
      <c r="E493">
        <v>0</v>
      </c>
      <c r="F493">
        <v>0</v>
      </c>
      <c r="G493">
        <v>2.1024955436720143</v>
      </c>
      <c r="H493">
        <v>0</v>
      </c>
      <c r="I493">
        <v>0</v>
      </c>
      <c r="J493">
        <v>0.83798818442553069</v>
      </c>
      <c r="K493">
        <v>0</v>
      </c>
      <c r="L493">
        <v>0</v>
      </c>
      <c r="M493">
        <v>0</v>
      </c>
      <c r="N493">
        <v>0</v>
      </c>
      <c r="O493">
        <v>0</v>
      </c>
      <c r="P493">
        <v>0</v>
      </c>
      <c r="Q493">
        <v>0</v>
      </c>
      <c r="R493">
        <v>0</v>
      </c>
      <c r="S493">
        <v>0</v>
      </c>
      <c r="T493">
        <v>0.83798818442553069</v>
      </c>
      <c r="U493">
        <v>0.16201181557446931</v>
      </c>
      <c r="V493">
        <v>0</v>
      </c>
      <c r="W493">
        <v>0</v>
      </c>
      <c r="X493">
        <v>0</v>
      </c>
      <c r="Y493">
        <v>0</v>
      </c>
      <c r="Z493">
        <v>0</v>
      </c>
      <c r="AA493">
        <v>0</v>
      </c>
      <c r="AB493">
        <v>0</v>
      </c>
      <c r="AC493">
        <v>0</v>
      </c>
      <c r="AD493">
        <v>0</v>
      </c>
      <c r="AE493" t="s">
        <v>162</v>
      </c>
      <c r="AF493">
        <v>0</v>
      </c>
      <c r="AG493" t="s">
        <v>227</v>
      </c>
      <c r="AH493">
        <v>46314</v>
      </c>
      <c r="AI493" t="s">
        <v>149</v>
      </c>
    </row>
    <row r="494" spans="1:35" x14ac:dyDescent="0.25">
      <c r="A494" s="1">
        <v>46315</v>
      </c>
      <c r="B494" t="s">
        <v>13</v>
      </c>
      <c r="C494" t="s">
        <v>10</v>
      </c>
      <c r="D494">
        <v>3.8082731213872831</v>
      </c>
      <c r="E494">
        <v>0</v>
      </c>
      <c r="F494">
        <v>0</v>
      </c>
      <c r="G494">
        <v>2</v>
      </c>
      <c r="H494">
        <v>0</v>
      </c>
      <c r="I494">
        <v>0</v>
      </c>
      <c r="J494">
        <v>0.52517241706430895</v>
      </c>
      <c r="K494">
        <v>0</v>
      </c>
      <c r="L494">
        <v>0</v>
      </c>
      <c r="M494">
        <v>0</v>
      </c>
      <c r="N494">
        <v>0</v>
      </c>
      <c r="O494">
        <v>0</v>
      </c>
      <c r="P494">
        <v>0</v>
      </c>
      <c r="Q494">
        <v>0</v>
      </c>
      <c r="R494">
        <v>0</v>
      </c>
      <c r="S494">
        <v>0</v>
      </c>
      <c r="T494">
        <v>0.52517241706430895</v>
      </c>
      <c r="U494">
        <v>0.47482758293569105</v>
      </c>
      <c r="V494">
        <v>0</v>
      </c>
      <c r="W494">
        <v>0</v>
      </c>
      <c r="X494">
        <v>0</v>
      </c>
      <c r="Y494">
        <v>0</v>
      </c>
      <c r="Z494">
        <v>0</v>
      </c>
      <c r="AA494">
        <v>0</v>
      </c>
      <c r="AB494">
        <v>0</v>
      </c>
      <c r="AC494">
        <v>0</v>
      </c>
      <c r="AD494">
        <v>0</v>
      </c>
      <c r="AE494" t="s">
        <v>162</v>
      </c>
      <c r="AF494">
        <v>0</v>
      </c>
      <c r="AG494" t="s">
        <v>230</v>
      </c>
      <c r="AH494">
        <v>46315</v>
      </c>
      <c r="AI494" t="s">
        <v>149</v>
      </c>
    </row>
    <row r="495" spans="1:35" x14ac:dyDescent="0.25">
      <c r="A495" s="1">
        <v>46315</v>
      </c>
      <c r="B495" t="s">
        <v>13</v>
      </c>
      <c r="C495" t="s">
        <v>11</v>
      </c>
      <c r="D495">
        <v>2.7622674373795766</v>
      </c>
      <c r="E495">
        <v>0</v>
      </c>
      <c r="F495">
        <v>0</v>
      </c>
      <c r="G495">
        <v>2.0078431372549019</v>
      </c>
      <c r="H495">
        <v>0</v>
      </c>
      <c r="I495">
        <v>0</v>
      </c>
      <c r="J495">
        <v>0.72688223815129249</v>
      </c>
      <c r="K495">
        <v>0</v>
      </c>
      <c r="L495">
        <v>0</v>
      </c>
      <c r="M495">
        <v>0</v>
      </c>
      <c r="N495">
        <v>0</v>
      </c>
      <c r="O495">
        <v>0</v>
      </c>
      <c r="P495">
        <v>0</v>
      </c>
      <c r="Q495">
        <v>0</v>
      </c>
      <c r="R495">
        <v>0</v>
      </c>
      <c r="S495">
        <v>0</v>
      </c>
      <c r="T495">
        <v>0.72688223815129249</v>
      </c>
      <c r="U495">
        <v>0.27311776184870751</v>
      </c>
      <c r="V495">
        <v>0</v>
      </c>
      <c r="W495">
        <v>0</v>
      </c>
      <c r="X495">
        <v>0</v>
      </c>
      <c r="Y495">
        <v>0</v>
      </c>
      <c r="Z495">
        <v>0</v>
      </c>
      <c r="AA495">
        <v>0</v>
      </c>
      <c r="AB495">
        <v>0</v>
      </c>
      <c r="AC495">
        <v>0</v>
      </c>
      <c r="AD495">
        <v>0</v>
      </c>
      <c r="AE495" t="s">
        <v>162</v>
      </c>
      <c r="AF495">
        <v>0</v>
      </c>
      <c r="AG495" t="s">
        <v>231</v>
      </c>
      <c r="AH495">
        <v>46315</v>
      </c>
      <c r="AI495" t="s">
        <v>149</v>
      </c>
    </row>
    <row r="496" spans="1:35" x14ac:dyDescent="0.25">
      <c r="A496" s="1">
        <v>46315</v>
      </c>
      <c r="B496" t="s">
        <v>13</v>
      </c>
      <c r="C496" t="s">
        <v>12</v>
      </c>
      <c r="D496">
        <v>2.4372947976878616</v>
      </c>
      <c r="E496">
        <v>0</v>
      </c>
      <c r="F496">
        <v>0</v>
      </c>
      <c r="G496">
        <v>1.9930795847750864</v>
      </c>
      <c r="H496">
        <v>0</v>
      </c>
      <c r="I496">
        <v>0</v>
      </c>
      <c r="J496">
        <v>0.81774251792020414</v>
      </c>
      <c r="K496">
        <v>0</v>
      </c>
      <c r="L496">
        <v>0</v>
      </c>
      <c r="M496">
        <v>0</v>
      </c>
      <c r="N496">
        <v>0</v>
      </c>
      <c r="O496">
        <v>0</v>
      </c>
      <c r="P496">
        <v>0</v>
      </c>
      <c r="Q496">
        <v>0</v>
      </c>
      <c r="R496">
        <v>0</v>
      </c>
      <c r="S496">
        <v>0</v>
      </c>
      <c r="T496">
        <v>0.81774251792020414</v>
      </c>
      <c r="U496">
        <v>0.18225748207979586</v>
      </c>
      <c r="V496">
        <v>0</v>
      </c>
      <c r="W496">
        <v>0</v>
      </c>
      <c r="X496">
        <v>0</v>
      </c>
      <c r="Y496">
        <v>0</v>
      </c>
      <c r="Z496">
        <v>0</v>
      </c>
      <c r="AA496">
        <v>0</v>
      </c>
      <c r="AB496">
        <v>0</v>
      </c>
      <c r="AC496">
        <v>0</v>
      </c>
      <c r="AD496">
        <v>0</v>
      </c>
      <c r="AE496" t="s">
        <v>162</v>
      </c>
      <c r="AF496">
        <v>0</v>
      </c>
      <c r="AG496" t="s">
        <v>232</v>
      </c>
      <c r="AH496">
        <v>46315</v>
      </c>
      <c r="AI496" t="s">
        <v>149</v>
      </c>
    </row>
    <row r="497" spans="1:35" x14ac:dyDescent="0.25">
      <c r="A497" s="1">
        <v>46316</v>
      </c>
      <c r="B497" t="s">
        <v>13</v>
      </c>
      <c r="C497" t="s">
        <v>12</v>
      </c>
      <c r="D497">
        <v>2.4372947976878616</v>
      </c>
      <c r="E497">
        <v>0</v>
      </c>
      <c r="F497">
        <v>0</v>
      </c>
      <c r="G497">
        <v>2.0490196078431371</v>
      </c>
      <c r="H497">
        <v>0</v>
      </c>
      <c r="I497">
        <v>0</v>
      </c>
      <c r="J497">
        <v>0.84069420317433019</v>
      </c>
      <c r="K497">
        <v>0</v>
      </c>
      <c r="L497">
        <v>0</v>
      </c>
      <c r="M497">
        <v>0</v>
      </c>
      <c r="N497">
        <v>0</v>
      </c>
      <c r="O497">
        <v>0</v>
      </c>
      <c r="P497">
        <v>0</v>
      </c>
      <c r="Q497">
        <v>0</v>
      </c>
      <c r="R497">
        <v>0</v>
      </c>
      <c r="S497">
        <v>0</v>
      </c>
      <c r="T497">
        <v>0.84069420317433019</v>
      </c>
      <c r="U497">
        <v>0.15930579682566981</v>
      </c>
      <c r="V497">
        <v>0</v>
      </c>
      <c r="W497">
        <v>0</v>
      </c>
      <c r="X497">
        <v>0</v>
      </c>
      <c r="Y497">
        <v>0</v>
      </c>
      <c r="Z497">
        <v>0</v>
      </c>
      <c r="AA497">
        <v>0</v>
      </c>
      <c r="AB497">
        <v>0</v>
      </c>
      <c r="AC497">
        <v>0</v>
      </c>
      <c r="AD497">
        <v>0</v>
      </c>
      <c r="AE497" t="s">
        <v>162</v>
      </c>
      <c r="AF497">
        <v>0</v>
      </c>
      <c r="AG497" t="s">
        <v>233</v>
      </c>
      <c r="AH497">
        <v>46316</v>
      </c>
      <c r="AI497" t="s">
        <v>149</v>
      </c>
    </row>
    <row r="498" spans="1:35" x14ac:dyDescent="0.25">
      <c r="A498" s="1">
        <v>46316</v>
      </c>
      <c r="B498" t="s">
        <v>13</v>
      </c>
      <c r="C498" t="s">
        <v>10</v>
      </c>
      <c r="D498">
        <v>3.8844385838150295</v>
      </c>
      <c r="E498">
        <v>0</v>
      </c>
      <c r="F498">
        <v>0</v>
      </c>
      <c r="G498">
        <v>2.003063725490196</v>
      </c>
      <c r="H498">
        <v>0</v>
      </c>
      <c r="I498">
        <v>0</v>
      </c>
      <c r="J498">
        <v>0.51566363639682622</v>
      </c>
      <c r="K498">
        <v>0</v>
      </c>
      <c r="L498">
        <v>0</v>
      </c>
      <c r="M498">
        <v>0</v>
      </c>
      <c r="N498">
        <v>0</v>
      </c>
      <c r="O498">
        <v>0</v>
      </c>
      <c r="P498">
        <v>0</v>
      </c>
      <c r="Q498">
        <v>0</v>
      </c>
      <c r="R498">
        <v>0</v>
      </c>
      <c r="S498">
        <v>0</v>
      </c>
      <c r="T498">
        <v>0.51566363639682622</v>
      </c>
      <c r="U498">
        <v>0.48433636360317378</v>
      </c>
      <c r="V498">
        <v>0</v>
      </c>
      <c r="W498">
        <v>0</v>
      </c>
      <c r="X498">
        <v>0</v>
      </c>
      <c r="Y498">
        <v>0</v>
      </c>
      <c r="Z498">
        <v>0</v>
      </c>
      <c r="AA498">
        <v>0</v>
      </c>
      <c r="AB498">
        <v>0</v>
      </c>
      <c r="AC498">
        <v>0</v>
      </c>
      <c r="AD498">
        <v>0</v>
      </c>
      <c r="AE498" t="s">
        <v>162</v>
      </c>
      <c r="AF498">
        <v>0</v>
      </c>
      <c r="AG498" t="s">
        <v>235</v>
      </c>
      <c r="AH498">
        <v>46316</v>
      </c>
      <c r="AI498" t="s">
        <v>149</v>
      </c>
    </row>
    <row r="499" spans="1:35" x14ac:dyDescent="0.25">
      <c r="A499" s="1">
        <v>46316</v>
      </c>
      <c r="B499" t="s">
        <v>13</v>
      </c>
      <c r="C499" t="s">
        <v>11</v>
      </c>
      <c r="D499">
        <v>2.7622674373795766</v>
      </c>
      <c r="E499">
        <v>0</v>
      </c>
      <c r="F499">
        <v>0</v>
      </c>
      <c r="G499">
        <v>2.0078431372549019</v>
      </c>
      <c r="H499">
        <v>0</v>
      </c>
      <c r="I499">
        <v>0</v>
      </c>
      <c r="J499">
        <v>0.72688223815129249</v>
      </c>
      <c r="K499">
        <v>0</v>
      </c>
      <c r="L499">
        <v>0</v>
      </c>
      <c r="M499">
        <v>0</v>
      </c>
      <c r="N499">
        <v>0</v>
      </c>
      <c r="O499">
        <v>0</v>
      </c>
      <c r="P499">
        <v>0</v>
      </c>
      <c r="Q499">
        <v>0</v>
      </c>
      <c r="R499">
        <v>0</v>
      </c>
      <c r="S499">
        <v>0</v>
      </c>
      <c r="T499">
        <v>0.72688223815129249</v>
      </c>
      <c r="U499">
        <v>0.27311776184870751</v>
      </c>
      <c r="V499">
        <v>0</v>
      </c>
      <c r="W499">
        <v>0</v>
      </c>
      <c r="X499">
        <v>0</v>
      </c>
      <c r="Y499">
        <v>0</v>
      </c>
      <c r="Z499">
        <v>0</v>
      </c>
      <c r="AA499">
        <v>0</v>
      </c>
      <c r="AB499">
        <v>0</v>
      </c>
      <c r="AC499">
        <v>0</v>
      </c>
      <c r="AD499">
        <v>0</v>
      </c>
      <c r="AE499" t="s">
        <v>162</v>
      </c>
      <c r="AF499">
        <v>0</v>
      </c>
      <c r="AG499" t="s">
        <v>234</v>
      </c>
      <c r="AH499">
        <v>46316</v>
      </c>
      <c r="AI499" t="s">
        <v>149</v>
      </c>
    </row>
    <row r="500" spans="1:35" x14ac:dyDescent="0.25">
      <c r="A500" s="1">
        <v>46317</v>
      </c>
      <c r="B500" t="s">
        <v>13</v>
      </c>
      <c r="C500" t="s">
        <v>12</v>
      </c>
      <c r="D500">
        <v>2.4372947976878616</v>
      </c>
      <c r="E500">
        <v>0</v>
      </c>
      <c r="F500">
        <v>0</v>
      </c>
      <c r="G500">
        <v>2.1049596309111882</v>
      </c>
      <c r="H500">
        <v>0</v>
      </c>
      <c r="I500">
        <v>0</v>
      </c>
      <c r="J500">
        <v>0.86364588842845647</v>
      </c>
      <c r="K500">
        <v>0</v>
      </c>
      <c r="L500">
        <v>0</v>
      </c>
      <c r="M500">
        <v>0</v>
      </c>
      <c r="N500">
        <v>0</v>
      </c>
      <c r="O500">
        <v>0</v>
      </c>
      <c r="P500">
        <v>0</v>
      </c>
      <c r="Q500">
        <v>0</v>
      </c>
      <c r="R500">
        <v>0</v>
      </c>
      <c r="S500">
        <v>0</v>
      </c>
      <c r="T500">
        <v>0.86364588842845647</v>
      </c>
      <c r="U500">
        <v>0.13635411157154353</v>
      </c>
      <c r="V500">
        <v>0</v>
      </c>
      <c r="W500">
        <v>0</v>
      </c>
      <c r="X500">
        <v>0</v>
      </c>
      <c r="Y500">
        <v>0</v>
      </c>
      <c r="Z500">
        <v>0</v>
      </c>
      <c r="AA500">
        <v>0</v>
      </c>
      <c r="AB500">
        <v>0</v>
      </c>
      <c r="AC500">
        <v>0</v>
      </c>
      <c r="AD500">
        <v>0</v>
      </c>
      <c r="AE500" t="s">
        <v>162</v>
      </c>
      <c r="AF500">
        <v>0</v>
      </c>
      <c r="AG500" t="s">
        <v>238</v>
      </c>
      <c r="AH500">
        <v>46317</v>
      </c>
      <c r="AI500" t="s">
        <v>149</v>
      </c>
    </row>
    <row r="501" spans="1:35" x14ac:dyDescent="0.25">
      <c r="A501" s="1">
        <v>46317</v>
      </c>
      <c r="B501" t="s">
        <v>13</v>
      </c>
      <c r="C501" t="s">
        <v>10</v>
      </c>
      <c r="D501">
        <v>2.5134602601156071</v>
      </c>
      <c r="E501">
        <v>0</v>
      </c>
      <c r="F501">
        <v>0</v>
      </c>
      <c r="G501">
        <v>2.0061274509803924</v>
      </c>
      <c r="H501">
        <v>0</v>
      </c>
      <c r="I501">
        <v>0</v>
      </c>
      <c r="J501">
        <v>0.79815363815941942</v>
      </c>
      <c r="K501">
        <v>0</v>
      </c>
      <c r="L501">
        <v>0</v>
      </c>
      <c r="M501">
        <v>0</v>
      </c>
      <c r="N501">
        <v>0</v>
      </c>
      <c r="O501">
        <v>0</v>
      </c>
      <c r="P501">
        <v>0</v>
      </c>
      <c r="Q501">
        <v>0</v>
      </c>
      <c r="R501">
        <v>0</v>
      </c>
      <c r="S501">
        <v>0</v>
      </c>
      <c r="T501">
        <v>0.79815363815941942</v>
      </c>
      <c r="U501">
        <v>0.20184636184058058</v>
      </c>
      <c r="V501">
        <v>0</v>
      </c>
      <c r="W501">
        <v>0</v>
      </c>
      <c r="X501">
        <v>0</v>
      </c>
      <c r="Y501">
        <v>0</v>
      </c>
      <c r="Z501">
        <v>0</v>
      </c>
      <c r="AA501">
        <v>0</v>
      </c>
      <c r="AB501">
        <v>0</v>
      </c>
      <c r="AC501">
        <v>0</v>
      </c>
      <c r="AD501">
        <v>0</v>
      </c>
      <c r="AE501" t="s">
        <v>162</v>
      </c>
      <c r="AF501">
        <v>0</v>
      </c>
      <c r="AG501" t="s">
        <v>236</v>
      </c>
      <c r="AH501">
        <v>46317</v>
      </c>
      <c r="AI501" t="s">
        <v>149</v>
      </c>
    </row>
    <row r="502" spans="1:35" x14ac:dyDescent="0.25">
      <c r="A502" s="1">
        <v>46317</v>
      </c>
      <c r="B502" t="s">
        <v>13</v>
      </c>
      <c r="C502" t="s">
        <v>11</v>
      </c>
      <c r="D502">
        <v>2.7622674373795766</v>
      </c>
      <c r="E502">
        <v>0</v>
      </c>
      <c r="F502">
        <v>0</v>
      </c>
      <c r="G502">
        <v>2.0078431372549019</v>
      </c>
      <c r="H502">
        <v>0</v>
      </c>
      <c r="I502">
        <v>0</v>
      </c>
      <c r="J502">
        <v>0.72688223815129249</v>
      </c>
      <c r="K502">
        <v>0</v>
      </c>
      <c r="L502">
        <v>0</v>
      </c>
      <c r="M502">
        <v>0</v>
      </c>
      <c r="N502">
        <v>0</v>
      </c>
      <c r="O502">
        <v>0</v>
      </c>
      <c r="P502">
        <v>0</v>
      </c>
      <c r="Q502">
        <v>0</v>
      </c>
      <c r="R502">
        <v>0</v>
      </c>
      <c r="S502">
        <v>0</v>
      </c>
      <c r="T502">
        <v>0.72688223815129249</v>
      </c>
      <c r="U502">
        <v>0.27311776184870751</v>
      </c>
      <c r="V502">
        <v>0</v>
      </c>
      <c r="W502">
        <v>0</v>
      </c>
      <c r="X502">
        <v>0</v>
      </c>
      <c r="Y502">
        <v>0</v>
      </c>
      <c r="Z502">
        <v>0</v>
      </c>
      <c r="AA502">
        <v>0</v>
      </c>
      <c r="AB502">
        <v>0</v>
      </c>
      <c r="AC502">
        <v>0</v>
      </c>
      <c r="AD502">
        <v>0</v>
      </c>
      <c r="AE502" t="s">
        <v>162</v>
      </c>
      <c r="AF502">
        <v>0</v>
      </c>
      <c r="AG502" t="s">
        <v>237</v>
      </c>
      <c r="AH502">
        <v>46317</v>
      </c>
      <c r="AI502" t="s">
        <v>149</v>
      </c>
    </row>
    <row r="503" spans="1:35" x14ac:dyDescent="0.25">
      <c r="A503" s="1">
        <v>46318</v>
      </c>
      <c r="B503" t="s">
        <v>13</v>
      </c>
      <c r="C503" t="s">
        <v>10</v>
      </c>
      <c r="D503">
        <v>3.7321076589595377</v>
      </c>
      <c r="E503">
        <v>0</v>
      </c>
      <c r="F503">
        <v>0</v>
      </c>
      <c r="G503">
        <v>2.6280637254901964</v>
      </c>
      <c r="H503">
        <v>0</v>
      </c>
      <c r="I503">
        <v>0</v>
      </c>
      <c r="J503">
        <v>0.70417682597689746</v>
      </c>
      <c r="K503">
        <v>0</v>
      </c>
      <c r="L503">
        <v>0</v>
      </c>
      <c r="M503">
        <v>0</v>
      </c>
      <c r="N503">
        <v>0</v>
      </c>
      <c r="O503">
        <v>0</v>
      </c>
      <c r="P503">
        <v>0</v>
      </c>
      <c r="Q503">
        <v>0</v>
      </c>
      <c r="R503">
        <v>0</v>
      </c>
      <c r="S503">
        <v>0</v>
      </c>
      <c r="T503">
        <v>0.70417682597689746</v>
      </c>
      <c r="U503">
        <v>0.29582317402310254</v>
      </c>
      <c r="V503">
        <v>0</v>
      </c>
      <c r="W503">
        <v>0</v>
      </c>
      <c r="X503">
        <v>0</v>
      </c>
      <c r="Y503">
        <v>0</v>
      </c>
      <c r="Z503">
        <v>0</v>
      </c>
      <c r="AA503">
        <v>0</v>
      </c>
      <c r="AB503">
        <v>0</v>
      </c>
      <c r="AC503">
        <v>0</v>
      </c>
      <c r="AD503">
        <v>0</v>
      </c>
      <c r="AE503" t="s">
        <v>162</v>
      </c>
      <c r="AF503">
        <v>0</v>
      </c>
      <c r="AG503" t="s">
        <v>239</v>
      </c>
      <c r="AH503">
        <v>46318</v>
      </c>
      <c r="AI503" t="s">
        <v>149</v>
      </c>
    </row>
    <row r="504" spans="1:35" x14ac:dyDescent="0.25">
      <c r="A504" s="1">
        <v>46318</v>
      </c>
      <c r="B504" t="s">
        <v>13</v>
      </c>
      <c r="C504" t="s">
        <v>11</v>
      </c>
      <c r="D504">
        <v>2.7622674373795766</v>
      </c>
      <c r="E504">
        <v>0</v>
      </c>
      <c r="F504">
        <v>0</v>
      </c>
      <c r="G504">
        <v>2.0078431372549019</v>
      </c>
      <c r="H504">
        <v>0</v>
      </c>
      <c r="I504">
        <v>0</v>
      </c>
      <c r="J504">
        <v>0.72688223815129249</v>
      </c>
      <c r="K504">
        <v>0</v>
      </c>
      <c r="L504">
        <v>0</v>
      </c>
      <c r="M504">
        <v>0</v>
      </c>
      <c r="N504">
        <v>0</v>
      </c>
      <c r="O504">
        <v>0</v>
      </c>
      <c r="P504">
        <v>0</v>
      </c>
      <c r="Q504">
        <v>0</v>
      </c>
      <c r="R504">
        <v>0</v>
      </c>
      <c r="S504">
        <v>0</v>
      </c>
      <c r="T504">
        <v>0.72688223815129249</v>
      </c>
      <c r="U504">
        <v>0.27311776184870751</v>
      </c>
      <c r="V504">
        <v>0</v>
      </c>
      <c r="W504">
        <v>0</v>
      </c>
      <c r="X504">
        <v>0</v>
      </c>
      <c r="Y504">
        <v>0</v>
      </c>
      <c r="Z504">
        <v>0</v>
      </c>
      <c r="AA504">
        <v>0</v>
      </c>
      <c r="AB504">
        <v>0</v>
      </c>
      <c r="AC504">
        <v>0</v>
      </c>
      <c r="AD504">
        <v>0</v>
      </c>
      <c r="AE504" t="s">
        <v>162</v>
      </c>
      <c r="AF504">
        <v>0</v>
      </c>
      <c r="AG504" t="s">
        <v>240</v>
      </c>
      <c r="AH504">
        <v>46318</v>
      </c>
      <c r="AI504" t="s">
        <v>149</v>
      </c>
    </row>
    <row r="505" spans="1:35" x14ac:dyDescent="0.25">
      <c r="A505" s="1">
        <v>46318</v>
      </c>
      <c r="B505" t="s">
        <v>13</v>
      </c>
      <c r="C505" t="s">
        <v>12</v>
      </c>
      <c r="D505">
        <v>2.4372947976878616</v>
      </c>
      <c r="E505">
        <v>0</v>
      </c>
      <c r="F505">
        <v>0</v>
      </c>
      <c r="G505">
        <v>2.0490196078431371</v>
      </c>
      <c r="H505">
        <v>0</v>
      </c>
      <c r="I505">
        <v>0</v>
      </c>
      <c r="J505">
        <v>0.84069420317433019</v>
      </c>
      <c r="K505">
        <v>0</v>
      </c>
      <c r="L505">
        <v>0</v>
      </c>
      <c r="M505">
        <v>0</v>
      </c>
      <c r="N505">
        <v>0</v>
      </c>
      <c r="O505">
        <v>0</v>
      </c>
      <c r="P505">
        <v>0</v>
      </c>
      <c r="Q505">
        <v>0</v>
      </c>
      <c r="R505">
        <v>0</v>
      </c>
      <c r="S505">
        <v>0</v>
      </c>
      <c r="T505">
        <v>0.84069420317433019</v>
      </c>
      <c r="U505">
        <v>0.15930579682566981</v>
      </c>
      <c r="V505">
        <v>0</v>
      </c>
      <c r="W505">
        <v>0</v>
      </c>
      <c r="X505">
        <v>0</v>
      </c>
      <c r="Y505">
        <v>0</v>
      </c>
      <c r="Z505">
        <v>0</v>
      </c>
      <c r="AA505">
        <v>0</v>
      </c>
      <c r="AB505">
        <v>0</v>
      </c>
      <c r="AC505">
        <v>0</v>
      </c>
      <c r="AD505">
        <v>0</v>
      </c>
      <c r="AE505" t="s">
        <v>162</v>
      </c>
      <c r="AF505">
        <v>0</v>
      </c>
      <c r="AG505" t="s">
        <v>241</v>
      </c>
      <c r="AH505">
        <v>46318</v>
      </c>
      <c r="AI505" t="s">
        <v>149</v>
      </c>
    </row>
    <row r="506" spans="1:35" x14ac:dyDescent="0.25">
      <c r="A506" s="1">
        <v>46319</v>
      </c>
      <c r="B506" t="s">
        <v>13</v>
      </c>
      <c r="C506" t="s">
        <v>12</v>
      </c>
      <c r="D506">
        <v>2.4372947976878616</v>
      </c>
      <c r="E506">
        <v>0</v>
      </c>
      <c r="F506">
        <v>0</v>
      </c>
      <c r="G506">
        <v>1.8823529411764703</v>
      </c>
      <c r="H506">
        <v>0</v>
      </c>
      <c r="I506">
        <v>0</v>
      </c>
      <c r="J506">
        <v>0.77231237803574826</v>
      </c>
      <c r="K506">
        <v>0</v>
      </c>
      <c r="L506">
        <v>0</v>
      </c>
      <c r="M506">
        <v>0</v>
      </c>
      <c r="N506">
        <v>0</v>
      </c>
      <c r="O506">
        <v>0</v>
      </c>
      <c r="P506">
        <v>0</v>
      </c>
      <c r="Q506">
        <v>0</v>
      </c>
      <c r="R506">
        <v>0</v>
      </c>
      <c r="S506">
        <v>0</v>
      </c>
      <c r="T506">
        <v>0.77231237803574826</v>
      </c>
      <c r="U506">
        <v>0.22768762196425174</v>
      </c>
      <c r="V506">
        <v>0</v>
      </c>
      <c r="W506">
        <v>0</v>
      </c>
      <c r="X506">
        <v>0</v>
      </c>
      <c r="Y506">
        <v>0</v>
      </c>
      <c r="Z506">
        <v>0</v>
      </c>
      <c r="AA506">
        <v>0</v>
      </c>
      <c r="AB506">
        <v>0</v>
      </c>
      <c r="AC506">
        <v>0</v>
      </c>
      <c r="AD506">
        <v>0</v>
      </c>
      <c r="AE506" t="s">
        <v>162</v>
      </c>
      <c r="AF506">
        <v>0</v>
      </c>
      <c r="AG506" t="s">
        <v>242</v>
      </c>
      <c r="AH506">
        <v>46319</v>
      </c>
      <c r="AI506" t="s">
        <v>149</v>
      </c>
    </row>
    <row r="507" spans="1:35" x14ac:dyDescent="0.25">
      <c r="A507" s="1">
        <v>46319</v>
      </c>
      <c r="B507" t="s">
        <v>13</v>
      </c>
      <c r="C507" t="s">
        <v>11</v>
      </c>
      <c r="D507">
        <v>2.5997811175337189</v>
      </c>
      <c r="E507">
        <v>0</v>
      </c>
      <c r="F507">
        <v>0</v>
      </c>
      <c r="G507">
        <v>2.0078431372549019</v>
      </c>
      <c r="H507">
        <v>0</v>
      </c>
      <c r="I507">
        <v>0</v>
      </c>
      <c r="J507">
        <v>0.77231237803574837</v>
      </c>
      <c r="K507">
        <v>0</v>
      </c>
      <c r="L507">
        <v>0</v>
      </c>
      <c r="M507">
        <v>0</v>
      </c>
      <c r="N507">
        <v>0</v>
      </c>
      <c r="O507">
        <v>0</v>
      </c>
      <c r="P507">
        <v>0</v>
      </c>
      <c r="Q507">
        <v>0</v>
      </c>
      <c r="R507">
        <v>0</v>
      </c>
      <c r="S507">
        <v>0</v>
      </c>
      <c r="T507">
        <v>0.77231237803574837</v>
      </c>
      <c r="U507">
        <v>0.22768762196425163</v>
      </c>
      <c r="V507">
        <v>0</v>
      </c>
      <c r="W507">
        <v>0</v>
      </c>
      <c r="X507">
        <v>0</v>
      </c>
      <c r="Y507">
        <v>0</v>
      </c>
      <c r="Z507">
        <v>0</v>
      </c>
      <c r="AA507">
        <v>0</v>
      </c>
      <c r="AB507">
        <v>0</v>
      </c>
      <c r="AC507">
        <v>0</v>
      </c>
      <c r="AD507">
        <v>0</v>
      </c>
      <c r="AE507" t="s">
        <v>162</v>
      </c>
      <c r="AF507">
        <v>0</v>
      </c>
      <c r="AG507" t="s">
        <v>243</v>
      </c>
      <c r="AH507">
        <v>46319</v>
      </c>
      <c r="AI507" t="s">
        <v>149</v>
      </c>
    </row>
    <row r="508" spans="1:35" x14ac:dyDescent="0.25">
      <c r="A508" s="1">
        <v>46319</v>
      </c>
      <c r="B508" t="s">
        <v>13</v>
      </c>
      <c r="C508" t="s">
        <v>10</v>
      </c>
      <c r="D508">
        <v>0</v>
      </c>
      <c r="E508">
        <v>0</v>
      </c>
      <c r="F508">
        <v>0</v>
      </c>
      <c r="G508">
        <v>1.1176470588235294</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1</v>
      </c>
      <c r="AC508">
        <v>0</v>
      </c>
      <c r="AD508">
        <v>0</v>
      </c>
      <c r="AE508" t="s">
        <v>162</v>
      </c>
      <c r="AF508">
        <v>0</v>
      </c>
      <c r="AG508" t="s">
        <v>244</v>
      </c>
      <c r="AH508">
        <v>46319</v>
      </c>
      <c r="AI508" t="s">
        <v>149</v>
      </c>
    </row>
    <row r="509" spans="1:35" x14ac:dyDescent="0.25">
      <c r="A509" s="1">
        <v>46320</v>
      </c>
      <c r="B509" t="s">
        <v>13</v>
      </c>
      <c r="C509" t="s">
        <v>12</v>
      </c>
      <c r="D509">
        <v>2.4372947976878616</v>
      </c>
      <c r="E509">
        <v>0</v>
      </c>
      <c r="F509">
        <v>0</v>
      </c>
      <c r="G509">
        <v>1.8823529411764703</v>
      </c>
      <c r="H509">
        <v>0</v>
      </c>
      <c r="I509">
        <v>0</v>
      </c>
      <c r="J509">
        <v>0.77231237803574826</v>
      </c>
      <c r="K509">
        <v>0</v>
      </c>
      <c r="L509">
        <v>0</v>
      </c>
      <c r="M509">
        <v>0</v>
      </c>
      <c r="N509">
        <v>0</v>
      </c>
      <c r="O509">
        <v>0</v>
      </c>
      <c r="P509">
        <v>0</v>
      </c>
      <c r="Q509">
        <v>0</v>
      </c>
      <c r="R509">
        <v>0</v>
      </c>
      <c r="S509">
        <v>0</v>
      </c>
      <c r="T509">
        <v>0.77231237803574826</v>
      </c>
      <c r="U509">
        <v>0.22768762196425174</v>
      </c>
      <c r="V509">
        <v>0</v>
      </c>
      <c r="W509">
        <v>0</v>
      </c>
      <c r="X509">
        <v>0</v>
      </c>
      <c r="Y509">
        <v>0</v>
      </c>
      <c r="Z509">
        <v>0</v>
      </c>
      <c r="AA509">
        <v>0</v>
      </c>
      <c r="AB509">
        <v>0</v>
      </c>
      <c r="AC509">
        <v>0</v>
      </c>
      <c r="AD509">
        <v>0</v>
      </c>
      <c r="AE509" t="s">
        <v>162</v>
      </c>
      <c r="AF509">
        <v>0</v>
      </c>
      <c r="AG509" t="s">
        <v>245</v>
      </c>
      <c r="AH509">
        <v>46320</v>
      </c>
      <c r="AI509" t="s">
        <v>149</v>
      </c>
    </row>
    <row r="510" spans="1:35" x14ac:dyDescent="0.25">
      <c r="A510" s="1">
        <v>46320</v>
      </c>
      <c r="B510" t="s">
        <v>13</v>
      </c>
      <c r="C510" t="s">
        <v>11</v>
      </c>
      <c r="D510">
        <v>2.7622674373795766</v>
      </c>
      <c r="E510">
        <v>0</v>
      </c>
      <c r="F510">
        <v>0</v>
      </c>
      <c r="G510">
        <v>2.0078431372549019</v>
      </c>
      <c r="H510">
        <v>0</v>
      </c>
      <c r="I510">
        <v>0</v>
      </c>
      <c r="J510">
        <v>0.72688223815129249</v>
      </c>
      <c r="K510">
        <v>0</v>
      </c>
      <c r="L510">
        <v>0</v>
      </c>
      <c r="M510">
        <v>0</v>
      </c>
      <c r="N510">
        <v>0</v>
      </c>
      <c r="O510">
        <v>0</v>
      </c>
      <c r="P510">
        <v>0</v>
      </c>
      <c r="Q510">
        <v>0</v>
      </c>
      <c r="R510">
        <v>0</v>
      </c>
      <c r="S510">
        <v>0</v>
      </c>
      <c r="T510">
        <v>0.72688223815129249</v>
      </c>
      <c r="U510">
        <v>0.27311776184870751</v>
      </c>
      <c r="V510">
        <v>0</v>
      </c>
      <c r="W510">
        <v>0</v>
      </c>
      <c r="X510">
        <v>0</v>
      </c>
      <c r="Y510">
        <v>0</v>
      </c>
      <c r="Z510">
        <v>0</v>
      </c>
      <c r="AA510">
        <v>0</v>
      </c>
      <c r="AB510">
        <v>0</v>
      </c>
      <c r="AC510">
        <v>0</v>
      </c>
      <c r="AD510">
        <v>0</v>
      </c>
      <c r="AE510" t="s">
        <v>162</v>
      </c>
      <c r="AF510">
        <v>0</v>
      </c>
      <c r="AG510" t="s">
        <v>247</v>
      </c>
      <c r="AH510">
        <v>46320</v>
      </c>
      <c r="AI510" t="s">
        <v>149</v>
      </c>
    </row>
    <row r="511" spans="1:35" x14ac:dyDescent="0.25">
      <c r="A511" s="1">
        <v>46320</v>
      </c>
      <c r="B511" t="s">
        <v>13</v>
      </c>
      <c r="C511" t="s">
        <v>10</v>
      </c>
      <c r="D511">
        <v>0</v>
      </c>
      <c r="E511">
        <v>0</v>
      </c>
      <c r="F511">
        <v>0</v>
      </c>
      <c r="G511">
        <v>1.1176470588235294</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1</v>
      </c>
      <c r="AC511">
        <v>0</v>
      </c>
      <c r="AD511">
        <v>0</v>
      </c>
      <c r="AE511" t="s">
        <v>162</v>
      </c>
      <c r="AF511">
        <v>0</v>
      </c>
      <c r="AG511" t="s">
        <v>246</v>
      </c>
      <c r="AH511">
        <v>46320</v>
      </c>
      <c r="AI511" t="s">
        <v>149</v>
      </c>
    </row>
    <row r="512" spans="1:35" x14ac:dyDescent="0.25">
      <c r="A512" s="1">
        <v>46321</v>
      </c>
      <c r="B512" t="s">
        <v>13</v>
      </c>
      <c r="C512" t="s">
        <v>10</v>
      </c>
      <c r="D512">
        <v>2.589625722543353</v>
      </c>
      <c r="E512">
        <v>0</v>
      </c>
      <c r="F512">
        <v>0</v>
      </c>
      <c r="G512">
        <v>2.0061274509803924</v>
      </c>
      <c r="H512">
        <v>0</v>
      </c>
      <c r="I512">
        <v>0</v>
      </c>
      <c r="J512">
        <v>0.77467853115473051</v>
      </c>
      <c r="K512">
        <v>0</v>
      </c>
      <c r="L512">
        <v>0</v>
      </c>
      <c r="M512">
        <v>0</v>
      </c>
      <c r="N512">
        <v>0</v>
      </c>
      <c r="O512">
        <v>0</v>
      </c>
      <c r="P512">
        <v>0</v>
      </c>
      <c r="Q512">
        <v>0</v>
      </c>
      <c r="R512">
        <v>0</v>
      </c>
      <c r="S512">
        <v>0</v>
      </c>
      <c r="T512">
        <v>0.77467853115473051</v>
      </c>
      <c r="U512">
        <v>0.22532146884526949</v>
      </c>
      <c r="V512">
        <v>0</v>
      </c>
      <c r="W512">
        <v>0</v>
      </c>
      <c r="X512">
        <v>0</v>
      </c>
      <c r="Y512">
        <v>0</v>
      </c>
      <c r="Z512">
        <v>0</v>
      </c>
      <c r="AA512">
        <v>0</v>
      </c>
      <c r="AB512">
        <v>0</v>
      </c>
      <c r="AC512">
        <v>0</v>
      </c>
      <c r="AD512">
        <v>0</v>
      </c>
      <c r="AE512" t="s">
        <v>162</v>
      </c>
      <c r="AF512">
        <v>0</v>
      </c>
      <c r="AG512" t="s">
        <v>249</v>
      </c>
      <c r="AH512">
        <v>46321</v>
      </c>
      <c r="AI512" t="s">
        <v>149</v>
      </c>
    </row>
    <row r="513" spans="1:35" x14ac:dyDescent="0.25">
      <c r="A513" s="1">
        <v>46321</v>
      </c>
      <c r="B513" t="s">
        <v>13</v>
      </c>
      <c r="C513" t="s">
        <v>11</v>
      </c>
      <c r="D513">
        <v>2.7622674373795766</v>
      </c>
      <c r="E513">
        <v>0</v>
      </c>
      <c r="F513">
        <v>0</v>
      </c>
      <c r="G513">
        <v>2.0078431372549019</v>
      </c>
      <c r="H513">
        <v>0</v>
      </c>
      <c r="I513">
        <v>0</v>
      </c>
      <c r="J513">
        <v>0.72688223815129249</v>
      </c>
      <c r="K513">
        <v>0</v>
      </c>
      <c r="L513">
        <v>0</v>
      </c>
      <c r="M513">
        <v>0</v>
      </c>
      <c r="N513">
        <v>0</v>
      </c>
      <c r="O513">
        <v>0</v>
      </c>
      <c r="P513">
        <v>0</v>
      </c>
      <c r="Q513">
        <v>0</v>
      </c>
      <c r="R513">
        <v>0</v>
      </c>
      <c r="S513">
        <v>0</v>
      </c>
      <c r="T513">
        <v>0.72688223815129249</v>
      </c>
      <c r="U513">
        <v>0.27311776184870751</v>
      </c>
      <c r="V513">
        <v>0</v>
      </c>
      <c r="W513">
        <v>0</v>
      </c>
      <c r="X513">
        <v>0</v>
      </c>
      <c r="Y513">
        <v>0</v>
      </c>
      <c r="Z513">
        <v>0</v>
      </c>
      <c r="AA513">
        <v>0</v>
      </c>
      <c r="AB513">
        <v>0</v>
      </c>
      <c r="AC513">
        <v>0</v>
      </c>
      <c r="AD513">
        <v>0</v>
      </c>
      <c r="AE513" t="s">
        <v>162</v>
      </c>
      <c r="AF513">
        <v>0</v>
      </c>
      <c r="AG513" t="s">
        <v>250</v>
      </c>
      <c r="AH513">
        <v>46321</v>
      </c>
      <c r="AI513" t="s">
        <v>149</v>
      </c>
    </row>
    <row r="514" spans="1:35" x14ac:dyDescent="0.25">
      <c r="A514" s="1">
        <v>46321</v>
      </c>
      <c r="B514" t="s">
        <v>13</v>
      </c>
      <c r="C514" t="s">
        <v>12</v>
      </c>
      <c r="D514">
        <v>2.4372947976878616</v>
      </c>
      <c r="E514">
        <v>0</v>
      </c>
      <c r="F514">
        <v>0</v>
      </c>
      <c r="G514">
        <v>2.1049596309111882</v>
      </c>
      <c r="H514">
        <v>0</v>
      </c>
      <c r="I514">
        <v>0</v>
      </c>
      <c r="J514">
        <v>0.86364588842845647</v>
      </c>
      <c r="K514">
        <v>0</v>
      </c>
      <c r="L514">
        <v>0</v>
      </c>
      <c r="M514">
        <v>0</v>
      </c>
      <c r="N514">
        <v>0</v>
      </c>
      <c r="O514">
        <v>0</v>
      </c>
      <c r="P514">
        <v>0</v>
      </c>
      <c r="Q514">
        <v>0</v>
      </c>
      <c r="R514">
        <v>0</v>
      </c>
      <c r="S514">
        <v>0</v>
      </c>
      <c r="T514">
        <v>0.86364588842845647</v>
      </c>
      <c r="U514">
        <v>0.13635411157154353</v>
      </c>
      <c r="V514">
        <v>0</v>
      </c>
      <c r="W514">
        <v>0</v>
      </c>
      <c r="X514">
        <v>0</v>
      </c>
      <c r="Y514">
        <v>0</v>
      </c>
      <c r="Z514">
        <v>0</v>
      </c>
      <c r="AA514">
        <v>0</v>
      </c>
      <c r="AB514">
        <v>0</v>
      </c>
      <c r="AC514">
        <v>0</v>
      </c>
      <c r="AD514">
        <v>0</v>
      </c>
      <c r="AE514" t="s">
        <v>162</v>
      </c>
      <c r="AF514">
        <v>0</v>
      </c>
      <c r="AG514" t="s">
        <v>248</v>
      </c>
      <c r="AH514">
        <v>46321</v>
      </c>
      <c r="AI514" t="s">
        <v>149</v>
      </c>
    </row>
    <row r="515" spans="1:35" x14ac:dyDescent="0.25">
      <c r="A515" s="1">
        <v>46293</v>
      </c>
      <c r="B515" t="s">
        <v>148</v>
      </c>
      <c r="C515" t="s">
        <v>12</v>
      </c>
      <c r="D515">
        <v>7.313366681441142</v>
      </c>
      <c r="E515">
        <v>0</v>
      </c>
      <c r="F515">
        <v>0</v>
      </c>
      <c r="G515">
        <v>7.347711397058819</v>
      </c>
      <c r="H515">
        <v>0</v>
      </c>
      <c r="I515">
        <v>0</v>
      </c>
      <c r="J515">
        <v>1.0046961566558439</v>
      </c>
      <c r="K515">
        <v>4.6961566558438861E-3</v>
      </c>
      <c r="L515">
        <v>0</v>
      </c>
      <c r="M515">
        <v>0</v>
      </c>
      <c r="N515">
        <v>0</v>
      </c>
      <c r="O515">
        <v>0</v>
      </c>
      <c r="P515">
        <v>0</v>
      </c>
      <c r="Q515">
        <v>0</v>
      </c>
      <c r="R515">
        <v>0</v>
      </c>
      <c r="S515">
        <v>0</v>
      </c>
      <c r="T515">
        <v>0</v>
      </c>
      <c r="U515">
        <v>0</v>
      </c>
      <c r="V515">
        <v>0</v>
      </c>
      <c r="W515">
        <v>0</v>
      </c>
      <c r="X515">
        <v>0</v>
      </c>
      <c r="Y515">
        <v>0</v>
      </c>
      <c r="Z515">
        <v>0</v>
      </c>
      <c r="AA515">
        <v>0</v>
      </c>
      <c r="AB515">
        <v>0</v>
      </c>
      <c r="AC515">
        <v>1</v>
      </c>
      <c r="AD515">
        <v>0</v>
      </c>
      <c r="AE515" t="s">
        <v>163</v>
      </c>
      <c r="AF515">
        <v>0</v>
      </c>
      <c r="AG515" t="s">
        <v>164</v>
      </c>
      <c r="AH515">
        <v>46293</v>
      </c>
      <c r="AI515" t="s">
        <v>149</v>
      </c>
    </row>
    <row r="516" spans="1:35" x14ac:dyDescent="0.25">
      <c r="A516" s="1">
        <v>46293</v>
      </c>
      <c r="B516" t="s">
        <v>148</v>
      </c>
      <c r="C516" t="s">
        <v>11</v>
      </c>
      <c r="D516">
        <v>3.5458747546381306</v>
      </c>
      <c r="E516">
        <v>0</v>
      </c>
      <c r="F516">
        <v>0</v>
      </c>
      <c r="G516">
        <v>3.9407169117647047</v>
      </c>
      <c r="H516">
        <v>0</v>
      </c>
      <c r="I516">
        <v>0</v>
      </c>
      <c r="J516">
        <v>1.1113525390624996</v>
      </c>
      <c r="K516">
        <v>0.11135253906249964</v>
      </c>
      <c r="L516">
        <v>0</v>
      </c>
      <c r="M516">
        <v>0</v>
      </c>
      <c r="N516">
        <v>0</v>
      </c>
      <c r="O516">
        <v>0</v>
      </c>
      <c r="P516">
        <v>0</v>
      </c>
      <c r="Q516">
        <v>0</v>
      </c>
      <c r="R516">
        <v>0</v>
      </c>
      <c r="S516">
        <v>0</v>
      </c>
      <c r="T516">
        <v>0</v>
      </c>
      <c r="U516">
        <v>0</v>
      </c>
      <c r="V516">
        <v>0</v>
      </c>
      <c r="W516">
        <v>0</v>
      </c>
      <c r="X516">
        <v>0</v>
      </c>
      <c r="Y516">
        <v>0</v>
      </c>
      <c r="Z516">
        <v>0</v>
      </c>
      <c r="AA516">
        <v>0</v>
      </c>
      <c r="AB516">
        <v>0</v>
      </c>
      <c r="AC516">
        <v>1</v>
      </c>
      <c r="AD516">
        <v>0</v>
      </c>
      <c r="AE516" t="s">
        <v>163</v>
      </c>
      <c r="AF516">
        <v>0</v>
      </c>
      <c r="AG516" t="s">
        <v>165</v>
      </c>
      <c r="AH516">
        <v>46293</v>
      </c>
      <c r="AI516" t="s">
        <v>149</v>
      </c>
    </row>
    <row r="517" spans="1:35" x14ac:dyDescent="0.25">
      <c r="A517" s="1">
        <v>46293</v>
      </c>
      <c r="B517" t="s">
        <v>148</v>
      </c>
      <c r="C517" t="s">
        <v>10</v>
      </c>
      <c r="D517">
        <v>9.5295384030899761</v>
      </c>
      <c r="E517">
        <v>0</v>
      </c>
      <c r="F517">
        <v>0</v>
      </c>
      <c r="G517">
        <v>8.8694301470588215</v>
      </c>
      <c r="H517">
        <v>0</v>
      </c>
      <c r="I517">
        <v>0</v>
      </c>
      <c r="J517">
        <v>0.93073030107973409</v>
      </c>
      <c r="K517">
        <v>0</v>
      </c>
      <c r="L517">
        <v>0</v>
      </c>
      <c r="M517">
        <v>0</v>
      </c>
      <c r="N517">
        <v>0</v>
      </c>
      <c r="O517">
        <v>0</v>
      </c>
      <c r="P517">
        <v>0</v>
      </c>
      <c r="Q517">
        <v>0</v>
      </c>
      <c r="R517">
        <v>0</v>
      </c>
      <c r="S517">
        <v>0</v>
      </c>
      <c r="T517">
        <v>0.93073030107973409</v>
      </c>
      <c r="U517">
        <v>6.926969892026591E-2</v>
      </c>
      <c r="V517">
        <v>0</v>
      </c>
      <c r="W517">
        <v>0</v>
      </c>
      <c r="X517">
        <v>0</v>
      </c>
      <c r="Y517">
        <v>0</v>
      </c>
      <c r="Z517">
        <v>0</v>
      </c>
      <c r="AA517">
        <v>0</v>
      </c>
      <c r="AB517">
        <v>0</v>
      </c>
      <c r="AC517">
        <v>0</v>
      </c>
      <c r="AD517">
        <v>0</v>
      </c>
      <c r="AE517" t="s">
        <v>163</v>
      </c>
      <c r="AF517">
        <v>0</v>
      </c>
      <c r="AG517" t="s">
        <v>166</v>
      </c>
      <c r="AH517">
        <v>46293</v>
      </c>
      <c r="AI517" t="s">
        <v>149</v>
      </c>
    </row>
    <row r="518" spans="1:35" x14ac:dyDescent="0.25">
      <c r="A518" s="1">
        <v>46294</v>
      </c>
      <c r="B518" t="s">
        <v>148</v>
      </c>
      <c r="C518" t="s">
        <v>10</v>
      </c>
      <c r="D518">
        <v>9.5295384030899779</v>
      </c>
      <c r="E518">
        <v>0</v>
      </c>
      <c r="F518">
        <v>0</v>
      </c>
      <c r="G518">
        <v>8.6304901960784299</v>
      </c>
      <c r="H518">
        <v>0</v>
      </c>
      <c r="I518">
        <v>0</v>
      </c>
      <c r="J518">
        <v>0.90565668881506067</v>
      </c>
      <c r="K518">
        <v>0</v>
      </c>
      <c r="L518">
        <v>0</v>
      </c>
      <c r="M518">
        <v>0</v>
      </c>
      <c r="N518">
        <v>0</v>
      </c>
      <c r="O518">
        <v>0</v>
      </c>
      <c r="P518">
        <v>0</v>
      </c>
      <c r="Q518">
        <v>0</v>
      </c>
      <c r="R518">
        <v>0</v>
      </c>
      <c r="S518">
        <v>0</v>
      </c>
      <c r="T518">
        <v>0.90565668881506067</v>
      </c>
      <c r="U518">
        <v>9.4343311184939327E-2</v>
      </c>
      <c r="V518">
        <v>0</v>
      </c>
      <c r="W518">
        <v>0</v>
      </c>
      <c r="X518">
        <v>0</v>
      </c>
      <c r="Y518">
        <v>0</v>
      </c>
      <c r="Z518">
        <v>0</v>
      </c>
      <c r="AA518">
        <v>0</v>
      </c>
      <c r="AB518">
        <v>0</v>
      </c>
      <c r="AC518">
        <v>0</v>
      </c>
      <c r="AD518">
        <v>0</v>
      </c>
      <c r="AE518" t="s">
        <v>163</v>
      </c>
      <c r="AF518">
        <v>0</v>
      </c>
      <c r="AG518" t="s">
        <v>167</v>
      </c>
      <c r="AH518">
        <v>46294</v>
      </c>
      <c r="AI518" t="s">
        <v>149</v>
      </c>
    </row>
    <row r="519" spans="1:35" x14ac:dyDescent="0.25">
      <c r="A519" s="1">
        <v>46294</v>
      </c>
      <c r="B519" t="s">
        <v>148</v>
      </c>
      <c r="C519" t="s">
        <v>11</v>
      </c>
      <c r="D519">
        <v>3.5458747546381306</v>
      </c>
      <c r="E519">
        <v>0</v>
      </c>
      <c r="F519">
        <v>0</v>
      </c>
      <c r="G519">
        <v>3.3235294117647056</v>
      </c>
      <c r="H519">
        <v>0</v>
      </c>
      <c r="I519">
        <v>0</v>
      </c>
      <c r="J519">
        <v>0.93729464285714281</v>
      </c>
      <c r="K519">
        <v>0</v>
      </c>
      <c r="L519">
        <v>0</v>
      </c>
      <c r="M519">
        <v>0</v>
      </c>
      <c r="N519">
        <v>0</v>
      </c>
      <c r="O519">
        <v>0</v>
      </c>
      <c r="P519">
        <v>0</v>
      </c>
      <c r="Q519">
        <v>0</v>
      </c>
      <c r="R519">
        <v>0</v>
      </c>
      <c r="S519">
        <v>0</v>
      </c>
      <c r="T519">
        <v>0.93729464285714281</v>
      </c>
      <c r="U519">
        <v>6.2705357142857188E-2</v>
      </c>
      <c r="V519">
        <v>0</v>
      </c>
      <c r="W519">
        <v>0</v>
      </c>
      <c r="X519">
        <v>0</v>
      </c>
      <c r="Y519">
        <v>0</v>
      </c>
      <c r="Z519">
        <v>0</v>
      </c>
      <c r="AA519">
        <v>0</v>
      </c>
      <c r="AB519">
        <v>0</v>
      </c>
      <c r="AC519">
        <v>0</v>
      </c>
      <c r="AD519">
        <v>0</v>
      </c>
      <c r="AE519" t="s">
        <v>163</v>
      </c>
      <c r="AF519">
        <v>0</v>
      </c>
      <c r="AG519" t="s">
        <v>168</v>
      </c>
      <c r="AH519">
        <v>46294</v>
      </c>
      <c r="AI519" t="s">
        <v>149</v>
      </c>
    </row>
    <row r="520" spans="1:35" x14ac:dyDescent="0.25">
      <c r="A520" s="1">
        <v>46294</v>
      </c>
      <c r="B520" t="s">
        <v>148</v>
      </c>
      <c r="C520" t="s">
        <v>12</v>
      </c>
      <c r="D520">
        <v>7.313366681441142</v>
      </c>
      <c r="E520">
        <v>0</v>
      </c>
      <c r="F520">
        <v>0</v>
      </c>
      <c r="G520">
        <v>8.3805392156862677</v>
      </c>
      <c r="H520">
        <v>0</v>
      </c>
      <c r="I520">
        <v>0</v>
      </c>
      <c r="J520">
        <v>1.1459208297258292</v>
      </c>
      <c r="K520">
        <v>0.1459208297258292</v>
      </c>
      <c r="L520">
        <v>0</v>
      </c>
      <c r="M520">
        <v>0</v>
      </c>
      <c r="N520">
        <v>0</v>
      </c>
      <c r="O520">
        <v>0</v>
      </c>
      <c r="P520">
        <v>0</v>
      </c>
      <c r="Q520">
        <v>0</v>
      </c>
      <c r="R520">
        <v>0</v>
      </c>
      <c r="S520">
        <v>0</v>
      </c>
      <c r="T520">
        <v>0</v>
      </c>
      <c r="U520">
        <v>0</v>
      </c>
      <c r="V520">
        <v>0</v>
      </c>
      <c r="W520">
        <v>0</v>
      </c>
      <c r="X520">
        <v>0</v>
      </c>
      <c r="Y520">
        <v>0</v>
      </c>
      <c r="Z520">
        <v>0</v>
      </c>
      <c r="AA520">
        <v>0</v>
      </c>
      <c r="AB520">
        <v>0</v>
      </c>
      <c r="AC520">
        <v>1</v>
      </c>
      <c r="AD520">
        <v>0</v>
      </c>
      <c r="AE520" t="s">
        <v>163</v>
      </c>
      <c r="AF520">
        <v>0</v>
      </c>
      <c r="AG520" t="s">
        <v>169</v>
      </c>
      <c r="AH520">
        <v>46294</v>
      </c>
      <c r="AI520" t="s">
        <v>149</v>
      </c>
    </row>
    <row r="521" spans="1:35" x14ac:dyDescent="0.25">
      <c r="A521" s="1">
        <v>46295</v>
      </c>
      <c r="B521" t="s">
        <v>148</v>
      </c>
      <c r="C521" t="s">
        <v>10</v>
      </c>
      <c r="D521">
        <v>9.5295384030899779</v>
      </c>
      <c r="E521">
        <v>0</v>
      </c>
      <c r="F521">
        <v>0</v>
      </c>
      <c r="G521">
        <v>9.2519607843137219</v>
      </c>
      <c r="H521">
        <v>0</v>
      </c>
      <c r="I521">
        <v>0</v>
      </c>
      <c r="J521">
        <v>0.97087187153931287</v>
      </c>
      <c r="K521">
        <v>0</v>
      </c>
      <c r="L521">
        <v>0</v>
      </c>
      <c r="M521">
        <v>0</v>
      </c>
      <c r="N521">
        <v>0</v>
      </c>
      <c r="O521">
        <v>0</v>
      </c>
      <c r="P521">
        <v>0</v>
      </c>
      <c r="Q521">
        <v>0</v>
      </c>
      <c r="R521">
        <v>0</v>
      </c>
      <c r="S521">
        <v>0</v>
      </c>
      <c r="T521">
        <v>0.97087187153931287</v>
      </c>
      <c r="U521">
        <v>2.912812846068713E-2</v>
      </c>
      <c r="V521">
        <v>0</v>
      </c>
      <c r="W521">
        <v>0</v>
      </c>
      <c r="X521">
        <v>0</v>
      </c>
      <c r="Y521">
        <v>0</v>
      </c>
      <c r="Z521">
        <v>0</v>
      </c>
      <c r="AA521">
        <v>0</v>
      </c>
      <c r="AB521">
        <v>0</v>
      </c>
      <c r="AC521">
        <v>0</v>
      </c>
      <c r="AD521">
        <v>0</v>
      </c>
      <c r="AE521" t="s">
        <v>163</v>
      </c>
      <c r="AF521">
        <v>0</v>
      </c>
      <c r="AG521" t="s">
        <v>170</v>
      </c>
      <c r="AH521">
        <v>46295</v>
      </c>
      <c r="AI521" t="s">
        <v>149</v>
      </c>
    </row>
    <row r="522" spans="1:35" x14ac:dyDescent="0.25">
      <c r="A522" s="1">
        <v>46295</v>
      </c>
      <c r="B522" t="s">
        <v>148</v>
      </c>
      <c r="C522" t="s">
        <v>11</v>
      </c>
      <c r="D522">
        <v>3.5458747546381306</v>
      </c>
      <c r="E522">
        <v>0</v>
      </c>
      <c r="F522">
        <v>0</v>
      </c>
      <c r="G522">
        <v>3.3235294117647056</v>
      </c>
      <c r="H522">
        <v>0</v>
      </c>
      <c r="I522">
        <v>0</v>
      </c>
      <c r="J522">
        <v>0.93729464285714281</v>
      </c>
      <c r="K522">
        <v>0</v>
      </c>
      <c r="L522">
        <v>0</v>
      </c>
      <c r="M522">
        <v>0</v>
      </c>
      <c r="N522">
        <v>0</v>
      </c>
      <c r="O522">
        <v>0</v>
      </c>
      <c r="P522">
        <v>0</v>
      </c>
      <c r="Q522">
        <v>0</v>
      </c>
      <c r="R522">
        <v>0</v>
      </c>
      <c r="S522">
        <v>0</v>
      </c>
      <c r="T522">
        <v>0.93729464285714281</v>
      </c>
      <c r="U522">
        <v>6.2705357142857188E-2</v>
      </c>
      <c r="V522">
        <v>0</v>
      </c>
      <c r="W522">
        <v>0</v>
      </c>
      <c r="X522">
        <v>0</v>
      </c>
      <c r="Y522">
        <v>0</v>
      </c>
      <c r="Z522">
        <v>0</v>
      </c>
      <c r="AA522">
        <v>0</v>
      </c>
      <c r="AB522">
        <v>0</v>
      </c>
      <c r="AC522">
        <v>0</v>
      </c>
      <c r="AD522">
        <v>0</v>
      </c>
      <c r="AE522" t="s">
        <v>163</v>
      </c>
      <c r="AF522">
        <v>0</v>
      </c>
      <c r="AG522" t="s">
        <v>171</v>
      </c>
      <c r="AH522">
        <v>46295</v>
      </c>
      <c r="AI522" t="s">
        <v>149</v>
      </c>
    </row>
    <row r="523" spans="1:35" x14ac:dyDescent="0.25">
      <c r="A523" s="1">
        <v>46295</v>
      </c>
      <c r="B523" t="s">
        <v>148</v>
      </c>
      <c r="C523" t="s">
        <v>12</v>
      </c>
      <c r="D523">
        <v>6.6485151649464944</v>
      </c>
      <c r="E523">
        <v>0</v>
      </c>
      <c r="F523">
        <v>0</v>
      </c>
      <c r="G523">
        <v>7.6745098039215618</v>
      </c>
      <c r="H523">
        <v>0</v>
      </c>
      <c r="I523">
        <v>0</v>
      </c>
      <c r="J523">
        <v>1.1543193650793642</v>
      </c>
      <c r="K523">
        <v>0.15431936507936417</v>
      </c>
      <c r="L523">
        <v>0</v>
      </c>
      <c r="M523">
        <v>0</v>
      </c>
      <c r="N523">
        <v>0</v>
      </c>
      <c r="O523">
        <v>0</v>
      </c>
      <c r="P523">
        <v>0</v>
      </c>
      <c r="Q523">
        <v>0</v>
      </c>
      <c r="R523">
        <v>0</v>
      </c>
      <c r="S523">
        <v>0</v>
      </c>
      <c r="T523">
        <v>0</v>
      </c>
      <c r="U523">
        <v>0</v>
      </c>
      <c r="V523">
        <v>0</v>
      </c>
      <c r="W523">
        <v>0</v>
      </c>
      <c r="X523">
        <v>0</v>
      </c>
      <c r="Y523">
        <v>0</v>
      </c>
      <c r="Z523">
        <v>0</v>
      </c>
      <c r="AA523">
        <v>0</v>
      </c>
      <c r="AB523">
        <v>0</v>
      </c>
      <c r="AC523">
        <v>1</v>
      </c>
      <c r="AD523">
        <v>0</v>
      </c>
      <c r="AE523" t="s">
        <v>163</v>
      </c>
      <c r="AF523">
        <v>0</v>
      </c>
      <c r="AG523" t="s">
        <v>172</v>
      </c>
      <c r="AH523">
        <v>46295</v>
      </c>
      <c r="AI523" t="s">
        <v>149</v>
      </c>
    </row>
    <row r="524" spans="1:35" x14ac:dyDescent="0.25">
      <c r="A524" s="1">
        <v>46296</v>
      </c>
      <c r="B524" t="s">
        <v>148</v>
      </c>
      <c r="C524" t="s">
        <v>10</v>
      </c>
      <c r="D524">
        <v>9.5295384030899779</v>
      </c>
      <c r="E524">
        <v>0</v>
      </c>
      <c r="F524">
        <v>0</v>
      </c>
      <c r="G524">
        <v>10.145802696078428</v>
      </c>
      <c r="H524">
        <v>0</v>
      </c>
      <c r="I524">
        <v>0</v>
      </c>
      <c r="J524">
        <v>1.0646688503599109</v>
      </c>
      <c r="K524">
        <v>6.4668850359910879E-2</v>
      </c>
      <c r="L524">
        <v>0</v>
      </c>
      <c r="M524">
        <v>0</v>
      </c>
      <c r="N524">
        <v>0</v>
      </c>
      <c r="O524">
        <v>0</v>
      </c>
      <c r="P524">
        <v>0</v>
      </c>
      <c r="Q524">
        <v>0</v>
      </c>
      <c r="R524">
        <v>0</v>
      </c>
      <c r="S524">
        <v>0</v>
      </c>
      <c r="T524">
        <v>0</v>
      </c>
      <c r="U524">
        <v>0</v>
      </c>
      <c r="V524">
        <v>0</v>
      </c>
      <c r="W524">
        <v>0</v>
      </c>
      <c r="X524">
        <v>0</v>
      </c>
      <c r="Y524">
        <v>0</v>
      </c>
      <c r="Z524">
        <v>0</v>
      </c>
      <c r="AA524">
        <v>0</v>
      </c>
      <c r="AB524">
        <v>0</v>
      </c>
      <c r="AC524">
        <v>1</v>
      </c>
      <c r="AD524">
        <v>0</v>
      </c>
      <c r="AE524" t="s">
        <v>163</v>
      </c>
      <c r="AF524">
        <v>0</v>
      </c>
      <c r="AG524" t="s">
        <v>173</v>
      </c>
      <c r="AH524">
        <v>46296</v>
      </c>
      <c r="AI524" t="s">
        <v>149</v>
      </c>
    </row>
    <row r="525" spans="1:35" x14ac:dyDescent="0.25">
      <c r="A525" s="1">
        <v>46296</v>
      </c>
      <c r="B525" t="s">
        <v>148</v>
      </c>
      <c r="C525" t="s">
        <v>12</v>
      </c>
      <c r="D525">
        <v>7.313366681441142</v>
      </c>
      <c r="E525">
        <v>0</v>
      </c>
      <c r="F525">
        <v>0</v>
      </c>
      <c r="G525">
        <v>7.8323682598039186</v>
      </c>
      <c r="H525">
        <v>0</v>
      </c>
      <c r="I525">
        <v>0</v>
      </c>
      <c r="J525">
        <v>1.0709661638708514</v>
      </c>
      <c r="K525">
        <v>7.0966163870851418E-2</v>
      </c>
      <c r="L525">
        <v>0</v>
      </c>
      <c r="M525">
        <v>0</v>
      </c>
      <c r="N525">
        <v>0</v>
      </c>
      <c r="O525">
        <v>0</v>
      </c>
      <c r="P525">
        <v>0</v>
      </c>
      <c r="Q525">
        <v>0</v>
      </c>
      <c r="R525">
        <v>0</v>
      </c>
      <c r="S525">
        <v>0</v>
      </c>
      <c r="T525">
        <v>0</v>
      </c>
      <c r="U525">
        <v>0</v>
      </c>
      <c r="V525">
        <v>0</v>
      </c>
      <c r="W525">
        <v>0</v>
      </c>
      <c r="X525">
        <v>0</v>
      </c>
      <c r="Y525">
        <v>0</v>
      </c>
      <c r="Z525">
        <v>0</v>
      </c>
      <c r="AA525">
        <v>0</v>
      </c>
      <c r="AB525">
        <v>0</v>
      </c>
      <c r="AC525">
        <v>1</v>
      </c>
      <c r="AD525">
        <v>0</v>
      </c>
      <c r="AE525" t="s">
        <v>163</v>
      </c>
      <c r="AF525">
        <v>0</v>
      </c>
      <c r="AG525" t="s">
        <v>174</v>
      </c>
      <c r="AH525">
        <v>46296</v>
      </c>
      <c r="AI525" t="s">
        <v>149</v>
      </c>
    </row>
    <row r="526" spans="1:35" x14ac:dyDescent="0.25">
      <c r="A526" s="1">
        <v>46296</v>
      </c>
      <c r="B526" t="s">
        <v>148</v>
      </c>
      <c r="C526" t="s">
        <v>11</v>
      </c>
      <c r="D526">
        <v>3.5458747546381306</v>
      </c>
      <c r="E526">
        <v>0</v>
      </c>
      <c r="F526">
        <v>0</v>
      </c>
      <c r="G526">
        <v>3.2054227941176459</v>
      </c>
      <c r="H526">
        <v>0</v>
      </c>
      <c r="I526">
        <v>0</v>
      </c>
      <c r="J526">
        <v>0.90398646763392831</v>
      </c>
      <c r="K526">
        <v>0</v>
      </c>
      <c r="L526">
        <v>0</v>
      </c>
      <c r="M526">
        <v>0</v>
      </c>
      <c r="N526">
        <v>0</v>
      </c>
      <c r="O526">
        <v>0</v>
      </c>
      <c r="P526">
        <v>0</v>
      </c>
      <c r="Q526">
        <v>0</v>
      </c>
      <c r="R526">
        <v>0</v>
      </c>
      <c r="S526">
        <v>0</v>
      </c>
      <c r="T526">
        <v>0.90398646763392831</v>
      </c>
      <c r="U526">
        <v>9.6013532366071686E-2</v>
      </c>
      <c r="V526">
        <v>0</v>
      </c>
      <c r="W526">
        <v>0</v>
      </c>
      <c r="X526">
        <v>0</v>
      </c>
      <c r="Y526">
        <v>0</v>
      </c>
      <c r="Z526">
        <v>0</v>
      </c>
      <c r="AA526">
        <v>0</v>
      </c>
      <c r="AB526">
        <v>0</v>
      </c>
      <c r="AC526">
        <v>0</v>
      </c>
      <c r="AD526">
        <v>0</v>
      </c>
      <c r="AE526" t="s">
        <v>163</v>
      </c>
      <c r="AF526">
        <v>0</v>
      </c>
      <c r="AG526" t="s">
        <v>175</v>
      </c>
      <c r="AH526">
        <v>46296</v>
      </c>
      <c r="AI526" t="s">
        <v>149</v>
      </c>
    </row>
    <row r="527" spans="1:35" x14ac:dyDescent="0.25">
      <c r="A527" s="1">
        <v>46297</v>
      </c>
      <c r="B527" t="s">
        <v>148</v>
      </c>
      <c r="C527" t="s">
        <v>10</v>
      </c>
      <c r="D527">
        <v>9.5295384030899779</v>
      </c>
      <c r="E527">
        <v>0</v>
      </c>
      <c r="F527">
        <v>0</v>
      </c>
      <c r="G527">
        <v>10.825490196078428</v>
      </c>
      <c r="H527">
        <v>0</v>
      </c>
      <c r="I527">
        <v>0</v>
      </c>
      <c r="J527">
        <v>1.1359931339977847</v>
      </c>
      <c r="K527">
        <v>0.13599313399778468</v>
      </c>
      <c r="L527">
        <v>0</v>
      </c>
      <c r="M527">
        <v>0</v>
      </c>
      <c r="N527">
        <v>0</v>
      </c>
      <c r="O527">
        <v>0</v>
      </c>
      <c r="P527">
        <v>0</v>
      </c>
      <c r="Q527">
        <v>0</v>
      </c>
      <c r="R527">
        <v>0</v>
      </c>
      <c r="S527">
        <v>0</v>
      </c>
      <c r="T527">
        <v>0</v>
      </c>
      <c r="U527">
        <v>0</v>
      </c>
      <c r="V527">
        <v>0</v>
      </c>
      <c r="W527">
        <v>0</v>
      </c>
      <c r="X527">
        <v>0</v>
      </c>
      <c r="Y527">
        <v>0</v>
      </c>
      <c r="Z527">
        <v>0</v>
      </c>
      <c r="AA527">
        <v>0</v>
      </c>
      <c r="AB527">
        <v>0</v>
      </c>
      <c r="AC527">
        <v>1</v>
      </c>
      <c r="AD527">
        <v>0</v>
      </c>
      <c r="AE527" t="s">
        <v>163</v>
      </c>
      <c r="AF527">
        <v>0</v>
      </c>
      <c r="AG527" t="s">
        <v>176</v>
      </c>
      <c r="AH527">
        <v>46297</v>
      </c>
      <c r="AI527" t="s">
        <v>149</v>
      </c>
    </row>
    <row r="528" spans="1:35" x14ac:dyDescent="0.25">
      <c r="A528" s="1">
        <v>46297</v>
      </c>
      <c r="B528" t="s">
        <v>148</v>
      </c>
      <c r="C528" t="s">
        <v>11</v>
      </c>
      <c r="D528">
        <v>3.5458747546381306</v>
      </c>
      <c r="E528">
        <v>0</v>
      </c>
      <c r="F528">
        <v>0</v>
      </c>
      <c r="G528">
        <v>4.8512949956101838</v>
      </c>
      <c r="H528">
        <v>0</v>
      </c>
      <c r="I528">
        <v>0</v>
      </c>
      <c r="J528">
        <v>1.3681518190298507</v>
      </c>
      <c r="K528">
        <v>0.36815181902985072</v>
      </c>
      <c r="L528">
        <v>0</v>
      </c>
      <c r="M528">
        <v>0</v>
      </c>
      <c r="N528">
        <v>0</v>
      </c>
      <c r="O528">
        <v>0</v>
      </c>
      <c r="P528">
        <v>0</v>
      </c>
      <c r="Q528">
        <v>0</v>
      </c>
      <c r="R528">
        <v>0</v>
      </c>
      <c r="S528">
        <v>0</v>
      </c>
      <c r="T528">
        <v>0</v>
      </c>
      <c r="U528">
        <v>0</v>
      </c>
      <c r="V528">
        <v>0</v>
      </c>
      <c r="W528">
        <v>0</v>
      </c>
      <c r="X528">
        <v>0</v>
      </c>
      <c r="Y528">
        <v>0</v>
      </c>
      <c r="Z528">
        <v>0</v>
      </c>
      <c r="AA528">
        <v>0</v>
      </c>
      <c r="AB528">
        <v>0</v>
      </c>
      <c r="AC528">
        <v>1</v>
      </c>
      <c r="AD528">
        <v>0</v>
      </c>
      <c r="AE528" t="s">
        <v>163</v>
      </c>
      <c r="AF528">
        <v>0</v>
      </c>
      <c r="AG528" t="s">
        <v>177</v>
      </c>
      <c r="AH528">
        <v>46297</v>
      </c>
      <c r="AI528" t="s">
        <v>149</v>
      </c>
    </row>
    <row r="529" spans="1:35" x14ac:dyDescent="0.25">
      <c r="A529" s="1">
        <v>46297</v>
      </c>
      <c r="B529" t="s">
        <v>148</v>
      </c>
      <c r="C529" t="s">
        <v>12</v>
      </c>
      <c r="D529">
        <v>7.313366681441142</v>
      </c>
      <c r="E529">
        <v>0</v>
      </c>
      <c r="F529">
        <v>0</v>
      </c>
      <c r="G529">
        <v>7.7178043605501854</v>
      </c>
      <c r="H529">
        <v>0</v>
      </c>
      <c r="I529">
        <v>0</v>
      </c>
      <c r="J529">
        <v>1.0553011624776547</v>
      </c>
      <c r="K529">
        <v>5.5301162477654708E-2</v>
      </c>
      <c r="L529">
        <v>0</v>
      </c>
      <c r="M529">
        <v>0</v>
      </c>
      <c r="N529">
        <v>0</v>
      </c>
      <c r="O529">
        <v>0</v>
      </c>
      <c r="P529">
        <v>0</v>
      </c>
      <c r="Q529">
        <v>0</v>
      </c>
      <c r="R529">
        <v>0</v>
      </c>
      <c r="S529">
        <v>0</v>
      </c>
      <c r="T529">
        <v>0</v>
      </c>
      <c r="U529">
        <v>0</v>
      </c>
      <c r="V529">
        <v>0</v>
      </c>
      <c r="W529">
        <v>0</v>
      </c>
      <c r="X529">
        <v>0</v>
      </c>
      <c r="Y529">
        <v>0</v>
      </c>
      <c r="Z529">
        <v>0</v>
      </c>
      <c r="AA529">
        <v>0</v>
      </c>
      <c r="AB529">
        <v>0</v>
      </c>
      <c r="AC529">
        <v>1</v>
      </c>
      <c r="AD529">
        <v>0</v>
      </c>
      <c r="AE529" t="s">
        <v>163</v>
      </c>
      <c r="AF529">
        <v>0</v>
      </c>
      <c r="AG529" t="s">
        <v>178</v>
      </c>
      <c r="AH529">
        <v>46297</v>
      </c>
      <c r="AI529" t="s">
        <v>149</v>
      </c>
    </row>
    <row r="530" spans="1:35" x14ac:dyDescent="0.25">
      <c r="A530" s="1">
        <v>46298</v>
      </c>
      <c r="B530" t="s">
        <v>148</v>
      </c>
      <c r="C530" t="s">
        <v>11</v>
      </c>
      <c r="D530">
        <v>3.5458747546381306</v>
      </c>
      <c r="E530">
        <v>0</v>
      </c>
      <c r="F530">
        <v>0</v>
      </c>
      <c r="G530">
        <v>4.1760110294117636</v>
      </c>
      <c r="H530">
        <v>0</v>
      </c>
      <c r="I530">
        <v>0</v>
      </c>
      <c r="J530">
        <v>1.1777096819196426</v>
      </c>
      <c r="K530">
        <v>0.17770968191964265</v>
      </c>
      <c r="L530">
        <v>0</v>
      </c>
      <c r="M530">
        <v>0</v>
      </c>
      <c r="N530">
        <v>0</v>
      </c>
      <c r="O530">
        <v>0</v>
      </c>
      <c r="P530">
        <v>0</v>
      </c>
      <c r="Q530">
        <v>0</v>
      </c>
      <c r="R530">
        <v>0</v>
      </c>
      <c r="S530">
        <v>0</v>
      </c>
      <c r="T530">
        <v>0</v>
      </c>
      <c r="U530">
        <v>0</v>
      </c>
      <c r="V530">
        <v>0</v>
      </c>
      <c r="W530">
        <v>0</v>
      </c>
      <c r="X530">
        <v>0</v>
      </c>
      <c r="Y530">
        <v>0</v>
      </c>
      <c r="Z530">
        <v>0</v>
      </c>
      <c r="AA530">
        <v>0</v>
      </c>
      <c r="AB530">
        <v>0</v>
      </c>
      <c r="AC530">
        <v>1</v>
      </c>
      <c r="AD530">
        <v>0</v>
      </c>
      <c r="AE530" t="s">
        <v>163</v>
      </c>
      <c r="AF530">
        <v>0</v>
      </c>
      <c r="AG530" t="s">
        <v>179</v>
      </c>
      <c r="AH530">
        <v>46298</v>
      </c>
      <c r="AI530" t="s">
        <v>149</v>
      </c>
    </row>
    <row r="531" spans="1:35" x14ac:dyDescent="0.25">
      <c r="A531" s="1">
        <v>46298</v>
      </c>
      <c r="B531" t="s">
        <v>148</v>
      </c>
      <c r="C531" t="s">
        <v>10</v>
      </c>
      <c r="D531">
        <v>9.5295384030899779</v>
      </c>
      <c r="E531">
        <v>0</v>
      </c>
      <c r="F531">
        <v>0</v>
      </c>
      <c r="G531">
        <v>9.4760576712028062</v>
      </c>
      <c r="H531">
        <v>0</v>
      </c>
      <c r="I531">
        <v>0</v>
      </c>
      <c r="J531">
        <v>0.99438789901199931</v>
      </c>
      <c r="K531">
        <v>0</v>
      </c>
      <c r="L531">
        <v>0</v>
      </c>
      <c r="M531">
        <v>0</v>
      </c>
      <c r="N531">
        <v>0</v>
      </c>
      <c r="O531">
        <v>0</v>
      </c>
      <c r="P531">
        <v>0</v>
      </c>
      <c r="Q531">
        <v>0</v>
      </c>
      <c r="R531">
        <v>0</v>
      </c>
      <c r="S531">
        <v>0</v>
      </c>
      <c r="T531">
        <v>0.99438789901199931</v>
      </c>
      <c r="U531">
        <v>5.61210098800069E-3</v>
      </c>
      <c r="V531">
        <v>0</v>
      </c>
      <c r="W531">
        <v>0</v>
      </c>
      <c r="X531">
        <v>0</v>
      </c>
      <c r="Y531">
        <v>0</v>
      </c>
      <c r="Z531">
        <v>0</v>
      </c>
      <c r="AA531">
        <v>0</v>
      </c>
      <c r="AB531">
        <v>0</v>
      </c>
      <c r="AC531">
        <v>0</v>
      </c>
      <c r="AD531">
        <v>0</v>
      </c>
      <c r="AE531" t="s">
        <v>163</v>
      </c>
      <c r="AF531">
        <v>0</v>
      </c>
      <c r="AG531" t="s">
        <v>180</v>
      </c>
      <c r="AH531">
        <v>46298</v>
      </c>
      <c r="AI531" t="s">
        <v>149</v>
      </c>
    </row>
    <row r="532" spans="1:35" x14ac:dyDescent="0.25">
      <c r="A532" s="1">
        <v>46298</v>
      </c>
      <c r="B532" t="s">
        <v>148</v>
      </c>
      <c r="C532" t="s">
        <v>12</v>
      </c>
      <c r="D532">
        <v>7.313366681441142</v>
      </c>
      <c r="E532">
        <v>0</v>
      </c>
      <c r="F532">
        <v>0</v>
      </c>
      <c r="G532">
        <v>8.1563878676470587</v>
      </c>
      <c r="H532">
        <v>0</v>
      </c>
      <c r="I532">
        <v>0</v>
      </c>
      <c r="J532">
        <v>1.1152712865259744</v>
      </c>
      <c r="K532">
        <v>0.1152712865259744</v>
      </c>
      <c r="L532">
        <v>0</v>
      </c>
      <c r="M532">
        <v>0</v>
      </c>
      <c r="N532">
        <v>0</v>
      </c>
      <c r="O532">
        <v>0</v>
      </c>
      <c r="P532">
        <v>0</v>
      </c>
      <c r="Q532">
        <v>0</v>
      </c>
      <c r="R532">
        <v>0</v>
      </c>
      <c r="S532">
        <v>0</v>
      </c>
      <c r="T532">
        <v>0</v>
      </c>
      <c r="U532">
        <v>0</v>
      </c>
      <c r="V532">
        <v>0</v>
      </c>
      <c r="W532">
        <v>0</v>
      </c>
      <c r="X532">
        <v>0</v>
      </c>
      <c r="Y532">
        <v>0</v>
      </c>
      <c r="Z532">
        <v>0</v>
      </c>
      <c r="AA532">
        <v>0</v>
      </c>
      <c r="AB532">
        <v>0</v>
      </c>
      <c r="AC532">
        <v>1</v>
      </c>
      <c r="AD532">
        <v>0</v>
      </c>
      <c r="AE532" t="s">
        <v>163</v>
      </c>
      <c r="AF532">
        <v>0</v>
      </c>
      <c r="AG532" t="s">
        <v>181</v>
      </c>
      <c r="AH532">
        <v>46298</v>
      </c>
      <c r="AI532" t="s">
        <v>149</v>
      </c>
    </row>
    <row r="533" spans="1:35" x14ac:dyDescent="0.25">
      <c r="A533" s="1">
        <v>46299</v>
      </c>
      <c r="B533" t="s">
        <v>148</v>
      </c>
      <c r="C533" t="s">
        <v>10</v>
      </c>
      <c r="D533">
        <v>8.6430697144304478</v>
      </c>
      <c r="E533">
        <v>0</v>
      </c>
      <c r="F533">
        <v>0</v>
      </c>
      <c r="G533">
        <v>10.957668067226887</v>
      </c>
      <c r="H533">
        <v>0</v>
      </c>
      <c r="I533">
        <v>0</v>
      </c>
      <c r="J533">
        <v>1.2677981815803234</v>
      </c>
      <c r="K533">
        <v>0.26779818158032342</v>
      </c>
      <c r="L533">
        <v>0</v>
      </c>
      <c r="M533">
        <v>0</v>
      </c>
      <c r="N533">
        <v>0</v>
      </c>
      <c r="O533">
        <v>0</v>
      </c>
      <c r="P533">
        <v>0</v>
      </c>
      <c r="Q533">
        <v>0</v>
      </c>
      <c r="R533">
        <v>0</v>
      </c>
      <c r="S533">
        <v>0</v>
      </c>
      <c r="T533">
        <v>0</v>
      </c>
      <c r="U533">
        <v>0</v>
      </c>
      <c r="V533">
        <v>0</v>
      </c>
      <c r="W533">
        <v>0</v>
      </c>
      <c r="X533">
        <v>0</v>
      </c>
      <c r="Y533">
        <v>0</v>
      </c>
      <c r="Z533">
        <v>0</v>
      </c>
      <c r="AA533">
        <v>0</v>
      </c>
      <c r="AB533">
        <v>0</v>
      </c>
      <c r="AC533">
        <v>1</v>
      </c>
      <c r="AD533">
        <v>0</v>
      </c>
      <c r="AE533" t="s">
        <v>163</v>
      </c>
      <c r="AF533">
        <v>0</v>
      </c>
      <c r="AG533" t="s">
        <v>182</v>
      </c>
      <c r="AH533">
        <v>46299</v>
      </c>
      <c r="AI533" t="s">
        <v>149</v>
      </c>
    </row>
    <row r="534" spans="1:35" x14ac:dyDescent="0.25">
      <c r="A534" s="1">
        <v>46299</v>
      </c>
      <c r="B534" t="s">
        <v>148</v>
      </c>
      <c r="C534" t="s">
        <v>11</v>
      </c>
      <c r="D534">
        <v>3.5458747546381306</v>
      </c>
      <c r="E534">
        <v>0</v>
      </c>
      <c r="F534">
        <v>0</v>
      </c>
      <c r="G534">
        <v>4.1764705882352935</v>
      </c>
      <c r="H534">
        <v>0</v>
      </c>
      <c r="I534">
        <v>0</v>
      </c>
      <c r="J534">
        <v>1.1778392857142856</v>
      </c>
      <c r="K534">
        <v>0.17783928571428564</v>
      </c>
      <c r="L534">
        <v>0</v>
      </c>
      <c r="M534">
        <v>0</v>
      </c>
      <c r="N534">
        <v>0</v>
      </c>
      <c r="O534">
        <v>0</v>
      </c>
      <c r="P534">
        <v>0</v>
      </c>
      <c r="Q534">
        <v>0</v>
      </c>
      <c r="R534">
        <v>0</v>
      </c>
      <c r="S534">
        <v>0</v>
      </c>
      <c r="T534">
        <v>0</v>
      </c>
      <c r="U534">
        <v>0</v>
      </c>
      <c r="V534">
        <v>0</v>
      </c>
      <c r="W534">
        <v>0</v>
      </c>
      <c r="X534">
        <v>0</v>
      </c>
      <c r="Y534">
        <v>0</v>
      </c>
      <c r="Z534">
        <v>0</v>
      </c>
      <c r="AA534">
        <v>0</v>
      </c>
      <c r="AB534">
        <v>0</v>
      </c>
      <c r="AC534">
        <v>1</v>
      </c>
      <c r="AD534">
        <v>0</v>
      </c>
      <c r="AE534" t="s">
        <v>163</v>
      </c>
      <c r="AF534">
        <v>0</v>
      </c>
      <c r="AG534" t="s">
        <v>183</v>
      </c>
      <c r="AH534">
        <v>46299</v>
      </c>
      <c r="AI534" t="s">
        <v>149</v>
      </c>
    </row>
    <row r="535" spans="1:35" x14ac:dyDescent="0.25">
      <c r="A535" s="1">
        <v>46299</v>
      </c>
      <c r="B535" t="s">
        <v>148</v>
      </c>
      <c r="C535" t="s">
        <v>12</v>
      </c>
      <c r="D535">
        <v>7.313366681441142</v>
      </c>
      <c r="E535">
        <v>0</v>
      </c>
      <c r="F535">
        <v>0</v>
      </c>
      <c r="G535">
        <v>8.5533613445378069</v>
      </c>
      <c r="H535">
        <v>0</v>
      </c>
      <c r="I535">
        <v>0</v>
      </c>
      <c r="J535">
        <v>1.1695518243661094</v>
      </c>
      <c r="K535">
        <v>0.16955182436610938</v>
      </c>
      <c r="L535">
        <v>0</v>
      </c>
      <c r="M535">
        <v>0</v>
      </c>
      <c r="N535">
        <v>0</v>
      </c>
      <c r="O535">
        <v>0</v>
      </c>
      <c r="P535">
        <v>0</v>
      </c>
      <c r="Q535">
        <v>0</v>
      </c>
      <c r="R535">
        <v>0</v>
      </c>
      <c r="S535">
        <v>0</v>
      </c>
      <c r="T535">
        <v>0</v>
      </c>
      <c r="U535">
        <v>0</v>
      </c>
      <c r="V535">
        <v>0</v>
      </c>
      <c r="W535">
        <v>0</v>
      </c>
      <c r="X535">
        <v>0</v>
      </c>
      <c r="Y535">
        <v>0</v>
      </c>
      <c r="Z535">
        <v>0</v>
      </c>
      <c r="AA535">
        <v>0</v>
      </c>
      <c r="AB535">
        <v>0</v>
      </c>
      <c r="AC535">
        <v>1</v>
      </c>
      <c r="AD535">
        <v>0</v>
      </c>
      <c r="AE535" t="s">
        <v>163</v>
      </c>
      <c r="AF535">
        <v>0</v>
      </c>
      <c r="AG535" t="s">
        <v>184</v>
      </c>
      <c r="AH535">
        <v>46299</v>
      </c>
      <c r="AI535" t="s">
        <v>149</v>
      </c>
    </row>
    <row r="536" spans="1:35" x14ac:dyDescent="0.25">
      <c r="A536" s="1">
        <v>46300</v>
      </c>
      <c r="B536" t="s">
        <v>148</v>
      </c>
      <c r="C536" t="s">
        <v>11</v>
      </c>
      <c r="D536">
        <v>3.5458747546381306</v>
      </c>
      <c r="E536">
        <v>0</v>
      </c>
      <c r="F536">
        <v>0</v>
      </c>
      <c r="G536">
        <v>4.1764705882352935</v>
      </c>
      <c r="H536">
        <v>0</v>
      </c>
      <c r="I536">
        <v>0</v>
      </c>
      <c r="J536">
        <v>1.1778392857142856</v>
      </c>
      <c r="K536">
        <v>0.17783928571428564</v>
      </c>
      <c r="L536">
        <v>0</v>
      </c>
      <c r="M536">
        <v>0</v>
      </c>
      <c r="N536">
        <v>0</v>
      </c>
      <c r="O536">
        <v>0</v>
      </c>
      <c r="P536">
        <v>0</v>
      </c>
      <c r="Q536">
        <v>0</v>
      </c>
      <c r="R536">
        <v>0</v>
      </c>
      <c r="S536">
        <v>0</v>
      </c>
      <c r="T536">
        <v>0</v>
      </c>
      <c r="U536">
        <v>0</v>
      </c>
      <c r="V536">
        <v>0</v>
      </c>
      <c r="W536">
        <v>0</v>
      </c>
      <c r="X536">
        <v>0</v>
      </c>
      <c r="Y536">
        <v>0</v>
      </c>
      <c r="Z536">
        <v>0</v>
      </c>
      <c r="AA536">
        <v>0</v>
      </c>
      <c r="AB536">
        <v>0</v>
      </c>
      <c r="AC536">
        <v>1</v>
      </c>
      <c r="AD536">
        <v>0</v>
      </c>
      <c r="AE536" t="s">
        <v>163</v>
      </c>
      <c r="AF536">
        <v>0</v>
      </c>
      <c r="AG536" t="s">
        <v>185</v>
      </c>
      <c r="AH536">
        <v>46300</v>
      </c>
      <c r="AI536" t="s">
        <v>149</v>
      </c>
    </row>
    <row r="537" spans="1:35" x14ac:dyDescent="0.25">
      <c r="A537" s="1">
        <v>46300</v>
      </c>
      <c r="B537" t="s">
        <v>148</v>
      </c>
      <c r="C537" t="s">
        <v>10</v>
      </c>
      <c r="D537">
        <v>9.5295384030899779</v>
      </c>
      <c r="E537">
        <v>0</v>
      </c>
      <c r="F537">
        <v>0</v>
      </c>
      <c r="G537">
        <v>10.22254901960784</v>
      </c>
      <c r="H537">
        <v>0</v>
      </c>
      <c r="I537">
        <v>0</v>
      </c>
      <c r="J537">
        <v>1.0727223698781834</v>
      </c>
      <c r="K537">
        <v>7.2722369878183368E-2</v>
      </c>
      <c r="L537">
        <v>0</v>
      </c>
      <c r="M537">
        <v>0</v>
      </c>
      <c r="N537">
        <v>0</v>
      </c>
      <c r="O537">
        <v>0</v>
      </c>
      <c r="P537">
        <v>0</v>
      </c>
      <c r="Q537">
        <v>0</v>
      </c>
      <c r="R537">
        <v>0</v>
      </c>
      <c r="S537">
        <v>0</v>
      </c>
      <c r="T537">
        <v>0</v>
      </c>
      <c r="U537">
        <v>0</v>
      </c>
      <c r="V537">
        <v>0</v>
      </c>
      <c r="W537">
        <v>0</v>
      </c>
      <c r="X537">
        <v>0</v>
      </c>
      <c r="Y537">
        <v>0</v>
      </c>
      <c r="Z537">
        <v>0</v>
      </c>
      <c r="AA537">
        <v>0</v>
      </c>
      <c r="AB537">
        <v>0</v>
      </c>
      <c r="AC537">
        <v>1</v>
      </c>
      <c r="AD537">
        <v>0</v>
      </c>
      <c r="AE537" t="s">
        <v>163</v>
      </c>
      <c r="AF537">
        <v>0</v>
      </c>
      <c r="AG537" t="s">
        <v>186</v>
      </c>
      <c r="AH537">
        <v>46300</v>
      </c>
      <c r="AI537" t="s">
        <v>149</v>
      </c>
    </row>
    <row r="538" spans="1:35" x14ac:dyDescent="0.25">
      <c r="A538" s="1">
        <v>46300</v>
      </c>
      <c r="B538" t="s">
        <v>148</v>
      </c>
      <c r="C538" t="s">
        <v>12</v>
      </c>
      <c r="D538">
        <v>7.313366681441142</v>
      </c>
      <c r="E538">
        <v>0</v>
      </c>
      <c r="F538">
        <v>0</v>
      </c>
      <c r="G538">
        <v>8.6009803921568562</v>
      </c>
      <c r="H538">
        <v>0</v>
      </c>
      <c r="I538">
        <v>0</v>
      </c>
      <c r="J538">
        <v>1.1760630591630588</v>
      </c>
      <c r="K538">
        <v>0.17606305916305875</v>
      </c>
      <c r="L538">
        <v>0</v>
      </c>
      <c r="M538">
        <v>0</v>
      </c>
      <c r="N538">
        <v>0</v>
      </c>
      <c r="O538">
        <v>0</v>
      </c>
      <c r="P538">
        <v>0</v>
      </c>
      <c r="Q538">
        <v>0</v>
      </c>
      <c r="R538">
        <v>0</v>
      </c>
      <c r="S538">
        <v>0</v>
      </c>
      <c r="T538">
        <v>0</v>
      </c>
      <c r="U538">
        <v>0</v>
      </c>
      <c r="V538">
        <v>0</v>
      </c>
      <c r="W538">
        <v>0</v>
      </c>
      <c r="X538">
        <v>0</v>
      </c>
      <c r="Y538">
        <v>0</v>
      </c>
      <c r="Z538">
        <v>0</v>
      </c>
      <c r="AA538">
        <v>0</v>
      </c>
      <c r="AB538">
        <v>0</v>
      </c>
      <c r="AC538">
        <v>1</v>
      </c>
      <c r="AD538">
        <v>0</v>
      </c>
      <c r="AE538" t="s">
        <v>163</v>
      </c>
      <c r="AF538">
        <v>0</v>
      </c>
      <c r="AG538" t="s">
        <v>187</v>
      </c>
      <c r="AH538">
        <v>46300</v>
      </c>
      <c r="AI538" t="s">
        <v>149</v>
      </c>
    </row>
    <row r="539" spans="1:35" x14ac:dyDescent="0.25">
      <c r="A539" s="1">
        <v>46301</v>
      </c>
      <c r="B539" t="s">
        <v>148</v>
      </c>
      <c r="C539" t="s">
        <v>12</v>
      </c>
      <c r="D539">
        <v>7.313366681441142</v>
      </c>
      <c r="E539">
        <v>0</v>
      </c>
      <c r="F539">
        <v>0</v>
      </c>
      <c r="G539">
        <v>7.7186274509803852</v>
      </c>
      <c r="H539">
        <v>0</v>
      </c>
      <c r="I539">
        <v>0</v>
      </c>
      <c r="J539">
        <v>1.0554137085137079</v>
      </c>
      <c r="K539">
        <v>5.541370851370786E-2</v>
      </c>
      <c r="L539">
        <v>0</v>
      </c>
      <c r="M539">
        <v>0</v>
      </c>
      <c r="N539">
        <v>0</v>
      </c>
      <c r="O539">
        <v>0</v>
      </c>
      <c r="P539">
        <v>0</v>
      </c>
      <c r="Q539">
        <v>0</v>
      </c>
      <c r="R539">
        <v>0</v>
      </c>
      <c r="S539">
        <v>0</v>
      </c>
      <c r="T539">
        <v>0</v>
      </c>
      <c r="U539">
        <v>0</v>
      </c>
      <c r="V539">
        <v>0</v>
      </c>
      <c r="W539">
        <v>0</v>
      </c>
      <c r="X539">
        <v>0</v>
      </c>
      <c r="Y539">
        <v>0</v>
      </c>
      <c r="Z539">
        <v>0</v>
      </c>
      <c r="AA539">
        <v>0</v>
      </c>
      <c r="AB539">
        <v>0</v>
      </c>
      <c r="AC539">
        <v>1</v>
      </c>
      <c r="AD539">
        <v>0</v>
      </c>
      <c r="AE539" t="s">
        <v>163</v>
      </c>
      <c r="AF539">
        <v>0</v>
      </c>
      <c r="AG539" t="s">
        <v>188</v>
      </c>
      <c r="AH539">
        <v>46301</v>
      </c>
      <c r="AI539" t="s">
        <v>149</v>
      </c>
    </row>
    <row r="540" spans="1:35" x14ac:dyDescent="0.25">
      <c r="A540" s="1">
        <v>46301</v>
      </c>
      <c r="B540" t="s">
        <v>148</v>
      </c>
      <c r="C540" t="s">
        <v>11</v>
      </c>
      <c r="D540">
        <v>3.5458747546381306</v>
      </c>
      <c r="E540">
        <v>0</v>
      </c>
      <c r="F540">
        <v>0</v>
      </c>
      <c r="G540">
        <v>3.2058823529411757</v>
      </c>
      <c r="H540">
        <v>0</v>
      </c>
      <c r="I540">
        <v>0</v>
      </c>
      <c r="J540">
        <v>0.90411607142857131</v>
      </c>
      <c r="K540">
        <v>0</v>
      </c>
      <c r="L540">
        <v>0</v>
      </c>
      <c r="M540">
        <v>0</v>
      </c>
      <c r="N540">
        <v>0</v>
      </c>
      <c r="O540">
        <v>0</v>
      </c>
      <c r="P540">
        <v>0</v>
      </c>
      <c r="Q540">
        <v>0</v>
      </c>
      <c r="R540">
        <v>0</v>
      </c>
      <c r="S540">
        <v>0</v>
      </c>
      <c r="T540">
        <v>0.90411607142857131</v>
      </c>
      <c r="U540">
        <v>9.5883928571428689E-2</v>
      </c>
      <c r="V540">
        <v>0</v>
      </c>
      <c r="W540">
        <v>0</v>
      </c>
      <c r="X540">
        <v>0</v>
      </c>
      <c r="Y540">
        <v>0</v>
      </c>
      <c r="Z540">
        <v>0</v>
      </c>
      <c r="AA540">
        <v>0</v>
      </c>
      <c r="AB540">
        <v>0</v>
      </c>
      <c r="AC540">
        <v>0</v>
      </c>
      <c r="AD540">
        <v>0</v>
      </c>
      <c r="AE540" t="s">
        <v>163</v>
      </c>
      <c r="AF540">
        <v>0</v>
      </c>
      <c r="AG540" t="s">
        <v>189</v>
      </c>
      <c r="AH540">
        <v>46301</v>
      </c>
      <c r="AI540" t="s">
        <v>149</v>
      </c>
    </row>
    <row r="541" spans="1:35" x14ac:dyDescent="0.25">
      <c r="A541" s="1">
        <v>46301</v>
      </c>
      <c r="B541" t="s">
        <v>148</v>
      </c>
      <c r="C541" t="s">
        <v>10</v>
      </c>
      <c r="D541">
        <v>9.5295384030899779</v>
      </c>
      <c r="E541">
        <v>0</v>
      </c>
      <c r="F541">
        <v>0</v>
      </c>
      <c r="G541">
        <v>10.22254901960784</v>
      </c>
      <c r="H541">
        <v>0</v>
      </c>
      <c r="I541">
        <v>0</v>
      </c>
      <c r="J541">
        <v>1.0727223698781834</v>
      </c>
      <c r="K541">
        <v>7.2722369878183368E-2</v>
      </c>
      <c r="L541">
        <v>0</v>
      </c>
      <c r="M541">
        <v>0</v>
      </c>
      <c r="N541">
        <v>0</v>
      </c>
      <c r="O541">
        <v>0</v>
      </c>
      <c r="P541">
        <v>0</v>
      </c>
      <c r="Q541">
        <v>0</v>
      </c>
      <c r="R541">
        <v>0</v>
      </c>
      <c r="S541">
        <v>0</v>
      </c>
      <c r="T541">
        <v>0</v>
      </c>
      <c r="U541">
        <v>0</v>
      </c>
      <c r="V541">
        <v>0</v>
      </c>
      <c r="W541">
        <v>0</v>
      </c>
      <c r="X541">
        <v>0</v>
      </c>
      <c r="Y541">
        <v>0</v>
      </c>
      <c r="Z541">
        <v>0</v>
      </c>
      <c r="AA541">
        <v>0</v>
      </c>
      <c r="AB541">
        <v>0</v>
      </c>
      <c r="AC541">
        <v>1</v>
      </c>
      <c r="AD541">
        <v>0</v>
      </c>
      <c r="AE541" t="s">
        <v>163</v>
      </c>
      <c r="AF541">
        <v>0</v>
      </c>
      <c r="AG541" t="s">
        <v>190</v>
      </c>
      <c r="AH541">
        <v>46301</v>
      </c>
      <c r="AI541" t="s">
        <v>149</v>
      </c>
    </row>
    <row r="542" spans="1:35" x14ac:dyDescent="0.25">
      <c r="A542" s="1">
        <v>46302</v>
      </c>
      <c r="B542" t="s">
        <v>148</v>
      </c>
      <c r="C542" t="s">
        <v>12</v>
      </c>
      <c r="D542">
        <v>6.6485151649464944</v>
      </c>
      <c r="E542">
        <v>0</v>
      </c>
      <c r="F542">
        <v>0</v>
      </c>
      <c r="G542">
        <v>7.6745098039215636</v>
      </c>
      <c r="H542">
        <v>0</v>
      </c>
      <c r="I542">
        <v>0</v>
      </c>
      <c r="J542">
        <v>1.1543193650793644</v>
      </c>
      <c r="K542">
        <v>0.15431936507936439</v>
      </c>
      <c r="L542">
        <v>0</v>
      </c>
      <c r="M542">
        <v>0</v>
      </c>
      <c r="N542">
        <v>0</v>
      </c>
      <c r="O542">
        <v>0</v>
      </c>
      <c r="P542">
        <v>0</v>
      </c>
      <c r="Q542">
        <v>0</v>
      </c>
      <c r="R542">
        <v>0</v>
      </c>
      <c r="S542">
        <v>0</v>
      </c>
      <c r="T542">
        <v>0</v>
      </c>
      <c r="U542">
        <v>0</v>
      </c>
      <c r="V542">
        <v>0</v>
      </c>
      <c r="W542">
        <v>0</v>
      </c>
      <c r="X542">
        <v>0</v>
      </c>
      <c r="Y542">
        <v>0</v>
      </c>
      <c r="Z542">
        <v>0</v>
      </c>
      <c r="AA542">
        <v>0</v>
      </c>
      <c r="AB542">
        <v>0</v>
      </c>
      <c r="AC542">
        <v>1</v>
      </c>
      <c r="AD542">
        <v>0</v>
      </c>
      <c r="AE542" t="s">
        <v>163</v>
      </c>
      <c r="AF542">
        <v>0</v>
      </c>
      <c r="AG542" t="s">
        <v>191</v>
      </c>
      <c r="AH542">
        <v>46302</v>
      </c>
      <c r="AI542" t="s">
        <v>149</v>
      </c>
    </row>
    <row r="543" spans="1:35" x14ac:dyDescent="0.25">
      <c r="A543" s="1">
        <v>46302</v>
      </c>
      <c r="B543" t="s">
        <v>148</v>
      </c>
      <c r="C543" t="s">
        <v>11</v>
      </c>
      <c r="D543">
        <v>3.5458747546381306</v>
      </c>
      <c r="E543">
        <v>0</v>
      </c>
      <c r="F543">
        <v>0</v>
      </c>
      <c r="G543">
        <v>2.4705882352941178</v>
      </c>
      <c r="H543">
        <v>0</v>
      </c>
      <c r="I543">
        <v>0</v>
      </c>
      <c r="J543">
        <v>0.69675000000000009</v>
      </c>
      <c r="K543">
        <v>0</v>
      </c>
      <c r="L543">
        <v>0</v>
      </c>
      <c r="M543">
        <v>0</v>
      </c>
      <c r="N543">
        <v>0</v>
      </c>
      <c r="O543">
        <v>0</v>
      </c>
      <c r="P543">
        <v>0</v>
      </c>
      <c r="Q543">
        <v>0</v>
      </c>
      <c r="R543">
        <v>0</v>
      </c>
      <c r="S543">
        <v>0</v>
      </c>
      <c r="T543">
        <v>0.69675000000000009</v>
      </c>
      <c r="U543">
        <v>0.30324999999999991</v>
      </c>
      <c r="V543">
        <v>0</v>
      </c>
      <c r="W543">
        <v>0</v>
      </c>
      <c r="X543">
        <v>0</v>
      </c>
      <c r="Y543">
        <v>0</v>
      </c>
      <c r="Z543">
        <v>0</v>
      </c>
      <c r="AA543">
        <v>0</v>
      </c>
      <c r="AB543">
        <v>0</v>
      </c>
      <c r="AC543">
        <v>0</v>
      </c>
      <c r="AD543">
        <v>0</v>
      </c>
      <c r="AE543" t="s">
        <v>163</v>
      </c>
      <c r="AF543">
        <v>0</v>
      </c>
      <c r="AG543" t="s">
        <v>192</v>
      </c>
      <c r="AH543">
        <v>46302</v>
      </c>
      <c r="AI543" t="s">
        <v>149</v>
      </c>
    </row>
    <row r="544" spans="1:35" x14ac:dyDescent="0.25">
      <c r="A544" s="1">
        <v>46302</v>
      </c>
      <c r="B544" t="s">
        <v>148</v>
      </c>
      <c r="C544" t="s">
        <v>10</v>
      </c>
      <c r="D544">
        <v>9.5295384030899779</v>
      </c>
      <c r="E544">
        <v>0</v>
      </c>
      <c r="F544">
        <v>0</v>
      </c>
      <c r="G544">
        <v>10.00196078431372</v>
      </c>
      <c r="H544">
        <v>0</v>
      </c>
      <c r="I544">
        <v>0</v>
      </c>
      <c r="J544">
        <v>1.0495745293466217</v>
      </c>
      <c r="K544">
        <v>4.9574529346621654E-2</v>
      </c>
      <c r="L544">
        <v>0</v>
      </c>
      <c r="M544">
        <v>0</v>
      </c>
      <c r="N544">
        <v>0</v>
      </c>
      <c r="O544">
        <v>0</v>
      </c>
      <c r="P544">
        <v>0</v>
      </c>
      <c r="Q544">
        <v>0</v>
      </c>
      <c r="R544">
        <v>0</v>
      </c>
      <c r="S544">
        <v>0</v>
      </c>
      <c r="T544">
        <v>0</v>
      </c>
      <c r="U544">
        <v>0</v>
      </c>
      <c r="V544">
        <v>0</v>
      </c>
      <c r="W544">
        <v>0</v>
      </c>
      <c r="X544">
        <v>0</v>
      </c>
      <c r="Y544">
        <v>0</v>
      </c>
      <c r="Z544">
        <v>0</v>
      </c>
      <c r="AA544">
        <v>0</v>
      </c>
      <c r="AB544">
        <v>0</v>
      </c>
      <c r="AC544">
        <v>1</v>
      </c>
      <c r="AD544">
        <v>0</v>
      </c>
      <c r="AE544" t="s">
        <v>163</v>
      </c>
      <c r="AF544">
        <v>0</v>
      </c>
      <c r="AG544" t="s">
        <v>193</v>
      </c>
      <c r="AH544">
        <v>46302</v>
      </c>
      <c r="AI544" t="s">
        <v>149</v>
      </c>
    </row>
    <row r="545" spans="1:35" x14ac:dyDescent="0.25">
      <c r="A545" s="1">
        <v>46303</v>
      </c>
      <c r="B545" t="s">
        <v>148</v>
      </c>
      <c r="C545" t="s">
        <v>12</v>
      </c>
      <c r="D545">
        <v>7.313366681441142</v>
      </c>
      <c r="E545">
        <v>0</v>
      </c>
      <c r="F545">
        <v>0</v>
      </c>
      <c r="G545">
        <v>8.6001573017266573</v>
      </c>
      <c r="H545">
        <v>0</v>
      </c>
      <c r="I545">
        <v>0</v>
      </c>
      <c r="J545">
        <v>1.1759505131270056</v>
      </c>
      <c r="K545">
        <v>0.1759505131270056</v>
      </c>
      <c r="L545">
        <v>0</v>
      </c>
      <c r="M545">
        <v>0</v>
      </c>
      <c r="N545">
        <v>0</v>
      </c>
      <c r="O545">
        <v>0</v>
      </c>
      <c r="P545">
        <v>0</v>
      </c>
      <c r="Q545">
        <v>0</v>
      </c>
      <c r="R545">
        <v>0</v>
      </c>
      <c r="S545">
        <v>0</v>
      </c>
      <c r="T545">
        <v>0</v>
      </c>
      <c r="U545">
        <v>0</v>
      </c>
      <c r="V545">
        <v>0</v>
      </c>
      <c r="W545">
        <v>0</v>
      </c>
      <c r="X545">
        <v>0</v>
      </c>
      <c r="Y545">
        <v>0</v>
      </c>
      <c r="Z545">
        <v>0</v>
      </c>
      <c r="AA545">
        <v>0</v>
      </c>
      <c r="AB545">
        <v>0</v>
      </c>
      <c r="AC545">
        <v>1</v>
      </c>
      <c r="AD545">
        <v>0</v>
      </c>
      <c r="AE545" t="s">
        <v>163</v>
      </c>
      <c r="AF545">
        <v>0</v>
      </c>
      <c r="AG545" t="s">
        <v>194</v>
      </c>
      <c r="AH545">
        <v>46303</v>
      </c>
      <c r="AI545" t="s">
        <v>149</v>
      </c>
    </row>
    <row r="546" spans="1:35" x14ac:dyDescent="0.25">
      <c r="A546" s="1">
        <v>46303</v>
      </c>
      <c r="B546" t="s">
        <v>148</v>
      </c>
      <c r="C546" t="s">
        <v>11</v>
      </c>
      <c r="D546">
        <v>3.5458747546381306</v>
      </c>
      <c r="E546">
        <v>0</v>
      </c>
      <c r="F546">
        <v>0</v>
      </c>
      <c r="G546">
        <v>3.3226240122914836</v>
      </c>
      <c r="H546">
        <v>0</v>
      </c>
      <c r="I546">
        <v>0</v>
      </c>
      <c r="J546">
        <v>0.93703930403784652</v>
      </c>
      <c r="K546">
        <v>0</v>
      </c>
      <c r="L546">
        <v>0</v>
      </c>
      <c r="M546">
        <v>0</v>
      </c>
      <c r="N546">
        <v>0</v>
      </c>
      <c r="O546">
        <v>0</v>
      </c>
      <c r="P546">
        <v>0</v>
      </c>
      <c r="Q546">
        <v>0</v>
      </c>
      <c r="R546">
        <v>0</v>
      </c>
      <c r="S546">
        <v>0</v>
      </c>
      <c r="T546">
        <v>0.93703930403784652</v>
      </c>
      <c r="U546">
        <v>6.2960695962153479E-2</v>
      </c>
      <c r="V546">
        <v>0</v>
      </c>
      <c r="W546">
        <v>0</v>
      </c>
      <c r="X546">
        <v>0</v>
      </c>
      <c r="Y546">
        <v>0</v>
      </c>
      <c r="Z546">
        <v>0</v>
      </c>
      <c r="AA546">
        <v>0</v>
      </c>
      <c r="AB546">
        <v>0</v>
      </c>
      <c r="AC546">
        <v>0</v>
      </c>
      <c r="AD546">
        <v>0</v>
      </c>
      <c r="AE546" t="s">
        <v>163</v>
      </c>
      <c r="AF546">
        <v>0</v>
      </c>
      <c r="AG546" t="s">
        <v>195</v>
      </c>
      <c r="AH546">
        <v>46303</v>
      </c>
      <c r="AI546" t="s">
        <v>149</v>
      </c>
    </row>
    <row r="547" spans="1:35" x14ac:dyDescent="0.25">
      <c r="A547" s="1">
        <v>46303</v>
      </c>
      <c r="B547" t="s">
        <v>148</v>
      </c>
      <c r="C547" t="s">
        <v>10</v>
      </c>
      <c r="D547">
        <v>9.5295384030899779</v>
      </c>
      <c r="E547">
        <v>0</v>
      </c>
      <c r="F547">
        <v>0</v>
      </c>
      <c r="G547">
        <v>9.9284313725490154</v>
      </c>
      <c r="H547">
        <v>0</v>
      </c>
      <c r="I547">
        <v>0</v>
      </c>
      <c r="J547">
        <v>1.041858582502768</v>
      </c>
      <c r="K547">
        <v>4.1858582502767971E-2</v>
      </c>
      <c r="L547">
        <v>0</v>
      </c>
      <c r="M547">
        <v>0</v>
      </c>
      <c r="N547">
        <v>0</v>
      </c>
      <c r="O547">
        <v>0</v>
      </c>
      <c r="P547">
        <v>0</v>
      </c>
      <c r="Q547">
        <v>0</v>
      </c>
      <c r="R547">
        <v>0</v>
      </c>
      <c r="S547">
        <v>0</v>
      </c>
      <c r="T547">
        <v>0</v>
      </c>
      <c r="U547">
        <v>0</v>
      </c>
      <c r="V547">
        <v>0</v>
      </c>
      <c r="W547">
        <v>0</v>
      </c>
      <c r="X547">
        <v>0</v>
      </c>
      <c r="Y547">
        <v>0</v>
      </c>
      <c r="Z547">
        <v>0</v>
      </c>
      <c r="AA547">
        <v>0</v>
      </c>
      <c r="AB547">
        <v>0</v>
      </c>
      <c r="AC547">
        <v>1</v>
      </c>
      <c r="AD547">
        <v>0</v>
      </c>
      <c r="AE547" t="s">
        <v>163</v>
      </c>
      <c r="AF547">
        <v>0</v>
      </c>
      <c r="AG547" t="s">
        <v>196</v>
      </c>
      <c r="AH547">
        <v>46303</v>
      </c>
      <c r="AI547" t="s">
        <v>149</v>
      </c>
    </row>
    <row r="548" spans="1:35" x14ac:dyDescent="0.25">
      <c r="A548" s="1">
        <v>46304</v>
      </c>
      <c r="B548" t="s">
        <v>148</v>
      </c>
      <c r="C548" t="s">
        <v>12</v>
      </c>
      <c r="D548">
        <v>7.313366681441142</v>
      </c>
      <c r="E548">
        <v>0</v>
      </c>
      <c r="F548">
        <v>0</v>
      </c>
      <c r="G548">
        <v>8.6009803921568544</v>
      </c>
      <c r="H548">
        <v>0</v>
      </c>
      <c r="I548">
        <v>0</v>
      </c>
      <c r="J548">
        <v>1.1760630591630585</v>
      </c>
      <c r="K548">
        <v>0.17606305916305853</v>
      </c>
      <c r="L548">
        <v>0</v>
      </c>
      <c r="M548">
        <v>0</v>
      </c>
      <c r="N548">
        <v>0</v>
      </c>
      <c r="O548">
        <v>0</v>
      </c>
      <c r="P548">
        <v>0</v>
      </c>
      <c r="Q548">
        <v>0</v>
      </c>
      <c r="R548">
        <v>0</v>
      </c>
      <c r="S548">
        <v>0</v>
      </c>
      <c r="T548">
        <v>0</v>
      </c>
      <c r="U548">
        <v>0</v>
      </c>
      <c r="V548">
        <v>0</v>
      </c>
      <c r="W548">
        <v>0</v>
      </c>
      <c r="X548">
        <v>0</v>
      </c>
      <c r="Y548">
        <v>0</v>
      </c>
      <c r="Z548">
        <v>0</v>
      </c>
      <c r="AA548">
        <v>0</v>
      </c>
      <c r="AB548">
        <v>0</v>
      </c>
      <c r="AC548">
        <v>1</v>
      </c>
      <c r="AD548">
        <v>0</v>
      </c>
      <c r="AE548" t="s">
        <v>163</v>
      </c>
      <c r="AF548">
        <v>0</v>
      </c>
      <c r="AG548" t="s">
        <v>197</v>
      </c>
      <c r="AH548">
        <v>46304</v>
      </c>
      <c r="AI548" t="s">
        <v>149</v>
      </c>
    </row>
    <row r="549" spans="1:35" x14ac:dyDescent="0.25">
      <c r="A549" s="1">
        <v>46304</v>
      </c>
      <c r="B549" t="s">
        <v>148</v>
      </c>
      <c r="C549" t="s">
        <v>10</v>
      </c>
      <c r="D549">
        <v>9.5295384030899779</v>
      </c>
      <c r="E549">
        <v>0</v>
      </c>
      <c r="F549">
        <v>0</v>
      </c>
      <c r="G549">
        <v>10.07535301434006</v>
      </c>
      <c r="H549">
        <v>0</v>
      </c>
      <c r="I549">
        <v>0</v>
      </c>
      <c r="J549">
        <v>1.0572760807672594</v>
      </c>
      <c r="K549">
        <v>5.727608076725943E-2</v>
      </c>
      <c r="L549">
        <v>0</v>
      </c>
      <c r="M549">
        <v>0</v>
      </c>
      <c r="N549">
        <v>0</v>
      </c>
      <c r="O549">
        <v>0</v>
      </c>
      <c r="P549">
        <v>0</v>
      </c>
      <c r="Q549">
        <v>0</v>
      </c>
      <c r="R549">
        <v>0</v>
      </c>
      <c r="S549">
        <v>0</v>
      </c>
      <c r="T549">
        <v>0</v>
      </c>
      <c r="U549">
        <v>0</v>
      </c>
      <c r="V549">
        <v>0</v>
      </c>
      <c r="W549">
        <v>0</v>
      </c>
      <c r="X549">
        <v>0</v>
      </c>
      <c r="Y549">
        <v>0</v>
      </c>
      <c r="Z549">
        <v>0</v>
      </c>
      <c r="AA549">
        <v>0</v>
      </c>
      <c r="AB549">
        <v>0</v>
      </c>
      <c r="AC549">
        <v>1</v>
      </c>
      <c r="AD549">
        <v>0</v>
      </c>
      <c r="AE549" t="s">
        <v>163</v>
      </c>
      <c r="AF549">
        <v>0</v>
      </c>
      <c r="AG549" t="s">
        <v>198</v>
      </c>
      <c r="AH549">
        <v>46304</v>
      </c>
      <c r="AI549" t="s">
        <v>149</v>
      </c>
    </row>
    <row r="550" spans="1:35" x14ac:dyDescent="0.25">
      <c r="A550" s="1">
        <v>46304</v>
      </c>
      <c r="B550" t="s">
        <v>148</v>
      </c>
      <c r="C550" t="s">
        <v>11</v>
      </c>
      <c r="D550">
        <v>3.5458747546381306</v>
      </c>
      <c r="E550">
        <v>0</v>
      </c>
      <c r="F550">
        <v>0</v>
      </c>
      <c r="G550">
        <v>2.4705882352941178</v>
      </c>
      <c r="H550">
        <v>0</v>
      </c>
      <c r="I550">
        <v>0</v>
      </c>
      <c r="J550">
        <v>0.69675000000000009</v>
      </c>
      <c r="K550">
        <v>0</v>
      </c>
      <c r="L550">
        <v>0</v>
      </c>
      <c r="M550">
        <v>0</v>
      </c>
      <c r="N550">
        <v>0</v>
      </c>
      <c r="O550">
        <v>0</v>
      </c>
      <c r="P550">
        <v>0</v>
      </c>
      <c r="Q550">
        <v>0</v>
      </c>
      <c r="R550">
        <v>0</v>
      </c>
      <c r="S550">
        <v>0</v>
      </c>
      <c r="T550">
        <v>0.69675000000000009</v>
      </c>
      <c r="U550">
        <v>0.30324999999999991</v>
      </c>
      <c r="V550">
        <v>0</v>
      </c>
      <c r="W550">
        <v>0</v>
      </c>
      <c r="X550">
        <v>0</v>
      </c>
      <c r="Y550">
        <v>0</v>
      </c>
      <c r="Z550">
        <v>0</v>
      </c>
      <c r="AA550">
        <v>0</v>
      </c>
      <c r="AB550">
        <v>0</v>
      </c>
      <c r="AC550">
        <v>0</v>
      </c>
      <c r="AD550">
        <v>0</v>
      </c>
      <c r="AE550" t="s">
        <v>163</v>
      </c>
      <c r="AF550">
        <v>0</v>
      </c>
      <c r="AG550" t="s">
        <v>199</v>
      </c>
      <c r="AH550">
        <v>46304</v>
      </c>
      <c r="AI550" t="s">
        <v>149</v>
      </c>
    </row>
    <row r="551" spans="1:35" x14ac:dyDescent="0.25">
      <c r="A551" s="1">
        <v>46305</v>
      </c>
      <c r="B551" t="s">
        <v>148</v>
      </c>
      <c r="C551" t="s">
        <v>10</v>
      </c>
      <c r="D551">
        <v>9.5295384030899779</v>
      </c>
      <c r="E551">
        <v>0</v>
      </c>
      <c r="F551">
        <v>0</v>
      </c>
      <c r="G551">
        <v>9.9284313725490154</v>
      </c>
      <c r="H551">
        <v>0</v>
      </c>
      <c r="I551">
        <v>0</v>
      </c>
      <c r="J551">
        <v>1.041858582502768</v>
      </c>
      <c r="K551">
        <v>4.1858582502767971E-2</v>
      </c>
      <c r="L551">
        <v>0</v>
      </c>
      <c r="M551">
        <v>0</v>
      </c>
      <c r="N551">
        <v>0</v>
      </c>
      <c r="O551">
        <v>0</v>
      </c>
      <c r="P551">
        <v>0</v>
      </c>
      <c r="Q551">
        <v>0</v>
      </c>
      <c r="R551">
        <v>0</v>
      </c>
      <c r="S551">
        <v>0</v>
      </c>
      <c r="T551">
        <v>0</v>
      </c>
      <c r="U551">
        <v>0</v>
      </c>
      <c r="V551">
        <v>0</v>
      </c>
      <c r="W551">
        <v>0</v>
      </c>
      <c r="X551">
        <v>0</v>
      </c>
      <c r="Y551">
        <v>0</v>
      </c>
      <c r="Z551">
        <v>0</v>
      </c>
      <c r="AA551">
        <v>0</v>
      </c>
      <c r="AB551">
        <v>0</v>
      </c>
      <c r="AC551">
        <v>1</v>
      </c>
      <c r="AD551">
        <v>0</v>
      </c>
      <c r="AE551" t="s">
        <v>163</v>
      </c>
      <c r="AF551">
        <v>0</v>
      </c>
      <c r="AG551" t="s">
        <v>200</v>
      </c>
      <c r="AH551">
        <v>46305</v>
      </c>
      <c r="AI551" t="s">
        <v>149</v>
      </c>
    </row>
    <row r="552" spans="1:35" x14ac:dyDescent="0.25">
      <c r="A552" s="1">
        <v>46305</v>
      </c>
      <c r="B552" t="s">
        <v>148</v>
      </c>
      <c r="C552" t="s">
        <v>11</v>
      </c>
      <c r="D552">
        <v>3.3242575824732468</v>
      </c>
      <c r="E552">
        <v>0</v>
      </c>
      <c r="F552">
        <v>0</v>
      </c>
      <c r="G552">
        <v>4.1764705882352935</v>
      </c>
      <c r="H552">
        <v>0</v>
      </c>
      <c r="I552">
        <v>0</v>
      </c>
      <c r="J552">
        <v>1.256361904761905</v>
      </c>
      <c r="K552">
        <v>0.25636190476190501</v>
      </c>
      <c r="L552">
        <v>0</v>
      </c>
      <c r="M552">
        <v>0</v>
      </c>
      <c r="N552">
        <v>0</v>
      </c>
      <c r="O552">
        <v>0</v>
      </c>
      <c r="P552">
        <v>0</v>
      </c>
      <c r="Q552">
        <v>0</v>
      </c>
      <c r="R552">
        <v>0</v>
      </c>
      <c r="S552">
        <v>0</v>
      </c>
      <c r="T552">
        <v>0</v>
      </c>
      <c r="U552">
        <v>0</v>
      </c>
      <c r="V552">
        <v>0</v>
      </c>
      <c r="W552">
        <v>0</v>
      </c>
      <c r="X552">
        <v>0</v>
      </c>
      <c r="Y552">
        <v>0</v>
      </c>
      <c r="Z552">
        <v>0</v>
      </c>
      <c r="AA552">
        <v>0</v>
      </c>
      <c r="AB552">
        <v>0</v>
      </c>
      <c r="AC552">
        <v>1</v>
      </c>
      <c r="AD552">
        <v>0</v>
      </c>
      <c r="AE552" t="s">
        <v>163</v>
      </c>
      <c r="AF552">
        <v>0</v>
      </c>
      <c r="AG552" t="s">
        <v>201</v>
      </c>
      <c r="AH552">
        <v>46305</v>
      </c>
      <c r="AI552" t="s">
        <v>149</v>
      </c>
    </row>
    <row r="553" spans="1:35" x14ac:dyDescent="0.25">
      <c r="A553" s="1">
        <v>46305</v>
      </c>
      <c r="B553" t="s">
        <v>148</v>
      </c>
      <c r="C553" t="s">
        <v>12</v>
      </c>
      <c r="D553">
        <v>7.313366681441142</v>
      </c>
      <c r="E553">
        <v>0</v>
      </c>
      <c r="F553">
        <v>0</v>
      </c>
      <c r="G553">
        <v>8.6009803921568562</v>
      </c>
      <c r="H553">
        <v>0</v>
      </c>
      <c r="I553">
        <v>0</v>
      </c>
      <c r="J553">
        <v>1.1760630591630588</v>
      </c>
      <c r="K553">
        <v>0.17606305916305875</v>
      </c>
      <c r="L553">
        <v>0</v>
      </c>
      <c r="M553">
        <v>0</v>
      </c>
      <c r="N553">
        <v>0</v>
      </c>
      <c r="O553">
        <v>0</v>
      </c>
      <c r="P553">
        <v>0</v>
      </c>
      <c r="Q553">
        <v>0</v>
      </c>
      <c r="R553">
        <v>0</v>
      </c>
      <c r="S553">
        <v>0</v>
      </c>
      <c r="T553">
        <v>0</v>
      </c>
      <c r="U553">
        <v>0</v>
      </c>
      <c r="V553">
        <v>0</v>
      </c>
      <c r="W553">
        <v>0</v>
      </c>
      <c r="X553">
        <v>0</v>
      </c>
      <c r="Y553">
        <v>0</v>
      </c>
      <c r="Z553">
        <v>0</v>
      </c>
      <c r="AA553">
        <v>0</v>
      </c>
      <c r="AB553">
        <v>0</v>
      </c>
      <c r="AC553">
        <v>1</v>
      </c>
      <c r="AD553">
        <v>0</v>
      </c>
      <c r="AE553" t="s">
        <v>163</v>
      </c>
      <c r="AF553">
        <v>0</v>
      </c>
      <c r="AG553" t="s">
        <v>202</v>
      </c>
      <c r="AH553">
        <v>46305</v>
      </c>
      <c r="AI553" t="s">
        <v>149</v>
      </c>
    </row>
    <row r="554" spans="1:35" x14ac:dyDescent="0.25">
      <c r="A554" s="1">
        <v>46306</v>
      </c>
      <c r="B554" t="s">
        <v>148</v>
      </c>
      <c r="C554" t="s">
        <v>11</v>
      </c>
      <c r="D554">
        <v>3.5458747546381306</v>
      </c>
      <c r="E554">
        <v>0</v>
      </c>
      <c r="F554">
        <v>0</v>
      </c>
      <c r="G554">
        <v>4.0588235294117636</v>
      </c>
      <c r="H554">
        <v>0</v>
      </c>
      <c r="I554">
        <v>0</v>
      </c>
      <c r="J554">
        <v>1.1446607142857141</v>
      </c>
      <c r="K554">
        <v>0.14466071428571414</v>
      </c>
      <c r="L554">
        <v>0</v>
      </c>
      <c r="M554">
        <v>0</v>
      </c>
      <c r="N554">
        <v>0</v>
      </c>
      <c r="O554">
        <v>0</v>
      </c>
      <c r="P554">
        <v>0</v>
      </c>
      <c r="Q554">
        <v>0</v>
      </c>
      <c r="R554">
        <v>0</v>
      </c>
      <c r="S554">
        <v>0</v>
      </c>
      <c r="T554">
        <v>0</v>
      </c>
      <c r="U554">
        <v>0</v>
      </c>
      <c r="V554">
        <v>0</v>
      </c>
      <c r="W554">
        <v>0</v>
      </c>
      <c r="X554">
        <v>0</v>
      </c>
      <c r="Y554">
        <v>0</v>
      </c>
      <c r="Z554">
        <v>0</v>
      </c>
      <c r="AA554">
        <v>0</v>
      </c>
      <c r="AB554">
        <v>0</v>
      </c>
      <c r="AC554">
        <v>1</v>
      </c>
      <c r="AD554">
        <v>0</v>
      </c>
      <c r="AE554" t="s">
        <v>163</v>
      </c>
      <c r="AF554">
        <v>0</v>
      </c>
      <c r="AG554" t="s">
        <v>203</v>
      </c>
      <c r="AH554">
        <v>46306</v>
      </c>
      <c r="AI554" t="s">
        <v>149</v>
      </c>
    </row>
    <row r="555" spans="1:35" x14ac:dyDescent="0.25">
      <c r="A555" s="1">
        <v>46306</v>
      </c>
      <c r="B555" t="s">
        <v>148</v>
      </c>
      <c r="C555" t="s">
        <v>10</v>
      </c>
      <c r="D555">
        <v>9.5295384030899779</v>
      </c>
      <c r="E555">
        <v>0</v>
      </c>
      <c r="F555">
        <v>0</v>
      </c>
      <c r="G555">
        <v>10.222549019607838</v>
      </c>
      <c r="H555">
        <v>0</v>
      </c>
      <c r="I555">
        <v>0</v>
      </c>
      <c r="J555">
        <v>1.0727223698781831</v>
      </c>
      <c r="K555">
        <v>7.2722369878183146E-2</v>
      </c>
      <c r="L555">
        <v>0</v>
      </c>
      <c r="M555">
        <v>0</v>
      </c>
      <c r="N555">
        <v>0</v>
      </c>
      <c r="O555">
        <v>0</v>
      </c>
      <c r="P555">
        <v>0</v>
      </c>
      <c r="Q555">
        <v>0</v>
      </c>
      <c r="R555">
        <v>0</v>
      </c>
      <c r="S555">
        <v>0</v>
      </c>
      <c r="T555">
        <v>0</v>
      </c>
      <c r="U555">
        <v>0</v>
      </c>
      <c r="V555">
        <v>0</v>
      </c>
      <c r="W555">
        <v>0</v>
      </c>
      <c r="X555">
        <v>0</v>
      </c>
      <c r="Y555">
        <v>0</v>
      </c>
      <c r="Z555">
        <v>0</v>
      </c>
      <c r="AA555">
        <v>0</v>
      </c>
      <c r="AB555">
        <v>0</v>
      </c>
      <c r="AC555">
        <v>1</v>
      </c>
      <c r="AD555">
        <v>0</v>
      </c>
      <c r="AE555" t="s">
        <v>163</v>
      </c>
      <c r="AF555">
        <v>0</v>
      </c>
      <c r="AG555" t="s">
        <v>204</v>
      </c>
      <c r="AH555">
        <v>46306</v>
      </c>
      <c r="AI555" t="s">
        <v>149</v>
      </c>
    </row>
    <row r="556" spans="1:35" x14ac:dyDescent="0.25">
      <c r="A556" s="1">
        <v>46306</v>
      </c>
      <c r="B556" t="s">
        <v>148</v>
      </c>
      <c r="C556" t="s">
        <v>12</v>
      </c>
      <c r="D556">
        <v>7.313366681441142</v>
      </c>
      <c r="E556">
        <v>0</v>
      </c>
      <c r="F556">
        <v>0</v>
      </c>
      <c r="G556">
        <v>7.7186274509803852</v>
      </c>
      <c r="H556">
        <v>0</v>
      </c>
      <c r="I556">
        <v>0</v>
      </c>
      <c r="J556">
        <v>1.0554137085137079</v>
      </c>
      <c r="K556">
        <v>5.541370851370786E-2</v>
      </c>
      <c r="L556">
        <v>0</v>
      </c>
      <c r="M556">
        <v>0</v>
      </c>
      <c r="N556">
        <v>0</v>
      </c>
      <c r="O556">
        <v>0</v>
      </c>
      <c r="P556">
        <v>0</v>
      </c>
      <c r="Q556">
        <v>0</v>
      </c>
      <c r="R556">
        <v>0</v>
      </c>
      <c r="S556">
        <v>0</v>
      </c>
      <c r="T556">
        <v>0</v>
      </c>
      <c r="U556">
        <v>0</v>
      </c>
      <c r="V556">
        <v>0</v>
      </c>
      <c r="W556">
        <v>0</v>
      </c>
      <c r="X556">
        <v>0</v>
      </c>
      <c r="Y556">
        <v>0</v>
      </c>
      <c r="Z556">
        <v>0</v>
      </c>
      <c r="AA556">
        <v>0</v>
      </c>
      <c r="AB556">
        <v>0</v>
      </c>
      <c r="AC556">
        <v>1</v>
      </c>
      <c r="AD556">
        <v>0</v>
      </c>
      <c r="AE556" t="s">
        <v>163</v>
      </c>
      <c r="AF556">
        <v>0</v>
      </c>
      <c r="AG556" t="s">
        <v>205</v>
      </c>
      <c r="AH556">
        <v>46306</v>
      </c>
      <c r="AI556" t="s">
        <v>149</v>
      </c>
    </row>
    <row r="557" spans="1:35" x14ac:dyDescent="0.25">
      <c r="A557" s="1">
        <v>46307</v>
      </c>
      <c r="B557" t="s">
        <v>148</v>
      </c>
      <c r="C557" t="s">
        <v>11</v>
      </c>
      <c r="D557">
        <v>3.5458747546381306</v>
      </c>
      <c r="E557">
        <v>0</v>
      </c>
      <c r="F557">
        <v>0</v>
      </c>
      <c r="G557">
        <v>4.1764705882352935</v>
      </c>
      <c r="H557">
        <v>0</v>
      </c>
      <c r="I557">
        <v>0</v>
      </c>
      <c r="J557">
        <v>1.1778392857142856</v>
      </c>
      <c r="K557">
        <v>0.17783928571428564</v>
      </c>
      <c r="L557">
        <v>0</v>
      </c>
      <c r="M557">
        <v>0</v>
      </c>
      <c r="N557">
        <v>0</v>
      </c>
      <c r="O557">
        <v>0</v>
      </c>
      <c r="P557">
        <v>0</v>
      </c>
      <c r="Q557">
        <v>0</v>
      </c>
      <c r="R557">
        <v>0</v>
      </c>
      <c r="S557">
        <v>0</v>
      </c>
      <c r="T557">
        <v>0</v>
      </c>
      <c r="U557">
        <v>0</v>
      </c>
      <c r="V557">
        <v>0</v>
      </c>
      <c r="W557">
        <v>0</v>
      </c>
      <c r="X557">
        <v>0</v>
      </c>
      <c r="Y557">
        <v>0</v>
      </c>
      <c r="Z557">
        <v>0</v>
      </c>
      <c r="AA557">
        <v>0</v>
      </c>
      <c r="AB557">
        <v>0</v>
      </c>
      <c r="AC557">
        <v>1</v>
      </c>
      <c r="AD557">
        <v>0</v>
      </c>
      <c r="AE557" t="s">
        <v>163</v>
      </c>
      <c r="AF557">
        <v>0</v>
      </c>
      <c r="AG557" t="s">
        <v>206</v>
      </c>
      <c r="AH557">
        <v>46307</v>
      </c>
      <c r="AI557" t="s">
        <v>149</v>
      </c>
    </row>
    <row r="558" spans="1:35" x14ac:dyDescent="0.25">
      <c r="A558" s="1">
        <v>46307</v>
      </c>
      <c r="B558" t="s">
        <v>148</v>
      </c>
      <c r="C558" t="s">
        <v>12</v>
      </c>
      <c r="D558">
        <v>7.313366681441142</v>
      </c>
      <c r="E558">
        <v>0</v>
      </c>
      <c r="F558">
        <v>0</v>
      </c>
      <c r="G558">
        <v>8.6009803921568544</v>
      </c>
      <c r="H558">
        <v>0</v>
      </c>
      <c r="I558">
        <v>0</v>
      </c>
      <c r="J558">
        <v>1.1760630591630585</v>
      </c>
      <c r="K558">
        <v>0.17606305916305853</v>
      </c>
      <c r="L558">
        <v>0</v>
      </c>
      <c r="M558">
        <v>0</v>
      </c>
      <c r="N558">
        <v>0</v>
      </c>
      <c r="O558">
        <v>0</v>
      </c>
      <c r="P558">
        <v>0</v>
      </c>
      <c r="Q558">
        <v>0</v>
      </c>
      <c r="R558">
        <v>0</v>
      </c>
      <c r="S558">
        <v>0</v>
      </c>
      <c r="T558">
        <v>0</v>
      </c>
      <c r="U558">
        <v>0</v>
      </c>
      <c r="V558">
        <v>0</v>
      </c>
      <c r="W558">
        <v>0</v>
      </c>
      <c r="X558">
        <v>0</v>
      </c>
      <c r="Y558">
        <v>0</v>
      </c>
      <c r="Z558">
        <v>0</v>
      </c>
      <c r="AA558">
        <v>0</v>
      </c>
      <c r="AB558">
        <v>0</v>
      </c>
      <c r="AC558">
        <v>1</v>
      </c>
      <c r="AD558">
        <v>0</v>
      </c>
      <c r="AE558" t="s">
        <v>163</v>
      </c>
      <c r="AF558">
        <v>0</v>
      </c>
      <c r="AG558" t="s">
        <v>207</v>
      </c>
      <c r="AH558">
        <v>46307</v>
      </c>
      <c r="AI558" t="s">
        <v>149</v>
      </c>
    </row>
    <row r="559" spans="1:35" x14ac:dyDescent="0.25">
      <c r="A559" s="1">
        <v>46307</v>
      </c>
      <c r="B559" t="s">
        <v>148</v>
      </c>
      <c r="C559" t="s">
        <v>10</v>
      </c>
      <c r="D559">
        <v>9.5295384030899779</v>
      </c>
      <c r="E559">
        <v>0</v>
      </c>
      <c r="F559">
        <v>0</v>
      </c>
      <c r="G559">
        <v>10.22254901960784</v>
      </c>
      <c r="H559">
        <v>0</v>
      </c>
      <c r="I559">
        <v>0</v>
      </c>
      <c r="J559">
        <v>1.0727223698781834</v>
      </c>
      <c r="K559">
        <v>7.2722369878183368E-2</v>
      </c>
      <c r="L559">
        <v>0</v>
      </c>
      <c r="M559">
        <v>0</v>
      </c>
      <c r="N559">
        <v>0</v>
      </c>
      <c r="O559">
        <v>0</v>
      </c>
      <c r="P559">
        <v>0</v>
      </c>
      <c r="Q559">
        <v>0</v>
      </c>
      <c r="R559">
        <v>0</v>
      </c>
      <c r="S559">
        <v>0</v>
      </c>
      <c r="T559">
        <v>0</v>
      </c>
      <c r="U559">
        <v>0</v>
      </c>
      <c r="V559">
        <v>0</v>
      </c>
      <c r="W559">
        <v>0</v>
      </c>
      <c r="X559">
        <v>0</v>
      </c>
      <c r="Y559">
        <v>0</v>
      </c>
      <c r="Z559">
        <v>0</v>
      </c>
      <c r="AA559">
        <v>0</v>
      </c>
      <c r="AB559">
        <v>0</v>
      </c>
      <c r="AC559">
        <v>1</v>
      </c>
      <c r="AD559">
        <v>0</v>
      </c>
      <c r="AE559" t="s">
        <v>163</v>
      </c>
      <c r="AF559">
        <v>0</v>
      </c>
      <c r="AG559" t="s">
        <v>208</v>
      </c>
      <c r="AH559">
        <v>46307</v>
      </c>
      <c r="AI559" t="s">
        <v>149</v>
      </c>
    </row>
    <row r="560" spans="1:35" x14ac:dyDescent="0.25">
      <c r="A560" s="1">
        <v>46308</v>
      </c>
      <c r="B560" t="s">
        <v>148</v>
      </c>
      <c r="C560" t="s">
        <v>12</v>
      </c>
      <c r="D560">
        <v>7.313366681441142</v>
      </c>
      <c r="E560">
        <v>0</v>
      </c>
      <c r="F560">
        <v>0</v>
      </c>
      <c r="G560">
        <v>8.6009803921568562</v>
      </c>
      <c r="H560">
        <v>0</v>
      </c>
      <c r="I560">
        <v>0</v>
      </c>
      <c r="J560">
        <v>1.1760630591630588</v>
      </c>
      <c r="K560">
        <v>0.17606305916305875</v>
      </c>
      <c r="L560">
        <v>0</v>
      </c>
      <c r="M560">
        <v>0</v>
      </c>
      <c r="N560">
        <v>0</v>
      </c>
      <c r="O560">
        <v>0</v>
      </c>
      <c r="P560">
        <v>0</v>
      </c>
      <c r="Q560">
        <v>0</v>
      </c>
      <c r="R560">
        <v>0</v>
      </c>
      <c r="S560">
        <v>0</v>
      </c>
      <c r="T560">
        <v>0</v>
      </c>
      <c r="U560">
        <v>0</v>
      </c>
      <c r="V560">
        <v>0</v>
      </c>
      <c r="W560">
        <v>0</v>
      </c>
      <c r="X560">
        <v>0</v>
      </c>
      <c r="Y560">
        <v>0</v>
      </c>
      <c r="Z560">
        <v>0</v>
      </c>
      <c r="AA560">
        <v>0</v>
      </c>
      <c r="AB560">
        <v>0</v>
      </c>
      <c r="AC560">
        <v>1</v>
      </c>
      <c r="AD560">
        <v>0</v>
      </c>
      <c r="AE560" t="s">
        <v>163</v>
      </c>
      <c r="AF560">
        <v>0</v>
      </c>
      <c r="AG560" t="s">
        <v>209</v>
      </c>
      <c r="AH560">
        <v>46308</v>
      </c>
      <c r="AI560" t="s">
        <v>149</v>
      </c>
    </row>
    <row r="561" spans="1:35" x14ac:dyDescent="0.25">
      <c r="A561" s="1">
        <v>46308</v>
      </c>
      <c r="B561" t="s">
        <v>148</v>
      </c>
      <c r="C561" t="s">
        <v>10</v>
      </c>
      <c r="D561">
        <v>9.5295384030899779</v>
      </c>
      <c r="E561">
        <v>0</v>
      </c>
      <c r="F561">
        <v>0</v>
      </c>
      <c r="G561">
        <v>10.22254901960784</v>
      </c>
      <c r="H561">
        <v>0</v>
      </c>
      <c r="I561">
        <v>0</v>
      </c>
      <c r="J561">
        <v>1.0727223698781834</v>
      </c>
      <c r="K561">
        <v>7.2722369878183368E-2</v>
      </c>
      <c r="L561">
        <v>0</v>
      </c>
      <c r="M561">
        <v>0</v>
      </c>
      <c r="N561">
        <v>0</v>
      </c>
      <c r="O561">
        <v>0</v>
      </c>
      <c r="P561">
        <v>0</v>
      </c>
      <c r="Q561">
        <v>0</v>
      </c>
      <c r="R561">
        <v>0</v>
      </c>
      <c r="S561">
        <v>0</v>
      </c>
      <c r="T561">
        <v>0</v>
      </c>
      <c r="U561">
        <v>0</v>
      </c>
      <c r="V561">
        <v>0</v>
      </c>
      <c r="W561">
        <v>0</v>
      </c>
      <c r="X561">
        <v>0</v>
      </c>
      <c r="Y561">
        <v>0</v>
      </c>
      <c r="Z561">
        <v>0</v>
      </c>
      <c r="AA561">
        <v>0</v>
      </c>
      <c r="AB561">
        <v>0</v>
      </c>
      <c r="AC561">
        <v>1</v>
      </c>
      <c r="AD561">
        <v>0</v>
      </c>
      <c r="AE561" t="s">
        <v>163</v>
      </c>
      <c r="AF561">
        <v>0</v>
      </c>
      <c r="AG561" t="s">
        <v>210</v>
      </c>
      <c r="AH561">
        <v>46308</v>
      </c>
      <c r="AI561" t="s">
        <v>149</v>
      </c>
    </row>
    <row r="562" spans="1:35" x14ac:dyDescent="0.25">
      <c r="A562" s="1">
        <v>46308</v>
      </c>
      <c r="B562" t="s">
        <v>148</v>
      </c>
      <c r="C562" t="s">
        <v>11</v>
      </c>
      <c r="D562">
        <v>3.5458747546381306</v>
      </c>
      <c r="E562">
        <v>0</v>
      </c>
      <c r="F562">
        <v>0</v>
      </c>
      <c r="G562">
        <v>4.1764705882352935</v>
      </c>
      <c r="H562">
        <v>0</v>
      </c>
      <c r="I562">
        <v>0</v>
      </c>
      <c r="J562">
        <v>1.1778392857142856</v>
      </c>
      <c r="K562">
        <v>0.17783928571428564</v>
      </c>
      <c r="L562">
        <v>0</v>
      </c>
      <c r="M562">
        <v>0</v>
      </c>
      <c r="N562">
        <v>0</v>
      </c>
      <c r="O562">
        <v>0</v>
      </c>
      <c r="P562">
        <v>0</v>
      </c>
      <c r="Q562">
        <v>0</v>
      </c>
      <c r="R562">
        <v>0</v>
      </c>
      <c r="S562">
        <v>0</v>
      </c>
      <c r="T562">
        <v>0</v>
      </c>
      <c r="U562">
        <v>0</v>
      </c>
      <c r="V562">
        <v>0</v>
      </c>
      <c r="W562">
        <v>0</v>
      </c>
      <c r="X562">
        <v>0</v>
      </c>
      <c r="Y562">
        <v>0</v>
      </c>
      <c r="Z562">
        <v>0</v>
      </c>
      <c r="AA562">
        <v>0</v>
      </c>
      <c r="AB562">
        <v>0</v>
      </c>
      <c r="AC562">
        <v>1</v>
      </c>
      <c r="AD562">
        <v>0</v>
      </c>
      <c r="AE562" t="s">
        <v>163</v>
      </c>
      <c r="AF562">
        <v>0</v>
      </c>
      <c r="AG562" t="s">
        <v>211</v>
      </c>
      <c r="AH562">
        <v>46308</v>
      </c>
      <c r="AI562" t="s">
        <v>149</v>
      </c>
    </row>
    <row r="563" spans="1:35" x14ac:dyDescent="0.25">
      <c r="A563" s="1">
        <v>46309</v>
      </c>
      <c r="B563" t="s">
        <v>148</v>
      </c>
      <c r="C563" t="s">
        <v>11</v>
      </c>
      <c r="D563">
        <v>3.5458747546381306</v>
      </c>
      <c r="E563">
        <v>0</v>
      </c>
      <c r="F563">
        <v>0</v>
      </c>
      <c r="G563">
        <v>4.1764705882352935</v>
      </c>
      <c r="H563">
        <v>0</v>
      </c>
      <c r="I563">
        <v>0</v>
      </c>
      <c r="J563">
        <v>1.1778392857142856</v>
      </c>
      <c r="K563">
        <v>0.17783928571428564</v>
      </c>
      <c r="L563">
        <v>0</v>
      </c>
      <c r="M563">
        <v>0</v>
      </c>
      <c r="N563">
        <v>0</v>
      </c>
      <c r="O563">
        <v>0</v>
      </c>
      <c r="P563">
        <v>0</v>
      </c>
      <c r="Q563">
        <v>0</v>
      </c>
      <c r="R563">
        <v>0</v>
      </c>
      <c r="S563">
        <v>0</v>
      </c>
      <c r="T563">
        <v>0</v>
      </c>
      <c r="U563">
        <v>0</v>
      </c>
      <c r="V563">
        <v>0</v>
      </c>
      <c r="W563">
        <v>0</v>
      </c>
      <c r="X563">
        <v>0</v>
      </c>
      <c r="Y563">
        <v>0</v>
      </c>
      <c r="Z563">
        <v>0</v>
      </c>
      <c r="AA563">
        <v>0</v>
      </c>
      <c r="AB563">
        <v>0</v>
      </c>
      <c r="AC563">
        <v>1</v>
      </c>
      <c r="AD563">
        <v>0</v>
      </c>
      <c r="AE563" t="s">
        <v>163</v>
      </c>
      <c r="AF563">
        <v>0</v>
      </c>
      <c r="AG563" t="s">
        <v>212</v>
      </c>
      <c r="AH563">
        <v>46309</v>
      </c>
      <c r="AI563" t="s">
        <v>149</v>
      </c>
    </row>
    <row r="564" spans="1:35" x14ac:dyDescent="0.25">
      <c r="A564" s="1">
        <v>46309</v>
      </c>
      <c r="B564" t="s">
        <v>148</v>
      </c>
      <c r="C564" t="s">
        <v>12</v>
      </c>
      <c r="D564">
        <v>6.6485151649464935</v>
      </c>
      <c r="E564">
        <v>0</v>
      </c>
      <c r="F564">
        <v>0</v>
      </c>
      <c r="G564">
        <v>7.8509803921568588</v>
      </c>
      <c r="H564">
        <v>0</v>
      </c>
      <c r="I564">
        <v>0</v>
      </c>
      <c r="J564">
        <v>1.180862222222222</v>
      </c>
      <c r="K564">
        <v>0.18086222222222204</v>
      </c>
      <c r="L564">
        <v>0</v>
      </c>
      <c r="M564">
        <v>0</v>
      </c>
      <c r="N564">
        <v>0</v>
      </c>
      <c r="O564">
        <v>0</v>
      </c>
      <c r="P564">
        <v>0</v>
      </c>
      <c r="Q564">
        <v>0</v>
      </c>
      <c r="R564">
        <v>0</v>
      </c>
      <c r="S564">
        <v>0</v>
      </c>
      <c r="T564">
        <v>0</v>
      </c>
      <c r="U564">
        <v>0</v>
      </c>
      <c r="V564">
        <v>0</v>
      </c>
      <c r="W564">
        <v>0</v>
      </c>
      <c r="X564">
        <v>0</v>
      </c>
      <c r="Y564">
        <v>0</v>
      </c>
      <c r="Z564">
        <v>0</v>
      </c>
      <c r="AA564">
        <v>0</v>
      </c>
      <c r="AB564">
        <v>0</v>
      </c>
      <c r="AC564">
        <v>1</v>
      </c>
      <c r="AD564">
        <v>0</v>
      </c>
      <c r="AE564" t="s">
        <v>163</v>
      </c>
      <c r="AF564">
        <v>0</v>
      </c>
      <c r="AG564" t="s">
        <v>213</v>
      </c>
      <c r="AH564">
        <v>46309</v>
      </c>
      <c r="AI564" t="s">
        <v>149</v>
      </c>
    </row>
    <row r="565" spans="1:35" x14ac:dyDescent="0.25">
      <c r="A565" s="1">
        <v>46309</v>
      </c>
      <c r="B565" t="s">
        <v>148</v>
      </c>
      <c r="C565" t="s">
        <v>10</v>
      </c>
      <c r="D565">
        <v>9.5295384030899779</v>
      </c>
      <c r="E565">
        <v>0</v>
      </c>
      <c r="F565">
        <v>0</v>
      </c>
      <c r="G565">
        <v>10.222549019607838</v>
      </c>
      <c r="H565">
        <v>0</v>
      </c>
      <c r="I565">
        <v>0</v>
      </c>
      <c r="J565">
        <v>1.0727223698781831</v>
      </c>
      <c r="K565">
        <v>7.2722369878183146E-2</v>
      </c>
      <c r="L565">
        <v>0</v>
      </c>
      <c r="M565">
        <v>0</v>
      </c>
      <c r="N565">
        <v>0</v>
      </c>
      <c r="O565">
        <v>0</v>
      </c>
      <c r="P565">
        <v>0</v>
      </c>
      <c r="Q565">
        <v>0</v>
      </c>
      <c r="R565">
        <v>0</v>
      </c>
      <c r="S565">
        <v>0</v>
      </c>
      <c r="T565">
        <v>0</v>
      </c>
      <c r="U565">
        <v>0</v>
      </c>
      <c r="V565">
        <v>0</v>
      </c>
      <c r="W565">
        <v>0</v>
      </c>
      <c r="X565">
        <v>0</v>
      </c>
      <c r="Y565">
        <v>0</v>
      </c>
      <c r="Z565">
        <v>0</v>
      </c>
      <c r="AA565">
        <v>0</v>
      </c>
      <c r="AB565">
        <v>0</v>
      </c>
      <c r="AC565">
        <v>1</v>
      </c>
      <c r="AD565">
        <v>0</v>
      </c>
      <c r="AE565" t="s">
        <v>163</v>
      </c>
      <c r="AF565">
        <v>0</v>
      </c>
      <c r="AG565" t="s">
        <v>214</v>
      </c>
      <c r="AH565">
        <v>46309</v>
      </c>
      <c r="AI565" t="s">
        <v>149</v>
      </c>
    </row>
    <row r="566" spans="1:35" x14ac:dyDescent="0.25">
      <c r="A566" s="1">
        <v>46310</v>
      </c>
      <c r="B566" t="s">
        <v>148</v>
      </c>
      <c r="C566" t="s">
        <v>12</v>
      </c>
      <c r="D566">
        <v>7.313366681441142</v>
      </c>
      <c r="E566">
        <v>0</v>
      </c>
      <c r="F566">
        <v>0</v>
      </c>
      <c r="G566">
        <v>8.6009803921568597</v>
      </c>
      <c r="H566">
        <v>0</v>
      </c>
      <c r="I566">
        <v>0</v>
      </c>
      <c r="J566">
        <v>1.1760630591630592</v>
      </c>
      <c r="K566">
        <v>0.1760630591630592</v>
      </c>
      <c r="L566">
        <v>0</v>
      </c>
      <c r="M566">
        <v>0</v>
      </c>
      <c r="N566">
        <v>0</v>
      </c>
      <c r="O566">
        <v>0</v>
      </c>
      <c r="P566">
        <v>0</v>
      </c>
      <c r="Q566">
        <v>0</v>
      </c>
      <c r="R566">
        <v>0</v>
      </c>
      <c r="S566">
        <v>0</v>
      </c>
      <c r="T566">
        <v>0</v>
      </c>
      <c r="U566">
        <v>0</v>
      </c>
      <c r="V566">
        <v>0</v>
      </c>
      <c r="W566">
        <v>0</v>
      </c>
      <c r="X566">
        <v>0</v>
      </c>
      <c r="Y566">
        <v>0</v>
      </c>
      <c r="Z566">
        <v>0</v>
      </c>
      <c r="AA566">
        <v>0</v>
      </c>
      <c r="AB566">
        <v>0</v>
      </c>
      <c r="AC566">
        <v>1</v>
      </c>
      <c r="AD566">
        <v>0</v>
      </c>
      <c r="AE566" t="s">
        <v>163</v>
      </c>
      <c r="AF566">
        <v>0</v>
      </c>
      <c r="AG566" t="s">
        <v>215</v>
      </c>
      <c r="AH566">
        <v>46310</v>
      </c>
      <c r="AI566" t="s">
        <v>149</v>
      </c>
    </row>
    <row r="567" spans="1:35" x14ac:dyDescent="0.25">
      <c r="A567" s="1">
        <v>46310</v>
      </c>
      <c r="B567" t="s">
        <v>148</v>
      </c>
      <c r="C567" t="s">
        <v>11</v>
      </c>
      <c r="D567">
        <v>3.5458747546381306</v>
      </c>
      <c r="E567">
        <v>0</v>
      </c>
      <c r="F567">
        <v>0</v>
      </c>
      <c r="G567">
        <v>4.1764705882352935</v>
      </c>
      <c r="H567">
        <v>0</v>
      </c>
      <c r="I567">
        <v>0</v>
      </c>
      <c r="J567">
        <v>1.1778392857142856</v>
      </c>
      <c r="K567">
        <v>0.17783928571428564</v>
      </c>
      <c r="L567">
        <v>0</v>
      </c>
      <c r="M567">
        <v>0</v>
      </c>
      <c r="N567">
        <v>0</v>
      </c>
      <c r="O567">
        <v>0</v>
      </c>
      <c r="P567">
        <v>0</v>
      </c>
      <c r="Q567">
        <v>0</v>
      </c>
      <c r="R567">
        <v>0</v>
      </c>
      <c r="S567">
        <v>0</v>
      </c>
      <c r="T567">
        <v>0</v>
      </c>
      <c r="U567">
        <v>0</v>
      </c>
      <c r="V567">
        <v>0</v>
      </c>
      <c r="W567">
        <v>0</v>
      </c>
      <c r="X567">
        <v>0</v>
      </c>
      <c r="Y567">
        <v>0</v>
      </c>
      <c r="Z567">
        <v>0</v>
      </c>
      <c r="AA567">
        <v>0</v>
      </c>
      <c r="AB567">
        <v>0</v>
      </c>
      <c r="AC567">
        <v>1</v>
      </c>
      <c r="AD567">
        <v>0</v>
      </c>
      <c r="AE567" t="s">
        <v>163</v>
      </c>
      <c r="AF567">
        <v>0</v>
      </c>
      <c r="AG567" t="s">
        <v>216</v>
      </c>
      <c r="AH567">
        <v>46310</v>
      </c>
      <c r="AI567" t="s">
        <v>149</v>
      </c>
    </row>
    <row r="568" spans="1:35" x14ac:dyDescent="0.25">
      <c r="A568" s="1">
        <v>46310</v>
      </c>
      <c r="B568" t="s">
        <v>148</v>
      </c>
      <c r="C568" t="s">
        <v>10</v>
      </c>
      <c r="D568">
        <v>9.5295384030899779</v>
      </c>
      <c r="E568">
        <v>0</v>
      </c>
      <c r="F568">
        <v>0</v>
      </c>
      <c r="G568">
        <v>10.22254901960784</v>
      </c>
      <c r="H568">
        <v>0</v>
      </c>
      <c r="I568">
        <v>0</v>
      </c>
      <c r="J568">
        <v>1.0727223698781834</v>
      </c>
      <c r="K568">
        <v>7.2722369878183368E-2</v>
      </c>
      <c r="L568">
        <v>0</v>
      </c>
      <c r="M568">
        <v>0</v>
      </c>
      <c r="N568">
        <v>0</v>
      </c>
      <c r="O568">
        <v>0</v>
      </c>
      <c r="P568">
        <v>0</v>
      </c>
      <c r="Q568">
        <v>0</v>
      </c>
      <c r="R568">
        <v>0</v>
      </c>
      <c r="S568">
        <v>0</v>
      </c>
      <c r="T568">
        <v>0</v>
      </c>
      <c r="U568">
        <v>0</v>
      </c>
      <c r="V568">
        <v>0</v>
      </c>
      <c r="W568">
        <v>0</v>
      </c>
      <c r="X568">
        <v>0</v>
      </c>
      <c r="Y568">
        <v>0</v>
      </c>
      <c r="Z568">
        <v>0</v>
      </c>
      <c r="AA568">
        <v>0</v>
      </c>
      <c r="AB568">
        <v>0</v>
      </c>
      <c r="AC568">
        <v>1</v>
      </c>
      <c r="AD568">
        <v>0</v>
      </c>
      <c r="AE568" t="s">
        <v>163</v>
      </c>
      <c r="AF568">
        <v>0</v>
      </c>
      <c r="AG568" t="s">
        <v>217</v>
      </c>
      <c r="AH568">
        <v>46310</v>
      </c>
      <c r="AI568" t="s">
        <v>149</v>
      </c>
    </row>
    <row r="569" spans="1:35" x14ac:dyDescent="0.25">
      <c r="A569" s="1">
        <v>46311</v>
      </c>
      <c r="B569" t="s">
        <v>148</v>
      </c>
      <c r="C569" t="s">
        <v>11</v>
      </c>
      <c r="D569">
        <v>3.5458747546381306</v>
      </c>
      <c r="E569">
        <v>0</v>
      </c>
      <c r="F569">
        <v>0</v>
      </c>
      <c r="G569">
        <v>4.1764705882352935</v>
      </c>
      <c r="H569">
        <v>0</v>
      </c>
      <c r="I569">
        <v>0</v>
      </c>
      <c r="J569">
        <v>1.1778392857142856</v>
      </c>
      <c r="K569">
        <v>0.17783928571428564</v>
      </c>
      <c r="L569">
        <v>0</v>
      </c>
      <c r="M569">
        <v>0</v>
      </c>
      <c r="N569">
        <v>0</v>
      </c>
      <c r="O569">
        <v>0</v>
      </c>
      <c r="P569">
        <v>0</v>
      </c>
      <c r="Q569">
        <v>0</v>
      </c>
      <c r="R569">
        <v>0</v>
      </c>
      <c r="S569">
        <v>0</v>
      </c>
      <c r="T569">
        <v>0</v>
      </c>
      <c r="U569">
        <v>0</v>
      </c>
      <c r="V569">
        <v>0</v>
      </c>
      <c r="W569">
        <v>0</v>
      </c>
      <c r="X569">
        <v>0</v>
      </c>
      <c r="Y569">
        <v>0</v>
      </c>
      <c r="Z569">
        <v>0</v>
      </c>
      <c r="AA569">
        <v>0</v>
      </c>
      <c r="AB569">
        <v>0</v>
      </c>
      <c r="AC569">
        <v>1</v>
      </c>
      <c r="AD569">
        <v>0</v>
      </c>
      <c r="AE569" t="s">
        <v>163</v>
      </c>
      <c r="AF569">
        <v>0</v>
      </c>
      <c r="AG569" t="s">
        <v>218</v>
      </c>
      <c r="AH569">
        <v>46311</v>
      </c>
      <c r="AI569" t="s">
        <v>149</v>
      </c>
    </row>
    <row r="570" spans="1:35" x14ac:dyDescent="0.25">
      <c r="A570" s="1">
        <v>46311</v>
      </c>
      <c r="B570" t="s">
        <v>148</v>
      </c>
      <c r="C570" t="s">
        <v>12</v>
      </c>
      <c r="D570">
        <v>7.313366681441142</v>
      </c>
      <c r="E570">
        <v>0</v>
      </c>
      <c r="F570">
        <v>0</v>
      </c>
      <c r="G570">
        <v>8.6009803921568544</v>
      </c>
      <c r="H570">
        <v>0</v>
      </c>
      <c r="I570">
        <v>0</v>
      </c>
      <c r="J570">
        <v>1.1760630591630585</v>
      </c>
      <c r="K570">
        <v>0.17606305916305853</v>
      </c>
      <c r="L570">
        <v>0</v>
      </c>
      <c r="M570">
        <v>0</v>
      </c>
      <c r="N570">
        <v>0</v>
      </c>
      <c r="O570">
        <v>0</v>
      </c>
      <c r="P570">
        <v>0</v>
      </c>
      <c r="Q570">
        <v>0</v>
      </c>
      <c r="R570">
        <v>0</v>
      </c>
      <c r="S570">
        <v>0</v>
      </c>
      <c r="T570">
        <v>0</v>
      </c>
      <c r="U570">
        <v>0</v>
      </c>
      <c r="V570">
        <v>0</v>
      </c>
      <c r="W570">
        <v>0</v>
      </c>
      <c r="X570">
        <v>0</v>
      </c>
      <c r="Y570">
        <v>0</v>
      </c>
      <c r="Z570">
        <v>0</v>
      </c>
      <c r="AA570">
        <v>0</v>
      </c>
      <c r="AB570">
        <v>0</v>
      </c>
      <c r="AC570">
        <v>1</v>
      </c>
      <c r="AD570">
        <v>0</v>
      </c>
      <c r="AE570" t="s">
        <v>163</v>
      </c>
      <c r="AF570">
        <v>0</v>
      </c>
      <c r="AG570" t="s">
        <v>219</v>
      </c>
      <c r="AH570">
        <v>46311</v>
      </c>
      <c r="AI570" t="s">
        <v>149</v>
      </c>
    </row>
    <row r="571" spans="1:35" x14ac:dyDescent="0.25">
      <c r="A571" s="1">
        <v>46311</v>
      </c>
      <c r="B571" t="s">
        <v>148</v>
      </c>
      <c r="C571" t="s">
        <v>10</v>
      </c>
      <c r="D571">
        <v>9.5295384030899779</v>
      </c>
      <c r="E571">
        <v>0</v>
      </c>
      <c r="F571">
        <v>0</v>
      </c>
      <c r="G571">
        <v>10.22254901960784</v>
      </c>
      <c r="H571">
        <v>0</v>
      </c>
      <c r="I571">
        <v>0</v>
      </c>
      <c r="J571">
        <v>1.0727223698781834</v>
      </c>
      <c r="K571">
        <v>7.2722369878183368E-2</v>
      </c>
      <c r="L571">
        <v>0</v>
      </c>
      <c r="M571">
        <v>0</v>
      </c>
      <c r="N571">
        <v>0</v>
      </c>
      <c r="O571">
        <v>0</v>
      </c>
      <c r="P571">
        <v>0</v>
      </c>
      <c r="Q571">
        <v>0</v>
      </c>
      <c r="R571">
        <v>0</v>
      </c>
      <c r="S571">
        <v>0</v>
      </c>
      <c r="T571">
        <v>0</v>
      </c>
      <c r="U571">
        <v>0</v>
      </c>
      <c r="V571">
        <v>0</v>
      </c>
      <c r="W571">
        <v>0</v>
      </c>
      <c r="X571">
        <v>0</v>
      </c>
      <c r="Y571">
        <v>0</v>
      </c>
      <c r="Z571">
        <v>0</v>
      </c>
      <c r="AA571">
        <v>0</v>
      </c>
      <c r="AB571">
        <v>0</v>
      </c>
      <c r="AC571">
        <v>1</v>
      </c>
      <c r="AD571">
        <v>0</v>
      </c>
      <c r="AE571" t="s">
        <v>163</v>
      </c>
      <c r="AF571">
        <v>0</v>
      </c>
      <c r="AG571" t="s">
        <v>220</v>
      </c>
      <c r="AH571">
        <v>46311</v>
      </c>
      <c r="AI571" t="s">
        <v>149</v>
      </c>
    </row>
    <row r="572" spans="1:35" x14ac:dyDescent="0.25">
      <c r="A572" s="1">
        <v>46312</v>
      </c>
      <c r="B572" t="s">
        <v>148</v>
      </c>
      <c r="C572" t="s">
        <v>12</v>
      </c>
      <c r="D572">
        <v>7.313366681441142</v>
      </c>
      <c r="E572">
        <v>0</v>
      </c>
      <c r="F572">
        <v>0</v>
      </c>
      <c r="G572">
        <v>8.4245098039215627</v>
      </c>
      <c r="H572">
        <v>0</v>
      </c>
      <c r="I572">
        <v>0</v>
      </c>
      <c r="J572">
        <v>1.1519331890331888</v>
      </c>
      <c r="K572">
        <v>0.15193318903318875</v>
      </c>
      <c r="L572">
        <v>0</v>
      </c>
      <c r="M572">
        <v>0</v>
      </c>
      <c r="N572">
        <v>0</v>
      </c>
      <c r="O572">
        <v>0</v>
      </c>
      <c r="P572">
        <v>0</v>
      </c>
      <c r="Q572">
        <v>0</v>
      </c>
      <c r="R572">
        <v>0</v>
      </c>
      <c r="S572">
        <v>0</v>
      </c>
      <c r="T572">
        <v>0</v>
      </c>
      <c r="U572">
        <v>0</v>
      </c>
      <c r="V572">
        <v>0</v>
      </c>
      <c r="W572">
        <v>0</v>
      </c>
      <c r="X572">
        <v>0</v>
      </c>
      <c r="Y572">
        <v>0</v>
      </c>
      <c r="Z572">
        <v>0</v>
      </c>
      <c r="AA572">
        <v>0</v>
      </c>
      <c r="AB572">
        <v>0</v>
      </c>
      <c r="AC572">
        <v>1</v>
      </c>
      <c r="AD572">
        <v>0</v>
      </c>
      <c r="AE572" t="s">
        <v>163</v>
      </c>
      <c r="AF572">
        <v>0</v>
      </c>
      <c r="AG572" t="s">
        <v>221</v>
      </c>
      <c r="AH572">
        <v>46312</v>
      </c>
      <c r="AI572" t="s">
        <v>149</v>
      </c>
    </row>
    <row r="573" spans="1:35" x14ac:dyDescent="0.25">
      <c r="A573" s="1">
        <v>46312</v>
      </c>
      <c r="B573" t="s">
        <v>148</v>
      </c>
      <c r="C573" t="s">
        <v>10</v>
      </c>
      <c r="D573">
        <v>9.5295384030899779</v>
      </c>
      <c r="E573">
        <v>0</v>
      </c>
      <c r="F573">
        <v>0</v>
      </c>
      <c r="G573">
        <v>10.149019607843131</v>
      </c>
      <c r="H573">
        <v>0</v>
      </c>
      <c r="I573">
        <v>0</v>
      </c>
      <c r="J573">
        <v>1.0650064230343292</v>
      </c>
      <c r="K573">
        <v>6.5006423034329242E-2</v>
      </c>
      <c r="L573">
        <v>0</v>
      </c>
      <c r="M573">
        <v>0</v>
      </c>
      <c r="N573">
        <v>0</v>
      </c>
      <c r="O573">
        <v>0</v>
      </c>
      <c r="P573">
        <v>0</v>
      </c>
      <c r="Q573">
        <v>0</v>
      </c>
      <c r="R573">
        <v>0</v>
      </c>
      <c r="S573">
        <v>0</v>
      </c>
      <c r="T573">
        <v>0</v>
      </c>
      <c r="U573">
        <v>0</v>
      </c>
      <c r="V573">
        <v>0</v>
      </c>
      <c r="W573">
        <v>0</v>
      </c>
      <c r="X573">
        <v>0</v>
      </c>
      <c r="Y573">
        <v>0</v>
      </c>
      <c r="Z573">
        <v>0</v>
      </c>
      <c r="AA573">
        <v>0</v>
      </c>
      <c r="AB573">
        <v>0</v>
      </c>
      <c r="AC573">
        <v>1</v>
      </c>
      <c r="AD573">
        <v>0</v>
      </c>
      <c r="AE573" t="s">
        <v>163</v>
      </c>
      <c r="AF573">
        <v>0</v>
      </c>
      <c r="AG573" t="s">
        <v>222</v>
      </c>
      <c r="AH573">
        <v>46312</v>
      </c>
      <c r="AI573" t="s">
        <v>149</v>
      </c>
    </row>
    <row r="574" spans="1:35" x14ac:dyDescent="0.25">
      <c r="A574" s="1">
        <v>46312</v>
      </c>
      <c r="B574" t="s">
        <v>148</v>
      </c>
      <c r="C574" t="s">
        <v>11</v>
      </c>
      <c r="D574">
        <v>3.5458747546381306</v>
      </c>
      <c r="E574">
        <v>0</v>
      </c>
      <c r="F574">
        <v>0</v>
      </c>
      <c r="G574">
        <v>4.1764705882352935</v>
      </c>
      <c r="H574">
        <v>0</v>
      </c>
      <c r="I574">
        <v>0</v>
      </c>
      <c r="J574">
        <v>1.1778392857142856</v>
      </c>
      <c r="K574">
        <v>0.17783928571428564</v>
      </c>
      <c r="L574">
        <v>0</v>
      </c>
      <c r="M574">
        <v>0</v>
      </c>
      <c r="N574">
        <v>0</v>
      </c>
      <c r="O574">
        <v>0</v>
      </c>
      <c r="P574">
        <v>0</v>
      </c>
      <c r="Q574">
        <v>0</v>
      </c>
      <c r="R574">
        <v>0</v>
      </c>
      <c r="S574">
        <v>0</v>
      </c>
      <c r="T574">
        <v>0</v>
      </c>
      <c r="U574">
        <v>0</v>
      </c>
      <c r="V574">
        <v>0</v>
      </c>
      <c r="W574">
        <v>0</v>
      </c>
      <c r="X574">
        <v>0</v>
      </c>
      <c r="Y574">
        <v>0</v>
      </c>
      <c r="Z574">
        <v>0</v>
      </c>
      <c r="AA574">
        <v>0</v>
      </c>
      <c r="AB574">
        <v>0</v>
      </c>
      <c r="AC574">
        <v>1</v>
      </c>
      <c r="AD574">
        <v>0</v>
      </c>
      <c r="AE574" t="s">
        <v>163</v>
      </c>
      <c r="AF574">
        <v>0</v>
      </c>
      <c r="AG574" t="s">
        <v>223</v>
      </c>
      <c r="AH574">
        <v>46312</v>
      </c>
      <c r="AI574" t="s">
        <v>149</v>
      </c>
    </row>
    <row r="575" spans="1:35" x14ac:dyDescent="0.25">
      <c r="A575" s="1">
        <v>46313</v>
      </c>
      <c r="B575" t="s">
        <v>148</v>
      </c>
      <c r="C575" t="s">
        <v>10</v>
      </c>
      <c r="D575">
        <v>8.6430697144304478</v>
      </c>
      <c r="E575">
        <v>0</v>
      </c>
      <c r="F575">
        <v>0</v>
      </c>
      <c r="G575">
        <v>9.8401960784313687</v>
      </c>
      <c r="H575">
        <v>0</v>
      </c>
      <c r="I575">
        <v>0</v>
      </c>
      <c r="J575">
        <v>1.1385070818070808</v>
      </c>
      <c r="K575">
        <v>0.13850708180708082</v>
      </c>
      <c r="L575">
        <v>0</v>
      </c>
      <c r="M575">
        <v>0</v>
      </c>
      <c r="N575">
        <v>0</v>
      </c>
      <c r="O575">
        <v>0</v>
      </c>
      <c r="P575">
        <v>0</v>
      </c>
      <c r="Q575">
        <v>0</v>
      </c>
      <c r="R575">
        <v>0</v>
      </c>
      <c r="S575">
        <v>0</v>
      </c>
      <c r="T575">
        <v>0</v>
      </c>
      <c r="U575">
        <v>0</v>
      </c>
      <c r="V575">
        <v>0</v>
      </c>
      <c r="W575">
        <v>0</v>
      </c>
      <c r="X575">
        <v>0</v>
      </c>
      <c r="Y575">
        <v>0</v>
      </c>
      <c r="Z575">
        <v>0</v>
      </c>
      <c r="AA575">
        <v>0</v>
      </c>
      <c r="AB575">
        <v>0</v>
      </c>
      <c r="AC575">
        <v>1</v>
      </c>
      <c r="AD575">
        <v>0</v>
      </c>
      <c r="AE575" t="s">
        <v>163</v>
      </c>
      <c r="AF575">
        <v>0</v>
      </c>
      <c r="AG575" t="s">
        <v>224</v>
      </c>
      <c r="AH575">
        <v>46313</v>
      </c>
      <c r="AI575" t="s">
        <v>149</v>
      </c>
    </row>
    <row r="576" spans="1:35" x14ac:dyDescent="0.25">
      <c r="A576" s="1">
        <v>46313</v>
      </c>
      <c r="B576" t="s">
        <v>148</v>
      </c>
      <c r="C576" t="s">
        <v>11</v>
      </c>
      <c r="D576">
        <v>3.5458747546381306</v>
      </c>
      <c r="E576">
        <v>0</v>
      </c>
      <c r="F576">
        <v>0</v>
      </c>
      <c r="G576">
        <v>4.1764705882352935</v>
      </c>
      <c r="H576">
        <v>0</v>
      </c>
      <c r="I576">
        <v>0</v>
      </c>
      <c r="J576">
        <v>1.1778392857142856</v>
      </c>
      <c r="K576">
        <v>0.17783928571428564</v>
      </c>
      <c r="L576">
        <v>0</v>
      </c>
      <c r="M576">
        <v>0</v>
      </c>
      <c r="N576">
        <v>0</v>
      </c>
      <c r="O576">
        <v>0</v>
      </c>
      <c r="P576">
        <v>0</v>
      </c>
      <c r="Q576">
        <v>0</v>
      </c>
      <c r="R576">
        <v>0</v>
      </c>
      <c r="S576">
        <v>0</v>
      </c>
      <c r="T576">
        <v>0</v>
      </c>
      <c r="U576">
        <v>0</v>
      </c>
      <c r="V576">
        <v>0</v>
      </c>
      <c r="W576">
        <v>0</v>
      </c>
      <c r="X576">
        <v>0</v>
      </c>
      <c r="Y576">
        <v>0</v>
      </c>
      <c r="Z576">
        <v>0</v>
      </c>
      <c r="AA576">
        <v>0</v>
      </c>
      <c r="AB576">
        <v>0</v>
      </c>
      <c r="AC576">
        <v>1</v>
      </c>
      <c r="AD576">
        <v>0</v>
      </c>
      <c r="AE576" t="s">
        <v>163</v>
      </c>
      <c r="AF576">
        <v>0</v>
      </c>
      <c r="AG576" t="s">
        <v>225</v>
      </c>
      <c r="AH576">
        <v>46313</v>
      </c>
      <c r="AI576" t="s">
        <v>149</v>
      </c>
    </row>
    <row r="577" spans="1:35" x14ac:dyDescent="0.25">
      <c r="A577" s="1">
        <v>46313</v>
      </c>
      <c r="B577" t="s">
        <v>148</v>
      </c>
      <c r="C577" t="s">
        <v>12</v>
      </c>
      <c r="D577">
        <v>7.313366681441142</v>
      </c>
      <c r="E577">
        <v>0</v>
      </c>
      <c r="F577">
        <v>0</v>
      </c>
      <c r="G577">
        <v>8.4245098039215591</v>
      </c>
      <c r="H577">
        <v>0</v>
      </c>
      <c r="I577">
        <v>0</v>
      </c>
      <c r="J577">
        <v>1.1519331890331881</v>
      </c>
      <c r="K577">
        <v>0.15193318903318809</v>
      </c>
      <c r="L577">
        <v>0</v>
      </c>
      <c r="M577">
        <v>0</v>
      </c>
      <c r="N577">
        <v>0</v>
      </c>
      <c r="O577">
        <v>0</v>
      </c>
      <c r="P577">
        <v>0</v>
      </c>
      <c r="Q577">
        <v>0</v>
      </c>
      <c r="R577">
        <v>0</v>
      </c>
      <c r="S577">
        <v>0</v>
      </c>
      <c r="T577">
        <v>0</v>
      </c>
      <c r="U577">
        <v>0</v>
      </c>
      <c r="V577">
        <v>0</v>
      </c>
      <c r="W577">
        <v>0</v>
      </c>
      <c r="X577">
        <v>0</v>
      </c>
      <c r="Y577">
        <v>0</v>
      </c>
      <c r="Z577">
        <v>0</v>
      </c>
      <c r="AA577">
        <v>0</v>
      </c>
      <c r="AB577">
        <v>0</v>
      </c>
      <c r="AC577">
        <v>1</v>
      </c>
      <c r="AD577">
        <v>0</v>
      </c>
      <c r="AE577" t="s">
        <v>163</v>
      </c>
      <c r="AF577">
        <v>0</v>
      </c>
      <c r="AG577" t="s">
        <v>226</v>
      </c>
      <c r="AH577">
        <v>46313</v>
      </c>
      <c r="AI577" t="s">
        <v>149</v>
      </c>
    </row>
    <row r="578" spans="1:35" x14ac:dyDescent="0.25">
      <c r="A578" s="1">
        <v>46314</v>
      </c>
      <c r="B578" t="s">
        <v>148</v>
      </c>
      <c r="C578" t="s">
        <v>12</v>
      </c>
      <c r="D578">
        <v>7.313366681441142</v>
      </c>
      <c r="E578">
        <v>0</v>
      </c>
      <c r="F578">
        <v>0</v>
      </c>
      <c r="G578">
        <v>8.6009803921568544</v>
      </c>
      <c r="H578">
        <v>0</v>
      </c>
      <c r="I578">
        <v>0</v>
      </c>
      <c r="J578">
        <v>1.1760630591630585</v>
      </c>
      <c r="K578">
        <v>0.17606305916305853</v>
      </c>
      <c r="L578">
        <v>0</v>
      </c>
      <c r="M578">
        <v>0</v>
      </c>
      <c r="N578">
        <v>0</v>
      </c>
      <c r="O578">
        <v>0</v>
      </c>
      <c r="P578">
        <v>0</v>
      </c>
      <c r="Q578">
        <v>0</v>
      </c>
      <c r="R578">
        <v>0</v>
      </c>
      <c r="S578">
        <v>0</v>
      </c>
      <c r="T578">
        <v>0</v>
      </c>
      <c r="U578">
        <v>0</v>
      </c>
      <c r="V578">
        <v>0</v>
      </c>
      <c r="W578">
        <v>0</v>
      </c>
      <c r="X578">
        <v>0</v>
      </c>
      <c r="Y578">
        <v>0</v>
      </c>
      <c r="Z578">
        <v>0</v>
      </c>
      <c r="AA578">
        <v>0</v>
      </c>
      <c r="AB578">
        <v>0</v>
      </c>
      <c r="AC578">
        <v>1</v>
      </c>
      <c r="AD578">
        <v>0</v>
      </c>
      <c r="AE578" t="s">
        <v>163</v>
      </c>
      <c r="AF578">
        <v>0</v>
      </c>
      <c r="AG578" t="s">
        <v>227</v>
      </c>
      <c r="AH578">
        <v>46314</v>
      </c>
      <c r="AI578" t="s">
        <v>149</v>
      </c>
    </row>
    <row r="579" spans="1:35" x14ac:dyDescent="0.25">
      <c r="A579" s="1">
        <v>46314</v>
      </c>
      <c r="B579" t="s">
        <v>148</v>
      </c>
      <c r="C579" t="s">
        <v>11</v>
      </c>
      <c r="D579">
        <v>3.5458747546381306</v>
      </c>
      <c r="E579">
        <v>0</v>
      </c>
      <c r="F579">
        <v>0</v>
      </c>
      <c r="G579">
        <v>4.1764705882352935</v>
      </c>
      <c r="H579">
        <v>0</v>
      </c>
      <c r="I579">
        <v>0</v>
      </c>
      <c r="J579">
        <v>1.1778392857142856</v>
      </c>
      <c r="K579">
        <v>0.17783928571428564</v>
      </c>
      <c r="L579">
        <v>0</v>
      </c>
      <c r="M579">
        <v>0</v>
      </c>
      <c r="N579">
        <v>0</v>
      </c>
      <c r="O579">
        <v>0</v>
      </c>
      <c r="P579">
        <v>0</v>
      </c>
      <c r="Q579">
        <v>0</v>
      </c>
      <c r="R579">
        <v>0</v>
      </c>
      <c r="S579">
        <v>0</v>
      </c>
      <c r="T579">
        <v>0</v>
      </c>
      <c r="U579">
        <v>0</v>
      </c>
      <c r="V579">
        <v>0</v>
      </c>
      <c r="W579">
        <v>0</v>
      </c>
      <c r="X579">
        <v>0</v>
      </c>
      <c r="Y579">
        <v>0</v>
      </c>
      <c r="Z579">
        <v>0</v>
      </c>
      <c r="AA579">
        <v>0</v>
      </c>
      <c r="AB579">
        <v>0</v>
      </c>
      <c r="AC579">
        <v>1</v>
      </c>
      <c r="AD579">
        <v>0</v>
      </c>
      <c r="AE579" t="s">
        <v>163</v>
      </c>
      <c r="AF579">
        <v>0</v>
      </c>
      <c r="AG579" t="s">
        <v>228</v>
      </c>
      <c r="AH579">
        <v>46314</v>
      </c>
      <c r="AI579" t="s">
        <v>149</v>
      </c>
    </row>
    <row r="580" spans="1:35" x14ac:dyDescent="0.25">
      <c r="A580" s="1">
        <v>46314</v>
      </c>
      <c r="B580" t="s">
        <v>148</v>
      </c>
      <c r="C580" t="s">
        <v>10</v>
      </c>
      <c r="D580">
        <v>9.5295384030899779</v>
      </c>
      <c r="E580">
        <v>0</v>
      </c>
      <c r="F580">
        <v>0</v>
      </c>
      <c r="G580">
        <v>10.22254901960784</v>
      </c>
      <c r="H580">
        <v>0</v>
      </c>
      <c r="I580">
        <v>0</v>
      </c>
      <c r="J580">
        <v>1.0727223698781834</v>
      </c>
      <c r="K580">
        <v>7.2722369878183368E-2</v>
      </c>
      <c r="L580">
        <v>0</v>
      </c>
      <c r="M580">
        <v>0</v>
      </c>
      <c r="N580">
        <v>0</v>
      </c>
      <c r="O580">
        <v>0</v>
      </c>
      <c r="P580">
        <v>0</v>
      </c>
      <c r="Q580">
        <v>0</v>
      </c>
      <c r="R580">
        <v>0</v>
      </c>
      <c r="S580">
        <v>0</v>
      </c>
      <c r="T580">
        <v>0</v>
      </c>
      <c r="U580">
        <v>0</v>
      </c>
      <c r="V580">
        <v>0</v>
      </c>
      <c r="W580">
        <v>0</v>
      </c>
      <c r="X580">
        <v>0</v>
      </c>
      <c r="Y580">
        <v>0</v>
      </c>
      <c r="Z580">
        <v>0</v>
      </c>
      <c r="AA580">
        <v>0</v>
      </c>
      <c r="AB580">
        <v>0</v>
      </c>
      <c r="AC580">
        <v>1</v>
      </c>
      <c r="AD580">
        <v>0</v>
      </c>
      <c r="AE580" t="s">
        <v>163</v>
      </c>
      <c r="AF580">
        <v>0</v>
      </c>
      <c r="AG580" t="s">
        <v>229</v>
      </c>
      <c r="AH580">
        <v>46314</v>
      </c>
      <c r="AI580" t="s">
        <v>149</v>
      </c>
    </row>
    <row r="581" spans="1:35" x14ac:dyDescent="0.25">
      <c r="A581" s="1">
        <v>46315</v>
      </c>
      <c r="B581" t="s">
        <v>148</v>
      </c>
      <c r="C581" t="s">
        <v>10</v>
      </c>
      <c r="D581">
        <v>9.5295384030899779</v>
      </c>
      <c r="E581">
        <v>0</v>
      </c>
      <c r="F581">
        <v>0</v>
      </c>
      <c r="G581">
        <v>10.22254901960784</v>
      </c>
      <c r="H581">
        <v>0</v>
      </c>
      <c r="I581">
        <v>0</v>
      </c>
      <c r="J581">
        <v>1.0727223698781834</v>
      </c>
      <c r="K581">
        <v>7.2722369878183368E-2</v>
      </c>
      <c r="L581">
        <v>0</v>
      </c>
      <c r="M581">
        <v>0</v>
      </c>
      <c r="N581">
        <v>0</v>
      </c>
      <c r="O581">
        <v>0</v>
      </c>
      <c r="P581">
        <v>0</v>
      </c>
      <c r="Q581">
        <v>0</v>
      </c>
      <c r="R581">
        <v>0</v>
      </c>
      <c r="S581">
        <v>0</v>
      </c>
      <c r="T581">
        <v>0</v>
      </c>
      <c r="U581">
        <v>0</v>
      </c>
      <c r="V581">
        <v>0</v>
      </c>
      <c r="W581">
        <v>0</v>
      </c>
      <c r="X581">
        <v>0</v>
      </c>
      <c r="Y581">
        <v>0</v>
      </c>
      <c r="Z581">
        <v>0</v>
      </c>
      <c r="AA581">
        <v>0</v>
      </c>
      <c r="AB581">
        <v>0</v>
      </c>
      <c r="AC581">
        <v>1</v>
      </c>
      <c r="AD581">
        <v>0</v>
      </c>
      <c r="AE581" t="s">
        <v>163</v>
      </c>
      <c r="AF581">
        <v>0</v>
      </c>
      <c r="AG581" t="s">
        <v>230</v>
      </c>
      <c r="AH581">
        <v>46315</v>
      </c>
      <c r="AI581" t="s">
        <v>149</v>
      </c>
    </row>
    <row r="582" spans="1:35" x14ac:dyDescent="0.25">
      <c r="A582" s="1">
        <v>46315</v>
      </c>
      <c r="B582" t="s">
        <v>148</v>
      </c>
      <c r="C582" t="s">
        <v>11</v>
      </c>
      <c r="D582">
        <v>3.5458747546381306</v>
      </c>
      <c r="E582">
        <v>0</v>
      </c>
      <c r="F582">
        <v>0</v>
      </c>
      <c r="G582">
        <v>4.1764705882352935</v>
      </c>
      <c r="H582">
        <v>0</v>
      </c>
      <c r="I582">
        <v>0</v>
      </c>
      <c r="J582">
        <v>1.1778392857142856</v>
      </c>
      <c r="K582">
        <v>0.17783928571428564</v>
      </c>
      <c r="L582">
        <v>0</v>
      </c>
      <c r="M582">
        <v>0</v>
      </c>
      <c r="N582">
        <v>0</v>
      </c>
      <c r="O582">
        <v>0</v>
      </c>
      <c r="P582">
        <v>0</v>
      </c>
      <c r="Q582">
        <v>0</v>
      </c>
      <c r="R582">
        <v>0</v>
      </c>
      <c r="S582">
        <v>0</v>
      </c>
      <c r="T582">
        <v>0</v>
      </c>
      <c r="U582">
        <v>0</v>
      </c>
      <c r="V582">
        <v>0</v>
      </c>
      <c r="W582">
        <v>0</v>
      </c>
      <c r="X582">
        <v>0</v>
      </c>
      <c r="Y582">
        <v>0</v>
      </c>
      <c r="Z582">
        <v>0</v>
      </c>
      <c r="AA582">
        <v>0</v>
      </c>
      <c r="AB582">
        <v>0</v>
      </c>
      <c r="AC582">
        <v>1</v>
      </c>
      <c r="AD582">
        <v>0</v>
      </c>
      <c r="AE582" t="s">
        <v>163</v>
      </c>
      <c r="AF582">
        <v>0</v>
      </c>
      <c r="AG582" t="s">
        <v>231</v>
      </c>
      <c r="AH582">
        <v>46315</v>
      </c>
      <c r="AI582" t="s">
        <v>149</v>
      </c>
    </row>
    <row r="583" spans="1:35" x14ac:dyDescent="0.25">
      <c r="A583" s="1">
        <v>46315</v>
      </c>
      <c r="B583" t="s">
        <v>148</v>
      </c>
      <c r="C583" t="s">
        <v>12</v>
      </c>
      <c r="D583">
        <v>7.313366681441142</v>
      </c>
      <c r="E583">
        <v>0</v>
      </c>
      <c r="F583">
        <v>0</v>
      </c>
      <c r="G583">
        <v>8.6009803921568562</v>
      </c>
      <c r="H583">
        <v>0</v>
      </c>
      <c r="I583">
        <v>0</v>
      </c>
      <c r="J583">
        <v>1.1760630591630588</v>
      </c>
      <c r="K583">
        <v>0.17606305916305875</v>
      </c>
      <c r="L583">
        <v>0</v>
      </c>
      <c r="M583">
        <v>0</v>
      </c>
      <c r="N583">
        <v>0</v>
      </c>
      <c r="O583">
        <v>0</v>
      </c>
      <c r="P583">
        <v>0</v>
      </c>
      <c r="Q583">
        <v>0</v>
      </c>
      <c r="R583">
        <v>0</v>
      </c>
      <c r="S583">
        <v>0</v>
      </c>
      <c r="T583">
        <v>0</v>
      </c>
      <c r="U583">
        <v>0</v>
      </c>
      <c r="V583">
        <v>0</v>
      </c>
      <c r="W583">
        <v>0</v>
      </c>
      <c r="X583">
        <v>0</v>
      </c>
      <c r="Y583">
        <v>0</v>
      </c>
      <c r="Z583">
        <v>0</v>
      </c>
      <c r="AA583">
        <v>0</v>
      </c>
      <c r="AB583">
        <v>0</v>
      </c>
      <c r="AC583">
        <v>1</v>
      </c>
      <c r="AD583">
        <v>0</v>
      </c>
      <c r="AE583" t="s">
        <v>163</v>
      </c>
      <c r="AF583">
        <v>0</v>
      </c>
      <c r="AG583" t="s">
        <v>232</v>
      </c>
      <c r="AH583">
        <v>46315</v>
      </c>
      <c r="AI583" t="s">
        <v>149</v>
      </c>
    </row>
    <row r="584" spans="1:35" x14ac:dyDescent="0.25">
      <c r="A584" s="1">
        <v>46316</v>
      </c>
      <c r="B584" t="s">
        <v>148</v>
      </c>
      <c r="C584" t="s">
        <v>12</v>
      </c>
      <c r="D584">
        <v>6.6485151649464935</v>
      </c>
      <c r="E584">
        <v>0</v>
      </c>
      <c r="F584">
        <v>0</v>
      </c>
      <c r="G584">
        <v>6.9686274509803887</v>
      </c>
      <c r="H584">
        <v>0</v>
      </c>
      <c r="I584">
        <v>0</v>
      </c>
      <c r="J584">
        <v>1.0481479365079363</v>
      </c>
      <c r="K584">
        <v>4.8147936507936251E-2</v>
      </c>
      <c r="L584">
        <v>0</v>
      </c>
      <c r="M584">
        <v>0</v>
      </c>
      <c r="N584">
        <v>0</v>
      </c>
      <c r="O584">
        <v>0</v>
      </c>
      <c r="P584">
        <v>0</v>
      </c>
      <c r="Q584">
        <v>0</v>
      </c>
      <c r="R584">
        <v>0</v>
      </c>
      <c r="S584">
        <v>0</v>
      </c>
      <c r="T584">
        <v>0</v>
      </c>
      <c r="U584">
        <v>0</v>
      </c>
      <c r="V584">
        <v>0</v>
      </c>
      <c r="W584">
        <v>0</v>
      </c>
      <c r="X584">
        <v>0</v>
      </c>
      <c r="Y584">
        <v>0</v>
      </c>
      <c r="Z584">
        <v>0</v>
      </c>
      <c r="AA584">
        <v>0</v>
      </c>
      <c r="AB584">
        <v>0</v>
      </c>
      <c r="AC584">
        <v>1</v>
      </c>
      <c r="AD584">
        <v>0</v>
      </c>
      <c r="AE584" t="s">
        <v>163</v>
      </c>
      <c r="AF584">
        <v>0</v>
      </c>
      <c r="AG584" t="s">
        <v>233</v>
      </c>
      <c r="AH584">
        <v>46316</v>
      </c>
      <c r="AI584" t="s">
        <v>149</v>
      </c>
    </row>
    <row r="585" spans="1:35" x14ac:dyDescent="0.25">
      <c r="A585" s="1">
        <v>46316</v>
      </c>
      <c r="B585" t="s">
        <v>148</v>
      </c>
      <c r="C585" t="s">
        <v>11</v>
      </c>
      <c r="D585">
        <v>3.5458747546381306</v>
      </c>
      <c r="E585">
        <v>0</v>
      </c>
      <c r="F585">
        <v>0</v>
      </c>
      <c r="G585">
        <v>4.0588235294117636</v>
      </c>
      <c r="H585">
        <v>0</v>
      </c>
      <c r="I585">
        <v>0</v>
      </c>
      <c r="J585">
        <v>1.1446607142857141</v>
      </c>
      <c r="K585">
        <v>0.14466071428571414</v>
      </c>
      <c r="L585">
        <v>0</v>
      </c>
      <c r="M585">
        <v>0</v>
      </c>
      <c r="N585">
        <v>0</v>
      </c>
      <c r="O585">
        <v>0</v>
      </c>
      <c r="P585">
        <v>0</v>
      </c>
      <c r="Q585">
        <v>0</v>
      </c>
      <c r="R585">
        <v>0</v>
      </c>
      <c r="S585">
        <v>0</v>
      </c>
      <c r="T585">
        <v>0</v>
      </c>
      <c r="U585">
        <v>0</v>
      </c>
      <c r="V585">
        <v>0</v>
      </c>
      <c r="W585">
        <v>0</v>
      </c>
      <c r="X585">
        <v>0</v>
      </c>
      <c r="Y585">
        <v>0</v>
      </c>
      <c r="Z585">
        <v>0</v>
      </c>
      <c r="AA585">
        <v>0</v>
      </c>
      <c r="AB585">
        <v>0</v>
      </c>
      <c r="AC585">
        <v>1</v>
      </c>
      <c r="AD585">
        <v>0</v>
      </c>
      <c r="AE585" t="s">
        <v>163</v>
      </c>
      <c r="AF585">
        <v>0</v>
      </c>
      <c r="AG585" t="s">
        <v>234</v>
      </c>
      <c r="AH585">
        <v>46316</v>
      </c>
      <c r="AI585" t="s">
        <v>149</v>
      </c>
    </row>
    <row r="586" spans="1:35" x14ac:dyDescent="0.25">
      <c r="A586" s="1">
        <v>46316</v>
      </c>
      <c r="B586" t="s">
        <v>148</v>
      </c>
      <c r="C586" t="s">
        <v>10</v>
      </c>
      <c r="D586">
        <v>9.5295384030899779</v>
      </c>
      <c r="E586">
        <v>0</v>
      </c>
      <c r="F586">
        <v>0</v>
      </c>
      <c r="G586">
        <v>10.22254901960784</v>
      </c>
      <c r="H586">
        <v>0</v>
      </c>
      <c r="I586">
        <v>0</v>
      </c>
      <c r="J586">
        <v>1.0727223698781834</v>
      </c>
      <c r="K586">
        <v>7.2722369878183368E-2</v>
      </c>
      <c r="L586">
        <v>0</v>
      </c>
      <c r="M586">
        <v>0</v>
      </c>
      <c r="N586">
        <v>0</v>
      </c>
      <c r="O586">
        <v>0</v>
      </c>
      <c r="P586">
        <v>0</v>
      </c>
      <c r="Q586">
        <v>0</v>
      </c>
      <c r="R586">
        <v>0</v>
      </c>
      <c r="S586">
        <v>0</v>
      </c>
      <c r="T586">
        <v>0</v>
      </c>
      <c r="U586">
        <v>0</v>
      </c>
      <c r="V586">
        <v>0</v>
      </c>
      <c r="W586">
        <v>0</v>
      </c>
      <c r="X586">
        <v>0</v>
      </c>
      <c r="Y586">
        <v>0</v>
      </c>
      <c r="Z586">
        <v>0</v>
      </c>
      <c r="AA586">
        <v>0</v>
      </c>
      <c r="AB586">
        <v>0</v>
      </c>
      <c r="AC586">
        <v>1</v>
      </c>
      <c r="AD586">
        <v>0</v>
      </c>
      <c r="AE586" t="s">
        <v>163</v>
      </c>
      <c r="AF586">
        <v>0</v>
      </c>
      <c r="AG586" t="s">
        <v>235</v>
      </c>
      <c r="AH586">
        <v>46316</v>
      </c>
      <c r="AI586" t="s">
        <v>149</v>
      </c>
    </row>
    <row r="587" spans="1:35" x14ac:dyDescent="0.25">
      <c r="A587" s="1">
        <v>46317</v>
      </c>
      <c r="B587" t="s">
        <v>148</v>
      </c>
      <c r="C587" t="s">
        <v>10</v>
      </c>
      <c r="D587">
        <v>9.5295384030899779</v>
      </c>
      <c r="E587">
        <v>0</v>
      </c>
      <c r="F587">
        <v>0</v>
      </c>
      <c r="G587">
        <v>10.22254901960784</v>
      </c>
      <c r="H587">
        <v>0</v>
      </c>
      <c r="I587">
        <v>0</v>
      </c>
      <c r="J587">
        <v>1.0727223698781834</v>
      </c>
      <c r="K587">
        <v>7.2722369878183368E-2</v>
      </c>
      <c r="L587">
        <v>0</v>
      </c>
      <c r="M587">
        <v>0</v>
      </c>
      <c r="N587">
        <v>0</v>
      </c>
      <c r="O587">
        <v>0</v>
      </c>
      <c r="P587">
        <v>0</v>
      </c>
      <c r="Q587">
        <v>0</v>
      </c>
      <c r="R587">
        <v>0</v>
      </c>
      <c r="S587">
        <v>0</v>
      </c>
      <c r="T587">
        <v>0</v>
      </c>
      <c r="U587">
        <v>0</v>
      </c>
      <c r="V587">
        <v>0</v>
      </c>
      <c r="W587">
        <v>0</v>
      </c>
      <c r="X587">
        <v>0</v>
      </c>
      <c r="Y587">
        <v>0</v>
      </c>
      <c r="Z587">
        <v>0</v>
      </c>
      <c r="AA587">
        <v>0</v>
      </c>
      <c r="AB587">
        <v>0</v>
      </c>
      <c r="AC587">
        <v>1</v>
      </c>
      <c r="AD587">
        <v>0</v>
      </c>
      <c r="AE587" t="s">
        <v>163</v>
      </c>
      <c r="AF587">
        <v>0</v>
      </c>
      <c r="AG587" t="s">
        <v>236</v>
      </c>
      <c r="AH587">
        <v>46317</v>
      </c>
      <c r="AI587" t="s">
        <v>149</v>
      </c>
    </row>
    <row r="588" spans="1:35" x14ac:dyDescent="0.25">
      <c r="A588" s="1">
        <v>46317</v>
      </c>
      <c r="B588" t="s">
        <v>148</v>
      </c>
      <c r="C588" t="s">
        <v>11</v>
      </c>
      <c r="D588">
        <v>3.5458747546381306</v>
      </c>
      <c r="E588">
        <v>0</v>
      </c>
      <c r="F588">
        <v>0</v>
      </c>
      <c r="G588">
        <v>3.3235294117647056</v>
      </c>
      <c r="H588">
        <v>0</v>
      </c>
      <c r="I588">
        <v>0</v>
      </c>
      <c r="J588">
        <v>0.93729464285714281</v>
      </c>
      <c r="K588">
        <v>0</v>
      </c>
      <c r="L588">
        <v>0</v>
      </c>
      <c r="M588">
        <v>0</v>
      </c>
      <c r="N588">
        <v>0</v>
      </c>
      <c r="O588">
        <v>0</v>
      </c>
      <c r="P588">
        <v>0</v>
      </c>
      <c r="Q588">
        <v>0</v>
      </c>
      <c r="R588">
        <v>0</v>
      </c>
      <c r="S588">
        <v>0</v>
      </c>
      <c r="T588">
        <v>0.93729464285714281</v>
      </c>
      <c r="U588">
        <v>6.2705357142857188E-2</v>
      </c>
      <c r="V588">
        <v>0</v>
      </c>
      <c r="W588">
        <v>0</v>
      </c>
      <c r="X588">
        <v>0</v>
      </c>
      <c r="Y588">
        <v>0</v>
      </c>
      <c r="Z588">
        <v>0</v>
      </c>
      <c r="AA588">
        <v>0</v>
      </c>
      <c r="AB588">
        <v>0</v>
      </c>
      <c r="AC588">
        <v>0</v>
      </c>
      <c r="AD588">
        <v>0</v>
      </c>
      <c r="AE588" t="s">
        <v>163</v>
      </c>
      <c r="AF588">
        <v>0</v>
      </c>
      <c r="AG588" t="s">
        <v>237</v>
      </c>
      <c r="AH588">
        <v>46317</v>
      </c>
      <c r="AI588" t="s">
        <v>149</v>
      </c>
    </row>
    <row r="589" spans="1:35" x14ac:dyDescent="0.25">
      <c r="A589" s="1">
        <v>46317</v>
      </c>
      <c r="B589" t="s">
        <v>148</v>
      </c>
      <c r="C589" t="s">
        <v>12</v>
      </c>
      <c r="D589">
        <v>7.313366681441142</v>
      </c>
      <c r="E589">
        <v>0</v>
      </c>
      <c r="F589">
        <v>0</v>
      </c>
      <c r="G589">
        <v>8.6009803921568579</v>
      </c>
      <c r="H589">
        <v>0</v>
      </c>
      <c r="I589">
        <v>0</v>
      </c>
      <c r="J589">
        <v>1.176063059163059</v>
      </c>
      <c r="K589">
        <v>0.17606305916305898</v>
      </c>
      <c r="L589">
        <v>0</v>
      </c>
      <c r="M589">
        <v>0</v>
      </c>
      <c r="N589">
        <v>0</v>
      </c>
      <c r="O589">
        <v>0</v>
      </c>
      <c r="P589">
        <v>0</v>
      </c>
      <c r="Q589">
        <v>0</v>
      </c>
      <c r="R589">
        <v>0</v>
      </c>
      <c r="S589">
        <v>0</v>
      </c>
      <c r="T589">
        <v>0</v>
      </c>
      <c r="U589">
        <v>0</v>
      </c>
      <c r="V589">
        <v>0</v>
      </c>
      <c r="W589">
        <v>0</v>
      </c>
      <c r="X589">
        <v>0</v>
      </c>
      <c r="Y589">
        <v>0</v>
      </c>
      <c r="Z589">
        <v>0</v>
      </c>
      <c r="AA589">
        <v>0</v>
      </c>
      <c r="AB589">
        <v>0</v>
      </c>
      <c r="AC589">
        <v>1</v>
      </c>
      <c r="AD589">
        <v>0</v>
      </c>
      <c r="AE589" t="s">
        <v>163</v>
      </c>
      <c r="AF589">
        <v>0</v>
      </c>
      <c r="AG589" t="s">
        <v>238</v>
      </c>
      <c r="AH589">
        <v>46317</v>
      </c>
      <c r="AI589" t="s">
        <v>149</v>
      </c>
    </row>
    <row r="590" spans="1:35" x14ac:dyDescent="0.25">
      <c r="A590" s="1">
        <v>46318</v>
      </c>
      <c r="B590" t="s">
        <v>148</v>
      </c>
      <c r="C590" t="s">
        <v>10</v>
      </c>
      <c r="D590">
        <v>9.5295384030899779</v>
      </c>
      <c r="E590">
        <v>0</v>
      </c>
      <c r="F590">
        <v>0</v>
      </c>
      <c r="G590">
        <v>10.075490196078428</v>
      </c>
      <c r="H590">
        <v>0</v>
      </c>
      <c r="I590">
        <v>0</v>
      </c>
      <c r="J590">
        <v>1.0572904761904758</v>
      </c>
      <c r="K590">
        <v>5.7290476190475781E-2</v>
      </c>
      <c r="L590">
        <v>0</v>
      </c>
      <c r="M590">
        <v>0</v>
      </c>
      <c r="N590">
        <v>0</v>
      </c>
      <c r="O590">
        <v>0</v>
      </c>
      <c r="P590">
        <v>0</v>
      </c>
      <c r="Q590">
        <v>0</v>
      </c>
      <c r="R590">
        <v>0</v>
      </c>
      <c r="S590">
        <v>0</v>
      </c>
      <c r="T590">
        <v>0</v>
      </c>
      <c r="U590">
        <v>0</v>
      </c>
      <c r="V590">
        <v>0</v>
      </c>
      <c r="W590">
        <v>0</v>
      </c>
      <c r="X590">
        <v>0</v>
      </c>
      <c r="Y590">
        <v>0</v>
      </c>
      <c r="Z590">
        <v>0</v>
      </c>
      <c r="AA590">
        <v>0</v>
      </c>
      <c r="AB590">
        <v>0</v>
      </c>
      <c r="AC590">
        <v>1</v>
      </c>
      <c r="AD590">
        <v>0</v>
      </c>
      <c r="AE590" t="s">
        <v>163</v>
      </c>
      <c r="AF590">
        <v>0</v>
      </c>
      <c r="AG590" t="s">
        <v>239</v>
      </c>
      <c r="AH590">
        <v>46318</v>
      </c>
      <c r="AI590" t="s">
        <v>149</v>
      </c>
    </row>
    <row r="591" spans="1:35" x14ac:dyDescent="0.25">
      <c r="A591" s="1">
        <v>46318</v>
      </c>
      <c r="B591" t="s">
        <v>148</v>
      </c>
      <c r="C591" t="s">
        <v>11</v>
      </c>
      <c r="D591">
        <v>3.5458747546381306</v>
      </c>
      <c r="E591">
        <v>0</v>
      </c>
      <c r="F591">
        <v>0</v>
      </c>
      <c r="G591">
        <v>4.1764705882352935</v>
      </c>
      <c r="H591">
        <v>0</v>
      </c>
      <c r="I591">
        <v>0</v>
      </c>
      <c r="J591">
        <v>1.1778392857142856</v>
      </c>
      <c r="K591">
        <v>0.17783928571428564</v>
      </c>
      <c r="L591">
        <v>0</v>
      </c>
      <c r="M591">
        <v>0</v>
      </c>
      <c r="N591">
        <v>0</v>
      </c>
      <c r="O591">
        <v>0</v>
      </c>
      <c r="P591">
        <v>0</v>
      </c>
      <c r="Q591">
        <v>0</v>
      </c>
      <c r="R591">
        <v>0</v>
      </c>
      <c r="S591">
        <v>0</v>
      </c>
      <c r="T591">
        <v>0</v>
      </c>
      <c r="U591">
        <v>0</v>
      </c>
      <c r="V591">
        <v>0</v>
      </c>
      <c r="W591">
        <v>0</v>
      </c>
      <c r="X591">
        <v>0</v>
      </c>
      <c r="Y591">
        <v>0</v>
      </c>
      <c r="Z591">
        <v>0</v>
      </c>
      <c r="AA591">
        <v>0</v>
      </c>
      <c r="AB591">
        <v>0</v>
      </c>
      <c r="AC591">
        <v>1</v>
      </c>
      <c r="AD591">
        <v>0</v>
      </c>
      <c r="AE591" t="s">
        <v>163</v>
      </c>
      <c r="AF591">
        <v>0</v>
      </c>
      <c r="AG591" t="s">
        <v>240</v>
      </c>
      <c r="AH591">
        <v>46318</v>
      </c>
      <c r="AI591" t="s">
        <v>149</v>
      </c>
    </row>
    <row r="592" spans="1:35" x14ac:dyDescent="0.25">
      <c r="A592" s="1">
        <v>46318</v>
      </c>
      <c r="B592" t="s">
        <v>148</v>
      </c>
      <c r="C592" t="s">
        <v>12</v>
      </c>
      <c r="D592">
        <v>7.313366681441142</v>
      </c>
      <c r="E592">
        <v>0</v>
      </c>
      <c r="F592">
        <v>0</v>
      </c>
      <c r="G592">
        <v>8.6009803921568562</v>
      </c>
      <c r="H592">
        <v>0</v>
      </c>
      <c r="I592">
        <v>0</v>
      </c>
      <c r="J592">
        <v>1.1760630591630588</v>
      </c>
      <c r="K592">
        <v>0.17606305916305875</v>
      </c>
      <c r="L592">
        <v>0</v>
      </c>
      <c r="M592">
        <v>0</v>
      </c>
      <c r="N592">
        <v>0</v>
      </c>
      <c r="O592">
        <v>0</v>
      </c>
      <c r="P592">
        <v>0</v>
      </c>
      <c r="Q592">
        <v>0</v>
      </c>
      <c r="R592">
        <v>0</v>
      </c>
      <c r="S592">
        <v>0</v>
      </c>
      <c r="T592">
        <v>0</v>
      </c>
      <c r="U592">
        <v>0</v>
      </c>
      <c r="V592">
        <v>0</v>
      </c>
      <c r="W592">
        <v>0</v>
      </c>
      <c r="X592">
        <v>0</v>
      </c>
      <c r="Y592">
        <v>0</v>
      </c>
      <c r="Z592">
        <v>0</v>
      </c>
      <c r="AA592">
        <v>0</v>
      </c>
      <c r="AB592">
        <v>0</v>
      </c>
      <c r="AC592">
        <v>1</v>
      </c>
      <c r="AD592">
        <v>0</v>
      </c>
      <c r="AE592" t="s">
        <v>163</v>
      </c>
      <c r="AF592">
        <v>0</v>
      </c>
      <c r="AG592" t="s">
        <v>241</v>
      </c>
      <c r="AH592">
        <v>46318</v>
      </c>
      <c r="AI592" t="s">
        <v>149</v>
      </c>
    </row>
    <row r="593" spans="1:35" x14ac:dyDescent="0.25">
      <c r="A593" s="1">
        <v>46319</v>
      </c>
      <c r="B593" t="s">
        <v>148</v>
      </c>
      <c r="C593" t="s">
        <v>12</v>
      </c>
      <c r="D593">
        <v>7.313366681441142</v>
      </c>
      <c r="E593">
        <v>0</v>
      </c>
      <c r="F593">
        <v>0</v>
      </c>
      <c r="G593">
        <v>7.5421568627450908</v>
      </c>
      <c r="H593">
        <v>0</v>
      </c>
      <c r="I593">
        <v>0</v>
      </c>
      <c r="J593">
        <v>1.0312838383838379</v>
      </c>
      <c r="K593">
        <v>3.1283838383837859E-2</v>
      </c>
      <c r="L593">
        <v>0</v>
      </c>
      <c r="M593">
        <v>0</v>
      </c>
      <c r="N593">
        <v>0</v>
      </c>
      <c r="O593">
        <v>0</v>
      </c>
      <c r="P593">
        <v>0</v>
      </c>
      <c r="Q593">
        <v>0</v>
      </c>
      <c r="R593">
        <v>0</v>
      </c>
      <c r="S593">
        <v>0</v>
      </c>
      <c r="T593">
        <v>0</v>
      </c>
      <c r="U593">
        <v>0</v>
      </c>
      <c r="V593">
        <v>0</v>
      </c>
      <c r="W593">
        <v>0</v>
      </c>
      <c r="X593">
        <v>0</v>
      </c>
      <c r="Y593">
        <v>0</v>
      </c>
      <c r="Z593">
        <v>0</v>
      </c>
      <c r="AA593">
        <v>0</v>
      </c>
      <c r="AB593">
        <v>0</v>
      </c>
      <c r="AC593">
        <v>1</v>
      </c>
      <c r="AD593">
        <v>0</v>
      </c>
      <c r="AE593" t="s">
        <v>163</v>
      </c>
      <c r="AF593">
        <v>0</v>
      </c>
      <c r="AG593" t="s">
        <v>242</v>
      </c>
      <c r="AH593">
        <v>46319</v>
      </c>
      <c r="AI593" t="s">
        <v>149</v>
      </c>
    </row>
    <row r="594" spans="1:35" x14ac:dyDescent="0.25">
      <c r="A594" s="1">
        <v>46319</v>
      </c>
      <c r="B594" t="s">
        <v>148</v>
      </c>
      <c r="C594" t="s">
        <v>11</v>
      </c>
      <c r="D594">
        <v>3.3242575824732468</v>
      </c>
      <c r="E594">
        <v>0</v>
      </c>
      <c r="F594">
        <v>0</v>
      </c>
      <c r="G594">
        <v>4.0588235294117636</v>
      </c>
      <c r="H594">
        <v>0</v>
      </c>
      <c r="I594">
        <v>0</v>
      </c>
      <c r="J594">
        <v>1.2209714285714286</v>
      </c>
      <c r="K594">
        <v>0.2209714285714286</v>
      </c>
      <c r="L594">
        <v>0</v>
      </c>
      <c r="M594">
        <v>0</v>
      </c>
      <c r="N594">
        <v>0</v>
      </c>
      <c r="O594">
        <v>0</v>
      </c>
      <c r="P594">
        <v>0</v>
      </c>
      <c r="Q594">
        <v>0</v>
      </c>
      <c r="R594">
        <v>0</v>
      </c>
      <c r="S594">
        <v>0</v>
      </c>
      <c r="T594">
        <v>0</v>
      </c>
      <c r="U594">
        <v>0</v>
      </c>
      <c r="V594">
        <v>0</v>
      </c>
      <c r="W594">
        <v>0</v>
      </c>
      <c r="X594">
        <v>0</v>
      </c>
      <c r="Y594">
        <v>0</v>
      </c>
      <c r="Z594">
        <v>0</v>
      </c>
      <c r="AA594">
        <v>0</v>
      </c>
      <c r="AB594">
        <v>0</v>
      </c>
      <c r="AC594">
        <v>1</v>
      </c>
      <c r="AD594">
        <v>0</v>
      </c>
      <c r="AE594" t="s">
        <v>163</v>
      </c>
      <c r="AF594">
        <v>0</v>
      </c>
      <c r="AG594" t="s">
        <v>243</v>
      </c>
      <c r="AH594">
        <v>46319</v>
      </c>
      <c r="AI594" t="s">
        <v>149</v>
      </c>
    </row>
    <row r="595" spans="1:35" x14ac:dyDescent="0.25">
      <c r="A595" s="1">
        <v>46319</v>
      </c>
      <c r="B595" t="s">
        <v>148</v>
      </c>
      <c r="C595" t="s">
        <v>10</v>
      </c>
      <c r="D595">
        <v>9.5295384030899779</v>
      </c>
      <c r="E595">
        <v>0</v>
      </c>
      <c r="F595">
        <v>0</v>
      </c>
      <c r="G595">
        <v>10.149019607843131</v>
      </c>
      <c r="H595">
        <v>0</v>
      </c>
      <c r="I595">
        <v>0</v>
      </c>
      <c r="J595">
        <v>1.0650064230343292</v>
      </c>
      <c r="K595">
        <v>6.5006423034329242E-2</v>
      </c>
      <c r="L595">
        <v>0</v>
      </c>
      <c r="M595">
        <v>0</v>
      </c>
      <c r="N595">
        <v>0</v>
      </c>
      <c r="O595">
        <v>0</v>
      </c>
      <c r="P595">
        <v>0</v>
      </c>
      <c r="Q595">
        <v>0</v>
      </c>
      <c r="R595">
        <v>0</v>
      </c>
      <c r="S595">
        <v>0</v>
      </c>
      <c r="T595">
        <v>0</v>
      </c>
      <c r="U595">
        <v>0</v>
      </c>
      <c r="V595">
        <v>0</v>
      </c>
      <c r="W595">
        <v>0</v>
      </c>
      <c r="X595">
        <v>0</v>
      </c>
      <c r="Y595">
        <v>0</v>
      </c>
      <c r="Z595">
        <v>0</v>
      </c>
      <c r="AA595">
        <v>0</v>
      </c>
      <c r="AB595">
        <v>0</v>
      </c>
      <c r="AC595">
        <v>1</v>
      </c>
      <c r="AD595">
        <v>0</v>
      </c>
      <c r="AE595" t="s">
        <v>163</v>
      </c>
      <c r="AF595">
        <v>0</v>
      </c>
      <c r="AG595" t="s">
        <v>244</v>
      </c>
      <c r="AH595">
        <v>46319</v>
      </c>
      <c r="AI595" t="s">
        <v>149</v>
      </c>
    </row>
    <row r="596" spans="1:35" x14ac:dyDescent="0.25">
      <c r="A596" s="1">
        <v>46320</v>
      </c>
      <c r="B596" t="s">
        <v>148</v>
      </c>
      <c r="C596" t="s">
        <v>12</v>
      </c>
      <c r="D596">
        <v>7.313366681441142</v>
      </c>
      <c r="E596">
        <v>0</v>
      </c>
      <c r="F596">
        <v>0</v>
      </c>
      <c r="G596">
        <v>8.4245098039215609</v>
      </c>
      <c r="H596">
        <v>0</v>
      </c>
      <c r="I596">
        <v>0</v>
      </c>
      <c r="J596">
        <v>1.1519331890331885</v>
      </c>
      <c r="K596">
        <v>0.15193318903318853</v>
      </c>
      <c r="L596">
        <v>0</v>
      </c>
      <c r="M596">
        <v>0</v>
      </c>
      <c r="N596">
        <v>0</v>
      </c>
      <c r="O596">
        <v>0</v>
      </c>
      <c r="P596">
        <v>0</v>
      </c>
      <c r="Q596">
        <v>0</v>
      </c>
      <c r="R596">
        <v>0</v>
      </c>
      <c r="S596">
        <v>0</v>
      </c>
      <c r="T596">
        <v>0</v>
      </c>
      <c r="U596">
        <v>0</v>
      </c>
      <c r="V596">
        <v>0</v>
      </c>
      <c r="W596">
        <v>0</v>
      </c>
      <c r="X596">
        <v>0</v>
      </c>
      <c r="Y596">
        <v>0</v>
      </c>
      <c r="Z596">
        <v>0</v>
      </c>
      <c r="AA596">
        <v>0</v>
      </c>
      <c r="AB596">
        <v>0</v>
      </c>
      <c r="AC596">
        <v>1</v>
      </c>
      <c r="AD596">
        <v>0</v>
      </c>
      <c r="AE596" t="s">
        <v>163</v>
      </c>
      <c r="AF596">
        <v>0</v>
      </c>
      <c r="AG596" t="s">
        <v>245</v>
      </c>
      <c r="AH596">
        <v>46320</v>
      </c>
      <c r="AI596" t="s">
        <v>149</v>
      </c>
    </row>
    <row r="597" spans="1:35" x14ac:dyDescent="0.25">
      <c r="A597" s="1">
        <v>46320</v>
      </c>
      <c r="B597" t="s">
        <v>148</v>
      </c>
      <c r="C597" t="s">
        <v>10</v>
      </c>
      <c r="D597">
        <v>9.5295384030899779</v>
      </c>
      <c r="E597">
        <v>0</v>
      </c>
      <c r="F597">
        <v>0</v>
      </c>
      <c r="G597">
        <v>10.149019607843131</v>
      </c>
      <c r="H597">
        <v>0</v>
      </c>
      <c r="I597">
        <v>0</v>
      </c>
      <c r="J597">
        <v>1.0650064230343292</v>
      </c>
      <c r="K597">
        <v>6.5006423034329242E-2</v>
      </c>
      <c r="L597">
        <v>0</v>
      </c>
      <c r="M597">
        <v>0</v>
      </c>
      <c r="N597">
        <v>0</v>
      </c>
      <c r="O597">
        <v>0</v>
      </c>
      <c r="P597">
        <v>0</v>
      </c>
      <c r="Q597">
        <v>0</v>
      </c>
      <c r="R597">
        <v>0</v>
      </c>
      <c r="S597">
        <v>0</v>
      </c>
      <c r="T597">
        <v>0</v>
      </c>
      <c r="U597">
        <v>0</v>
      </c>
      <c r="V597">
        <v>0</v>
      </c>
      <c r="W597">
        <v>0</v>
      </c>
      <c r="X597">
        <v>0</v>
      </c>
      <c r="Y597">
        <v>0</v>
      </c>
      <c r="Z597">
        <v>0</v>
      </c>
      <c r="AA597">
        <v>0</v>
      </c>
      <c r="AB597">
        <v>0</v>
      </c>
      <c r="AC597">
        <v>1</v>
      </c>
      <c r="AD597">
        <v>0</v>
      </c>
      <c r="AE597" t="s">
        <v>163</v>
      </c>
      <c r="AF597">
        <v>0</v>
      </c>
      <c r="AG597" t="s">
        <v>246</v>
      </c>
      <c r="AH597">
        <v>46320</v>
      </c>
      <c r="AI597" t="s">
        <v>149</v>
      </c>
    </row>
    <row r="598" spans="1:35" x14ac:dyDescent="0.25">
      <c r="A598" s="1">
        <v>46320</v>
      </c>
      <c r="B598" t="s">
        <v>148</v>
      </c>
      <c r="C598" t="s">
        <v>11</v>
      </c>
      <c r="D598">
        <v>3.5458747546381306</v>
      </c>
      <c r="E598">
        <v>0</v>
      </c>
      <c r="F598">
        <v>0</v>
      </c>
      <c r="G598">
        <v>4.1764705882352935</v>
      </c>
      <c r="H598">
        <v>0</v>
      </c>
      <c r="I598">
        <v>0</v>
      </c>
      <c r="J598">
        <v>1.1778392857142856</v>
      </c>
      <c r="K598">
        <v>0.17783928571428564</v>
      </c>
      <c r="L598">
        <v>0</v>
      </c>
      <c r="M598">
        <v>0</v>
      </c>
      <c r="N598">
        <v>0</v>
      </c>
      <c r="O598">
        <v>0</v>
      </c>
      <c r="P598">
        <v>0</v>
      </c>
      <c r="Q598">
        <v>0</v>
      </c>
      <c r="R598">
        <v>0</v>
      </c>
      <c r="S598">
        <v>0</v>
      </c>
      <c r="T598">
        <v>0</v>
      </c>
      <c r="U598">
        <v>0</v>
      </c>
      <c r="V598">
        <v>0</v>
      </c>
      <c r="W598">
        <v>0</v>
      </c>
      <c r="X598">
        <v>0</v>
      </c>
      <c r="Y598">
        <v>0</v>
      </c>
      <c r="Z598">
        <v>0</v>
      </c>
      <c r="AA598">
        <v>0</v>
      </c>
      <c r="AB598">
        <v>0</v>
      </c>
      <c r="AC598">
        <v>1</v>
      </c>
      <c r="AD598">
        <v>0</v>
      </c>
      <c r="AE598" t="s">
        <v>163</v>
      </c>
      <c r="AF598">
        <v>0</v>
      </c>
      <c r="AG598" t="s">
        <v>247</v>
      </c>
      <c r="AH598">
        <v>46320</v>
      </c>
      <c r="AI598" t="s">
        <v>149</v>
      </c>
    </row>
    <row r="599" spans="1:35" x14ac:dyDescent="0.25">
      <c r="A599" s="1">
        <v>46293</v>
      </c>
      <c r="B599" t="s">
        <v>97</v>
      </c>
      <c r="C599" t="s">
        <v>11</v>
      </c>
      <c r="D599">
        <v>0</v>
      </c>
      <c r="E599">
        <v>0</v>
      </c>
      <c r="F599">
        <v>0</v>
      </c>
      <c r="G599">
        <v>0</v>
      </c>
      <c r="H599">
        <v>0</v>
      </c>
      <c r="I599">
        <v>0</v>
      </c>
      <c r="J599">
        <v>0</v>
      </c>
      <c r="K599">
        <v>0</v>
      </c>
      <c r="L599">
        <v>0</v>
      </c>
      <c r="M599">
        <v>0</v>
      </c>
      <c r="N599">
        <v>0</v>
      </c>
      <c r="O599">
        <v>0</v>
      </c>
      <c r="P599">
        <v>0</v>
      </c>
      <c r="Q599">
        <v>0</v>
      </c>
      <c r="R599">
        <v>0</v>
      </c>
      <c r="S599">
        <v>0</v>
      </c>
      <c r="T599">
        <v>0</v>
      </c>
      <c r="U599">
        <v>0</v>
      </c>
      <c r="V599">
        <v>0</v>
      </c>
      <c r="W599">
        <v>0</v>
      </c>
      <c r="X599">
        <v>0</v>
      </c>
      <c r="Y599">
        <v>0</v>
      </c>
      <c r="Z599">
        <v>0</v>
      </c>
      <c r="AA599">
        <v>0</v>
      </c>
      <c r="AB599">
        <v>0</v>
      </c>
      <c r="AC599">
        <v>0</v>
      </c>
      <c r="AD599">
        <v>0</v>
      </c>
      <c r="AE599" t="s">
        <v>163</v>
      </c>
      <c r="AF599">
        <v>0</v>
      </c>
      <c r="AG599" t="s">
        <v>165</v>
      </c>
      <c r="AH599">
        <v>46293</v>
      </c>
      <c r="AI599" t="s">
        <v>149</v>
      </c>
    </row>
    <row r="600" spans="1:35" x14ac:dyDescent="0.25">
      <c r="A600" s="1">
        <v>46293</v>
      </c>
      <c r="B600" t="s">
        <v>97</v>
      </c>
      <c r="C600" t="s">
        <v>12</v>
      </c>
      <c r="D600">
        <v>0</v>
      </c>
      <c r="E600">
        <v>0</v>
      </c>
      <c r="F600">
        <v>0</v>
      </c>
      <c r="G600">
        <v>0.16608996539792387</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0</v>
      </c>
      <c r="AB600">
        <v>1</v>
      </c>
      <c r="AC600">
        <v>0</v>
      </c>
      <c r="AD600">
        <v>0</v>
      </c>
      <c r="AE600" t="s">
        <v>163</v>
      </c>
      <c r="AF600">
        <v>0</v>
      </c>
      <c r="AG600" t="s">
        <v>164</v>
      </c>
      <c r="AH600">
        <v>46293</v>
      </c>
      <c r="AI600" t="s">
        <v>149</v>
      </c>
    </row>
    <row r="601" spans="1:35" x14ac:dyDescent="0.25">
      <c r="A601" s="1">
        <v>46293</v>
      </c>
      <c r="B601" t="s">
        <v>97</v>
      </c>
      <c r="C601" t="s">
        <v>10</v>
      </c>
      <c r="D601">
        <v>0.88646868865953243</v>
      </c>
      <c r="E601">
        <v>0</v>
      </c>
      <c r="F601">
        <v>0</v>
      </c>
      <c r="G601">
        <v>0.82352941176470595</v>
      </c>
      <c r="H601">
        <v>0</v>
      </c>
      <c r="I601">
        <v>0</v>
      </c>
      <c r="J601">
        <v>0.92900000000000038</v>
      </c>
      <c r="K601">
        <v>0</v>
      </c>
      <c r="L601">
        <v>0</v>
      </c>
      <c r="M601">
        <v>0</v>
      </c>
      <c r="N601">
        <v>0</v>
      </c>
      <c r="O601">
        <v>0</v>
      </c>
      <c r="P601">
        <v>0</v>
      </c>
      <c r="Q601">
        <v>0</v>
      </c>
      <c r="R601">
        <v>0</v>
      </c>
      <c r="S601">
        <v>0</v>
      </c>
      <c r="T601">
        <v>0.92900000000000038</v>
      </c>
      <c r="U601">
        <v>7.0999999999999619E-2</v>
      </c>
      <c r="V601">
        <v>0</v>
      </c>
      <c r="W601">
        <v>0</v>
      </c>
      <c r="X601">
        <v>0</v>
      </c>
      <c r="Y601">
        <v>0</v>
      </c>
      <c r="Z601">
        <v>0</v>
      </c>
      <c r="AA601">
        <v>0</v>
      </c>
      <c r="AB601">
        <v>0</v>
      </c>
      <c r="AC601">
        <v>0</v>
      </c>
      <c r="AD601">
        <v>0</v>
      </c>
      <c r="AE601" t="s">
        <v>163</v>
      </c>
      <c r="AF601">
        <v>0</v>
      </c>
      <c r="AG601" t="s">
        <v>166</v>
      </c>
      <c r="AH601">
        <v>46293</v>
      </c>
      <c r="AI601" t="s">
        <v>149</v>
      </c>
    </row>
    <row r="602" spans="1:35" x14ac:dyDescent="0.25">
      <c r="A602" s="1">
        <v>46294</v>
      </c>
      <c r="B602" t="s">
        <v>97</v>
      </c>
      <c r="C602" t="s">
        <v>11</v>
      </c>
      <c r="D602">
        <v>0</v>
      </c>
      <c r="E602">
        <v>0</v>
      </c>
      <c r="F602">
        <v>0</v>
      </c>
      <c r="G602">
        <v>0</v>
      </c>
      <c r="H602">
        <v>0</v>
      </c>
      <c r="I602">
        <v>0</v>
      </c>
      <c r="J602">
        <v>0</v>
      </c>
      <c r="K602">
        <v>0</v>
      </c>
      <c r="L602">
        <v>0</v>
      </c>
      <c r="M602">
        <v>0</v>
      </c>
      <c r="N602">
        <v>0</v>
      </c>
      <c r="O602">
        <v>0</v>
      </c>
      <c r="P602">
        <v>0</v>
      </c>
      <c r="Q602">
        <v>0</v>
      </c>
      <c r="R602">
        <v>0</v>
      </c>
      <c r="S602">
        <v>0</v>
      </c>
      <c r="T602">
        <v>0</v>
      </c>
      <c r="U602">
        <v>0</v>
      </c>
      <c r="V602">
        <v>0</v>
      </c>
      <c r="W602">
        <v>0</v>
      </c>
      <c r="X602">
        <v>0</v>
      </c>
      <c r="Y602">
        <v>0</v>
      </c>
      <c r="Z602">
        <v>0</v>
      </c>
      <c r="AA602">
        <v>0</v>
      </c>
      <c r="AB602">
        <v>0</v>
      </c>
      <c r="AC602">
        <v>0</v>
      </c>
      <c r="AD602">
        <v>0</v>
      </c>
      <c r="AE602" t="s">
        <v>163</v>
      </c>
      <c r="AF602">
        <v>0</v>
      </c>
      <c r="AG602" t="s">
        <v>168</v>
      </c>
      <c r="AH602">
        <v>46294</v>
      </c>
      <c r="AI602" t="s">
        <v>149</v>
      </c>
    </row>
    <row r="603" spans="1:35" x14ac:dyDescent="0.25">
      <c r="A603" s="1">
        <v>46294</v>
      </c>
      <c r="B603" t="s">
        <v>97</v>
      </c>
      <c r="C603" t="s">
        <v>12</v>
      </c>
      <c r="D603">
        <v>0</v>
      </c>
      <c r="E603">
        <v>0</v>
      </c>
      <c r="F603">
        <v>0</v>
      </c>
      <c r="G603">
        <v>0.16608996539792387</v>
      </c>
      <c r="H603">
        <v>0</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1</v>
      </c>
      <c r="AC603">
        <v>0</v>
      </c>
      <c r="AD603">
        <v>0</v>
      </c>
      <c r="AE603" t="s">
        <v>163</v>
      </c>
      <c r="AF603">
        <v>0</v>
      </c>
      <c r="AG603" t="s">
        <v>169</v>
      </c>
      <c r="AH603">
        <v>46294</v>
      </c>
      <c r="AI603" t="s">
        <v>149</v>
      </c>
    </row>
    <row r="604" spans="1:35" x14ac:dyDescent="0.25">
      <c r="A604" s="1">
        <v>46294</v>
      </c>
      <c r="B604" t="s">
        <v>97</v>
      </c>
      <c r="C604" t="s">
        <v>10</v>
      </c>
      <c r="D604">
        <v>0.88646868865953243</v>
      </c>
      <c r="E604">
        <v>0</v>
      </c>
      <c r="F604">
        <v>0</v>
      </c>
      <c r="G604">
        <v>0.82352941176470595</v>
      </c>
      <c r="H604">
        <v>0</v>
      </c>
      <c r="I604">
        <v>0</v>
      </c>
      <c r="J604">
        <v>0.92900000000000038</v>
      </c>
      <c r="K604">
        <v>0</v>
      </c>
      <c r="L604">
        <v>0</v>
      </c>
      <c r="M604">
        <v>0</v>
      </c>
      <c r="N604">
        <v>0</v>
      </c>
      <c r="O604">
        <v>0</v>
      </c>
      <c r="P604">
        <v>0</v>
      </c>
      <c r="Q604">
        <v>0</v>
      </c>
      <c r="R604">
        <v>0</v>
      </c>
      <c r="S604">
        <v>0</v>
      </c>
      <c r="T604">
        <v>0.92900000000000038</v>
      </c>
      <c r="U604">
        <v>7.0999999999999619E-2</v>
      </c>
      <c r="V604">
        <v>0</v>
      </c>
      <c r="W604">
        <v>0</v>
      </c>
      <c r="X604">
        <v>0</v>
      </c>
      <c r="Y604">
        <v>0</v>
      </c>
      <c r="Z604">
        <v>0</v>
      </c>
      <c r="AA604">
        <v>0</v>
      </c>
      <c r="AB604">
        <v>0</v>
      </c>
      <c r="AC604">
        <v>0</v>
      </c>
      <c r="AD604">
        <v>0</v>
      </c>
      <c r="AE604" t="s">
        <v>163</v>
      </c>
      <c r="AF604">
        <v>0</v>
      </c>
      <c r="AG604" t="s">
        <v>167</v>
      </c>
      <c r="AH604">
        <v>46294</v>
      </c>
      <c r="AI604" t="s">
        <v>149</v>
      </c>
    </row>
    <row r="605" spans="1:35" x14ac:dyDescent="0.25">
      <c r="A605" s="1">
        <v>46295</v>
      </c>
      <c r="B605" t="s">
        <v>97</v>
      </c>
      <c r="C605" t="s">
        <v>10</v>
      </c>
      <c r="D605">
        <v>2.7148103590198196</v>
      </c>
      <c r="E605">
        <v>0</v>
      </c>
      <c r="F605">
        <v>0</v>
      </c>
      <c r="G605">
        <v>1.6499183006535949</v>
      </c>
      <c r="H605">
        <v>0</v>
      </c>
      <c r="I605">
        <v>0</v>
      </c>
      <c r="J605">
        <v>0.60774716553287966</v>
      </c>
      <c r="K605">
        <v>0</v>
      </c>
      <c r="L605">
        <v>0</v>
      </c>
      <c r="M605">
        <v>0</v>
      </c>
      <c r="N605">
        <v>0</v>
      </c>
      <c r="O605">
        <v>0</v>
      </c>
      <c r="P605">
        <v>0</v>
      </c>
      <c r="Q605">
        <v>0</v>
      </c>
      <c r="R605">
        <v>0</v>
      </c>
      <c r="S605">
        <v>0</v>
      </c>
      <c r="T605">
        <v>0.60774716553287966</v>
      </c>
      <c r="U605">
        <v>0.39225283446712034</v>
      </c>
      <c r="V605">
        <v>0</v>
      </c>
      <c r="W605">
        <v>0</v>
      </c>
      <c r="X605">
        <v>0</v>
      </c>
      <c r="Y605">
        <v>0</v>
      </c>
      <c r="Z605">
        <v>0</v>
      </c>
      <c r="AA605">
        <v>0</v>
      </c>
      <c r="AB605">
        <v>0</v>
      </c>
      <c r="AC605">
        <v>0</v>
      </c>
      <c r="AD605">
        <v>0</v>
      </c>
      <c r="AE605" t="s">
        <v>163</v>
      </c>
      <c r="AF605">
        <v>0</v>
      </c>
      <c r="AG605" t="s">
        <v>170</v>
      </c>
      <c r="AH605">
        <v>46295</v>
      </c>
      <c r="AI605" t="s">
        <v>149</v>
      </c>
    </row>
    <row r="606" spans="1:35" x14ac:dyDescent="0.25">
      <c r="A606" s="1">
        <v>46295</v>
      </c>
      <c r="B606" t="s">
        <v>97</v>
      </c>
      <c r="C606" t="s">
        <v>11</v>
      </c>
      <c r="D606">
        <v>0</v>
      </c>
      <c r="E606">
        <v>0</v>
      </c>
      <c r="F606">
        <v>0</v>
      </c>
      <c r="G606">
        <v>0</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c r="AD606">
        <v>0</v>
      </c>
      <c r="AE606" t="s">
        <v>163</v>
      </c>
      <c r="AF606">
        <v>0</v>
      </c>
      <c r="AG606" t="s">
        <v>171</v>
      </c>
      <c r="AH606">
        <v>46295</v>
      </c>
      <c r="AI606" t="s">
        <v>149</v>
      </c>
    </row>
    <row r="607" spans="1:35" x14ac:dyDescent="0.25">
      <c r="A607" s="1">
        <v>46295</v>
      </c>
      <c r="B607" t="s">
        <v>97</v>
      </c>
      <c r="C607" t="s">
        <v>12</v>
      </c>
      <c r="D607">
        <v>0.62574260375967017</v>
      </c>
      <c r="E607">
        <v>0</v>
      </c>
      <c r="F607">
        <v>0</v>
      </c>
      <c r="G607">
        <v>1.0941945405613227</v>
      </c>
      <c r="H607">
        <v>0</v>
      </c>
      <c r="I607">
        <v>0</v>
      </c>
      <c r="J607">
        <v>1.7486335978835981</v>
      </c>
      <c r="K607">
        <v>0.74863359788359807</v>
      </c>
      <c r="L607">
        <v>0</v>
      </c>
      <c r="M607">
        <v>0</v>
      </c>
      <c r="N607">
        <v>0</v>
      </c>
      <c r="O607">
        <v>0</v>
      </c>
      <c r="P607">
        <v>0</v>
      </c>
      <c r="Q607">
        <v>0</v>
      </c>
      <c r="R607">
        <v>0</v>
      </c>
      <c r="S607">
        <v>0</v>
      </c>
      <c r="T607">
        <v>0</v>
      </c>
      <c r="U607">
        <v>0</v>
      </c>
      <c r="V607">
        <v>0</v>
      </c>
      <c r="W607">
        <v>0</v>
      </c>
      <c r="X607">
        <v>0</v>
      </c>
      <c r="Y607">
        <v>0</v>
      </c>
      <c r="Z607">
        <v>0</v>
      </c>
      <c r="AA607">
        <v>0</v>
      </c>
      <c r="AB607">
        <v>0</v>
      </c>
      <c r="AC607">
        <v>1</v>
      </c>
      <c r="AD607">
        <v>0</v>
      </c>
      <c r="AE607" t="s">
        <v>163</v>
      </c>
      <c r="AF607">
        <v>0</v>
      </c>
      <c r="AG607" t="s">
        <v>172</v>
      </c>
      <c r="AH607">
        <v>46295</v>
      </c>
      <c r="AI607" t="s">
        <v>149</v>
      </c>
    </row>
    <row r="608" spans="1:35" x14ac:dyDescent="0.25">
      <c r="A608" s="1">
        <v>46296</v>
      </c>
      <c r="B608" t="s">
        <v>97</v>
      </c>
      <c r="C608" t="s">
        <v>12</v>
      </c>
      <c r="D608">
        <v>0</v>
      </c>
      <c r="E608">
        <v>0</v>
      </c>
      <c r="F608">
        <v>0</v>
      </c>
      <c r="G608">
        <v>0.38831218762014608</v>
      </c>
      <c r="H608">
        <v>0</v>
      </c>
      <c r="I608">
        <v>0</v>
      </c>
      <c r="J608">
        <v>0</v>
      </c>
      <c r="K608">
        <v>0</v>
      </c>
      <c r="L608">
        <v>0</v>
      </c>
      <c r="M608">
        <v>0</v>
      </c>
      <c r="N608">
        <v>0</v>
      </c>
      <c r="O608">
        <v>0</v>
      </c>
      <c r="P608">
        <v>0</v>
      </c>
      <c r="Q608">
        <v>0</v>
      </c>
      <c r="R608">
        <v>0</v>
      </c>
      <c r="S608">
        <v>0</v>
      </c>
      <c r="T608">
        <v>0</v>
      </c>
      <c r="U608">
        <v>0</v>
      </c>
      <c r="V608">
        <v>0</v>
      </c>
      <c r="W608">
        <v>0</v>
      </c>
      <c r="X608">
        <v>0</v>
      </c>
      <c r="Y608">
        <v>0</v>
      </c>
      <c r="Z608">
        <v>0</v>
      </c>
      <c r="AA608">
        <v>0</v>
      </c>
      <c r="AB608">
        <v>1</v>
      </c>
      <c r="AC608">
        <v>0</v>
      </c>
      <c r="AD608">
        <v>0</v>
      </c>
      <c r="AE608" t="s">
        <v>163</v>
      </c>
      <c r="AF608">
        <v>0</v>
      </c>
      <c r="AG608" t="s">
        <v>174</v>
      </c>
      <c r="AH608">
        <v>46296</v>
      </c>
      <c r="AI608" t="s">
        <v>149</v>
      </c>
    </row>
    <row r="609" spans="1:35" x14ac:dyDescent="0.25">
      <c r="A609" s="1">
        <v>46296</v>
      </c>
      <c r="B609" t="s">
        <v>97</v>
      </c>
      <c r="C609" t="s">
        <v>11</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c r="AD609">
        <v>0</v>
      </c>
      <c r="AE609" t="s">
        <v>163</v>
      </c>
      <c r="AF609">
        <v>0</v>
      </c>
      <c r="AG609" t="s">
        <v>175</v>
      </c>
      <c r="AH609">
        <v>46296</v>
      </c>
      <c r="AI609" t="s">
        <v>149</v>
      </c>
    </row>
    <row r="610" spans="1:35" x14ac:dyDescent="0.25">
      <c r="A610" s="1">
        <v>46296</v>
      </c>
      <c r="B610" t="s">
        <v>97</v>
      </c>
      <c r="C610" t="s">
        <v>10</v>
      </c>
      <c r="D610">
        <v>2.7148103590198196</v>
      </c>
      <c r="E610">
        <v>0</v>
      </c>
      <c r="F610">
        <v>0</v>
      </c>
      <c r="G610">
        <v>1.6499183006535949</v>
      </c>
      <c r="H610">
        <v>0</v>
      </c>
      <c r="I610">
        <v>0</v>
      </c>
      <c r="J610">
        <v>0.60774716553287966</v>
      </c>
      <c r="K610">
        <v>0</v>
      </c>
      <c r="L610">
        <v>0</v>
      </c>
      <c r="M610">
        <v>0</v>
      </c>
      <c r="N610">
        <v>0</v>
      </c>
      <c r="O610">
        <v>0</v>
      </c>
      <c r="P610">
        <v>0</v>
      </c>
      <c r="Q610">
        <v>0</v>
      </c>
      <c r="R610">
        <v>0</v>
      </c>
      <c r="S610">
        <v>0</v>
      </c>
      <c r="T610">
        <v>0.60774716553287966</v>
      </c>
      <c r="U610">
        <v>0.39225283446712034</v>
      </c>
      <c r="V610">
        <v>0</v>
      </c>
      <c r="W610">
        <v>0</v>
      </c>
      <c r="X610">
        <v>0</v>
      </c>
      <c r="Y610">
        <v>0</v>
      </c>
      <c r="Z610">
        <v>0</v>
      </c>
      <c r="AA610">
        <v>0</v>
      </c>
      <c r="AB610">
        <v>0</v>
      </c>
      <c r="AC610">
        <v>0</v>
      </c>
      <c r="AD610">
        <v>0</v>
      </c>
      <c r="AE610" t="s">
        <v>163</v>
      </c>
      <c r="AF610">
        <v>0</v>
      </c>
      <c r="AG610" t="s">
        <v>173</v>
      </c>
      <c r="AH610">
        <v>46296</v>
      </c>
      <c r="AI610" t="s">
        <v>149</v>
      </c>
    </row>
    <row r="611" spans="1:35" x14ac:dyDescent="0.25">
      <c r="A611" s="1">
        <v>46297</v>
      </c>
      <c r="B611" t="s">
        <v>97</v>
      </c>
      <c r="C611" t="s">
        <v>10</v>
      </c>
      <c r="D611">
        <v>1.7729373773190653</v>
      </c>
      <c r="E611">
        <v>0</v>
      </c>
      <c r="F611">
        <v>0</v>
      </c>
      <c r="G611">
        <v>0.82352941176470595</v>
      </c>
      <c r="H611">
        <v>0</v>
      </c>
      <c r="I611">
        <v>0</v>
      </c>
      <c r="J611">
        <v>0.46450000000000008</v>
      </c>
      <c r="K611">
        <v>0</v>
      </c>
      <c r="L611">
        <v>0</v>
      </c>
      <c r="M611">
        <v>0</v>
      </c>
      <c r="N611">
        <v>0</v>
      </c>
      <c r="O611">
        <v>0</v>
      </c>
      <c r="P611">
        <v>0</v>
      </c>
      <c r="Q611">
        <v>0</v>
      </c>
      <c r="R611">
        <v>0</v>
      </c>
      <c r="S611">
        <v>0</v>
      </c>
      <c r="T611">
        <v>0.46450000000000008</v>
      </c>
      <c r="U611">
        <v>0.53549999999999986</v>
      </c>
      <c r="V611">
        <v>0</v>
      </c>
      <c r="W611">
        <v>0</v>
      </c>
      <c r="X611">
        <v>0</v>
      </c>
      <c r="Y611">
        <v>0</v>
      </c>
      <c r="Z611">
        <v>0</v>
      </c>
      <c r="AA611">
        <v>0</v>
      </c>
      <c r="AB611">
        <v>0</v>
      </c>
      <c r="AC611">
        <v>0</v>
      </c>
      <c r="AD611">
        <v>0</v>
      </c>
      <c r="AE611" t="s">
        <v>163</v>
      </c>
      <c r="AF611">
        <v>0</v>
      </c>
      <c r="AG611" t="s">
        <v>176</v>
      </c>
      <c r="AH611">
        <v>46297</v>
      </c>
      <c r="AI611" t="s">
        <v>149</v>
      </c>
    </row>
    <row r="612" spans="1:35" x14ac:dyDescent="0.25">
      <c r="A612" s="1">
        <v>46297</v>
      </c>
      <c r="B612" t="s">
        <v>97</v>
      </c>
      <c r="C612" t="s">
        <v>11</v>
      </c>
      <c r="D612">
        <v>0</v>
      </c>
      <c r="E612">
        <v>0</v>
      </c>
      <c r="F612">
        <v>0</v>
      </c>
      <c r="G612">
        <v>0</v>
      </c>
      <c r="H612">
        <v>0</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c r="AD612">
        <v>0</v>
      </c>
      <c r="AE612" t="s">
        <v>163</v>
      </c>
      <c r="AF612">
        <v>0</v>
      </c>
      <c r="AG612" t="s">
        <v>177</v>
      </c>
      <c r="AH612">
        <v>46297</v>
      </c>
      <c r="AI612" t="s">
        <v>149</v>
      </c>
    </row>
    <row r="613" spans="1:35" x14ac:dyDescent="0.25">
      <c r="A613" s="1">
        <v>46297</v>
      </c>
      <c r="B613" t="s">
        <v>97</v>
      </c>
      <c r="C613" t="s">
        <v>12</v>
      </c>
      <c r="D613">
        <v>0</v>
      </c>
      <c r="E613">
        <v>0</v>
      </c>
      <c r="F613">
        <v>0</v>
      </c>
      <c r="G613">
        <v>0.16608996539792387</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1</v>
      </c>
      <c r="AC613">
        <v>0</v>
      </c>
      <c r="AD613">
        <v>0</v>
      </c>
      <c r="AE613" t="s">
        <v>163</v>
      </c>
      <c r="AF613">
        <v>0</v>
      </c>
      <c r="AG613" t="s">
        <v>178</v>
      </c>
      <c r="AH613">
        <v>46297</v>
      </c>
      <c r="AI613" t="s">
        <v>149</v>
      </c>
    </row>
    <row r="614" spans="1:35" x14ac:dyDescent="0.25">
      <c r="A614" s="1">
        <v>46298</v>
      </c>
      <c r="B614" t="s">
        <v>97</v>
      </c>
      <c r="C614" t="s">
        <v>10</v>
      </c>
      <c r="D614">
        <v>0.88646868865953243</v>
      </c>
      <c r="E614">
        <v>0</v>
      </c>
      <c r="F614">
        <v>0</v>
      </c>
      <c r="G614">
        <v>0</v>
      </c>
      <c r="H614">
        <v>0</v>
      </c>
      <c r="I614">
        <v>0</v>
      </c>
      <c r="J614">
        <v>0</v>
      </c>
      <c r="K614">
        <v>0</v>
      </c>
      <c r="L614">
        <v>0</v>
      </c>
      <c r="M614">
        <v>0</v>
      </c>
      <c r="N614">
        <v>0</v>
      </c>
      <c r="O614">
        <v>0</v>
      </c>
      <c r="P614">
        <v>0</v>
      </c>
      <c r="Q614">
        <v>0</v>
      </c>
      <c r="R614">
        <v>0</v>
      </c>
      <c r="S614">
        <v>0</v>
      </c>
      <c r="T614">
        <v>0</v>
      </c>
      <c r="U614">
        <v>1</v>
      </c>
      <c r="V614">
        <v>0</v>
      </c>
      <c r="W614">
        <v>0</v>
      </c>
      <c r="X614">
        <v>0</v>
      </c>
      <c r="Y614">
        <v>0</v>
      </c>
      <c r="Z614">
        <v>0</v>
      </c>
      <c r="AA614">
        <v>0</v>
      </c>
      <c r="AB614">
        <v>0</v>
      </c>
      <c r="AC614">
        <v>0</v>
      </c>
      <c r="AD614">
        <v>0</v>
      </c>
      <c r="AE614" t="s">
        <v>163</v>
      </c>
      <c r="AF614">
        <v>0</v>
      </c>
      <c r="AG614" t="s">
        <v>180</v>
      </c>
      <c r="AH614">
        <v>46298</v>
      </c>
      <c r="AI614" t="s">
        <v>149</v>
      </c>
    </row>
    <row r="615" spans="1:35" x14ac:dyDescent="0.25">
      <c r="A615" s="1">
        <v>46298</v>
      </c>
      <c r="B615" t="s">
        <v>97</v>
      </c>
      <c r="C615" t="s">
        <v>11</v>
      </c>
      <c r="D615">
        <v>0</v>
      </c>
      <c r="E615">
        <v>0</v>
      </c>
      <c r="F615">
        <v>0</v>
      </c>
      <c r="G615">
        <v>0</v>
      </c>
      <c r="H615">
        <v>0</v>
      </c>
      <c r="I615">
        <v>0</v>
      </c>
      <c r="J615">
        <v>0</v>
      </c>
      <c r="K615">
        <v>0</v>
      </c>
      <c r="L615">
        <v>0</v>
      </c>
      <c r="M615">
        <v>0</v>
      </c>
      <c r="N615">
        <v>0</v>
      </c>
      <c r="O615">
        <v>0</v>
      </c>
      <c r="P615">
        <v>0</v>
      </c>
      <c r="Q615">
        <v>0</v>
      </c>
      <c r="R615">
        <v>0</v>
      </c>
      <c r="S615">
        <v>0</v>
      </c>
      <c r="T615">
        <v>0</v>
      </c>
      <c r="U615">
        <v>0</v>
      </c>
      <c r="V615">
        <v>0</v>
      </c>
      <c r="W615">
        <v>0</v>
      </c>
      <c r="X615">
        <v>0</v>
      </c>
      <c r="Y615">
        <v>0</v>
      </c>
      <c r="Z615">
        <v>0</v>
      </c>
      <c r="AA615">
        <v>0</v>
      </c>
      <c r="AB615">
        <v>0</v>
      </c>
      <c r="AC615">
        <v>0</v>
      </c>
      <c r="AD615">
        <v>0</v>
      </c>
      <c r="AE615" t="s">
        <v>163</v>
      </c>
      <c r="AF615">
        <v>0</v>
      </c>
      <c r="AG615" t="s">
        <v>179</v>
      </c>
      <c r="AH615">
        <v>46298</v>
      </c>
      <c r="AI615" t="s">
        <v>149</v>
      </c>
    </row>
    <row r="616" spans="1:35" x14ac:dyDescent="0.25">
      <c r="A616" s="1">
        <v>46298</v>
      </c>
      <c r="B616" t="s">
        <v>97</v>
      </c>
      <c r="C616" t="s">
        <v>12</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c r="AD616">
        <v>0</v>
      </c>
      <c r="AE616" t="s">
        <v>163</v>
      </c>
      <c r="AF616">
        <v>0</v>
      </c>
      <c r="AG616" t="s">
        <v>181</v>
      </c>
      <c r="AH616">
        <v>46298</v>
      </c>
      <c r="AI616" t="s">
        <v>149</v>
      </c>
    </row>
    <row r="617" spans="1:35" x14ac:dyDescent="0.25">
      <c r="A617" s="1">
        <v>46299</v>
      </c>
      <c r="B617" t="s">
        <v>97</v>
      </c>
      <c r="C617" t="s">
        <v>10</v>
      </c>
      <c r="D617">
        <v>0.88646868865953243</v>
      </c>
      <c r="E617">
        <v>0</v>
      </c>
      <c r="F617">
        <v>0</v>
      </c>
      <c r="G617">
        <v>0</v>
      </c>
      <c r="H617">
        <v>0</v>
      </c>
      <c r="I617">
        <v>0</v>
      </c>
      <c r="J617">
        <v>0</v>
      </c>
      <c r="K617">
        <v>0</v>
      </c>
      <c r="L617">
        <v>0</v>
      </c>
      <c r="M617">
        <v>0</v>
      </c>
      <c r="N617">
        <v>0</v>
      </c>
      <c r="O617">
        <v>0</v>
      </c>
      <c r="P617">
        <v>0</v>
      </c>
      <c r="Q617">
        <v>0</v>
      </c>
      <c r="R617">
        <v>0</v>
      </c>
      <c r="S617">
        <v>0</v>
      </c>
      <c r="T617">
        <v>0</v>
      </c>
      <c r="U617">
        <v>1</v>
      </c>
      <c r="V617">
        <v>0</v>
      </c>
      <c r="W617">
        <v>0</v>
      </c>
      <c r="X617">
        <v>0</v>
      </c>
      <c r="Y617">
        <v>0</v>
      </c>
      <c r="Z617">
        <v>0</v>
      </c>
      <c r="AA617">
        <v>0</v>
      </c>
      <c r="AB617">
        <v>0</v>
      </c>
      <c r="AC617">
        <v>0</v>
      </c>
      <c r="AD617">
        <v>0</v>
      </c>
      <c r="AE617" t="s">
        <v>163</v>
      </c>
      <c r="AF617">
        <v>0</v>
      </c>
      <c r="AG617" t="s">
        <v>182</v>
      </c>
      <c r="AH617">
        <v>46299</v>
      </c>
      <c r="AI617" t="s">
        <v>149</v>
      </c>
    </row>
    <row r="618" spans="1:35" x14ac:dyDescent="0.25">
      <c r="A618" s="1">
        <v>46299</v>
      </c>
      <c r="B618" t="s">
        <v>97</v>
      </c>
      <c r="C618" t="s">
        <v>12</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0</v>
      </c>
      <c r="AB618">
        <v>0</v>
      </c>
      <c r="AC618">
        <v>0</v>
      </c>
      <c r="AD618">
        <v>0</v>
      </c>
      <c r="AE618" t="s">
        <v>163</v>
      </c>
      <c r="AF618">
        <v>0</v>
      </c>
      <c r="AG618" t="s">
        <v>184</v>
      </c>
      <c r="AH618">
        <v>46299</v>
      </c>
      <c r="AI618" t="s">
        <v>149</v>
      </c>
    </row>
    <row r="619" spans="1:35" x14ac:dyDescent="0.25">
      <c r="A619" s="1">
        <v>46299</v>
      </c>
      <c r="B619" t="s">
        <v>97</v>
      </c>
      <c r="C619" t="s">
        <v>11</v>
      </c>
      <c r="D619">
        <v>0</v>
      </c>
      <c r="E619">
        <v>0</v>
      </c>
      <c r="F619">
        <v>0</v>
      </c>
      <c r="G619">
        <v>0</v>
      </c>
      <c r="H619">
        <v>0</v>
      </c>
      <c r="I619">
        <v>0</v>
      </c>
      <c r="J619">
        <v>0</v>
      </c>
      <c r="K619">
        <v>0</v>
      </c>
      <c r="L619">
        <v>0</v>
      </c>
      <c r="M619">
        <v>0</v>
      </c>
      <c r="N619">
        <v>0</v>
      </c>
      <c r="O619">
        <v>0</v>
      </c>
      <c r="P619">
        <v>0</v>
      </c>
      <c r="Q619">
        <v>0</v>
      </c>
      <c r="R619">
        <v>0</v>
      </c>
      <c r="S619">
        <v>0</v>
      </c>
      <c r="T619">
        <v>0</v>
      </c>
      <c r="U619">
        <v>0</v>
      </c>
      <c r="V619">
        <v>0</v>
      </c>
      <c r="W619">
        <v>0</v>
      </c>
      <c r="X619">
        <v>0</v>
      </c>
      <c r="Y619">
        <v>0</v>
      </c>
      <c r="Z619">
        <v>0</v>
      </c>
      <c r="AA619">
        <v>0</v>
      </c>
      <c r="AB619">
        <v>0</v>
      </c>
      <c r="AC619">
        <v>0</v>
      </c>
      <c r="AD619">
        <v>0</v>
      </c>
      <c r="AE619" t="s">
        <v>163</v>
      </c>
      <c r="AF619">
        <v>0</v>
      </c>
      <c r="AG619" t="s">
        <v>183</v>
      </c>
      <c r="AH619">
        <v>46299</v>
      </c>
      <c r="AI619" t="s">
        <v>149</v>
      </c>
    </row>
    <row r="620" spans="1:35" x14ac:dyDescent="0.25">
      <c r="A620" s="1">
        <v>46300</v>
      </c>
      <c r="B620" t="s">
        <v>97</v>
      </c>
      <c r="C620" t="s">
        <v>11</v>
      </c>
      <c r="D620">
        <v>0</v>
      </c>
      <c r="E620">
        <v>0</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c r="AE620" t="s">
        <v>163</v>
      </c>
      <c r="AF620">
        <v>0</v>
      </c>
      <c r="AG620" t="s">
        <v>185</v>
      </c>
      <c r="AH620">
        <v>46300</v>
      </c>
      <c r="AI620" t="s">
        <v>149</v>
      </c>
    </row>
    <row r="621" spans="1:35" x14ac:dyDescent="0.25">
      <c r="A621" s="1">
        <v>46300</v>
      </c>
      <c r="B621" t="s">
        <v>97</v>
      </c>
      <c r="C621" t="s">
        <v>10</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c r="AD621">
        <v>0</v>
      </c>
      <c r="AE621" t="s">
        <v>163</v>
      </c>
      <c r="AF621">
        <v>0</v>
      </c>
      <c r="AG621" t="s">
        <v>186</v>
      </c>
      <c r="AH621">
        <v>46300</v>
      </c>
      <c r="AI621" t="s">
        <v>149</v>
      </c>
    </row>
    <row r="622" spans="1:35" x14ac:dyDescent="0.25">
      <c r="A622" s="1">
        <v>46300</v>
      </c>
      <c r="B622" t="s">
        <v>97</v>
      </c>
      <c r="C622" t="s">
        <v>12</v>
      </c>
      <c r="D622">
        <v>0</v>
      </c>
      <c r="E622">
        <v>0</v>
      </c>
      <c r="F622">
        <v>0</v>
      </c>
      <c r="G622">
        <v>0</v>
      </c>
      <c r="H622">
        <v>0</v>
      </c>
      <c r="I622">
        <v>0</v>
      </c>
      <c r="J622">
        <v>0</v>
      </c>
      <c r="K622">
        <v>0</v>
      </c>
      <c r="L622">
        <v>0</v>
      </c>
      <c r="M622">
        <v>0</v>
      </c>
      <c r="N622">
        <v>0</v>
      </c>
      <c r="O622">
        <v>0</v>
      </c>
      <c r="P622">
        <v>0</v>
      </c>
      <c r="Q622">
        <v>0</v>
      </c>
      <c r="R622">
        <v>0</v>
      </c>
      <c r="S622">
        <v>0</v>
      </c>
      <c r="T622">
        <v>0</v>
      </c>
      <c r="U622">
        <v>0</v>
      </c>
      <c r="V622">
        <v>0</v>
      </c>
      <c r="W622">
        <v>0</v>
      </c>
      <c r="X622">
        <v>0</v>
      </c>
      <c r="Y622">
        <v>0</v>
      </c>
      <c r="Z622">
        <v>0</v>
      </c>
      <c r="AA622">
        <v>0</v>
      </c>
      <c r="AB622">
        <v>0</v>
      </c>
      <c r="AC622">
        <v>0</v>
      </c>
      <c r="AD622">
        <v>0</v>
      </c>
      <c r="AE622" t="s">
        <v>163</v>
      </c>
      <c r="AF622">
        <v>0</v>
      </c>
      <c r="AG622" t="s">
        <v>187</v>
      </c>
      <c r="AH622">
        <v>46300</v>
      </c>
      <c r="AI622" t="s">
        <v>149</v>
      </c>
    </row>
    <row r="623" spans="1:35" x14ac:dyDescent="0.25">
      <c r="A623" s="1">
        <v>46301</v>
      </c>
      <c r="B623" t="s">
        <v>97</v>
      </c>
      <c r="C623" t="s">
        <v>12</v>
      </c>
      <c r="D623">
        <v>0</v>
      </c>
      <c r="E623">
        <v>0</v>
      </c>
      <c r="F623">
        <v>0</v>
      </c>
      <c r="G623">
        <v>0.16608996539792387</v>
      </c>
      <c r="H623">
        <v>0</v>
      </c>
      <c r="I623">
        <v>0</v>
      </c>
      <c r="J623">
        <v>0</v>
      </c>
      <c r="K623">
        <v>0</v>
      </c>
      <c r="L623">
        <v>0</v>
      </c>
      <c r="M623">
        <v>0</v>
      </c>
      <c r="N623">
        <v>0</v>
      </c>
      <c r="O623">
        <v>0</v>
      </c>
      <c r="P623">
        <v>0</v>
      </c>
      <c r="Q623">
        <v>0</v>
      </c>
      <c r="R623">
        <v>0</v>
      </c>
      <c r="S623">
        <v>0</v>
      </c>
      <c r="T623">
        <v>0</v>
      </c>
      <c r="U623">
        <v>0</v>
      </c>
      <c r="V623">
        <v>0</v>
      </c>
      <c r="W623">
        <v>0</v>
      </c>
      <c r="X623">
        <v>0</v>
      </c>
      <c r="Y623">
        <v>0</v>
      </c>
      <c r="Z623">
        <v>0</v>
      </c>
      <c r="AA623">
        <v>0</v>
      </c>
      <c r="AB623">
        <v>1</v>
      </c>
      <c r="AC623">
        <v>0</v>
      </c>
      <c r="AD623">
        <v>0</v>
      </c>
      <c r="AE623" t="s">
        <v>163</v>
      </c>
      <c r="AF623">
        <v>0</v>
      </c>
      <c r="AG623" t="s">
        <v>188</v>
      </c>
      <c r="AH623">
        <v>46301</v>
      </c>
      <c r="AI623" t="s">
        <v>149</v>
      </c>
    </row>
    <row r="624" spans="1:35" x14ac:dyDescent="0.25">
      <c r="A624" s="1">
        <v>46301</v>
      </c>
      <c r="B624" t="s">
        <v>97</v>
      </c>
      <c r="C624" t="s">
        <v>11</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c r="AD624">
        <v>0</v>
      </c>
      <c r="AE624" t="s">
        <v>163</v>
      </c>
      <c r="AF624">
        <v>0</v>
      </c>
      <c r="AG624" t="s">
        <v>189</v>
      </c>
      <c r="AH624">
        <v>46301</v>
      </c>
      <c r="AI624" t="s">
        <v>149</v>
      </c>
    </row>
    <row r="625" spans="1:35" x14ac:dyDescent="0.25">
      <c r="A625" s="1">
        <v>46301</v>
      </c>
      <c r="B625" t="s">
        <v>97</v>
      </c>
      <c r="C625" t="s">
        <v>10</v>
      </c>
      <c r="D625">
        <v>1.7729373773190653</v>
      </c>
      <c r="E625">
        <v>0</v>
      </c>
      <c r="F625">
        <v>0</v>
      </c>
      <c r="G625">
        <v>0.82352941176470595</v>
      </c>
      <c r="H625">
        <v>0</v>
      </c>
      <c r="I625">
        <v>0</v>
      </c>
      <c r="J625">
        <v>0.46450000000000008</v>
      </c>
      <c r="K625">
        <v>0</v>
      </c>
      <c r="L625">
        <v>0</v>
      </c>
      <c r="M625">
        <v>0</v>
      </c>
      <c r="N625">
        <v>0</v>
      </c>
      <c r="O625">
        <v>0</v>
      </c>
      <c r="P625">
        <v>0</v>
      </c>
      <c r="Q625">
        <v>0</v>
      </c>
      <c r="R625">
        <v>0</v>
      </c>
      <c r="S625">
        <v>0</v>
      </c>
      <c r="T625">
        <v>0.46450000000000008</v>
      </c>
      <c r="U625">
        <v>0.53549999999999986</v>
      </c>
      <c r="V625">
        <v>0</v>
      </c>
      <c r="W625">
        <v>0</v>
      </c>
      <c r="X625">
        <v>0</v>
      </c>
      <c r="Y625">
        <v>0</v>
      </c>
      <c r="Z625">
        <v>0</v>
      </c>
      <c r="AA625">
        <v>0</v>
      </c>
      <c r="AB625">
        <v>0</v>
      </c>
      <c r="AC625">
        <v>0</v>
      </c>
      <c r="AD625">
        <v>0</v>
      </c>
      <c r="AE625" t="s">
        <v>163</v>
      </c>
      <c r="AF625">
        <v>0</v>
      </c>
      <c r="AG625" t="s">
        <v>190</v>
      </c>
      <c r="AH625">
        <v>46301</v>
      </c>
      <c r="AI625" t="s">
        <v>149</v>
      </c>
    </row>
    <row r="626" spans="1:35" x14ac:dyDescent="0.25">
      <c r="A626" s="1">
        <v>46302</v>
      </c>
      <c r="B626" t="s">
        <v>97</v>
      </c>
      <c r="C626" t="s">
        <v>12</v>
      </c>
      <c r="D626">
        <v>0.62574260375967017</v>
      </c>
      <c r="E626">
        <v>0</v>
      </c>
      <c r="F626">
        <v>0</v>
      </c>
      <c r="G626">
        <v>0.38831218762014608</v>
      </c>
      <c r="H626">
        <v>0</v>
      </c>
      <c r="I626">
        <v>0</v>
      </c>
      <c r="J626">
        <v>0.62056216931216923</v>
      </c>
      <c r="K626">
        <v>0</v>
      </c>
      <c r="L626">
        <v>0</v>
      </c>
      <c r="M626">
        <v>0</v>
      </c>
      <c r="N626">
        <v>0</v>
      </c>
      <c r="O626">
        <v>0</v>
      </c>
      <c r="P626">
        <v>0</v>
      </c>
      <c r="Q626">
        <v>0</v>
      </c>
      <c r="R626">
        <v>0</v>
      </c>
      <c r="S626">
        <v>0</v>
      </c>
      <c r="T626">
        <v>0.62056216931216923</v>
      </c>
      <c r="U626">
        <v>0.37943783068783077</v>
      </c>
      <c r="V626">
        <v>0</v>
      </c>
      <c r="W626">
        <v>0</v>
      </c>
      <c r="X626">
        <v>0</v>
      </c>
      <c r="Y626">
        <v>0</v>
      </c>
      <c r="Z626">
        <v>0</v>
      </c>
      <c r="AA626">
        <v>0</v>
      </c>
      <c r="AB626">
        <v>0</v>
      </c>
      <c r="AC626">
        <v>0</v>
      </c>
      <c r="AD626">
        <v>0</v>
      </c>
      <c r="AE626" t="s">
        <v>163</v>
      </c>
      <c r="AF626">
        <v>0</v>
      </c>
      <c r="AG626" t="s">
        <v>191</v>
      </c>
      <c r="AH626">
        <v>46302</v>
      </c>
      <c r="AI626" t="s">
        <v>149</v>
      </c>
    </row>
    <row r="627" spans="1:35" x14ac:dyDescent="0.25">
      <c r="A627" s="1">
        <v>46302</v>
      </c>
      <c r="B627" t="s">
        <v>97</v>
      </c>
      <c r="C627" t="s">
        <v>11</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c r="AE627" t="s">
        <v>163</v>
      </c>
      <c r="AF627">
        <v>0</v>
      </c>
      <c r="AG627" t="s">
        <v>192</v>
      </c>
      <c r="AH627">
        <v>46302</v>
      </c>
      <c r="AI627" t="s">
        <v>149</v>
      </c>
    </row>
    <row r="628" spans="1:35" x14ac:dyDescent="0.25">
      <c r="A628" s="1">
        <v>46302</v>
      </c>
      <c r="B628" t="s">
        <v>97</v>
      </c>
      <c r="C628" t="s">
        <v>10</v>
      </c>
      <c r="D628">
        <v>2.7148103590198196</v>
      </c>
      <c r="E628">
        <v>0</v>
      </c>
      <c r="F628">
        <v>0</v>
      </c>
      <c r="G628">
        <v>1.6499183006535949</v>
      </c>
      <c r="H628">
        <v>0</v>
      </c>
      <c r="I628">
        <v>0</v>
      </c>
      <c r="J628">
        <v>0.60774716553287966</v>
      </c>
      <c r="K628">
        <v>0</v>
      </c>
      <c r="L628">
        <v>0</v>
      </c>
      <c r="M628">
        <v>0</v>
      </c>
      <c r="N628">
        <v>0</v>
      </c>
      <c r="O628">
        <v>0</v>
      </c>
      <c r="P628">
        <v>0</v>
      </c>
      <c r="Q628">
        <v>0</v>
      </c>
      <c r="R628">
        <v>0</v>
      </c>
      <c r="S628">
        <v>0</v>
      </c>
      <c r="T628">
        <v>0.60774716553287966</v>
      </c>
      <c r="U628">
        <v>0.39225283446712034</v>
      </c>
      <c r="V628">
        <v>0</v>
      </c>
      <c r="W628">
        <v>0</v>
      </c>
      <c r="X628">
        <v>0</v>
      </c>
      <c r="Y628">
        <v>0</v>
      </c>
      <c r="Z628">
        <v>0</v>
      </c>
      <c r="AA628">
        <v>0</v>
      </c>
      <c r="AB628">
        <v>0</v>
      </c>
      <c r="AC628">
        <v>0</v>
      </c>
      <c r="AD628">
        <v>0</v>
      </c>
      <c r="AE628" t="s">
        <v>163</v>
      </c>
      <c r="AF628">
        <v>0</v>
      </c>
      <c r="AG628" t="s">
        <v>193</v>
      </c>
      <c r="AH628">
        <v>46302</v>
      </c>
      <c r="AI628" t="s">
        <v>149</v>
      </c>
    </row>
    <row r="629" spans="1:35" x14ac:dyDescent="0.25">
      <c r="A629" s="1">
        <v>46303</v>
      </c>
      <c r="B629" t="s">
        <v>97</v>
      </c>
      <c r="C629" t="s">
        <v>12</v>
      </c>
      <c r="D629">
        <v>0</v>
      </c>
      <c r="E629">
        <v>0</v>
      </c>
      <c r="F629">
        <v>0</v>
      </c>
      <c r="G629">
        <v>0.38831218762014608</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1</v>
      </c>
      <c r="AC629">
        <v>0</v>
      </c>
      <c r="AD629">
        <v>0</v>
      </c>
      <c r="AE629" t="s">
        <v>163</v>
      </c>
      <c r="AF629">
        <v>0</v>
      </c>
      <c r="AG629" t="s">
        <v>194</v>
      </c>
      <c r="AH629">
        <v>46303</v>
      </c>
      <c r="AI629" t="s">
        <v>149</v>
      </c>
    </row>
    <row r="630" spans="1:35" x14ac:dyDescent="0.25">
      <c r="A630" s="1">
        <v>46303</v>
      </c>
      <c r="B630" t="s">
        <v>97</v>
      </c>
      <c r="C630" t="s">
        <v>11</v>
      </c>
      <c r="D630">
        <v>0</v>
      </c>
      <c r="E630">
        <v>0</v>
      </c>
      <c r="F630">
        <v>0</v>
      </c>
      <c r="G630">
        <v>0</v>
      </c>
      <c r="H630">
        <v>0</v>
      </c>
      <c r="I630">
        <v>0</v>
      </c>
      <c r="J630">
        <v>0</v>
      </c>
      <c r="K630">
        <v>0</v>
      </c>
      <c r="L630">
        <v>0</v>
      </c>
      <c r="M630">
        <v>0</v>
      </c>
      <c r="N630">
        <v>0</v>
      </c>
      <c r="O630">
        <v>0</v>
      </c>
      <c r="P630">
        <v>0</v>
      </c>
      <c r="Q630">
        <v>0</v>
      </c>
      <c r="R630">
        <v>0</v>
      </c>
      <c r="S630">
        <v>0</v>
      </c>
      <c r="T630">
        <v>0</v>
      </c>
      <c r="U630">
        <v>0</v>
      </c>
      <c r="V630">
        <v>0</v>
      </c>
      <c r="W630">
        <v>0</v>
      </c>
      <c r="X630">
        <v>0</v>
      </c>
      <c r="Y630">
        <v>0</v>
      </c>
      <c r="Z630">
        <v>0</v>
      </c>
      <c r="AA630">
        <v>0</v>
      </c>
      <c r="AB630">
        <v>0</v>
      </c>
      <c r="AC630">
        <v>0</v>
      </c>
      <c r="AD630">
        <v>0</v>
      </c>
      <c r="AE630" t="s">
        <v>163</v>
      </c>
      <c r="AF630">
        <v>0</v>
      </c>
      <c r="AG630" t="s">
        <v>195</v>
      </c>
      <c r="AH630">
        <v>46303</v>
      </c>
      <c r="AI630" t="s">
        <v>149</v>
      </c>
    </row>
    <row r="631" spans="1:35" x14ac:dyDescent="0.25">
      <c r="A631" s="1">
        <v>46303</v>
      </c>
      <c r="B631" t="s">
        <v>97</v>
      </c>
      <c r="C631" t="s">
        <v>10</v>
      </c>
      <c r="D631">
        <v>2.7148103590198196</v>
      </c>
      <c r="E631">
        <v>0</v>
      </c>
      <c r="F631">
        <v>0</v>
      </c>
      <c r="G631">
        <v>1.6499183006535949</v>
      </c>
      <c r="H631">
        <v>0</v>
      </c>
      <c r="I631">
        <v>0</v>
      </c>
      <c r="J631">
        <v>0.60774716553287966</v>
      </c>
      <c r="K631">
        <v>0</v>
      </c>
      <c r="L631">
        <v>0</v>
      </c>
      <c r="M631">
        <v>0</v>
      </c>
      <c r="N631">
        <v>0</v>
      </c>
      <c r="O631">
        <v>0</v>
      </c>
      <c r="P631">
        <v>0</v>
      </c>
      <c r="Q631">
        <v>0</v>
      </c>
      <c r="R631">
        <v>0</v>
      </c>
      <c r="S631">
        <v>0</v>
      </c>
      <c r="T631">
        <v>0.60774716553287966</v>
      </c>
      <c r="U631">
        <v>0.39225283446712034</v>
      </c>
      <c r="V631">
        <v>0</v>
      </c>
      <c r="W631">
        <v>0</v>
      </c>
      <c r="X631">
        <v>0</v>
      </c>
      <c r="Y631">
        <v>0</v>
      </c>
      <c r="Z631">
        <v>0</v>
      </c>
      <c r="AA631">
        <v>0</v>
      </c>
      <c r="AB631">
        <v>0</v>
      </c>
      <c r="AC631">
        <v>0</v>
      </c>
      <c r="AD631">
        <v>0</v>
      </c>
      <c r="AE631" t="s">
        <v>163</v>
      </c>
      <c r="AF631">
        <v>0</v>
      </c>
      <c r="AG631" t="s">
        <v>196</v>
      </c>
      <c r="AH631">
        <v>46303</v>
      </c>
      <c r="AI631" t="s">
        <v>149</v>
      </c>
    </row>
    <row r="632" spans="1:35" x14ac:dyDescent="0.25">
      <c r="A632" s="1">
        <v>46304</v>
      </c>
      <c r="B632" t="s">
        <v>97</v>
      </c>
      <c r="C632" t="s">
        <v>10</v>
      </c>
      <c r="D632">
        <v>1.7729373773190653</v>
      </c>
      <c r="E632">
        <v>0</v>
      </c>
      <c r="F632">
        <v>0</v>
      </c>
      <c r="G632">
        <v>0</v>
      </c>
      <c r="H632">
        <v>0</v>
      </c>
      <c r="I632">
        <v>0</v>
      </c>
      <c r="J632">
        <v>0</v>
      </c>
      <c r="K632">
        <v>0</v>
      </c>
      <c r="L632">
        <v>0</v>
      </c>
      <c r="M632">
        <v>0</v>
      </c>
      <c r="N632">
        <v>0</v>
      </c>
      <c r="O632">
        <v>0</v>
      </c>
      <c r="P632">
        <v>0</v>
      </c>
      <c r="Q632">
        <v>0</v>
      </c>
      <c r="R632">
        <v>0</v>
      </c>
      <c r="S632">
        <v>0</v>
      </c>
      <c r="T632">
        <v>0</v>
      </c>
      <c r="U632">
        <v>1</v>
      </c>
      <c r="V632">
        <v>0</v>
      </c>
      <c r="W632">
        <v>0</v>
      </c>
      <c r="X632">
        <v>0</v>
      </c>
      <c r="Y632">
        <v>0</v>
      </c>
      <c r="Z632">
        <v>0</v>
      </c>
      <c r="AA632">
        <v>0</v>
      </c>
      <c r="AB632">
        <v>0</v>
      </c>
      <c r="AC632">
        <v>0</v>
      </c>
      <c r="AD632">
        <v>0</v>
      </c>
      <c r="AE632" t="s">
        <v>163</v>
      </c>
      <c r="AF632">
        <v>0</v>
      </c>
      <c r="AG632" t="s">
        <v>198</v>
      </c>
      <c r="AH632">
        <v>46304</v>
      </c>
      <c r="AI632" t="s">
        <v>149</v>
      </c>
    </row>
    <row r="633" spans="1:35" x14ac:dyDescent="0.25">
      <c r="A633" s="1">
        <v>46304</v>
      </c>
      <c r="B633" t="s">
        <v>97</v>
      </c>
      <c r="C633" t="s">
        <v>11</v>
      </c>
      <c r="D633">
        <v>0</v>
      </c>
      <c r="E633">
        <v>0</v>
      </c>
      <c r="F633">
        <v>0</v>
      </c>
      <c r="G633">
        <v>0</v>
      </c>
      <c r="H633">
        <v>0</v>
      </c>
      <c r="I633">
        <v>0</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c r="AD633">
        <v>0</v>
      </c>
      <c r="AE633" t="s">
        <v>163</v>
      </c>
      <c r="AF633">
        <v>0</v>
      </c>
      <c r="AG633" t="s">
        <v>199</v>
      </c>
      <c r="AH633">
        <v>46304</v>
      </c>
      <c r="AI633" t="s">
        <v>149</v>
      </c>
    </row>
    <row r="634" spans="1:35" x14ac:dyDescent="0.25">
      <c r="A634" s="1">
        <v>46304</v>
      </c>
      <c r="B634" t="s">
        <v>97</v>
      </c>
      <c r="C634" t="s">
        <v>12</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c r="AE634" t="s">
        <v>163</v>
      </c>
      <c r="AF634">
        <v>0</v>
      </c>
      <c r="AG634" t="s">
        <v>197</v>
      </c>
      <c r="AH634">
        <v>46304</v>
      </c>
      <c r="AI634" t="s">
        <v>149</v>
      </c>
    </row>
    <row r="635" spans="1:35" x14ac:dyDescent="0.25">
      <c r="A635" s="1">
        <v>46305</v>
      </c>
      <c r="B635" t="s">
        <v>97</v>
      </c>
      <c r="C635" t="s">
        <v>10</v>
      </c>
      <c r="D635">
        <v>0</v>
      </c>
      <c r="E635">
        <v>0</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c r="AE635" t="s">
        <v>163</v>
      </c>
      <c r="AF635">
        <v>0</v>
      </c>
      <c r="AG635" t="s">
        <v>200</v>
      </c>
      <c r="AH635">
        <v>46305</v>
      </c>
      <c r="AI635" t="s">
        <v>149</v>
      </c>
    </row>
    <row r="636" spans="1:35" x14ac:dyDescent="0.25">
      <c r="A636" s="1">
        <v>46305</v>
      </c>
      <c r="B636" t="s">
        <v>97</v>
      </c>
      <c r="C636" t="s">
        <v>11</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c r="AE636" t="s">
        <v>163</v>
      </c>
      <c r="AF636">
        <v>0</v>
      </c>
      <c r="AG636" t="s">
        <v>201</v>
      </c>
      <c r="AH636">
        <v>46305</v>
      </c>
      <c r="AI636" t="s">
        <v>149</v>
      </c>
    </row>
    <row r="637" spans="1:35" x14ac:dyDescent="0.25">
      <c r="A637" s="1">
        <v>46305</v>
      </c>
      <c r="B637" t="s">
        <v>97</v>
      </c>
      <c r="C637" t="s">
        <v>12</v>
      </c>
      <c r="D637">
        <v>0</v>
      </c>
      <c r="E637">
        <v>0</v>
      </c>
      <c r="F637">
        <v>0</v>
      </c>
      <c r="G637">
        <v>0</v>
      </c>
      <c r="H637">
        <v>0</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c r="AE637" t="s">
        <v>163</v>
      </c>
      <c r="AF637">
        <v>0</v>
      </c>
      <c r="AG637" t="s">
        <v>202</v>
      </c>
      <c r="AH637">
        <v>46305</v>
      </c>
      <c r="AI637" t="s">
        <v>149</v>
      </c>
    </row>
    <row r="638" spans="1:35" x14ac:dyDescent="0.25">
      <c r="A638" s="1">
        <v>46306</v>
      </c>
      <c r="B638" t="s">
        <v>97</v>
      </c>
      <c r="C638" t="s">
        <v>11</v>
      </c>
      <c r="D638">
        <v>0</v>
      </c>
      <c r="E638">
        <v>0</v>
      </c>
      <c r="F638">
        <v>0</v>
      </c>
      <c r="G638">
        <v>0</v>
      </c>
      <c r="H638">
        <v>0</v>
      </c>
      <c r="I638">
        <v>0</v>
      </c>
      <c r="J638">
        <v>0</v>
      </c>
      <c r="K638">
        <v>0</v>
      </c>
      <c r="L638">
        <v>0</v>
      </c>
      <c r="M638">
        <v>0</v>
      </c>
      <c r="N638">
        <v>0</v>
      </c>
      <c r="O638">
        <v>0</v>
      </c>
      <c r="P638">
        <v>0</v>
      </c>
      <c r="Q638">
        <v>0</v>
      </c>
      <c r="R638">
        <v>0</v>
      </c>
      <c r="S638">
        <v>0</v>
      </c>
      <c r="T638">
        <v>0</v>
      </c>
      <c r="U638">
        <v>0</v>
      </c>
      <c r="V638">
        <v>0</v>
      </c>
      <c r="W638">
        <v>0</v>
      </c>
      <c r="X638">
        <v>0</v>
      </c>
      <c r="Y638">
        <v>0</v>
      </c>
      <c r="Z638">
        <v>0</v>
      </c>
      <c r="AA638">
        <v>0</v>
      </c>
      <c r="AB638">
        <v>0</v>
      </c>
      <c r="AC638">
        <v>0</v>
      </c>
      <c r="AD638">
        <v>0</v>
      </c>
      <c r="AE638" t="s">
        <v>163</v>
      </c>
      <c r="AF638">
        <v>0</v>
      </c>
      <c r="AG638" t="s">
        <v>203</v>
      </c>
      <c r="AH638">
        <v>46306</v>
      </c>
      <c r="AI638" t="s">
        <v>149</v>
      </c>
    </row>
    <row r="639" spans="1:35" x14ac:dyDescent="0.25">
      <c r="A639" s="1">
        <v>46306</v>
      </c>
      <c r="B639" t="s">
        <v>97</v>
      </c>
      <c r="C639" t="s">
        <v>10</v>
      </c>
      <c r="D639">
        <v>0</v>
      </c>
      <c r="E639">
        <v>0</v>
      </c>
      <c r="F639">
        <v>0</v>
      </c>
      <c r="G639">
        <v>0</v>
      </c>
      <c r="H639">
        <v>0</v>
      </c>
      <c r="I639">
        <v>0</v>
      </c>
      <c r="J639">
        <v>0</v>
      </c>
      <c r="K639">
        <v>0</v>
      </c>
      <c r="L639">
        <v>0</v>
      </c>
      <c r="M639">
        <v>0</v>
      </c>
      <c r="N639">
        <v>0</v>
      </c>
      <c r="O639">
        <v>0</v>
      </c>
      <c r="P639">
        <v>0</v>
      </c>
      <c r="Q639">
        <v>0</v>
      </c>
      <c r="R639">
        <v>0</v>
      </c>
      <c r="S639">
        <v>0</v>
      </c>
      <c r="T639">
        <v>0</v>
      </c>
      <c r="U639">
        <v>0</v>
      </c>
      <c r="V639">
        <v>0</v>
      </c>
      <c r="W639">
        <v>0</v>
      </c>
      <c r="X639">
        <v>0</v>
      </c>
      <c r="Y639">
        <v>0</v>
      </c>
      <c r="Z639">
        <v>0</v>
      </c>
      <c r="AA639">
        <v>0</v>
      </c>
      <c r="AB639">
        <v>0</v>
      </c>
      <c r="AC639">
        <v>0</v>
      </c>
      <c r="AD639">
        <v>0</v>
      </c>
      <c r="AE639" t="s">
        <v>163</v>
      </c>
      <c r="AF639">
        <v>0</v>
      </c>
      <c r="AG639" t="s">
        <v>204</v>
      </c>
      <c r="AH639">
        <v>46306</v>
      </c>
      <c r="AI639" t="s">
        <v>149</v>
      </c>
    </row>
    <row r="640" spans="1:35" x14ac:dyDescent="0.25">
      <c r="A640" s="1">
        <v>46306</v>
      </c>
      <c r="B640" t="s">
        <v>97</v>
      </c>
      <c r="C640" t="s">
        <v>12</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0</v>
      </c>
      <c r="Z640">
        <v>0</v>
      </c>
      <c r="AA640">
        <v>0</v>
      </c>
      <c r="AB640">
        <v>0</v>
      </c>
      <c r="AC640">
        <v>0</v>
      </c>
      <c r="AD640">
        <v>0</v>
      </c>
      <c r="AE640" t="s">
        <v>163</v>
      </c>
      <c r="AF640">
        <v>0</v>
      </c>
      <c r="AG640" t="s">
        <v>205</v>
      </c>
      <c r="AH640">
        <v>46306</v>
      </c>
      <c r="AI640" t="s">
        <v>149</v>
      </c>
    </row>
    <row r="641" spans="1:35" x14ac:dyDescent="0.25">
      <c r="A641" s="1">
        <v>46307</v>
      </c>
      <c r="B641" t="s">
        <v>97</v>
      </c>
      <c r="C641" t="s">
        <v>12</v>
      </c>
      <c r="D641">
        <v>0</v>
      </c>
      <c r="E641">
        <v>0</v>
      </c>
      <c r="F641">
        <v>0</v>
      </c>
      <c r="G641">
        <v>0.16608996539792387</v>
      </c>
      <c r="H641">
        <v>0</v>
      </c>
      <c r="I641">
        <v>0</v>
      </c>
      <c r="J641">
        <v>0</v>
      </c>
      <c r="K641">
        <v>0</v>
      </c>
      <c r="L641">
        <v>0</v>
      </c>
      <c r="M641">
        <v>0</v>
      </c>
      <c r="N641">
        <v>0</v>
      </c>
      <c r="O641">
        <v>0</v>
      </c>
      <c r="P641">
        <v>0</v>
      </c>
      <c r="Q641">
        <v>0</v>
      </c>
      <c r="R641">
        <v>0</v>
      </c>
      <c r="S641">
        <v>0</v>
      </c>
      <c r="T641">
        <v>0</v>
      </c>
      <c r="U641">
        <v>0</v>
      </c>
      <c r="V641">
        <v>0</v>
      </c>
      <c r="W641">
        <v>0</v>
      </c>
      <c r="X641">
        <v>0</v>
      </c>
      <c r="Y641">
        <v>0</v>
      </c>
      <c r="Z641">
        <v>0</v>
      </c>
      <c r="AA641">
        <v>0</v>
      </c>
      <c r="AB641">
        <v>1</v>
      </c>
      <c r="AC641">
        <v>0</v>
      </c>
      <c r="AD641">
        <v>0</v>
      </c>
      <c r="AE641" t="s">
        <v>163</v>
      </c>
      <c r="AF641">
        <v>0</v>
      </c>
      <c r="AG641" t="s">
        <v>207</v>
      </c>
      <c r="AH641">
        <v>46307</v>
      </c>
      <c r="AI641" t="s">
        <v>149</v>
      </c>
    </row>
    <row r="642" spans="1:35" x14ac:dyDescent="0.25">
      <c r="A642" s="1">
        <v>46307</v>
      </c>
      <c r="B642" t="s">
        <v>97</v>
      </c>
      <c r="C642" t="s">
        <v>11</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c r="AE642" t="s">
        <v>163</v>
      </c>
      <c r="AF642">
        <v>0</v>
      </c>
      <c r="AG642" t="s">
        <v>206</v>
      </c>
      <c r="AH642">
        <v>46307</v>
      </c>
      <c r="AI642" t="s">
        <v>149</v>
      </c>
    </row>
    <row r="643" spans="1:35" x14ac:dyDescent="0.25">
      <c r="A643" s="1">
        <v>46307</v>
      </c>
      <c r="B643" t="s">
        <v>97</v>
      </c>
      <c r="C643" t="s">
        <v>10</v>
      </c>
      <c r="D643">
        <v>0.88646868865953243</v>
      </c>
      <c r="E643">
        <v>0</v>
      </c>
      <c r="F643">
        <v>0</v>
      </c>
      <c r="G643">
        <v>0.82352941176470595</v>
      </c>
      <c r="H643">
        <v>0</v>
      </c>
      <c r="I643">
        <v>0</v>
      </c>
      <c r="J643">
        <v>0.92900000000000038</v>
      </c>
      <c r="K643">
        <v>0</v>
      </c>
      <c r="L643">
        <v>0</v>
      </c>
      <c r="M643">
        <v>0</v>
      </c>
      <c r="N643">
        <v>0</v>
      </c>
      <c r="O643">
        <v>0</v>
      </c>
      <c r="P643">
        <v>0</v>
      </c>
      <c r="Q643">
        <v>0</v>
      </c>
      <c r="R643">
        <v>0</v>
      </c>
      <c r="S643">
        <v>0</v>
      </c>
      <c r="T643">
        <v>0.92900000000000038</v>
      </c>
      <c r="U643">
        <v>7.0999999999999619E-2</v>
      </c>
      <c r="V643">
        <v>0</v>
      </c>
      <c r="W643">
        <v>0</v>
      </c>
      <c r="X643">
        <v>0</v>
      </c>
      <c r="Y643">
        <v>0</v>
      </c>
      <c r="Z643">
        <v>0</v>
      </c>
      <c r="AA643">
        <v>0</v>
      </c>
      <c r="AB643">
        <v>0</v>
      </c>
      <c r="AC643">
        <v>0</v>
      </c>
      <c r="AD643">
        <v>0</v>
      </c>
      <c r="AE643" t="s">
        <v>163</v>
      </c>
      <c r="AF643">
        <v>0</v>
      </c>
      <c r="AG643" t="s">
        <v>208</v>
      </c>
      <c r="AH643">
        <v>46307</v>
      </c>
      <c r="AI643" t="s">
        <v>149</v>
      </c>
    </row>
    <row r="644" spans="1:35" x14ac:dyDescent="0.25">
      <c r="A644" s="1">
        <v>46308</v>
      </c>
      <c r="B644" t="s">
        <v>97</v>
      </c>
      <c r="C644" t="s">
        <v>11</v>
      </c>
      <c r="D644">
        <v>0</v>
      </c>
      <c r="E644">
        <v>0</v>
      </c>
      <c r="F644">
        <v>0</v>
      </c>
      <c r="G644">
        <v>0</v>
      </c>
      <c r="H644">
        <v>0</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c r="AD644">
        <v>0</v>
      </c>
      <c r="AE644" t="s">
        <v>163</v>
      </c>
      <c r="AF644">
        <v>0</v>
      </c>
      <c r="AG644" t="s">
        <v>211</v>
      </c>
      <c r="AH644">
        <v>46308</v>
      </c>
      <c r="AI644" t="s">
        <v>149</v>
      </c>
    </row>
    <row r="645" spans="1:35" x14ac:dyDescent="0.25">
      <c r="A645" s="1">
        <v>46308</v>
      </c>
      <c r="B645" t="s">
        <v>97</v>
      </c>
      <c r="C645" t="s">
        <v>10</v>
      </c>
      <c r="D645">
        <v>0.88646868865953243</v>
      </c>
      <c r="E645">
        <v>0</v>
      </c>
      <c r="F645">
        <v>0</v>
      </c>
      <c r="G645">
        <v>0.82352941176470595</v>
      </c>
      <c r="H645">
        <v>0</v>
      </c>
      <c r="I645">
        <v>0</v>
      </c>
      <c r="J645">
        <v>0.92900000000000038</v>
      </c>
      <c r="K645">
        <v>0</v>
      </c>
      <c r="L645">
        <v>0</v>
      </c>
      <c r="M645">
        <v>0</v>
      </c>
      <c r="N645">
        <v>0</v>
      </c>
      <c r="O645">
        <v>0</v>
      </c>
      <c r="P645">
        <v>0</v>
      </c>
      <c r="Q645">
        <v>0</v>
      </c>
      <c r="R645">
        <v>0</v>
      </c>
      <c r="S645">
        <v>0</v>
      </c>
      <c r="T645">
        <v>0.92900000000000038</v>
      </c>
      <c r="U645">
        <v>7.0999999999999619E-2</v>
      </c>
      <c r="V645">
        <v>0</v>
      </c>
      <c r="W645">
        <v>0</v>
      </c>
      <c r="X645">
        <v>0</v>
      </c>
      <c r="Y645">
        <v>0</v>
      </c>
      <c r="Z645">
        <v>0</v>
      </c>
      <c r="AA645">
        <v>0</v>
      </c>
      <c r="AB645">
        <v>0</v>
      </c>
      <c r="AC645">
        <v>0</v>
      </c>
      <c r="AD645">
        <v>0</v>
      </c>
      <c r="AE645" t="s">
        <v>163</v>
      </c>
      <c r="AF645">
        <v>0</v>
      </c>
      <c r="AG645" t="s">
        <v>210</v>
      </c>
      <c r="AH645">
        <v>46308</v>
      </c>
      <c r="AI645" t="s">
        <v>149</v>
      </c>
    </row>
    <row r="646" spans="1:35" x14ac:dyDescent="0.25">
      <c r="A646" s="1">
        <v>46308</v>
      </c>
      <c r="B646" t="s">
        <v>97</v>
      </c>
      <c r="C646" t="s">
        <v>12</v>
      </c>
      <c r="D646">
        <v>0</v>
      </c>
      <c r="E646">
        <v>0</v>
      </c>
      <c r="F646">
        <v>0</v>
      </c>
      <c r="G646">
        <v>0.16608996539792387</v>
      </c>
      <c r="H646">
        <v>0</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1</v>
      </c>
      <c r="AC646">
        <v>0</v>
      </c>
      <c r="AD646">
        <v>0</v>
      </c>
      <c r="AE646" t="s">
        <v>163</v>
      </c>
      <c r="AF646">
        <v>0</v>
      </c>
      <c r="AG646" t="s">
        <v>209</v>
      </c>
      <c r="AH646">
        <v>46308</v>
      </c>
      <c r="AI646" t="s">
        <v>149</v>
      </c>
    </row>
    <row r="647" spans="1:35" x14ac:dyDescent="0.25">
      <c r="A647" s="1">
        <v>46309</v>
      </c>
      <c r="B647" t="s">
        <v>97</v>
      </c>
      <c r="C647" t="s">
        <v>11</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c r="AE647" t="s">
        <v>163</v>
      </c>
      <c r="AF647">
        <v>0</v>
      </c>
      <c r="AG647" t="s">
        <v>212</v>
      </c>
      <c r="AH647">
        <v>46309</v>
      </c>
      <c r="AI647" t="s">
        <v>149</v>
      </c>
    </row>
    <row r="648" spans="1:35" x14ac:dyDescent="0.25">
      <c r="A648" s="1">
        <v>46309</v>
      </c>
      <c r="B648" t="s">
        <v>97</v>
      </c>
      <c r="C648" t="s">
        <v>12</v>
      </c>
      <c r="D648">
        <v>0.62574260375967017</v>
      </c>
      <c r="E648">
        <v>0</v>
      </c>
      <c r="F648">
        <v>0</v>
      </c>
      <c r="G648">
        <v>1.2602845059592465</v>
      </c>
      <c r="H648">
        <v>0</v>
      </c>
      <c r="I648">
        <v>0</v>
      </c>
      <c r="J648">
        <v>2.0140621693121692</v>
      </c>
      <c r="K648">
        <v>1.0140621693121692</v>
      </c>
      <c r="L648">
        <v>0</v>
      </c>
      <c r="M648">
        <v>0</v>
      </c>
      <c r="N648">
        <v>0</v>
      </c>
      <c r="O648">
        <v>0</v>
      </c>
      <c r="P648">
        <v>0</v>
      </c>
      <c r="Q648">
        <v>0</v>
      </c>
      <c r="R648">
        <v>0</v>
      </c>
      <c r="S648">
        <v>0</v>
      </c>
      <c r="T648">
        <v>0</v>
      </c>
      <c r="U648">
        <v>0</v>
      </c>
      <c r="V648">
        <v>0</v>
      </c>
      <c r="W648">
        <v>0</v>
      </c>
      <c r="X648">
        <v>0</v>
      </c>
      <c r="Y648">
        <v>0</v>
      </c>
      <c r="Z648">
        <v>0</v>
      </c>
      <c r="AA648">
        <v>0</v>
      </c>
      <c r="AB648">
        <v>0</v>
      </c>
      <c r="AC648">
        <v>1</v>
      </c>
      <c r="AD648">
        <v>0</v>
      </c>
      <c r="AE648" t="s">
        <v>163</v>
      </c>
      <c r="AF648">
        <v>0</v>
      </c>
      <c r="AG648" t="s">
        <v>213</v>
      </c>
      <c r="AH648">
        <v>46309</v>
      </c>
      <c r="AI648" t="s">
        <v>149</v>
      </c>
    </row>
    <row r="649" spans="1:35" x14ac:dyDescent="0.25">
      <c r="A649" s="1">
        <v>46309</v>
      </c>
      <c r="B649" t="s">
        <v>97</v>
      </c>
      <c r="C649" t="s">
        <v>10</v>
      </c>
      <c r="D649">
        <v>2.7148103590198196</v>
      </c>
      <c r="E649">
        <v>0</v>
      </c>
      <c r="F649">
        <v>0</v>
      </c>
      <c r="G649">
        <v>2.4734477124183014</v>
      </c>
      <c r="H649">
        <v>0</v>
      </c>
      <c r="I649">
        <v>0</v>
      </c>
      <c r="J649">
        <v>0.91109410430839011</v>
      </c>
      <c r="K649">
        <v>0</v>
      </c>
      <c r="L649">
        <v>0</v>
      </c>
      <c r="M649">
        <v>0</v>
      </c>
      <c r="N649">
        <v>0</v>
      </c>
      <c r="O649">
        <v>0</v>
      </c>
      <c r="P649">
        <v>0</v>
      </c>
      <c r="Q649">
        <v>0</v>
      </c>
      <c r="R649">
        <v>0</v>
      </c>
      <c r="S649">
        <v>0</v>
      </c>
      <c r="T649">
        <v>0.91109410430839011</v>
      </c>
      <c r="U649">
        <v>8.8905895691609893E-2</v>
      </c>
      <c r="V649">
        <v>0</v>
      </c>
      <c r="W649">
        <v>0</v>
      </c>
      <c r="X649">
        <v>0</v>
      </c>
      <c r="Y649">
        <v>0</v>
      </c>
      <c r="Z649">
        <v>0</v>
      </c>
      <c r="AA649">
        <v>0</v>
      </c>
      <c r="AB649">
        <v>0</v>
      </c>
      <c r="AC649">
        <v>0</v>
      </c>
      <c r="AD649">
        <v>0</v>
      </c>
      <c r="AE649" t="s">
        <v>163</v>
      </c>
      <c r="AF649">
        <v>0</v>
      </c>
      <c r="AG649" t="s">
        <v>214</v>
      </c>
      <c r="AH649">
        <v>46309</v>
      </c>
      <c r="AI649" t="s">
        <v>149</v>
      </c>
    </row>
    <row r="650" spans="1:35" x14ac:dyDescent="0.25">
      <c r="A650" s="1">
        <v>46310</v>
      </c>
      <c r="B650" t="s">
        <v>97</v>
      </c>
      <c r="C650" t="s">
        <v>11</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c r="AE650" t="s">
        <v>163</v>
      </c>
      <c r="AF650">
        <v>0</v>
      </c>
      <c r="AG650" t="s">
        <v>216</v>
      </c>
      <c r="AH650">
        <v>46310</v>
      </c>
      <c r="AI650" t="s">
        <v>149</v>
      </c>
    </row>
    <row r="651" spans="1:35" x14ac:dyDescent="0.25">
      <c r="A651" s="1">
        <v>46310</v>
      </c>
      <c r="B651" t="s">
        <v>97</v>
      </c>
      <c r="C651" t="s">
        <v>12</v>
      </c>
      <c r="D651">
        <v>0</v>
      </c>
      <c r="E651">
        <v>0</v>
      </c>
      <c r="F651">
        <v>0</v>
      </c>
      <c r="G651">
        <v>0.55440215301806983</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1</v>
      </c>
      <c r="AC651">
        <v>0</v>
      </c>
      <c r="AD651">
        <v>0</v>
      </c>
      <c r="AE651" t="s">
        <v>163</v>
      </c>
      <c r="AF651">
        <v>0</v>
      </c>
      <c r="AG651" t="s">
        <v>215</v>
      </c>
      <c r="AH651">
        <v>46310</v>
      </c>
      <c r="AI651" t="s">
        <v>149</v>
      </c>
    </row>
    <row r="652" spans="1:35" x14ac:dyDescent="0.25">
      <c r="A652" s="1">
        <v>46310</v>
      </c>
      <c r="B652" t="s">
        <v>97</v>
      </c>
      <c r="C652" t="s">
        <v>10</v>
      </c>
      <c r="D652">
        <v>2.7148103590198196</v>
      </c>
      <c r="E652">
        <v>0</v>
      </c>
      <c r="F652">
        <v>0</v>
      </c>
      <c r="G652">
        <v>2.4734477124183014</v>
      </c>
      <c r="H652">
        <v>0</v>
      </c>
      <c r="I652">
        <v>0</v>
      </c>
      <c r="J652">
        <v>0.91109410430839011</v>
      </c>
      <c r="K652">
        <v>0</v>
      </c>
      <c r="L652">
        <v>0</v>
      </c>
      <c r="M652">
        <v>0</v>
      </c>
      <c r="N652">
        <v>0</v>
      </c>
      <c r="O652">
        <v>0</v>
      </c>
      <c r="P652">
        <v>0</v>
      </c>
      <c r="Q652">
        <v>0</v>
      </c>
      <c r="R652">
        <v>0</v>
      </c>
      <c r="S652">
        <v>0</v>
      </c>
      <c r="T652">
        <v>0.91109410430839011</v>
      </c>
      <c r="U652">
        <v>8.8905895691609893E-2</v>
      </c>
      <c r="V652">
        <v>0</v>
      </c>
      <c r="W652">
        <v>0</v>
      </c>
      <c r="X652">
        <v>0</v>
      </c>
      <c r="Y652">
        <v>0</v>
      </c>
      <c r="Z652">
        <v>0</v>
      </c>
      <c r="AA652">
        <v>0</v>
      </c>
      <c r="AB652">
        <v>0</v>
      </c>
      <c r="AC652">
        <v>0</v>
      </c>
      <c r="AD652">
        <v>0</v>
      </c>
      <c r="AE652" t="s">
        <v>163</v>
      </c>
      <c r="AF652">
        <v>0</v>
      </c>
      <c r="AG652" t="s">
        <v>217</v>
      </c>
      <c r="AH652">
        <v>46310</v>
      </c>
      <c r="AI652" t="s">
        <v>149</v>
      </c>
    </row>
    <row r="653" spans="1:35" x14ac:dyDescent="0.25">
      <c r="A653" s="1">
        <v>46311</v>
      </c>
      <c r="B653" t="s">
        <v>97</v>
      </c>
      <c r="C653" t="s">
        <v>10</v>
      </c>
      <c r="D653">
        <v>1.7729373773190653</v>
      </c>
      <c r="E653">
        <v>0</v>
      </c>
      <c r="F653">
        <v>0</v>
      </c>
      <c r="G653">
        <v>1.6470588235294119</v>
      </c>
      <c r="H653">
        <v>0</v>
      </c>
      <c r="I653">
        <v>0</v>
      </c>
      <c r="J653">
        <v>0.92900000000000016</v>
      </c>
      <c r="K653">
        <v>0</v>
      </c>
      <c r="L653">
        <v>0</v>
      </c>
      <c r="M653">
        <v>0</v>
      </c>
      <c r="N653">
        <v>0</v>
      </c>
      <c r="O653">
        <v>0</v>
      </c>
      <c r="P653">
        <v>0</v>
      </c>
      <c r="Q653">
        <v>0</v>
      </c>
      <c r="R653">
        <v>0</v>
      </c>
      <c r="S653">
        <v>0</v>
      </c>
      <c r="T653">
        <v>0.92900000000000016</v>
      </c>
      <c r="U653">
        <v>7.0999999999999841E-2</v>
      </c>
      <c r="V653">
        <v>0</v>
      </c>
      <c r="W653">
        <v>0</v>
      </c>
      <c r="X653">
        <v>0</v>
      </c>
      <c r="Y653">
        <v>0</v>
      </c>
      <c r="Z653">
        <v>0</v>
      </c>
      <c r="AA653">
        <v>0</v>
      </c>
      <c r="AB653">
        <v>0</v>
      </c>
      <c r="AC653">
        <v>0</v>
      </c>
      <c r="AD653">
        <v>0</v>
      </c>
      <c r="AE653" t="s">
        <v>163</v>
      </c>
      <c r="AF653">
        <v>0</v>
      </c>
      <c r="AG653" t="s">
        <v>220</v>
      </c>
      <c r="AH653">
        <v>46311</v>
      </c>
      <c r="AI653" t="s">
        <v>149</v>
      </c>
    </row>
    <row r="654" spans="1:35" x14ac:dyDescent="0.25">
      <c r="A654" s="1">
        <v>46311</v>
      </c>
      <c r="B654" t="s">
        <v>97</v>
      </c>
      <c r="C654" t="s">
        <v>12</v>
      </c>
      <c r="D654">
        <v>0</v>
      </c>
      <c r="E654">
        <v>0</v>
      </c>
      <c r="F654">
        <v>0</v>
      </c>
      <c r="G654">
        <v>0.33217993079584773</v>
      </c>
      <c r="H654">
        <v>0</v>
      </c>
      <c r="I654">
        <v>0</v>
      </c>
      <c r="J654">
        <v>0</v>
      </c>
      <c r="K654">
        <v>0</v>
      </c>
      <c r="L654">
        <v>0</v>
      </c>
      <c r="M654">
        <v>0</v>
      </c>
      <c r="N654">
        <v>0</v>
      </c>
      <c r="O654">
        <v>0</v>
      </c>
      <c r="P654">
        <v>0</v>
      </c>
      <c r="Q654">
        <v>0</v>
      </c>
      <c r="R654">
        <v>0</v>
      </c>
      <c r="S654">
        <v>0</v>
      </c>
      <c r="T654">
        <v>0</v>
      </c>
      <c r="U654">
        <v>0</v>
      </c>
      <c r="V654">
        <v>0</v>
      </c>
      <c r="W654">
        <v>0</v>
      </c>
      <c r="X654">
        <v>0</v>
      </c>
      <c r="Y654">
        <v>0</v>
      </c>
      <c r="Z654">
        <v>0</v>
      </c>
      <c r="AA654">
        <v>0</v>
      </c>
      <c r="AB654">
        <v>1</v>
      </c>
      <c r="AC654">
        <v>0</v>
      </c>
      <c r="AD654">
        <v>0</v>
      </c>
      <c r="AE654" t="s">
        <v>163</v>
      </c>
      <c r="AF654">
        <v>0</v>
      </c>
      <c r="AG654" t="s">
        <v>219</v>
      </c>
      <c r="AH654">
        <v>46311</v>
      </c>
      <c r="AI654" t="s">
        <v>149</v>
      </c>
    </row>
    <row r="655" spans="1:35" x14ac:dyDescent="0.25">
      <c r="A655" s="1">
        <v>46311</v>
      </c>
      <c r="B655" t="s">
        <v>97</v>
      </c>
      <c r="C655" t="s">
        <v>11</v>
      </c>
      <c r="D655">
        <v>0</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c r="AE655" t="s">
        <v>163</v>
      </c>
      <c r="AF655">
        <v>0</v>
      </c>
      <c r="AG655" t="s">
        <v>218</v>
      </c>
      <c r="AH655">
        <v>46311</v>
      </c>
      <c r="AI655" t="s">
        <v>149</v>
      </c>
    </row>
    <row r="656" spans="1:35" x14ac:dyDescent="0.25">
      <c r="A656" s="1">
        <v>46312</v>
      </c>
      <c r="B656" t="s">
        <v>97</v>
      </c>
      <c r="C656" t="s">
        <v>10</v>
      </c>
      <c r="D656">
        <v>0.88646868865953243</v>
      </c>
      <c r="E656">
        <v>0</v>
      </c>
      <c r="F656">
        <v>0</v>
      </c>
      <c r="G656">
        <v>0.82352941176470595</v>
      </c>
      <c r="H656">
        <v>0</v>
      </c>
      <c r="I656">
        <v>0</v>
      </c>
      <c r="J656">
        <v>0.92900000000000038</v>
      </c>
      <c r="K656">
        <v>0</v>
      </c>
      <c r="L656">
        <v>0</v>
      </c>
      <c r="M656">
        <v>0</v>
      </c>
      <c r="N656">
        <v>0</v>
      </c>
      <c r="O656">
        <v>0</v>
      </c>
      <c r="P656">
        <v>0</v>
      </c>
      <c r="Q656">
        <v>0</v>
      </c>
      <c r="R656">
        <v>0</v>
      </c>
      <c r="S656">
        <v>0</v>
      </c>
      <c r="T656">
        <v>0.92900000000000038</v>
      </c>
      <c r="U656">
        <v>7.0999999999999619E-2</v>
      </c>
      <c r="V656">
        <v>0</v>
      </c>
      <c r="W656">
        <v>0</v>
      </c>
      <c r="X656">
        <v>0</v>
      </c>
      <c r="Y656">
        <v>0</v>
      </c>
      <c r="Z656">
        <v>0</v>
      </c>
      <c r="AA656">
        <v>0</v>
      </c>
      <c r="AB656">
        <v>0</v>
      </c>
      <c r="AC656">
        <v>0</v>
      </c>
      <c r="AD656">
        <v>0</v>
      </c>
      <c r="AE656" t="s">
        <v>163</v>
      </c>
      <c r="AF656">
        <v>0</v>
      </c>
      <c r="AG656" t="s">
        <v>222</v>
      </c>
      <c r="AH656">
        <v>46312</v>
      </c>
      <c r="AI656" t="s">
        <v>149</v>
      </c>
    </row>
    <row r="657" spans="1:35" x14ac:dyDescent="0.25">
      <c r="A657" s="1">
        <v>46312</v>
      </c>
      <c r="B657" t="s">
        <v>97</v>
      </c>
      <c r="C657" t="s">
        <v>11</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0</v>
      </c>
      <c r="AA657">
        <v>0</v>
      </c>
      <c r="AB657">
        <v>0</v>
      </c>
      <c r="AC657">
        <v>0</v>
      </c>
      <c r="AD657">
        <v>0</v>
      </c>
      <c r="AE657" t="s">
        <v>163</v>
      </c>
      <c r="AF657">
        <v>0</v>
      </c>
      <c r="AG657" t="s">
        <v>223</v>
      </c>
      <c r="AH657">
        <v>46312</v>
      </c>
      <c r="AI657" t="s">
        <v>149</v>
      </c>
    </row>
    <row r="658" spans="1:35" x14ac:dyDescent="0.25">
      <c r="A658" s="1">
        <v>46312</v>
      </c>
      <c r="B658" t="s">
        <v>97</v>
      </c>
      <c r="C658" t="s">
        <v>12</v>
      </c>
      <c r="D658">
        <v>0</v>
      </c>
      <c r="E658">
        <v>0</v>
      </c>
      <c r="F658">
        <v>0</v>
      </c>
      <c r="G658">
        <v>0.16608996539792387</v>
      </c>
      <c r="H658">
        <v>0</v>
      </c>
      <c r="I658">
        <v>0</v>
      </c>
      <c r="J658">
        <v>0</v>
      </c>
      <c r="K658">
        <v>0</v>
      </c>
      <c r="L658">
        <v>0</v>
      </c>
      <c r="M658">
        <v>0</v>
      </c>
      <c r="N658">
        <v>0</v>
      </c>
      <c r="O658">
        <v>0</v>
      </c>
      <c r="P658">
        <v>0</v>
      </c>
      <c r="Q658">
        <v>0</v>
      </c>
      <c r="R658">
        <v>0</v>
      </c>
      <c r="S658">
        <v>0</v>
      </c>
      <c r="T658">
        <v>0</v>
      </c>
      <c r="U658">
        <v>0</v>
      </c>
      <c r="V658">
        <v>0</v>
      </c>
      <c r="W658">
        <v>0</v>
      </c>
      <c r="X658">
        <v>0</v>
      </c>
      <c r="Y658">
        <v>0</v>
      </c>
      <c r="Z658">
        <v>0</v>
      </c>
      <c r="AA658">
        <v>0</v>
      </c>
      <c r="AB658">
        <v>1</v>
      </c>
      <c r="AC658">
        <v>0</v>
      </c>
      <c r="AD658">
        <v>0</v>
      </c>
      <c r="AE658" t="s">
        <v>163</v>
      </c>
      <c r="AF658">
        <v>0</v>
      </c>
      <c r="AG658" t="s">
        <v>221</v>
      </c>
      <c r="AH658">
        <v>46312</v>
      </c>
      <c r="AI658" t="s">
        <v>149</v>
      </c>
    </row>
    <row r="659" spans="1:35" x14ac:dyDescent="0.25">
      <c r="A659" s="1">
        <v>46313</v>
      </c>
      <c r="B659" t="s">
        <v>97</v>
      </c>
      <c r="C659" t="s">
        <v>10</v>
      </c>
      <c r="D659">
        <v>0.88646868865953243</v>
      </c>
      <c r="E659">
        <v>0</v>
      </c>
      <c r="F659">
        <v>0</v>
      </c>
      <c r="G659">
        <v>0</v>
      </c>
      <c r="H659">
        <v>0</v>
      </c>
      <c r="I659">
        <v>0</v>
      </c>
      <c r="J659">
        <v>0</v>
      </c>
      <c r="K659">
        <v>0</v>
      </c>
      <c r="L659">
        <v>0</v>
      </c>
      <c r="M659">
        <v>0</v>
      </c>
      <c r="N659">
        <v>0</v>
      </c>
      <c r="O659">
        <v>0</v>
      </c>
      <c r="P659">
        <v>0</v>
      </c>
      <c r="Q659">
        <v>0</v>
      </c>
      <c r="R659">
        <v>0</v>
      </c>
      <c r="S659">
        <v>0</v>
      </c>
      <c r="T659">
        <v>0</v>
      </c>
      <c r="U659">
        <v>1</v>
      </c>
      <c r="V659">
        <v>0</v>
      </c>
      <c r="W659">
        <v>0</v>
      </c>
      <c r="X659">
        <v>0</v>
      </c>
      <c r="Y659">
        <v>0</v>
      </c>
      <c r="Z659">
        <v>0</v>
      </c>
      <c r="AA659">
        <v>0</v>
      </c>
      <c r="AB659">
        <v>0</v>
      </c>
      <c r="AC659">
        <v>0</v>
      </c>
      <c r="AD659">
        <v>0</v>
      </c>
      <c r="AE659" t="s">
        <v>163</v>
      </c>
      <c r="AF659">
        <v>0</v>
      </c>
      <c r="AG659" t="s">
        <v>224</v>
      </c>
      <c r="AH659">
        <v>46313</v>
      </c>
      <c r="AI659" t="s">
        <v>149</v>
      </c>
    </row>
    <row r="660" spans="1:35" x14ac:dyDescent="0.25">
      <c r="A660" s="1">
        <v>46313</v>
      </c>
      <c r="B660" t="s">
        <v>97</v>
      </c>
      <c r="C660" t="s">
        <v>11</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c r="AE660" t="s">
        <v>163</v>
      </c>
      <c r="AF660">
        <v>0</v>
      </c>
      <c r="AG660" t="s">
        <v>225</v>
      </c>
      <c r="AH660">
        <v>46313</v>
      </c>
      <c r="AI660" t="s">
        <v>149</v>
      </c>
    </row>
    <row r="661" spans="1:35" x14ac:dyDescent="0.25">
      <c r="A661" s="1">
        <v>46313</v>
      </c>
      <c r="B661" t="s">
        <v>97</v>
      </c>
      <c r="C661" t="s">
        <v>12</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c r="AE661" t="s">
        <v>163</v>
      </c>
      <c r="AF661">
        <v>0</v>
      </c>
      <c r="AG661" t="s">
        <v>226</v>
      </c>
      <c r="AH661">
        <v>46313</v>
      </c>
      <c r="AI661" t="s">
        <v>149</v>
      </c>
    </row>
    <row r="662" spans="1:35" x14ac:dyDescent="0.25">
      <c r="A662" s="1">
        <v>46314</v>
      </c>
      <c r="B662" t="s">
        <v>97</v>
      </c>
      <c r="C662" t="s">
        <v>12</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c r="AE662" t="s">
        <v>163</v>
      </c>
      <c r="AF662">
        <v>0</v>
      </c>
      <c r="AG662" t="s">
        <v>227</v>
      </c>
      <c r="AH662">
        <v>46314</v>
      </c>
      <c r="AI662" t="s">
        <v>149</v>
      </c>
    </row>
    <row r="663" spans="1:35" x14ac:dyDescent="0.25">
      <c r="A663" s="1">
        <v>46314</v>
      </c>
      <c r="B663" t="s">
        <v>97</v>
      </c>
      <c r="C663" t="s">
        <v>10</v>
      </c>
      <c r="D663">
        <v>0</v>
      </c>
      <c r="E663">
        <v>0</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c r="AD663">
        <v>0</v>
      </c>
      <c r="AE663" t="s">
        <v>163</v>
      </c>
      <c r="AF663">
        <v>0</v>
      </c>
      <c r="AG663" t="s">
        <v>229</v>
      </c>
      <c r="AH663">
        <v>46314</v>
      </c>
      <c r="AI663" t="s">
        <v>149</v>
      </c>
    </row>
    <row r="664" spans="1:35" x14ac:dyDescent="0.25">
      <c r="A664" s="1">
        <v>46314</v>
      </c>
      <c r="B664" t="s">
        <v>97</v>
      </c>
      <c r="C664" t="s">
        <v>11</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c r="AE664" t="s">
        <v>163</v>
      </c>
      <c r="AF664">
        <v>0</v>
      </c>
      <c r="AG664" t="s">
        <v>228</v>
      </c>
      <c r="AH664">
        <v>46314</v>
      </c>
      <c r="AI664" t="s">
        <v>149</v>
      </c>
    </row>
    <row r="665" spans="1:35" x14ac:dyDescent="0.25">
      <c r="A665" s="1">
        <v>46315</v>
      </c>
      <c r="B665" t="s">
        <v>97</v>
      </c>
      <c r="C665" t="s">
        <v>10</v>
      </c>
      <c r="D665">
        <v>1.7729373773190653</v>
      </c>
      <c r="E665">
        <v>0</v>
      </c>
      <c r="F665">
        <v>0</v>
      </c>
      <c r="G665">
        <v>1.6470588235294119</v>
      </c>
      <c r="H665">
        <v>0</v>
      </c>
      <c r="I665">
        <v>0</v>
      </c>
      <c r="J665">
        <v>0.92900000000000016</v>
      </c>
      <c r="K665">
        <v>0</v>
      </c>
      <c r="L665">
        <v>0</v>
      </c>
      <c r="M665">
        <v>0</v>
      </c>
      <c r="N665">
        <v>0</v>
      </c>
      <c r="O665">
        <v>0</v>
      </c>
      <c r="P665">
        <v>0</v>
      </c>
      <c r="Q665">
        <v>0</v>
      </c>
      <c r="R665">
        <v>0</v>
      </c>
      <c r="S665">
        <v>0</v>
      </c>
      <c r="T665">
        <v>0.92900000000000016</v>
      </c>
      <c r="U665">
        <v>7.0999999999999841E-2</v>
      </c>
      <c r="V665">
        <v>0</v>
      </c>
      <c r="W665">
        <v>0</v>
      </c>
      <c r="X665">
        <v>0</v>
      </c>
      <c r="Y665">
        <v>0</v>
      </c>
      <c r="Z665">
        <v>0</v>
      </c>
      <c r="AA665">
        <v>0</v>
      </c>
      <c r="AB665">
        <v>0</v>
      </c>
      <c r="AC665">
        <v>0</v>
      </c>
      <c r="AD665">
        <v>0</v>
      </c>
      <c r="AE665" t="s">
        <v>163</v>
      </c>
      <c r="AF665">
        <v>0</v>
      </c>
      <c r="AG665" t="s">
        <v>230</v>
      </c>
      <c r="AH665">
        <v>46315</v>
      </c>
      <c r="AI665" t="s">
        <v>149</v>
      </c>
    </row>
    <row r="666" spans="1:35" x14ac:dyDescent="0.25">
      <c r="A666" s="1">
        <v>46315</v>
      </c>
      <c r="B666" t="s">
        <v>97</v>
      </c>
      <c r="C666" t="s">
        <v>11</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c r="AE666" t="s">
        <v>163</v>
      </c>
      <c r="AF666">
        <v>0</v>
      </c>
      <c r="AG666" t="s">
        <v>231</v>
      </c>
      <c r="AH666">
        <v>46315</v>
      </c>
      <c r="AI666" t="s">
        <v>149</v>
      </c>
    </row>
    <row r="667" spans="1:35" x14ac:dyDescent="0.25">
      <c r="A667" s="1">
        <v>46315</v>
      </c>
      <c r="B667" t="s">
        <v>97</v>
      </c>
      <c r="C667" t="s">
        <v>12</v>
      </c>
      <c r="D667">
        <v>0</v>
      </c>
      <c r="E667">
        <v>0</v>
      </c>
      <c r="F667">
        <v>0</v>
      </c>
      <c r="G667">
        <v>0.33217993079584773</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1</v>
      </c>
      <c r="AC667">
        <v>0</v>
      </c>
      <c r="AD667">
        <v>0</v>
      </c>
      <c r="AE667" t="s">
        <v>163</v>
      </c>
      <c r="AF667">
        <v>0</v>
      </c>
      <c r="AG667" t="s">
        <v>232</v>
      </c>
      <c r="AH667">
        <v>46315</v>
      </c>
      <c r="AI667" t="s">
        <v>149</v>
      </c>
    </row>
    <row r="668" spans="1:35" x14ac:dyDescent="0.25">
      <c r="A668" s="1">
        <v>46316</v>
      </c>
      <c r="B668" t="s">
        <v>97</v>
      </c>
      <c r="C668" t="s">
        <v>12</v>
      </c>
      <c r="D668">
        <v>0.62574260375967006</v>
      </c>
      <c r="E668">
        <v>0</v>
      </c>
      <c r="F668">
        <v>0</v>
      </c>
      <c r="G668">
        <v>1.2602845059592462</v>
      </c>
      <c r="H668">
        <v>0</v>
      </c>
      <c r="I668">
        <v>0</v>
      </c>
      <c r="J668">
        <v>2.0140621693121692</v>
      </c>
      <c r="K668">
        <v>1.0140621693121692</v>
      </c>
      <c r="L668">
        <v>0</v>
      </c>
      <c r="M668">
        <v>0</v>
      </c>
      <c r="N668">
        <v>0</v>
      </c>
      <c r="O668">
        <v>0</v>
      </c>
      <c r="P668">
        <v>0</v>
      </c>
      <c r="Q668">
        <v>0</v>
      </c>
      <c r="R668">
        <v>0</v>
      </c>
      <c r="S668">
        <v>0</v>
      </c>
      <c r="T668">
        <v>0</v>
      </c>
      <c r="U668">
        <v>0</v>
      </c>
      <c r="V668">
        <v>0</v>
      </c>
      <c r="W668">
        <v>0</v>
      </c>
      <c r="X668">
        <v>0</v>
      </c>
      <c r="Y668">
        <v>0</v>
      </c>
      <c r="Z668">
        <v>0</v>
      </c>
      <c r="AA668">
        <v>0</v>
      </c>
      <c r="AB668">
        <v>0</v>
      </c>
      <c r="AC668">
        <v>1</v>
      </c>
      <c r="AD668">
        <v>0</v>
      </c>
      <c r="AE668" t="s">
        <v>163</v>
      </c>
      <c r="AF668">
        <v>0</v>
      </c>
      <c r="AG668" t="s">
        <v>233</v>
      </c>
      <c r="AH668">
        <v>46316</v>
      </c>
      <c r="AI668" t="s">
        <v>149</v>
      </c>
    </row>
    <row r="669" spans="1:35" x14ac:dyDescent="0.25">
      <c r="A669" s="1">
        <v>46316</v>
      </c>
      <c r="B669" t="s">
        <v>97</v>
      </c>
      <c r="C669" t="s">
        <v>11</v>
      </c>
      <c r="D669">
        <v>0</v>
      </c>
      <c r="E669">
        <v>0</v>
      </c>
      <c r="F669">
        <v>0</v>
      </c>
      <c r="G669">
        <v>0</v>
      </c>
      <c r="H669">
        <v>0</v>
      </c>
      <c r="I669">
        <v>0</v>
      </c>
      <c r="J669">
        <v>0</v>
      </c>
      <c r="K669">
        <v>0</v>
      </c>
      <c r="L669">
        <v>0</v>
      </c>
      <c r="M669">
        <v>0</v>
      </c>
      <c r="N669">
        <v>0</v>
      </c>
      <c r="O669">
        <v>0</v>
      </c>
      <c r="P669">
        <v>0</v>
      </c>
      <c r="Q669">
        <v>0</v>
      </c>
      <c r="R669">
        <v>0</v>
      </c>
      <c r="S669">
        <v>0</v>
      </c>
      <c r="T669">
        <v>0</v>
      </c>
      <c r="U669">
        <v>0</v>
      </c>
      <c r="V669">
        <v>0</v>
      </c>
      <c r="W669">
        <v>0</v>
      </c>
      <c r="X669">
        <v>0</v>
      </c>
      <c r="Y669">
        <v>0</v>
      </c>
      <c r="Z669">
        <v>0</v>
      </c>
      <c r="AA669">
        <v>0</v>
      </c>
      <c r="AB669">
        <v>0</v>
      </c>
      <c r="AC669">
        <v>0</v>
      </c>
      <c r="AD669">
        <v>0</v>
      </c>
      <c r="AE669" t="s">
        <v>163</v>
      </c>
      <c r="AF669">
        <v>0</v>
      </c>
      <c r="AG669" t="s">
        <v>234</v>
      </c>
      <c r="AH669">
        <v>46316</v>
      </c>
      <c r="AI669" t="s">
        <v>149</v>
      </c>
    </row>
    <row r="670" spans="1:35" x14ac:dyDescent="0.25">
      <c r="A670" s="1">
        <v>46316</v>
      </c>
      <c r="B670" t="s">
        <v>97</v>
      </c>
      <c r="C670" t="s">
        <v>10</v>
      </c>
      <c r="D670">
        <v>2.7148103590198196</v>
      </c>
      <c r="E670">
        <v>0</v>
      </c>
      <c r="F670">
        <v>0</v>
      </c>
      <c r="G670">
        <v>2.4734477124183014</v>
      </c>
      <c r="H670">
        <v>0</v>
      </c>
      <c r="I670">
        <v>0</v>
      </c>
      <c r="J670">
        <v>0.91109410430839011</v>
      </c>
      <c r="K670">
        <v>0</v>
      </c>
      <c r="L670">
        <v>0</v>
      </c>
      <c r="M670">
        <v>0</v>
      </c>
      <c r="N670">
        <v>0</v>
      </c>
      <c r="O670">
        <v>0</v>
      </c>
      <c r="P670">
        <v>0</v>
      </c>
      <c r="Q670">
        <v>0</v>
      </c>
      <c r="R670">
        <v>0</v>
      </c>
      <c r="S670">
        <v>0</v>
      </c>
      <c r="T670">
        <v>0.91109410430839011</v>
      </c>
      <c r="U670">
        <v>8.8905895691609893E-2</v>
      </c>
      <c r="V670">
        <v>0</v>
      </c>
      <c r="W670">
        <v>0</v>
      </c>
      <c r="X670">
        <v>0</v>
      </c>
      <c r="Y670">
        <v>0</v>
      </c>
      <c r="Z670">
        <v>0</v>
      </c>
      <c r="AA670">
        <v>0</v>
      </c>
      <c r="AB670">
        <v>0</v>
      </c>
      <c r="AC670">
        <v>0</v>
      </c>
      <c r="AD670">
        <v>0</v>
      </c>
      <c r="AE670" t="s">
        <v>163</v>
      </c>
      <c r="AF670">
        <v>0</v>
      </c>
      <c r="AG670" t="s">
        <v>235</v>
      </c>
      <c r="AH670">
        <v>46316</v>
      </c>
      <c r="AI670" t="s">
        <v>149</v>
      </c>
    </row>
    <row r="671" spans="1:35" x14ac:dyDescent="0.25">
      <c r="A671" s="1">
        <v>46317</v>
      </c>
      <c r="B671" t="s">
        <v>97</v>
      </c>
      <c r="C671" t="s">
        <v>10</v>
      </c>
      <c r="D671">
        <v>2.7148103590198196</v>
      </c>
      <c r="E671">
        <v>0</v>
      </c>
      <c r="F671">
        <v>0</v>
      </c>
      <c r="G671">
        <v>2.4734477124183014</v>
      </c>
      <c r="H671">
        <v>0</v>
      </c>
      <c r="I671">
        <v>0</v>
      </c>
      <c r="J671">
        <v>0.91109410430839011</v>
      </c>
      <c r="K671">
        <v>0</v>
      </c>
      <c r="L671">
        <v>0</v>
      </c>
      <c r="M671">
        <v>0</v>
      </c>
      <c r="N671">
        <v>0</v>
      </c>
      <c r="O671">
        <v>0</v>
      </c>
      <c r="P671">
        <v>0</v>
      </c>
      <c r="Q671">
        <v>0</v>
      </c>
      <c r="R671">
        <v>0</v>
      </c>
      <c r="S671">
        <v>0</v>
      </c>
      <c r="T671">
        <v>0.91109410430839011</v>
      </c>
      <c r="U671">
        <v>8.8905895691609893E-2</v>
      </c>
      <c r="V671">
        <v>0</v>
      </c>
      <c r="W671">
        <v>0</v>
      </c>
      <c r="X671">
        <v>0</v>
      </c>
      <c r="Y671">
        <v>0</v>
      </c>
      <c r="Z671">
        <v>0</v>
      </c>
      <c r="AA671">
        <v>0</v>
      </c>
      <c r="AB671">
        <v>0</v>
      </c>
      <c r="AC671">
        <v>0</v>
      </c>
      <c r="AD671">
        <v>0</v>
      </c>
      <c r="AE671" t="s">
        <v>163</v>
      </c>
      <c r="AF671">
        <v>0</v>
      </c>
      <c r="AG671" t="s">
        <v>236</v>
      </c>
      <c r="AH671">
        <v>46317</v>
      </c>
      <c r="AI671" t="s">
        <v>149</v>
      </c>
    </row>
    <row r="672" spans="1:35" x14ac:dyDescent="0.25">
      <c r="A672" s="1">
        <v>46317</v>
      </c>
      <c r="B672" t="s">
        <v>97</v>
      </c>
      <c r="C672" t="s">
        <v>11</v>
      </c>
      <c r="D672">
        <v>0</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c r="AE672" t="s">
        <v>163</v>
      </c>
      <c r="AF672">
        <v>0</v>
      </c>
      <c r="AG672" t="s">
        <v>237</v>
      </c>
      <c r="AH672">
        <v>46317</v>
      </c>
      <c r="AI672" t="s">
        <v>149</v>
      </c>
    </row>
    <row r="673" spans="1:35" x14ac:dyDescent="0.25">
      <c r="A673" s="1">
        <v>46317</v>
      </c>
      <c r="B673" t="s">
        <v>97</v>
      </c>
      <c r="C673" t="s">
        <v>12</v>
      </c>
      <c r="D673">
        <v>0</v>
      </c>
      <c r="E673">
        <v>0</v>
      </c>
      <c r="F673">
        <v>0</v>
      </c>
      <c r="G673">
        <v>0.55440215301806983</v>
      </c>
      <c r="H673">
        <v>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1</v>
      </c>
      <c r="AC673">
        <v>0</v>
      </c>
      <c r="AD673">
        <v>0</v>
      </c>
      <c r="AE673" t="s">
        <v>163</v>
      </c>
      <c r="AF673">
        <v>0</v>
      </c>
      <c r="AG673" t="s">
        <v>238</v>
      </c>
      <c r="AH673">
        <v>46317</v>
      </c>
      <c r="AI673" t="s">
        <v>149</v>
      </c>
    </row>
    <row r="674" spans="1:35" x14ac:dyDescent="0.25">
      <c r="A674" s="1">
        <v>46318</v>
      </c>
      <c r="B674" t="s">
        <v>97</v>
      </c>
      <c r="C674" t="s">
        <v>11</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c r="AE674" t="s">
        <v>163</v>
      </c>
      <c r="AF674">
        <v>0</v>
      </c>
      <c r="AG674" t="s">
        <v>240</v>
      </c>
      <c r="AH674">
        <v>46318</v>
      </c>
      <c r="AI674" t="s">
        <v>149</v>
      </c>
    </row>
    <row r="675" spans="1:35" x14ac:dyDescent="0.25">
      <c r="A675" s="1">
        <v>46318</v>
      </c>
      <c r="B675" t="s">
        <v>97</v>
      </c>
      <c r="C675" t="s">
        <v>12</v>
      </c>
      <c r="D675">
        <v>0</v>
      </c>
      <c r="E675">
        <v>0</v>
      </c>
      <c r="F675">
        <v>0</v>
      </c>
      <c r="G675">
        <v>0.33217993079584773</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1</v>
      </c>
      <c r="AC675">
        <v>0</v>
      </c>
      <c r="AD675">
        <v>0</v>
      </c>
      <c r="AE675" t="s">
        <v>163</v>
      </c>
      <c r="AF675">
        <v>0</v>
      </c>
      <c r="AG675" t="s">
        <v>241</v>
      </c>
      <c r="AH675">
        <v>46318</v>
      </c>
      <c r="AI675" t="s">
        <v>149</v>
      </c>
    </row>
    <row r="676" spans="1:35" x14ac:dyDescent="0.25">
      <c r="A676" s="1">
        <v>46318</v>
      </c>
      <c r="B676" t="s">
        <v>97</v>
      </c>
      <c r="C676" t="s">
        <v>10</v>
      </c>
      <c r="D676">
        <v>1.7729373773190653</v>
      </c>
      <c r="E676">
        <v>0</v>
      </c>
      <c r="F676">
        <v>0</v>
      </c>
      <c r="G676">
        <v>1.6470588235294119</v>
      </c>
      <c r="H676">
        <v>0</v>
      </c>
      <c r="I676">
        <v>0</v>
      </c>
      <c r="J676">
        <v>0.92900000000000016</v>
      </c>
      <c r="K676">
        <v>0</v>
      </c>
      <c r="L676">
        <v>0</v>
      </c>
      <c r="M676">
        <v>0</v>
      </c>
      <c r="N676">
        <v>0</v>
      </c>
      <c r="O676">
        <v>0</v>
      </c>
      <c r="P676">
        <v>0</v>
      </c>
      <c r="Q676">
        <v>0</v>
      </c>
      <c r="R676">
        <v>0</v>
      </c>
      <c r="S676">
        <v>0</v>
      </c>
      <c r="T676">
        <v>0.92900000000000016</v>
      </c>
      <c r="U676">
        <v>7.0999999999999841E-2</v>
      </c>
      <c r="V676">
        <v>0</v>
      </c>
      <c r="W676">
        <v>0</v>
      </c>
      <c r="X676">
        <v>0</v>
      </c>
      <c r="Y676">
        <v>0</v>
      </c>
      <c r="Z676">
        <v>0</v>
      </c>
      <c r="AA676">
        <v>0</v>
      </c>
      <c r="AB676">
        <v>0</v>
      </c>
      <c r="AC676">
        <v>0</v>
      </c>
      <c r="AD676">
        <v>0</v>
      </c>
      <c r="AE676" t="s">
        <v>163</v>
      </c>
      <c r="AF676">
        <v>0</v>
      </c>
      <c r="AG676" t="s">
        <v>239</v>
      </c>
      <c r="AH676">
        <v>46318</v>
      </c>
      <c r="AI676" t="s">
        <v>149</v>
      </c>
    </row>
    <row r="677" spans="1:35" x14ac:dyDescent="0.25">
      <c r="A677" s="1">
        <v>46319</v>
      </c>
      <c r="B677" t="s">
        <v>97</v>
      </c>
      <c r="C677" t="s">
        <v>11</v>
      </c>
      <c r="D677">
        <v>0</v>
      </c>
      <c r="E677">
        <v>0</v>
      </c>
      <c r="F677">
        <v>0</v>
      </c>
      <c r="G677">
        <v>0</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0</v>
      </c>
      <c r="AC677">
        <v>0</v>
      </c>
      <c r="AD677">
        <v>0</v>
      </c>
      <c r="AE677" t="s">
        <v>163</v>
      </c>
      <c r="AF677">
        <v>0</v>
      </c>
      <c r="AG677" t="s">
        <v>243</v>
      </c>
      <c r="AH677">
        <v>46319</v>
      </c>
      <c r="AI677" t="s">
        <v>149</v>
      </c>
    </row>
    <row r="678" spans="1:35" x14ac:dyDescent="0.25">
      <c r="A678" s="1">
        <v>46319</v>
      </c>
      <c r="B678" t="s">
        <v>97</v>
      </c>
      <c r="C678" t="s">
        <v>12</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c r="AE678" t="s">
        <v>163</v>
      </c>
      <c r="AF678">
        <v>0</v>
      </c>
      <c r="AG678" t="s">
        <v>242</v>
      </c>
      <c r="AH678">
        <v>46319</v>
      </c>
      <c r="AI678" t="s">
        <v>149</v>
      </c>
    </row>
    <row r="679" spans="1:35" x14ac:dyDescent="0.25">
      <c r="A679" s="1">
        <v>46319</v>
      </c>
      <c r="B679" t="s">
        <v>97</v>
      </c>
      <c r="C679" t="s">
        <v>10</v>
      </c>
      <c r="D679">
        <v>0</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c r="AD679">
        <v>0</v>
      </c>
      <c r="AE679" t="s">
        <v>163</v>
      </c>
      <c r="AF679">
        <v>0</v>
      </c>
      <c r="AG679" t="s">
        <v>244</v>
      </c>
      <c r="AH679">
        <v>46319</v>
      </c>
      <c r="AI679" t="s">
        <v>149</v>
      </c>
    </row>
    <row r="680" spans="1:35" x14ac:dyDescent="0.25">
      <c r="A680" s="1">
        <v>46320</v>
      </c>
      <c r="B680" t="s">
        <v>97</v>
      </c>
      <c r="C680" t="s">
        <v>11</v>
      </c>
      <c r="D680">
        <v>0</v>
      </c>
      <c r="E680">
        <v>0</v>
      </c>
      <c r="F680">
        <v>0</v>
      </c>
      <c r="G680">
        <v>0</v>
      </c>
      <c r="H680">
        <v>0</v>
      </c>
      <c r="I680">
        <v>0</v>
      </c>
      <c r="J680">
        <v>0</v>
      </c>
      <c r="K680">
        <v>0</v>
      </c>
      <c r="L680">
        <v>0</v>
      </c>
      <c r="M680">
        <v>0</v>
      </c>
      <c r="N680">
        <v>0</v>
      </c>
      <c r="O680">
        <v>0</v>
      </c>
      <c r="P680">
        <v>0</v>
      </c>
      <c r="Q680">
        <v>0</v>
      </c>
      <c r="R680">
        <v>0</v>
      </c>
      <c r="S680">
        <v>0</v>
      </c>
      <c r="T680">
        <v>0</v>
      </c>
      <c r="U680">
        <v>0</v>
      </c>
      <c r="V680">
        <v>0</v>
      </c>
      <c r="W680">
        <v>0</v>
      </c>
      <c r="X680">
        <v>0</v>
      </c>
      <c r="Y680">
        <v>0</v>
      </c>
      <c r="Z680">
        <v>0</v>
      </c>
      <c r="AA680">
        <v>0</v>
      </c>
      <c r="AB680">
        <v>0</v>
      </c>
      <c r="AC680">
        <v>0</v>
      </c>
      <c r="AD680">
        <v>0</v>
      </c>
      <c r="AE680" t="s">
        <v>163</v>
      </c>
      <c r="AF680">
        <v>0</v>
      </c>
      <c r="AG680" t="s">
        <v>247</v>
      </c>
      <c r="AH680">
        <v>46320</v>
      </c>
      <c r="AI680" t="s">
        <v>149</v>
      </c>
    </row>
    <row r="681" spans="1:35" x14ac:dyDescent="0.25">
      <c r="A681" s="1">
        <v>46320</v>
      </c>
      <c r="B681" t="s">
        <v>97</v>
      </c>
      <c r="C681" t="s">
        <v>10</v>
      </c>
      <c r="D681">
        <v>0</v>
      </c>
      <c r="E681">
        <v>0</v>
      </c>
      <c r="F681">
        <v>0</v>
      </c>
      <c r="G681">
        <v>0</v>
      </c>
      <c r="H681">
        <v>0</v>
      </c>
      <c r="I681">
        <v>0</v>
      </c>
      <c r="J681">
        <v>0</v>
      </c>
      <c r="K681">
        <v>0</v>
      </c>
      <c r="L681">
        <v>0</v>
      </c>
      <c r="M681">
        <v>0</v>
      </c>
      <c r="N681">
        <v>0</v>
      </c>
      <c r="O681">
        <v>0</v>
      </c>
      <c r="P681">
        <v>0</v>
      </c>
      <c r="Q681">
        <v>0</v>
      </c>
      <c r="R681">
        <v>0</v>
      </c>
      <c r="S681">
        <v>0</v>
      </c>
      <c r="T681">
        <v>0</v>
      </c>
      <c r="U681">
        <v>0</v>
      </c>
      <c r="V681">
        <v>0</v>
      </c>
      <c r="W681">
        <v>0</v>
      </c>
      <c r="X681">
        <v>0</v>
      </c>
      <c r="Y681">
        <v>0</v>
      </c>
      <c r="Z681">
        <v>0</v>
      </c>
      <c r="AA681">
        <v>0</v>
      </c>
      <c r="AB681">
        <v>0</v>
      </c>
      <c r="AC681">
        <v>0</v>
      </c>
      <c r="AD681">
        <v>0</v>
      </c>
      <c r="AE681" t="s">
        <v>163</v>
      </c>
      <c r="AF681">
        <v>0</v>
      </c>
      <c r="AG681" t="s">
        <v>246</v>
      </c>
      <c r="AH681">
        <v>46320</v>
      </c>
      <c r="AI681" t="s">
        <v>149</v>
      </c>
    </row>
    <row r="682" spans="1:35" x14ac:dyDescent="0.25">
      <c r="A682" s="1">
        <v>46320</v>
      </c>
      <c r="B682" t="s">
        <v>97</v>
      </c>
      <c r="C682" t="s">
        <v>12</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c r="AE682" t="s">
        <v>163</v>
      </c>
      <c r="AF682">
        <v>0</v>
      </c>
      <c r="AG682" t="s">
        <v>245</v>
      </c>
      <c r="AH682">
        <v>46320</v>
      </c>
      <c r="AI682" t="s">
        <v>149</v>
      </c>
    </row>
    <row r="683" spans="1:35" x14ac:dyDescent="0.25">
      <c r="A683" s="1">
        <v>46293</v>
      </c>
      <c r="B683" t="s">
        <v>13</v>
      </c>
      <c r="C683" t="s">
        <v>12</v>
      </c>
      <c r="D683">
        <v>2.2207534699272973</v>
      </c>
      <c r="E683">
        <v>0</v>
      </c>
      <c r="F683">
        <v>0</v>
      </c>
      <c r="G683">
        <v>2.0131100107385755</v>
      </c>
      <c r="H683">
        <v>0</v>
      </c>
      <c r="I683">
        <v>0</v>
      </c>
      <c r="J683">
        <v>0.90649864471650721</v>
      </c>
      <c r="K683">
        <v>0</v>
      </c>
      <c r="L683">
        <v>0</v>
      </c>
      <c r="M683">
        <v>0</v>
      </c>
      <c r="N683">
        <v>0</v>
      </c>
      <c r="O683">
        <v>0</v>
      </c>
      <c r="P683">
        <v>0</v>
      </c>
      <c r="Q683">
        <v>0</v>
      </c>
      <c r="R683">
        <v>0</v>
      </c>
      <c r="S683">
        <v>0</v>
      </c>
      <c r="T683">
        <v>0.90649864471650721</v>
      </c>
      <c r="U683">
        <v>9.3501355283492793E-2</v>
      </c>
      <c r="V683">
        <v>0</v>
      </c>
      <c r="W683">
        <v>0</v>
      </c>
      <c r="X683">
        <v>0</v>
      </c>
      <c r="Y683">
        <v>0</v>
      </c>
      <c r="Z683">
        <v>0</v>
      </c>
      <c r="AA683">
        <v>0</v>
      </c>
      <c r="AB683">
        <v>0</v>
      </c>
      <c r="AC683">
        <v>0</v>
      </c>
      <c r="AD683">
        <v>0</v>
      </c>
      <c r="AE683" t="s">
        <v>163</v>
      </c>
      <c r="AF683">
        <v>0</v>
      </c>
      <c r="AG683" t="s">
        <v>164</v>
      </c>
      <c r="AH683">
        <v>46293</v>
      </c>
      <c r="AI683" t="s">
        <v>149</v>
      </c>
    </row>
    <row r="684" spans="1:35" x14ac:dyDescent="0.25">
      <c r="A684" s="1">
        <v>46293</v>
      </c>
      <c r="B684" t="s">
        <v>13</v>
      </c>
      <c r="C684" t="s">
        <v>11</v>
      </c>
      <c r="D684">
        <v>1.7977528089887642</v>
      </c>
      <c r="E684">
        <v>0</v>
      </c>
      <c r="F684">
        <v>0</v>
      </c>
      <c r="G684">
        <v>1.0127450980392154</v>
      </c>
      <c r="H684">
        <v>0</v>
      </c>
      <c r="I684">
        <v>0</v>
      </c>
      <c r="J684">
        <v>0.56333946078431352</v>
      </c>
      <c r="K684">
        <v>0</v>
      </c>
      <c r="L684">
        <v>0</v>
      </c>
      <c r="M684">
        <v>0</v>
      </c>
      <c r="N684">
        <v>0</v>
      </c>
      <c r="O684">
        <v>0</v>
      </c>
      <c r="P684">
        <v>0</v>
      </c>
      <c r="Q684">
        <v>0</v>
      </c>
      <c r="R684">
        <v>0</v>
      </c>
      <c r="S684">
        <v>0</v>
      </c>
      <c r="T684">
        <v>0.56333946078431352</v>
      </c>
      <c r="U684">
        <v>0.43666053921568648</v>
      </c>
      <c r="V684">
        <v>0</v>
      </c>
      <c r="W684">
        <v>0</v>
      </c>
      <c r="X684">
        <v>0</v>
      </c>
      <c r="Y684">
        <v>0</v>
      </c>
      <c r="Z684">
        <v>0</v>
      </c>
      <c r="AA684">
        <v>0</v>
      </c>
      <c r="AB684">
        <v>0</v>
      </c>
      <c r="AC684">
        <v>0</v>
      </c>
      <c r="AD684">
        <v>0</v>
      </c>
      <c r="AE684" t="s">
        <v>163</v>
      </c>
      <c r="AF684">
        <v>0</v>
      </c>
      <c r="AG684" t="s">
        <v>165</v>
      </c>
      <c r="AH684">
        <v>46293</v>
      </c>
      <c r="AI684" t="s">
        <v>149</v>
      </c>
    </row>
    <row r="685" spans="1:35" x14ac:dyDescent="0.25">
      <c r="A685" s="1">
        <v>46293</v>
      </c>
      <c r="B685" t="s">
        <v>13</v>
      </c>
      <c r="C685" t="s">
        <v>10</v>
      </c>
      <c r="D685">
        <v>1.3483146067415732</v>
      </c>
      <c r="E685">
        <v>0</v>
      </c>
      <c r="F685">
        <v>0</v>
      </c>
      <c r="G685">
        <v>1.6963742393509127</v>
      </c>
      <c r="H685">
        <v>0</v>
      </c>
      <c r="I685">
        <v>0</v>
      </c>
      <c r="J685">
        <v>1.2581442275185934</v>
      </c>
      <c r="K685">
        <v>0.25814422751859345</v>
      </c>
      <c r="L685">
        <v>0</v>
      </c>
      <c r="M685">
        <v>0</v>
      </c>
      <c r="N685">
        <v>0</v>
      </c>
      <c r="O685">
        <v>0</v>
      </c>
      <c r="P685">
        <v>0</v>
      </c>
      <c r="Q685">
        <v>0</v>
      </c>
      <c r="R685">
        <v>0</v>
      </c>
      <c r="S685">
        <v>0</v>
      </c>
      <c r="T685">
        <v>0</v>
      </c>
      <c r="U685">
        <v>0</v>
      </c>
      <c r="V685">
        <v>0</v>
      </c>
      <c r="W685">
        <v>0</v>
      </c>
      <c r="X685">
        <v>0</v>
      </c>
      <c r="Y685">
        <v>0</v>
      </c>
      <c r="Z685">
        <v>0</v>
      </c>
      <c r="AA685">
        <v>0</v>
      </c>
      <c r="AB685">
        <v>0</v>
      </c>
      <c r="AC685">
        <v>1</v>
      </c>
      <c r="AD685">
        <v>0</v>
      </c>
      <c r="AE685" t="s">
        <v>163</v>
      </c>
      <c r="AF685">
        <v>0</v>
      </c>
      <c r="AG685" t="s">
        <v>166</v>
      </c>
      <c r="AH685">
        <v>46293</v>
      </c>
      <c r="AI685" t="s">
        <v>149</v>
      </c>
    </row>
    <row r="686" spans="1:35" x14ac:dyDescent="0.25">
      <c r="A686" s="1">
        <v>46294</v>
      </c>
      <c r="B686" t="s">
        <v>13</v>
      </c>
      <c r="C686" t="s">
        <v>10</v>
      </c>
      <c r="D686">
        <v>2.6966292134831469</v>
      </c>
      <c r="E686">
        <v>0</v>
      </c>
      <c r="F686">
        <v>0</v>
      </c>
      <c r="G686">
        <v>1.7954963235294119</v>
      </c>
      <c r="H686">
        <v>0</v>
      </c>
      <c r="I686">
        <v>0</v>
      </c>
      <c r="J686">
        <v>0.6658298866421567</v>
      </c>
      <c r="K686">
        <v>0</v>
      </c>
      <c r="L686">
        <v>0</v>
      </c>
      <c r="M686">
        <v>0</v>
      </c>
      <c r="N686">
        <v>0</v>
      </c>
      <c r="O686">
        <v>0</v>
      </c>
      <c r="P686">
        <v>0</v>
      </c>
      <c r="Q686">
        <v>0</v>
      </c>
      <c r="R686">
        <v>0</v>
      </c>
      <c r="S686">
        <v>0</v>
      </c>
      <c r="T686">
        <v>0.6658298866421567</v>
      </c>
      <c r="U686">
        <v>0.3341701133578433</v>
      </c>
      <c r="V686">
        <v>0</v>
      </c>
      <c r="W686">
        <v>0</v>
      </c>
      <c r="X686">
        <v>0</v>
      </c>
      <c r="Y686">
        <v>0</v>
      </c>
      <c r="Z686">
        <v>0</v>
      </c>
      <c r="AA686">
        <v>0</v>
      </c>
      <c r="AB686">
        <v>0</v>
      </c>
      <c r="AC686">
        <v>0</v>
      </c>
      <c r="AD686">
        <v>0</v>
      </c>
      <c r="AE686" t="s">
        <v>163</v>
      </c>
      <c r="AF686">
        <v>0</v>
      </c>
      <c r="AG686" t="s">
        <v>167</v>
      </c>
      <c r="AH686">
        <v>46294</v>
      </c>
      <c r="AI686" t="s">
        <v>149</v>
      </c>
    </row>
    <row r="687" spans="1:35" x14ac:dyDescent="0.25">
      <c r="A687" s="1">
        <v>46294</v>
      </c>
      <c r="B687" t="s">
        <v>13</v>
      </c>
      <c r="C687" t="s">
        <v>12</v>
      </c>
      <c r="D687">
        <v>2.2207534699272973</v>
      </c>
      <c r="E687">
        <v>0</v>
      </c>
      <c r="F687">
        <v>0</v>
      </c>
      <c r="G687">
        <v>2.0635813148788924</v>
      </c>
      <c r="H687">
        <v>0</v>
      </c>
      <c r="I687">
        <v>0</v>
      </c>
      <c r="J687">
        <v>0.92922575280112008</v>
      </c>
      <c r="K687">
        <v>0</v>
      </c>
      <c r="L687">
        <v>0</v>
      </c>
      <c r="M687">
        <v>0</v>
      </c>
      <c r="N687">
        <v>0</v>
      </c>
      <c r="O687">
        <v>0</v>
      </c>
      <c r="P687">
        <v>0</v>
      </c>
      <c r="Q687">
        <v>0</v>
      </c>
      <c r="R687">
        <v>0</v>
      </c>
      <c r="S687">
        <v>0</v>
      </c>
      <c r="T687">
        <v>0.92922575280112008</v>
      </c>
      <c r="U687">
        <v>7.0774247198879925E-2</v>
      </c>
      <c r="V687">
        <v>0</v>
      </c>
      <c r="W687">
        <v>0</v>
      </c>
      <c r="X687">
        <v>0</v>
      </c>
      <c r="Y687">
        <v>0</v>
      </c>
      <c r="Z687">
        <v>0</v>
      </c>
      <c r="AA687">
        <v>0</v>
      </c>
      <c r="AB687">
        <v>0</v>
      </c>
      <c r="AC687">
        <v>0</v>
      </c>
      <c r="AD687">
        <v>0</v>
      </c>
      <c r="AE687" t="s">
        <v>163</v>
      </c>
      <c r="AF687">
        <v>0</v>
      </c>
      <c r="AG687" t="s">
        <v>169</v>
      </c>
      <c r="AH687">
        <v>46294</v>
      </c>
      <c r="AI687" t="s">
        <v>149</v>
      </c>
    </row>
    <row r="688" spans="1:35" x14ac:dyDescent="0.25">
      <c r="A688" s="1">
        <v>46294</v>
      </c>
      <c r="B688" t="s">
        <v>13</v>
      </c>
      <c r="C688" t="s">
        <v>11</v>
      </c>
      <c r="D688">
        <v>1.7977528089887642</v>
      </c>
      <c r="E688">
        <v>0</v>
      </c>
      <c r="F688">
        <v>0</v>
      </c>
      <c r="G688">
        <v>1.0127450980392154</v>
      </c>
      <c r="H688">
        <v>0</v>
      </c>
      <c r="I688">
        <v>0</v>
      </c>
      <c r="J688">
        <v>0.56333946078431352</v>
      </c>
      <c r="K688">
        <v>0</v>
      </c>
      <c r="L688">
        <v>0</v>
      </c>
      <c r="M688">
        <v>0</v>
      </c>
      <c r="N688">
        <v>0</v>
      </c>
      <c r="O688">
        <v>0</v>
      </c>
      <c r="P688">
        <v>0</v>
      </c>
      <c r="Q688">
        <v>0</v>
      </c>
      <c r="R688">
        <v>0</v>
      </c>
      <c r="S688">
        <v>0</v>
      </c>
      <c r="T688">
        <v>0.56333946078431352</v>
      </c>
      <c r="U688">
        <v>0.43666053921568648</v>
      </c>
      <c r="V688">
        <v>0</v>
      </c>
      <c r="W688">
        <v>0</v>
      </c>
      <c r="X688">
        <v>0</v>
      </c>
      <c r="Y688">
        <v>0</v>
      </c>
      <c r="Z688">
        <v>0</v>
      </c>
      <c r="AA688">
        <v>0</v>
      </c>
      <c r="AB688">
        <v>0</v>
      </c>
      <c r="AC688">
        <v>0</v>
      </c>
      <c r="AD688">
        <v>0</v>
      </c>
      <c r="AE688" t="s">
        <v>163</v>
      </c>
      <c r="AF688">
        <v>0</v>
      </c>
      <c r="AG688" t="s">
        <v>168</v>
      </c>
      <c r="AH688">
        <v>46294</v>
      </c>
      <c r="AI688" t="s">
        <v>149</v>
      </c>
    </row>
    <row r="689" spans="1:35" x14ac:dyDescent="0.25">
      <c r="A689" s="1">
        <v>46295</v>
      </c>
      <c r="B689" t="s">
        <v>13</v>
      </c>
      <c r="C689" t="s">
        <v>10</v>
      </c>
      <c r="D689">
        <v>2.6966292134831469</v>
      </c>
      <c r="E689">
        <v>0</v>
      </c>
      <c r="F689">
        <v>0</v>
      </c>
      <c r="G689">
        <v>1.9131433823529416</v>
      </c>
      <c r="H689">
        <v>0</v>
      </c>
      <c r="I689">
        <v>0</v>
      </c>
      <c r="J689">
        <v>0.70945733762254892</v>
      </c>
      <c r="K689">
        <v>0</v>
      </c>
      <c r="L689">
        <v>0</v>
      </c>
      <c r="M689">
        <v>0</v>
      </c>
      <c r="N689">
        <v>0</v>
      </c>
      <c r="O689">
        <v>0</v>
      </c>
      <c r="P689">
        <v>0</v>
      </c>
      <c r="Q689">
        <v>0</v>
      </c>
      <c r="R689">
        <v>0</v>
      </c>
      <c r="S689">
        <v>0</v>
      </c>
      <c r="T689">
        <v>0.70945733762254892</v>
      </c>
      <c r="U689">
        <v>0.29054266237745108</v>
      </c>
      <c r="V689">
        <v>0</v>
      </c>
      <c r="W689">
        <v>0</v>
      </c>
      <c r="X689">
        <v>0</v>
      </c>
      <c r="Y689">
        <v>0</v>
      </c>
      <c r="Z689">
        <v>0</v>
      </c>
      <c r="AA689">
        <v>0</v>
      </c>
      <c r="AB689">
        <v>0</v>
      </c>
      <c r="AC689">
        <v>0</v>
      </c>
      <c r="AD689">
        <v>0</v>
      </c>
      <c r="AE689" t="s">
        <v>163</v>
      </c>
      <c r="AF689">
        <v>0</v>
      </c>
      <c r="AG689" t="s">
        <v>170</v>
      </c>
      <c r="AH689">
        <v>46295</v>
      </c>
      <c r="AI689" t="s">
        <v>149</v>
      </c>
    </row>
    <row r="690" spans="1:35" x14ac:dyDescent="0.25">
      <c r="A690" s="1">
        <v>46295</v>
      </c>
      <c r="B690" t="s">
        <v>13</v>
      </c>
      <c r="C690" t="s">
        <v>11</v>
      </c>
      <c r="D690">
        <v>1.7977528089887642</v>
      </c>
      <c r="E690">
        <v>0</v>
      </c>
      <c r="F690">
        <v>0</v>
      </c>
      <c r="G690">
        <v>6.2745098039215685E-2</v>
      </c>
      <c r="H690">
        <v>0</v>
      </c>
      <c r="I690">
        <v>0</v>
      </c>
      <c r="J690">
        <v>3.4901960784313721E-2</v>
      </c>
      <c r="K690">
        <v>0</v>
      </c>
      <c r="L690">
        <v>0</v>
      </c>
      <c r="M690">
        <v>0</v>
      </c>
      <c r="N690">
        <v>0</v>
      </c>
      <c r="O690">
        <v>0</v>
      </c>
      <c r="P690">
        <v>0</v>
      </c>
      <c r="Q690">
        <v>0</v>
      </c>
      <c r="R690">
        <v>0</v>
      </c>
      <c r="S690">
        <v>0</v>
      </c>
      <c r="T690">
        <v>3.4901960784313721E-2</v>
      </c>
      <c r="U690">
        <v>0.96509803921568627</v>
      </c>
      <c r="V690">
        <v>0</v>
      </c>
      <c r="W690">
        <v>0</v>
      </c>
      <c r="X690">
        <v>0</v>
      </c>
      <c r="Y690">
        <v>0</v>
      </c>
      <c r="Z690">
        <v>0</v>
      </c>
      <c r="AA690">
        <v>0</v>
      </c>
      <c r="AB690">
        <v>0</v>
      </c>
      <c r="AC690">
        <v>0</v>
      </c>
      <c r="AD690">
        <v>0</v>
      </c>
      <c r="AE690" t="s">
        <v>163</v>
      </c>
      <c r="AF690">
        <v>0</v>
      </c>
      <c r="AG690" t="s">
        <v>171</v>
      </c>
      <c r="AH690">
        <v>46295</v>
      </c>
      <c r="AI690" t="s">
        <v>149</v>
      </c>
    </row>
    <row r="691" spans="1:35" x14ac:dyDescent="0.25">
      <c r="A691" s="1">
        <v>46295</v>
      </c>
      <c r="B691" t="s">
        <v>13</v>
      </c>
      <c r="C691" t="s">
        <v>12</v>
      </c>
      <c r="D691">
        <v>2.5380039656311961</v>
      </c>
      <c r="E691">
        <v>0</v>
      </c>
      <c r="F691">
        <v>0</v>
      </c>
      <c r="G691">
        <v>2.0484429065743948</v>
      </c>
      <c r="H691">
        <v>0</v>
      </c>
      <c r="I691">
        <v>0</v>
      </c>
      <c r="J691">
        <v>0.80710784313725503</v>
      </c>
      <c r="K691">
        <v>0</v>
      </c>
      <c r="L691">
        <v>0</v>
      </c>
      <c r="M691">
        <v>0</v>
      </c>
      <c r="N691">
        <v>0</v>
      </c>
      <c r="O691">
        <v>0</v>
      </c>
      <c r="P691">
        <v>0</v>
      </c>
      <c r="Q691">
        <v>0</v>
      </c>
      <c r="R691">
        <v>0</v>
      </c>
      <c r="S691">
        <v>0</v>
      </c>
      <c r="T691">
        <v>0.80710784313725503</v>
      </c>
      <c r="U691">
        <v>0.19289215686274497</v>
      </c>
      <c r="V691">
        <v>0</v>
      </c>
      <c r="W691">
        <v>0</v>
      </c>
      <c r="X691">
        <v>0</v>
      </c>
      <c r="Y691">
        <v>0</v>
      </c>
      <c r="Z691">
        <v>0</v>
      </c>
      <c r="AA691">
        <v>0</v>
      </c>
      <c r="AB691">
        <v>0</v>
      </c>
      <c r="AC691">
        <v>0</v>
      </c>
      <c r="AD691">
        <v>0</v>
      </c>
      <c r="AE691" t="s">
        <v>163</v>
      </c>
      <c r="AF691">
        <v>0</v>
      </c>
      <c r="AG691" t="s">
        <v>172</v>
      </c>
      <c r="AH691">
        <v>46295</v>
      </c>
      <c r="AI691" t="s">
        <v>149</v>
      </c>
    </row>
    <row r="692" spans="1:35" x14ac:dyDescent="0.25">
      <c r="A692" s="1">
        <v>46296</v>
      </c>
      <c r="B692" t="s">
        <v>13</v>
      </c>
      <c r="C692" t="s">
        <v>12</v>
      </c>
      <c r="D692">
        <v>2.5380039656311961</v>
      </c>
      <c r="E692">
        <v>0</v>
      </c>
      <c r="F692">
        <v>0</v>
      </c>
      <c r="G692">
        <v>2.0484429065743948</v>
      </c>
      <c r="H692">
        <v>0</v>
      </c>
      <c r="I692">
        <v>0</v>
      </c>
      <c r="J692">
        <v>0.80710784313725503</v>
      </c>
      <c r="K692">
        <v>0</v>
      </c>
      <c r="L692">
        <v>0</v>
      </c>
      <c r="M692">
        <v>0</v>
      </c>
      <c r="N692">
        <v>0</v>
      </c>
      <c r="O692">
        <v>0</v>
      </c>
      <c r="P692">
        <v>0</v>
      </c>
      <c r="Q692">
        <v>0</v>
      </c>
      <c r="R692">
        <v>0</v>
      </c>
      <c r="S692">
        <v>0</v>
      </c>
      <c r="T692">
        <v>0.80710784313725503</v>
      </c>
      <c r="U692">
        <v>0.19289215686274497</v>
      </c>
      <c r="V692">
        <v>0</v>
      </c>
      <c r="W692">
        <v>0</v>
      </c>
      <c r="X692">
        <v>0</v>
      </c>
      <c r="Y692">
        <v>0</v>
      </c>
      <c r="Z692">
        <v>0</v>
      </c>
      <c r="AA692">
        <v>0</v>
      </c>
      <c r="AB692">
        <v>0</v>
      </c>
      <c r="AC692">
        <v>0</v>
      </c>
      <c r="AD692">
        <v>0</v>
      </c>
      <c r="AE692" t="s">
        <v>163</v>
      </c>
      <c r="AF692">
        <v>0</v>
      </c>
      <c r="AG692" t="s">
        <v>174</v>
      </c>
      <c r="AH692">
        <v>46296</v>
      </c>
      <c r="AI692" t="s">
        <v>149</v>
      </c>
    </row>
    <row r="693" spans="1:35" x14ac:dyDescent="0.25">
      <c r="A693" s="1">
        <v>46296</v>
      </c>
      <c r="B693" t="s">
        <v>13</v>
      </c>
      <c r="C693" t="s">
        <v>11</v>
      </c>
      <c r="D693">
        <v>1.7977528089887642</v>
      </c>
      <c r="E693">
        <v>0</v>
      </c>
      <c r="F693">
        <v>0</v>
      </c>
      <c r="G693">
        <v>6.2745098039215685E-2</v>
      </c>
      <c r="H693">
        <v>0</v>
      </c>
      <c r="I693">
        <v>0</v>
      </c>
      <c r="J693">
        <v>3.4901960784313721E-2</v>
      </c>
      <c r="K693">
        <v>0</v>
      </c>
      <c r="L693">
        <v>0</v>
      </c>
      <c r="M693">
        <v>0</v>
      </c>
      <c r="N693">
        <v>0</v>
      </c>
      <c r="O693">
        <v>0</v>
      </c>
      <c r="P693">
        <v>0</v>
      </c>
      <c r="Q693">
        <v>0</v>
      </c>
      <c r="R693">
        <v>0</v>
      </c>
      <c r="S693">
        <v>0</v>
      </c>
      <c r="T693">
        <v>3.4901960784313721E-2</v>
      </c>
      <c r="U693">
        <v>0.96509803921568627</v>
      </c>
      <c r="V693">
        <v>0</v>
      </c>
      <c r="W693">
        <v>0</v>
      </c>
      <c r="X693">
        <v>0</v>
      </c>
      <c r="Y693">
        <v>0</v>
      </c>
      <c r="Z693">
        <v>0</v>
      </c>
      <c r="AA693">
        <v>0</v>
      </c>
      <c r="AB693">
        <v>0</v>
      </c>
      <c r="AC693">
        <v>0</v>
      </c>
      <c r="AD693">
        <v>0</v>
      </c>
      <c r="AE693" t="s">
        <v>163</v>
      </c>
      <c r="AF693">
        <v>0</v>
      </c>
      <c r="AG693" t="s">
        <v>175</v>
      </c>
      <c r="AH693">
        <v>46296</v>
      </c>
      <c r="AI693" t="s">
        <v>149</v>
      </c>
    </row>
    <row r="694" spans="1:35" x14ac:dyDescent="0.25">
      <c r="A694" s="1">
        <v>46296</v>
      </c>
      <c r="B694" t="s">
        <v>13</v>
      </c>
      <c r="C694" t="s">
        <v>10</v>
      </c>
      <c r="D694">
        <v>2.6966292134831469</v>
      </c>
      <c r="E694">
        <v>0</v>
      </c>
      <c r="F694">
        <v>0</v>
      </c>
      <c r="G694">
        <v>1.7647058823529416</v>
      </c>
      <c r="H694">
        <v>0</v>
      </c>
      <c r="I694">
        <v>0</v>
      </c>
      <c r="J694">
        <v>0.65441176470588225</v>
      </c>
      <c r="K694">
        <v>0</v>
      </c>
      <c r="L694">
        <v>0</v>
      </c>
      <c r="M694">
        <v>0</v>
      </c>
      <c r="N694">
        <v>0</v>
      </c>
      <c r="O694">
        <v>0</v>
      </c>
      <c r="P694">
        <v>0</v>
      </c>
      <c r="Q694">
        <v>0</v>
      </c>
      <c r="R694">
        <v>0</v>
      </c>
      <c r="S694">
        <v>0</v>
      </c>
      <c r="T694">
        <v>0.65441176470588225</v>
      </c>
      <c r="U694">
        <v>0.34558823529411775</v>
      </c>
      <c r="V694">
        <v>0</v>
      </c>
      <c r="W694">
        <v>0</v>
      </c>
      <c r="X694">
        <v>0</v>
      </c>
      <c r="Y694">
        <v>0</v>
      </c>
      <c r="Z694">
        <v>0</v>
      </c>
      <c r="AA694">
        <v>0</v>
      </c>
      <c r="AB694">
        <v>0</v>
      </c>
      <c r="AC694">
        <v>0</v>
      </c>
      <c r="AD694">
        <v>0</v>
      </c>
      <c r="AE694" t="s">
        <v>163</v>
      </c>
      <c r="AF694">
        <v>0</v>
      </c>
      <c r="AG694" t="s">
        <v>173</v>
      </c>
      <c r="AH694">
        <v>46296</v>
      </c>
      <c r="AI694" t="s">
        <v>149</v>
      </c>
    </row>
    <row r="695" spans="1:35" x14ac:dyDescent="0.25">
      <c r="A695" s="1">
        <v>46297</v>
      </c>
      <c r="B695" t="s">
        <v>13</v>
      </c>
      <c r="C695" t="s">
        <v>10</v>
      </c>
      <c r="D695">
        <v>2.3595505617977532</v>
      </c>
      <c r="E695">
        <v>0</v>
      </c>
      <c r="F695">
        <v>0</v>
      </c>
      <c r="G695">
        <v>1.6911764705882355</v>
      </c>
      <c r="H695">
        <v>0</v>
      </c>
      <c r="I695">
        <v>0</v>
      </c>
      <c r="J695">
        <v>0.71673669467787116</v>
      </c>
      <c r="K695">
        <v>0</v>
      </c>
      <c r="L695">
        <v>0</v>
      </c>
      <c r="M695">
        <v>0</v>
      </c>
      <c r="N695">
        <v>0</v>
      </c>
      <c r="O695">
        <v>0</v>
      </c>
      <c r="P695">
        <v>0</v>
      </c>
      <c r="Q695">
        <v>0</v>
      </c>
      <c r="R695">
        <v>0</v>
      </c>
      <c r="S695">
        <v>0</v>
      </c>
      <c r="T695">
        <v>0.71673669467787116</v>
      </c>
      <c r="U695">
        <v>0.28326330532212884</v>
      </c>
      <c r="V695">
        <v>0</v>
      </c>
      <c r="W695">
        <v>0</v>
      </c>
      <c r="X695">
        <v>0</v>
      </c>
      <c r="Y695">
        <v>0</v>
      </c>
      <c r="Z695">
        <v>0</v>
      </c>
      <c r="AA695">
        <v>0</v>
      </c>
      <c r="AB695">
        <v>0</v>
      </c>
      <c r="AC695">
        <v>0</v>
      </c>
      <c r="AD695">
        <v>0</v>
      </c>
      <c r="AE695" t="s">
        <v>163</v>
      </c>
      <c r="AF695">
        <v>0</v>
      </c>
      <c r="AG695" t="s">
        <v>176</v>
      </c>
      <c r="AH695">
        <v>46297</v>
      </c>
      <c r="AI695" t="s">
        <v>149</v>
      </c>
    </row>
    <row r="696" spans="1:35" x14ac:dyDescent="0.25">
      <c r="A696" s="1">
        <v>46297</v>
      </c>
      <c r="B696" t="s">
        <v>13</v>
      </c>
      <c r="C696" t="s">
        <v>11</v>
      </c>
      <c r="D696">
        <v>1.7977528089887642</v>
      </c>
      <c r="E696">
        <v>0</v>
      </c>
      <c r="F696">
        <v>0</v>
      </c>
      <c r="G696">
        <v>1.0127450980392154</v>
      </c>
      <c r="H696">
        <v>0</v>
      </c>
      <c r="I696">
        <v>0</v>
      </c>
      <c r="J696">
        <v>0.56333946078431352</v>
      </c>
      <c r="K696">
        <v>0</v>
      </c>
      <c r="L696">
        <v>0</v>
      </c>
      <c r="M696">
        <v>0</v>
      </c>
      <c r="N696">
        <v>0</v>
      </c>
      <c r="O696">
        <v>0</v>
      </c>
      <c r="P696">
        <v>0</v>
      </c>
      <c r="Q696">
        <v>0</v>
      </c>
      <c r="R696">
        <v>0</v>
      </c>
      <c r="S696">
        <v>0</v>
      </c>
      <c r="T696">
        <v>0.56333946078431352</v>
      </c>
      <c r="U696">
        <v>0.43666053921568648</v>
      </c>
      <c r="V696">
        <v>0</v>
      </c>
      <c r="W696">
        <v>0</v>
      </c>
      <c r="X696">
        <v>0</v>
      </c>
      <c r="Y696">
        <v>0</v>
      </c>
      <c r="Z696">
        <v>0</v>
      </c>
      <c r="AA696">
        <v>0</v>
      </c>
      <c r="AB696">
        <v>0</v>
      </c>
      <c r="AC696">
        <v>0</v>
      </c>
      <c r="AD696">
        <v>0</v>
      </c>
      <c r="AE696" t="s">
        <v>163</v>
      </c>
      <c r="AF696">
        <v>0</v>
      </c>
      <c r="AG696" t="s">
        <v>177</v>
      </c>
      <c r="AH696">
        <v>46297</v>
      </c>
      <c r="AI696" t="s">
        <v>149</v>
      </c>
    </row>
    <row r="697" spans="1:35" x14ac:dyDescent="0.25">
      <c r="A697" s="1">
        <v>46297</v>
      </c>
      <c r="B697" t="s">
        <v>13</v>
      </c>
      <c r="C697" t="s">
        <v>12</v>
      </c>
      <c r="D697">
        <v>2.5380039656311961</v>
      </c>
      <c r="E697">
        <v>0</v>
      </c>
      <c r="F697">
        <v>0</v>
      </c>
      <c r="G697">
        <v>2.0220588235294117</v>
      </c>
      <c r="H697">
        <v>0</v>
      </c>
      <c r="I697">
        <v>0</v>
      </c>
      <c r="J697">
        <v>0.79671223958333337</v>
      </c>
      <c r="K697">
        <v>0</v>
      </c>
      <c r="L697">
        <v>0</v>
      </c>
      <c r="M697">
        <v>0</v>
      </c>
      <c r="N697">
        <v>0</v>
      </c>
      <c r="O697">
        <v>0</v>
      </c>
      <c r="P697">
        <v>0</v>
      </c>
      <c r="Q697">
        <v>0</v>
      </c>
      <c r="R697">
        <v>0</v>
      </c>
      <c r="S697">
        <v>0</v>
      </c>
      <c r="T697">
        <v>0.79671223958333337</v>
      </c>
      <c r="U697">
        <v>0.20328776041666663</v>
      </c>
      <c r="V697">
        <v>0</v>
      </c>
      <c r="W697">
        <v>0</v>
      </c>
      <c r="X697">
        <v>0</v>
      </c>
      <c r="Y697">
        <v>0</v>
      </c>
      <c r="Z697">
        <v>0</v>
      </c>
      <c r="AA697">
        <v>0</v>
      </c>
      <c r="AB697">
        <v>0</v>
      </c>
      <c r="AC697">
        <v>0</v>
      </c>
      <c r="AD697">
        <v>0</v>
      </c>
      <c r="AE697" t="s">
        <v>163</v>
      </c>
      <c r="AF697">
        <v>0</v>
      </c>
      <c r="AG697" t="s">
        <v>178</v>
      </c>
      <c r="AH697">
        <v>46297</v>
      </c>
      <c r="AI697" t="s">
        <v>149</v>
      </c>
    </row>
    <row r="698" spans="1:35" x14ac:dyDescent="0.25">
      <c r="A698" s="1">
        <v>46298</v>
      </c>
      <c r="B698" t="s">
        <v>13</v>
      </c>
      <c r="C698" t="s">
        <v>10</v>
      </c>
      <c r="D698">
        <v>1.3483146067415734</v>
      </c>
      <c r="E698">
        <v>0</v>
      </c>
      <c r="F698">
        <v>0</v>
      </c>
      <c r="G698">
        <v>1.8396139705882359</v>
      </c>
      <c r="H698">
        <v>0</v>
      </c>
      <c r="I698">
        <v>0</v>
      </c>
      <c r="J698">
        <v>1.364380361519608</v>
      </c>
      <c r="K698">
        <v>0.36438036151960795</v>
      </c>
      <c r="L698">
        <v>0</v>
      </c>
      <c r="M698">
        <v>0</v>
      </c>
      <c r="N698">
        <v>0</v>
      </c>
      <c r="O698">
        <v>0</v>
      </c>
      <c r="P698">
        <v>0</v>
      </c>
      <c r="Q698">
        <v>0</v>
      </c>
      <c r="R698">
        <v>0</v>
      </c>
      <c r="S698">
        <v>0</v>
      </c>
      <c r="T698">
        <v>0</v>
      </c>
      <c r="U698">
        <v>0</v>
      </c>
      <c r="V698">
        <v>0</v>
      </c>
      <c r="W698">
        <v>0</v>
      </c>
      <c r="X698">
        <v>0</v>
      </c>
      <c r="Y698">
        <v>0</v>
      </c>
      <c r="Z698">
        <v>0</v>
      </c>
      <c r="AA698">
        <v>0</v>
      </c>
      <c r="AB698">
        <v>0</v>
      </c>
      <c r="AC698">
        <v>1</v>
      </c>
      <c r="AD698">
        <v>0</v>
      </c>
      <c r="AE698" t="s">
        <v>163</v>
      </c>
      <c r="AF698">
        <v>0</v>
      </c>
      <c r="AG698" t="s">
        <v>180</v>
      </c>
      <c r="AH698">
        <v>46298</v>
      </c>
      <c r="AI698" t="s">
        <v>149</v>
      </c>
    </row>
    <row r="699" spans="1:35" x14ac:dyDescent="0.25">
      <c r="A699" s="1">
        <v>46298</v>
      </c>
      <c r="B699" t="s">
        <v>13</v>
      </c>
      <c r="C699" t="s">
        <v>11</v>
      </c>
      <c r="D699">
        <v>1.7977528089887642</v>
      </c>
      <c r="E699">
        <v>0</v>
      </c>
      <c r="F699">
        <v>0</v>
      </c>
      <c r="G699">
        <v>6.2745098039215685E-2</v>
      </c>
      <c r="H699">
        <v>0</v>
      </c>
      <c r="I699">
        <v>0</v>
      </c>
      <c r="J699">
        <v>3.4901960784313721E-2</v>
      </c>
      <c r="K699">
        <v>0</v>
      </c>
      <c r="L699">
        <v>0</v>
      </c>
      <c r="M699">
        <v>0</v>
      </c>
      <c r="N699">
        <v>0</v>
      </c>
      <c r="O699">
        <v>0</v>
      </c>
      <c r="P699">
        <v>0</v>
      </c>
      <c r="Q699">
        <v>0</v>
      </c>
      <c r="R699">
        <v>0</v>
      </c>
      <c r="S699">
        <v>0</v>
      </c>
      <c r="T699">
        <v>3.4901960784313721E-2</v>
      </c>
      <c r="U699">
        <v>0.96509803921568627</v>
      </c>
      <c r="V699">
        <v>0</v>
      </c>
      <c r="W699">
        <v>0</v>
      </c>
      <c r="X699">
        <v>0</v>
      </c>
      <c r="Y699">
        <v>0</v>
      </c>
      <c r="Z699">
        <v>0</v>
      </c>
      <c r="AA699">
        <v>0</v>
      </c>
      <c r="AB699">
        <v>0</v>
      </c>
      <c r="AC699">
        <v>0</v>
      </c>
      <c r="AD699">
        <v>0</v>
      </c>
      <c r="AE699" t="s">
        <v>163</v>
      </c>
      <c r="AF699">
        <v>0</v>
      </c>
      <c r="AG699" t="s">
        <v>179</v>
      </c>
      <c r="AH699">
        <v>46298</v>
      </c>
      <c r="AI699" t="s">
        <v>149</v>
      </c>
    </row>
    <row r="700" spans="1:35" x14ac:dyDescent="0.25">
      <c r="A700" s="1">
        <v>46298</v>
      </c>
      <c r="B700" t="s">
        <v>13</v>
      </c>
      <c r="C700" t="s">
        <v>12</v>
      </c>
      <c r="D700">
        <v>2.538003965631197</v>
      </c>
      <c r="E700">
        <v>0</v>
      </c>
      <c r="F700">
        <v>0</v>
      </c>
      <c r="G700">
        <v>1.882352941176471</v>
      </c>
      <c r="H700">
        <v>0</v>
      </c>
      <c r="I700">
        <v>0</v>
      </c>
      <c r="J700">
        <v>0.74166666666666659</v>
      </c>
      <c r="K700">
        <v>0</v>
      </c>
      <c r="L700">
        <v>0</v>
      </c>
      <c r="M700">
        <v>0</v>
      </c>
      <c r="N700">
        <v>0</v>
      </c>
      <c r="O700">
        <v>0</v>
      </c>
      <c r="P700">
        <v>0</v>
      </c>
      <c r="Q700">
        <v>0</v>
      </c>
      <c r="R700">
        <v>0</v>
      </c>
      <c r="S700">
        <v>0</v>
      </c>
      <c r="T700">
        <v>0.74166666666666659</v>
      </c>
      <c r="U700">
        <v>0.25833333333333341</v>
      </c>
      <c r="V700">
        <v>0</v>
      </c>
      <c r="W700">
        <v>0</v>
      </c>
      <c r="X700">
        <v>0</v>
      </c>
      <c r="Y700">
        <v>0</v>
      </c>
      <c r="Z700">
        <v>0</v>
      </c>
      <c r="AA700">
        <v>0</v>
      </c>
      <c r="AB700">
        <v>0</v>
      </c>
      <c r="AC700">
        <v>0</v>
      </c>
      <c r="AD700">
        <v>0</v>
      </c>
      <c r="AE700" t="s">
        <v>163</v>
      </c>
      <c r="AF700">
        <v>0</v>
      </c>
      <c r="AG700" t="s">
        <v>181</v>
      </c>
      <c r="AH700">
        <v>46298</v>
      </c>
      <c r="AI700" t="s">
        <v>149</v>
      </c>
    </row>
    <row r="701" spans="1:35" x14ac:dyDescent="0.25">
      <c r="A701" s="1">
        <v>46299</v>
      </c>
      <c r="B701" t="s">
        <v>13</v>
      </c>
      <c r="C701" t="s">
        <v>10</v>
      </c>
      <c r="D701">
        <v>1.3483146067415734</v>
      </c>
      <c r="E701">
        <v>0</v>
      </c>
      <c r="F701">
        <v>0</v>
      </c>
      <c r="G701">
        <v>1.6911764705882355</v>
      </c>
      <c r="H701">
        <v>0</v>
      </c>
      <c r="I701">
        <v>0</v>
      </c>
      <c r="J701">
        <v>1.2542892156862744</v>
      </c>
      <c r="K701">
        <v>0.25428921568627438</v>
      </c>
      <c r="L701">
        <v>0</v>
      </c>
      <c r="M701">
        <v>0</v>
      </c>
      <c r="N701">
        <v>0</v>
      </c>
      <c r="O701">
        <v>0</v>
      </c>
      <c r="P701">
        <v>0</v>
      </c>
      <c r="Q701">
        <v>0</v>
      </c>
      <c r="R701">
        <v>0</v>
      </c>
      <c r="S701">
        <v>0</v>
      </c>
      <c r="T701">
        <v>0</v>
      </c>
      <c r="U701">
        <v>0</v>
      </c>
      <c r="V701">
        <v>0</v>
      </c>
      <c r="W701">
        <v>0</v>
      </c>
      <c r="X701">
        <v>0</v>
      </c>
      <c r="Y701">
        <v>0</v>
      </c>
      <c r="Z701">
        <v>0</v>
      </c>
      <c r="AA701">
        <v>0</v>
      </c>
      <c r="AB701">
        <v>0</v>
      </c>
      <c r="AC701">
        <v>1</v>
      </c>
      <c r="AD701">
        <v>0</v>
      </c>
      <c r="AE701" t="s">
        <v>163</v>
      </c>
      <c r="AF701">
        <v>0</v>
      </c>
      <c r="AG701" t="s">
        <v>182</v>
      </c>
      <c r="AH701">
        <v>46299</v>
      </c>
      <c r="AI701" t="s">
        <v>149</v>
      </c>
    </row>
    <row r="702" spans="1:35" x14ac:dyDescent="0.25">
      <c r="A702" s="1">
        <v>46299</v>
      </c>
      <c r="B702" t="s">
        <v>13</v>
      </c>
      <c r="C702" t="s">
        <v>11</v>
      </c>
      <c r="D702">
        <v>1.7977528089887642</v>
      </c>
      <c r="E702">
        <v>0</v>
      </c>
      <c r="F702">
        <v>0</v>
      </c>
      <c r="G702">
        <v>1.0127450980392154</v>
      </c>
      <c r="H702">
        <v>0</v>
      </c>
      <c r="I702">
        <v>0</v>
      </c>
      <c r="J702">
        <v>0.56333946078431352</v>
      </c>
      <c r="K702">
        <v>0</v>
      </c>
      <c r="L702">
        <v>0</v>
      </c>
      <c r="M702">
        <v>0</v>
      </c>
      <c r="N702">
        <v>0</v>
      </c>
      <c r="O702">
        <v>0</v>
      </c>
      <c r="P702">
        <v>0</v>
      </c>
      <c r="Q702">
        <v>0</v>
      </c>
      <c r="R702">
        <v>0</v>
      </c>
      <c r="S702">
        <v>0</v>
      </c>
      <c r="T702">
        <v>0.56333946078431352</v>
      </c>
      <c r="U702">
        <v>0.43666053921568648</v>
      </c>
      <c r="V702">
        <v>0</v>
      </c>
      <c r="W702">
        <v>0</v>
      </c>
      <c r="X702">
        <v>0</v>
      </c>
      <c r="Y702">
        <v>0</v>
      </c>
      <c r="Z702">
        <v>0</v>
      </c>
      <c r="AA702">
        <v>0</v>
      </c>
      <c r="AB702">
        <v>0</v>
      </c>
      <c r="AC702">
        <v>0</v>
      </c>
      <c r="AD702">
        <v>0</v>
      </c>
      <c r="AE702" t="s">
        <v>163</v>
      </c>
      <c r="AF702">
        <v>0</v>
      </c>
      <c r="AG702" t="s">
        <v>183</v>
      </c>
      <c r="AH702">
        <v>46299</v>
      </c>
      <c r="AI702" t="s">
        <v>149</v>
      </c>
    </row>
    <row r="703" spans="1:35" x14ac:dyDescent="0.25">
      <c r="A703" s="1">
        <v>46299</v>
      </c>
      <c r="B703" t="s">
        <v>13</v>
      </c>
      <c r="C703" t="s">
        <v>12</v>
      </c>
      <c r="D703">
        <v>2.5380039656311961</v>
      </c>
      <c r="E703">
        <v>0</v>
      </c>
      <c r="F703">
        <v>0</v>
      </c>
      <c r="G703">
        <v>2.0220588235294117</v>
      </c>
      <c r="H703">
        <v>0</v>
      </c>
      <c r="I703">
        <v>0</v>
      </c>
      <c r="J703">
        <v>0.79671223958333337</v>
      </c>
      <c r="K703">
        <v>0</v>
      </c>
      <c r="L703">
        <v>0</v>
      </c>
      <c r="M703">
        <v>0</v>
      </c>
      <c r="N703">
        <v>0</v>
      </c>
      <c r="O703">
        <v>0</v>
      </c>
      <c r="P703">
        <v>0</v>
      </c>
      <c r="Q703">
        <v>0</v>
      </c>
      <c r="R703">
        <v>0</v>
      </c>
      <c r="S703">
        <v>0</v>
      </c>
      <c r="T703">
        <v>0.79671223958333337</v>
      </c>
      <c r="U703">
        <v>0.20328776041666663</v>
      </c>
      <c r="V703">
        <v>0</v>
      </c>
      <c r="W703">
        <v>0</v>
      </c>
      <c r="X703">
        <v>0</v>
      </c>
      <c r="Y703">
        <v>0</v>
      </c>
      <c r="Z703">
        <v>0</v>
      </c>
      <c r="AA703">
        <v>0</v>
      </c>
      <c r="AB703">
        <v>0</v>
      </c>
      <c r="AC703">
        <v>0</v>
      </c>
      <c r="AD703">
        <v>0</v>
      </c>
      <c r="AE703" t="s">
        <v>163</v>
      </c>
      <c r="AF703">
        <v>0</v>
      </c>
      <c r="AG703" t="s">
        <v>184</v>
      </c>
      <c r="AH703">
        <v>46299</v>
      </c>
      <c r="AI703" t="s">
        <v>149</v>
      </c>
    </row>
    <row r="704" spans="1:35" x14ac:dyDescent="0.25">
      <c r="A704" s="1">
        <v>46300</v>
      </c>
      <c r="B704" t="s">
        <v>13</v>
      </c>
      <c r="C704" t="s">
        <v>11</v>
      </c>
      <c r="D704">
        <v>1.7977528089887642</v>
      </c>
      <c r="E704">
        <v>0</v>
      </c>
      <c r="F704">
        <v>0</v>
      </c>
      <c r="G704">
        <v>1.0127450980392154</v>
      </c>
      <c r="H704">
        <v>0</v>
      </c>
      <c r="I704">
        <v>0</v>
      </c>
      <c r="J704">
        <v>0.56333946078431352</v>
      </c>
      <c r="K704">
        <v>0</v>
      </c>
      <c r="L704">
        <v>0</v>
      </c>
      <c r="M704">
        <v>0</v>
      </c>
      <c r="N704">
        <v>0</v>
      </c>
      <c r="O704">
        <v>0</v>
      </c>
      <c r="P704">
        <v>0</v>
      </c>
      <c r="Q704">
        <v>0</v>
      </c>
      <c r="R704">
        <v>0</v>
      </c>
      <c r="S704">
        <v>0</v>
      </c>
      <c r="T704">
        <v>0.56333946078431352</v>
      </c>
      <c r="U704">
        <v>0.43666053921568648</v>
      </c>
      <c r="V704">
        <v>0</v>
      </c>
      <c r="W704">
        <v>0</v>
      </c>
      <c r="X704">
        <v>0</v>
      </c>
      <c r="Y704">
        <v>0</v>
      </c>
      <c r="Z704">
        <v>0</v>
      </c>
      <c r="AA704">
        <v>0</v>
      </c>
      <c r="AB704">
        <v>0</v>
      </c>
      <c r="AC704">
        <v>0</v>
      </c>
      <c r="AD704">
        <v>0</v>
      </c>
      <c r="AE704" t="s">
        <v>163</v>
      </c>
      <c r="AF704">
        <v>0</v>
      </c>
      <c r="AG704" t="s">
        <v>185</v>
      </c>
      <c r="AH704">
        <v>46300</v>
      </c>
      <c r="AI704" t="s">
        <v>149</v>
      </c>
    </row>
    <row r="705" spans="1:35" x14ac:dyDescent="0.25">
      <c r="A705" s="1">
        <v>46300</v>
      </c>
      <c r="B705" t="s">
        <v>13</v>
      </c>
      <c r="C705" t="s">
        <v>12</v>
      </c>
      <c r="D705">
        <v>2.5380039656311961</v>
      </c>
      <c r="E705">
        <v>0</v>
      </c>
      <c r="F705">
        <v>0</v>
      </c>
      <c r="G705">
        <v>2.0635813148788924</v>
      </c>
      <c r="H705">
        <v>0</v>
      </c>
      <c r="I705">
        <v>0</v>
      </c>
      <c r="J705">
        <v>0.81307253370098032</v>
      </c>
      <c r="K705">
        <v>0</v>
      </c>
      <c r="L705">
        <v>0</v>
      </c>
      <c r="M705">
        <v>0</v>
      </c>
      <c r="N705">
        <v>0</v>
      </c>
      <c r="O705">
        <v>0</v>
      </c>
      <c r="P705">
        <v>0</v>
      </c>
      <c r="Q705">
        <v>0</v>
      </c>
      <c r="R705">
        <v>0</v>
      </c>
      <c r="S705">
        <v>0</v>
      </c>
      <c r="T705">
        <v>0.81307253370098032</v>
      </c>
      <c r="U705">
        <v>0.18692746629901968</v>
      </c>
      <c r="V705">
        <v>0</v>
      </c>
      <c r="W705">
        <v>0</v>
      </c>
      <c r="X705">
        <v>0</v>
      </c>
      <c r="Y705">
        <v>0</v>
      </c>
      <c r="Z705">
        <v>0</v>
      </c>
      <c r="AA705">
        <v>0</v>
      </c>
      <c r="AB705">
        <v>0</v>
      </c>
      <c r="AC705">
        <v>0</v>
      </c>
      <c r="AD705">
        <v>0</v>
      </c>
      <c r="AE705" t="s">
        <v>163</v>
      </c>
      <c r="AF705">
        <v>0</v>
      </c>
      <c r="AG705" t="s">
        <v>187</v>
      </c>
      <c r="AH705">
        <v>46300</v>
      </c>
      <c r="AI705" t="s">
        <v>149</v>
      </c>
    </row>
    <row r="706" spans="1:35" x14ac:dyDescent="0.25">
      <c r="A706" s="1">
        <v>46300</v>
      </c>
      <c r="B706" t="s">
        <v>13</v>
      </c>
      <c r="C706" t="s">
        <v>10</v>
      </c>
      <c r="D706">
        <v>2.3595505617977532</v>
      </c>
      <c r="E706">
        <v>0</v>
      </c>
      <c r="F706">
        <v>0</v>
      </c>
      <c r="G706">
        <v>1.7954963235294119</v>
      </c>
      <c r="H706">
        <v>0</v>
      </c>
      <c r="I706">
        <v>0</v>
      </c>
      <c r="J706">
        <v>0.76094844187675059</v>
      </c>
      <c r="K706">
        <v>0</v>
      </c>
      <c r="L706">
        <v>0</v>
      </c>
      <c r="M706">
        <v>0</v>
      </c>
      <c r="N706">
        <v>0</v>
      </c>
      <c r="O706">
        <v>0</v>
      </c>
      <c r="P706">
        <v>0</v>
      </c>
      <c r="Q706">
        <v>0</v>
      </c>
      <c r="R706">
        <v>0</v>
      </c>
      <c r="S706">
        <v>0</v>
      </c>
      <c r="T706">
        <v>0.76094844187675059</v>
      </c>
      <c r="U706">
        <v>0.23905155812324941</v>
      </c>
      <c r="V706">
        <v>0</v>
      </c>
      <c r="W706">
        <v>0</v>
      </c>
      <c r="X706">
        <v>0</v>
      </c>
      <c r="Y706">
        <v>0</v>
      </c>
      <c r="Z706">
        <v>0</v>
      </c>
      <c r="AA706">
        <v>0</v>
      </c>
      <c r="AB706">
        <v>0</v>
      </c>
      <c r="AC706">
        <v>0</v>
      </c>
      <c r="AD706">
        <v>0</v>
      </c>
      <c r="AE706" t="s">
        <v>163</v>
      </c>
      <c r="AF706">
        <v>0</v>
      </c>
      <c r="AG706" t="s">
        <v>186</v>
      </c>
      <c r="AH706">
        <v>46300</v>
      </c>
      <c r="AI706" t="s">
        <v>149</v>
      </c>
    </row>
    <row r="707" spans="1:35" x14ac:dyDescent="0.25">
      <c r="A707" s="1">
        <v>46301</v>
      </c>
      <c r="B707" t="s">
        <v>13</v>
      </c>
      <c r="C707" t="s">
        <v>12</v>
      </c>
      <c r="D707">
        <v>2.5380039656311961</v>
      </c>
      <c r="E707">
        <v>0</v>
      </c>
      <c r="F707">
        <v>0</v>
      </c>
      <c r="G707">
        <v>2.0484429065743948</v>
      </c>
      <c r="H707">
        <v>0</v>
      </c>
      <c r="I707">
        <v>0</v>
      </c>
      <c r="J707">
        <v>0.80710784313725503</v>
      </c>
      <c r="K707">
        <v>0</v>
      </c>
      <c r="L707">
        <v>0</v>
      </c>
      <c r="M707">
        <v>0</v>
      </c>
      <c r="N707">
        <v>0</v>
      </c>
      <c r="O707">
        <v>0</v>
      </c>
      <c r="P707">
        <v>0</v>
      </c>
      <c r="Q707">
        <v>0</v>
      </c>
      <c r="R707">
        <v>0</v>
      </c>
      <c r="S707">
        <v>0</v>
      </c>
      <c r="T707">
        <v>0.80710784313725503</v>
      </c>
      <c r="U707">
        <v>0.19289215686274497</v>
      </c>
      <c r="V707">
        <v>0</v>
      </c>
      <c r="W707">
        <v>0</v>
      </c>
      <c r="X707">
        <v>0</v>
      </c>
      <c r="Y707">
        <v>0</v>
      </c>
      <c r="Z707">
        <v>0</v>
      </c>
      <c r="AA707">
        <v>0</v>
      </c>
      <c r="AB707">
        <v>0</v>
      </c>
      <c r="AC707">
        <v>0</v>
      </c>
      <c r="AD707">
        <v>0</v>
      </c>
      <c r="AE707" t="s">
        <v>163</v>
      </c>
      <c r="AF707">
        <v>0</v>
      </c>
      <c r="AG707" t="s">
        <v>188</v>
      </c>
      <c r="AH707">
        <v>46301</v>
      </c>
      <c r="AI707" t="s">
        <v>149</v>
      </c>
    </row>
    <row r="708" spans="1:35" x14ac:dyDescent="0.25">
      <c r="A708" s="1">
        <v>46301</v>
      </c>
      <c r="B708" t="s">
        <v>13</v>
      </c>
      <c r="C708" t="s">
        <v>11</v>
      </c>
      <c r="D708">
        <v>1.7977528089887642</v>
      </c>
      <c r="E708">
        <v>0</v>
      </c>
      <c r="F708">
        <v>0</v>
      </c>
      <c r="G708">
        <v>6.2745098039215685E-2</v>
      </c>
      <c r="H708">
        <v>0</v>
      </c>
      <c r="I708">
        <v>0</v>
      </c>
      <c r="J708">
        <v>3.4901960784313721E-2</v>
      </c>
      <c r="K708">
        <v>0</v>
      </c>
      <c r="L708">
        <v>0</v>
      </c>
      <c r="M708">
        <v>0</v>
      </c>
      <c r="N708">
        <v>0</v>
      </c>
      <c r="O708">
        <v>0</v>
      </c>
      <c r="P708">
        <v>0</v>
      </c>
      <c r="Q708">
        <v>0</v>
      </c>
      <c r="R708">
        <v>0</v>
      </c>
      <c r="S708">
        <v>0</v>
      </c>
      <c r="T708">
        <v>3.4901960784313721E-2</v>
      </c>
      <c r="U708">
        <v>0.96509803921568627</v>
      </c>
      <c r="V708">
        <v>0</v>
      </c>
      <c r="W708">
        <v>0</v>
      </c>
      <c r="X708">
        <v>0</v>
      </c>
      <c r="Y708">
        <v>0</v>
      </c>
      <c r="Z708">
        <v>0</v>
      </c>
      <c r="AA708">
        <v>0</v>
      </c>
      <c r="AB708">
        <v>0</v>
      </c>
      <c r="AC708">
        <v>0</v>
      </c>
      <c r="AD708">
        <v>0</v>
      </c>
      <c r="AE708" t="s">
        <v>163</v>
      </c>
      <c r="AF708">
        <v>0</v>
      </c>
      <c r="AG708" t="s">
        <v>189</v>
      </c>
      <c r="AH708">
        <v>46301</v>
      </c>
      <c r="AI708" t="s">
        <v>149</v>
      </c>
    </row>
    <row r="709" spans="1:35" x14ac:dyDescent="0.25">
      <c r="A709" s="1">
        <v>46301</v>
      </c>
      <c r="B709" t="s">
        <v>13</v>
      </c>
      <c r="C709" t="s">
        <v>10</v>
      </c>
      <c r="D709">
        <v>2.3595505617977532</v>
      </c>
      <c r="E709">
        <v>0</v>
      </c>
      <c r="F709">
        <v>0</v>
      </c>
      <c r="G709">
        <v>1.9131433823529416</v>
      </c>
      <c r="H709">
        <v>0</v>
      </c>
      <c r="I709">
        <v>0</v>
      </c>
      <c r="J709">
        <v>0.81080838585434178</v>
      </c>
      <c r="K709">
        <v>0</v>
      </c>
      <c r="L709">
        <v>0</v>
      </c>
      <c r="M709">
        <v>0</v>
      </c>
      <c r="N709">
        <v>0</v>
      </c>
      <c r="O709">
        <v>0</v>
      </c>
      <c r="P709">
        <v>0</v>
      </c>
      <c r="Q709">
        <v>0</v>
      </c>
      <c r="R709">
        <v>0</v>
      </c>
      <c r="S709">
        <v>0</v>
      </c>
      <c r="T709">
        <v>0.81080838585434178</v>
      </c>
      <c r="U709">
        <v>0.18919161414565822</v>
      </c>
      <c r="V709">
        <v>0</v>
      </c>
      <c r="W709">
        <v>0</v>
      </c>
      <c r="X709">
        <v>0</v>
      </c>
      <c r="Y709">
        <v>0</v>
      </c>
      <c r="Z709">
        <v>0</v>
      </c>
      <c r="AA709">
        <v>0</v>
      </c>
      <c r="AB709">
        <v>0</v>
      </c>
      <c r="AC709">
        <v>0</v>
      </c>
      <c r="AD709">
        <v>0</v>
      </c>
      <c r="AE709" t="s">
        <v>163</v>
      </c>
      <c r="AF709">
        <v>0</v>
      </c>
      <c r="AG709" t="s">
        <v>190</v>
      </c>
      <c r="AH709">
        <v>46301</v>
      </c>
      <c r="AI709" t="s">
        <v>149</v>
      </c>
    </row>
    <row r="710" spans="1:35" x14ac:dyDescent="0.25">
      <c r="A710" s="1">
        <v>46302</v>
      </c>
      <c r="B710" t="s">
        <v>13</v>
      </c>
      <c r="C710" t="s">
        <v>12</v>
      </c>
      <c r="D710">
        <v>2.5380039656311961</v>
      </c>
      <c r="E710">
        <v>0</v>
      </c>
      <c r="F710">
        <v>0</v>
      </c>
      <c r="G710">
        <v>1.8823529411764703</v>
      </c>
      <c r="H710">
        <v>0</v>
      </c>
      <c r="I710">
        <v>0</v>
      </c>
      <c r="J710">
        <v>0.74166666666666659</v>
      </c>
      <c r="K710">
        <v>0</v>
      </c>
      <c r="L710">
        <v>0</v>
      </c>
      <c r="M710">
        <v>0</v>
      </c>
      <c r="N710">
        <v>0</v>
      </c>
      <c r="O710">
        <v>0</v>
      </c>
      <c r="P710">
        <v>0</v>
      </c>
      <c r="Q710">
        <v>0</v>
      </c>
      <c r="R710">
        <v>0</v>
      </c>
      <c r="S710">
        <v>0</v>
      </c>
      <c r="T710">
        <v>0.74166666666666659</v>
      </c>
      <c r="U710">
        <v>0.25833333333333341</v>
      </c>
      <c r="V710">
        <v>0</v>
      </c>
      <c r="W710">
        <v>0</v>
      </c>
      <c r="X710">
        <v>0</v>
      </c>
      <c r="Y710">
        <v>0</v>
      </c>
      <c r="Z710">
        <v>0</v>
      </c>
      <c r="AA710">
        <v>0</v>
      </c>
      <c r="AB710">
        <v>0</v>
      </c>
      <c r="AC710">
        <v>0</v>
      </c>
      <c r="AD710">
        <v>0</v>
      </c>
      <c r="AE710" t="s">
        <v>163</v>
      </c>
      <c r="AF710">
        <v>0</v>
      </c>
      <c r="AG710" t="s">
        <v>191</v>
      </c>
      <c r="AH710">
        <v>46302</v>
      </c>
      <c r="AI710" t="s">
        <v>149</v>
      </c>
    </row>
    <row r="711" spans="1:35" x14ac:dyDescent="0.25">
      <c r="A711" s="1">
        <v>46302</v>
      </c>
      <c r="B711" t="s">
        <v>13</v>
      </c>
      <c r="C711" t="s">
        <v>10</v>
      </c>
      <c r="D711">
        <v>2.6966292134831469</v>
      </c>
      <c r="E711">
        <v>0</v>
      </c>
      <c r="F711">
        <v>0</v>
      </c>
      <c r="G711">
        <v>1.6911764705882355</v>
      </c>
      <c r="H711">
        <v>0</v>
      </c>
      <c r="I711">
        <v>0</v>
      </c>
      <c r="J711">
        <v>0.62714460784313719</v>
      </c>
      <c r="K711">
        <v>0</v>
      </c>
      <c r="L711">
        <v>0</v>
      </c>
      <c r="M711">
        <v>0</v>
      </c>
      <c r="N711">
        <v>0</v>
      </c>
      <c r="O711">
        <v>0</v>
      </c>
      <c r="P711">
        <v>0</v>
      </c>
      <c r="Q711">
        <v>0</v>
      </c>
      <c r="R711">
        <v>0</v>
      </c>
      <c r="S711">
        <v>0</v>
      </c>
      <c r="T711">
        <v>0.62714460784313719</v>
      </c>
      <c r="U711">
        <v>0.37285539215686281</v>
      </c>
      <c r="V711">
        <v>0</v>
      </c>
      <c r="W711">
        <v>0</v>
      </c>
      <c r="X711">
        <v>0</v>
      </c>
      <c r="Y711">
        <v>0</v>
      </c>
      <c r="Z711">
        <v>0</v>
      </c>
      <c r="AA711">
        <v>0</v>
      </c>
      <c r="AB711">
        <v>0</v>
      </c>
      <c r="AC711">
        <v>0</v>
      </c>
      <c r="AD711">
        <v>0</v>
      </c>
      <c r="AE711" t="s">
        <v>163</v>
      </c>
      <c r="AF711">
        <v>0</v>
      </c>
      <c r="AG711" t="s">
        <v>193</v>
      </c>
      <c r="AH711">
        <v>46302</v>
      </c>
      <c r="AI711" t="s">
        <v>149</v>
      </c>
    </row>
    <row r="712" spans="1:35" x14ac:dyDescent="0.25">
      <c r="A712" s="1">
        <v>46302</v>
      </c>
      <c r="B712" t="s">
        <v>13</v>
      </c>
      <c r="C712" t="s">
        <v>11</v>
      </c>
      <c r="D712">
        <v>1.7977528089887642</v>
      </c>
      <c r="E712">
        <v>0</v>
      </c>
      <c r="F712">
        <v>0</v>
      </c>
      <c r="G712">
        <v>6.2745098039215685E-2</v>
      </c>
      <c r="H712">
        <v>0</v>
      </c>
      <c r="I712">
        <v>0</v>
      </c>
      <c r="J712">
        <v>3.4901960784313721E-2</v>
      </c>
      <c r="K712">
        <v>0</v>
      </c>
      <c r="L712">
        <v>0</v>
      </c>
      <c r="M712">
        <v>0</v>
      </c>
      <c r="N712">
        <v>0</v>
      </c>
      <c r="O712">
        <v>0</v>
      </c>
      <c r="P712">
        <v>0</v>
      </c>
      <c r="Q712">
        <v>0</v>
      </c>
      <c r="R712">
        <v>0</v>
      </c>
      <c r="S712">
        <v>0</v>
      </c>
      <c r="T712">
        <v>3.4901960784313721E-2</v>
      </c>
      <c r="U712">
        <v>0.96509803921568627</v>
      </c>
      <c r="V712">
        <v>0</v>
      </c>
      <c r="W712">
        <v>0</v>
      </c>
      <c r="X712">
        <v>0</v>
      </c>
      <c r="Y712">
        <v>0</v>
      </c>
      <c r="Z712">
        <v>0</v>
      </c>
      <c r="AA712">
        <v>0</v>
      </c>
      <c r="AB712">
        <v>0</v>
      </c>
      <c r="AC712">
        <v>0</v>
      </c>
      <c r="AD712">
        <v>0</v>
      </c>
      <c r="AE712" t="s">
        <v>163</v>
      </c>
      <c r="AF712">
        <v>0</v>
      </c>
      <c r="AG712" t="s">
        <v>192</v>
      </c>
      <c r="AH712">
        <v>46302</v>
      </c>
      <c r="AI712" t="s">
        <v>149</v>
      </c>
    </row>
    <row r="713" spans="1:35" x14ac:dyDescent="0.25">
      <c r="A713" s="1">
        <v>46303</v>
      </c>
      <c r="B713" t="s">
        <v>13</v>
      </c>
      <c r="C713" t="s">
        <v>12</v>
      </c>
      <c r="D713">
        <v>2.5380039656311961</v>
      </c>
      <c r="E713">
        <v>0</v>
      </c>
      <c r="F713">
        <v>0</v>
      </c>
      <c r="G713">
        <v>2.0220588235294117</v>
      </c>
      <c r="H713">
        <v>0</v>
      </c>
      <c r="I713">
        <v>0</v>
      </c>
      <c r="J713">
        <v>0.79671223958333337</v>
      </c>
      <c r="K713">
        <v>0</v>
      </c>
      <c r="L713">
        <v>0</v>
      </c>
      <c r="M713">
        <v>0</v>
      </c>
      <c r="N713">
        <v>0</v>
      </c>
      <c r="O713">
        <v>0</v>
      </c>
      <c r="P713">
        <v>0</v>
      </c>
      <c r="Q713">
        <v>0</v>
      </c>
      <c r="R713">
        <v>0</v>
      </c>
      <c r="S713">
        <v>0</v>
      </c>
      <c r="T713">
        <v>0.79671223958333337</v>
      </c>
      <c r="U713">
        <v>0.20328776041666663</v>
      </c>
      <c r="V713">
        <v>0</v>
      </c>
      <c r="W713">
        <v>0</v>
      </c>
      <c r="X713">
        <v>0</v>
      </c>
      <c r="Y713">
        <v>0</v>
      </c>
      <c r="Z713">
        <v>0</v>
      </c>
      <c r="AA713">
        <v>0</v>
      </c>
      <c r="AB713">
        <v>0</v>
      </c>
      <c r="AC713">
        <v>0</v>
      </c>
      <c r="AD713">
        <v>0</v>
      </c>
      <c r="AE713" t="s">
        <v>163</v>
      </c>
      <c r="AF713">
        <v>0</v>
      </c>
      <c r="AG713" t="s">
        <v>194</v>
      </c>
      <c r="AH713">
        <v>46303</v>
      </c>
      <c r="AI713" t="s">
        <v>149</v>
      </c>
    </row>
    <row r="714" spans="1:35" x14ac:dyDescent="0.25">
      <c r="A714" s="1">
        <v>46303</v>
      </c>
      <c r="B714" t="s">
        <v>13</v>
      </c>
      <c r="C714" t="s">
        <v>10</v>
      </c>
      <c r="D714">
        <v>2.3595505617977532</v>
      </c>
      <c r="E714">
        <v>0</v>
      </c>
      <c r="F714">
        <v>0</v>
      </c>
      <c r="G714">
        <v>1.6911764705882355</v>
      </c>
      <c r="H714">
        <v>0</v>
      </c>
      <c r="I714">
        <v>0</v>
      </c>
      <c r="J714">
        <v>0.71673669467787116</v>
      </c>
      <c r="K714">
        <v>0</v>
      </c>
      <c r="L714">
        <v>0</v>
      </c>
      <c r="M714">
        <v>0</v>
      </c>
      <c r="N714">
        <v>0</v>
      </c>
      <c r="O714">
        <v>0</v>
      </c>
      <c r="P714">
        <v>0</v>
      </c>
      <c r="Q714">
        <v>0</v>
      </c>
      <c r="R714">
        <v>0</v>
      </c>
      <c r="S714">
        <v>0</v>
      </c>
      <c r="T714">
        <v>0.71673669467787116</v>
      </c>
      <c r="U714">
        <v>0.28326330532212884</v>
      </c>
      <c r="V714">
        <v>0</v>
      </c>
      <c r="W714">
        <v>0</v>
      </c>
      <c r="X714">
        <v>0</v>
      </c>
      <c r="Y714">
        <v>0</v>
      </c>
      <c r="Z714">
        <v>0</v>
      </c>
      <c r="AA714">
        <v>0</v>
      </c>
      <c r="AB714">
        <v>0</v>
      </c>
      <c r="AC714">
        <v>0</v>
      </c>
      <c r="AD714">
        <v>0</v>
      </c>
      <c r="AE714" t="s">
        <v>163</v>
      </c>
      <c r="AF714">
        <v>0</v>
      </c>
      <c r="AG714" t="s">
        <v>196</v>
      </c>
      <c r="AH714">
        <v>46303</v>
      </c>
      <c r="AI714" t="s">
        <v>149</v>
      </c>
    </row>
    <row r="715" spans="1:35" x14ac:dyDescent="0.25">
      <c r="A715" s="1">
        <v>46303</v>
      </c>
      <c r="B715" t="s">
        <v>13</v>
      </c>
      <c r="C715" t="s">
        <v>11</v>
      </c>
      <c r="D715">
        <v>1.7977528089887642</v>
      </c>
      <c r="E715">
        <v>0</v>
      </c>
      <c r="F715">
        <v>0</v>
      </c>
      <c r="G715">
        <v>1.0127450980392154</v>
      </c>
      <c r="H715">
        <v>0</v>
      </c>
      <c r="I715">
        <v>0</v>
      </c>
      <c r="J715">
        <v>0.56333946078431352</v>
      </c>
      <c r="K715">
        <v>0</v>
      </c>
      <c r="L715">
        <v>0</v>
      </c>
      <c r="M715">
        <v>0</v>
      </c>
      <c r="N715">
        <v>0</v>
      </c>
      <c r="O715">
        <v>0</v>
      </c>
      <c r="P715">
        <v>0</v>
      </c>
      <c r="Q715">
        <v>0</v>
      </c>
      <c r="R715">
        <v>0</v>
      </c>
      <c r="S715">
        <v>0</v>
      </c>
      <c r="T715">
        <v>0.56333946078431352</v>
      </c>
      <c r="U715">
        <v>0.43666053921568648</v>
      </c>
      <c r="V715">
        <v>0</v>
      </c>
      <c r="W715">
        <v>0</v>
      </c>
      <c r="X715">
        <v>0</v>
      </c>
      <c r="Y715">
        <v>0</v>
      </c>
      <c r="Z715">
        <v>0</v>
      </c>
      <c r="AA715">
        <v>0</v>
      </c>
      <c r="AB715">
        <v>0</v>
      </c>
      <c r="AC715">
        <v>0</v>
      </c>
      <c r="AD715">
        <v>0</v>
      </c>
      <c r="AE715" t="s">
        <v>163</v>
      </c>
      <c r="AF715">
        <v>0</v>
      </c>
      <c r="AG715" t="s">
        <v>195</v>
      </c>
      <c r="AH715">
        <v>46303</v>
      </c>
      <c r="AI715" t="s">
        <v>149</v>
      </c>
    </row>
    <row r="716" spans="1:35" x14ac:dyDescent="0.25">
      <c r="A716" s="1">
        <v>46304</v>
      </c>
      <c r="B716" t="s">
        <v>13</v>
      </c>
      <c r="C716" t="s">
        <v>10</v>
      </c>
      <c r="D716">
        <v>2.3595505617977532</v>
      </c>
      <c r="E716">
        <v>0</v>
      </c>
      <c r="F716">
        <v>0</v>
      </c>
      <c r="G716">
        <v>1.8396139705882359</v>
      </c>
      <c r="H716">
        <v>0</v>
      </c>
      <c r="I716">
        <v>0</v>
      </c>
      <c r="J716">
        <v>0.7796459208683475</v>
      </c>
      <c r="K716">
        <v>0</v>
      </c>
      <c r="L716">
        <v>0</v>
      </c>
      <c r="M716">
        <v>0</v>
      </c>
      <c r="N716">
        <v>0</v>
      </c>
      <c r="O716">
        <v>0</v>
      </c>
      <c r="P716">
        <v>0</v>
      </c>
      <c r="Q716">
        <v>0</v>
      </c>
      <c r="R716">
        <v>0</v>
      </c>
      <c r="S716">
        <v>0</v>
      </c>
      <c r="T716">
        <v>0.7796459208683475</v>
      </c>
      <c r="U716">
        <v>0.2203540791316525</v>
      </c>
      <c r="V716">
        <v>0</v>
      </c>
      <c r="W716">
        <v>0</v>
      </c>
      <c r="X716">
        <v>0</v>
      </c>
      <c r="Y716">
        <v>0</v>
      </c>
      <c r="Z716">
        <v>0</v>
      </c>
      <c r="AA716">
        <v>0</v>
      </c>
      <c r="AB716">
        <v>0</v>
      </c>
      <c r="AC716">
        <v>0</v>
      </c>
      <c r="AD716">
        <v>0</v>
      </c>
      <c r="AE716" t="s">
        <v>163</v>
      </c>
      <c r="AF716">
        <v>0</v>
      </c>
      <c r="AG716" t="s">
        <v>198</v>
      </c>
      <c r="AH716">
        <v>46304</v>
      </c>
      <c r="AI716" t="s">
        <v>149</v>
      </c>
    </row>
    <row r="717" spans="1:35" x14ac:dyDescent="0.25">
      <c r="A717" s="1">
        <v>46304</v>
      </c>
      <c r="B717" t="s">
        <v>13</v>
      </c>
      <c r="C717" t="s">
        <v>11</v>
      </c>
      <c r="D717">
        <v>1.7977528089887642</v>
      </c>
      <c r="E717">
        <v>0</v>
      </c>
      <c r="F717">
        <v>0</v>
      </c>
      <c r="G717">
        <v>1.0127450980392154</v>
      </c>
      <c r="H717">
        <v>0</v>
      </c>
      <c r="I717">
        <v>0</v>
      </c>
      <c r="J717">
        <v>0.56333946078431352</v>
      </c>
      <c r="K717">
        <v>0</v>
      </c>
      <c r="L717">
        <v>0</v>
      </c>
      <c r="M717">
        <v>0</v>
      </c>
      <c r="N717">
        <v>0</v>
      </c>
      <c r="O717">
        <v>0</v>
      </c>
      <c r="P717">
        <v>0</v>
      </c>
      <c r="Q717">
        <v>0</v>
      </c>
      <c r="R717">
        <v>0</v>
      </c>
      <c r="S717">
        <v>0</v>
      </c>
      <c r="T717">
        <v>0.56333946078431352</v>
      </c>
      <c r="U717">
        <v>0.43666053921568648</v>
      </c>
      <c r="V717">
        <v>0</v>
      </c>
      <c r="W717">
        <v>0</v>
      </c>
      <c r="X717">
        <v>0</v>
      </c>
      <c r="Y717">
        <v>0</v>
      </c>
      <c r="Z717">
        <v>0</v>
      </c>
      <c r="AA717">
        <v>0</v>
      </c>
      <c r="AB717">
        <v>0</v>
      </c>
      <c r="AC717">
        <v>0</v>
      </c>
      <c r="AD717">
        <v>0</v>
      </c>
      <c r="AE717" t="s">
        <v>163</v>
      </c>
      <c r="AF717">
        <v>0</v>
      </c>
      <c r="AG717" t="s">
        <v>199</v>
      </c>
      <c r="AH717">
        <v>46304</v>
      </c>
      <c r="AI717" t="s">
        <v>149</v>
      </c>
    </row>
    <row r="718" spans="1:35" x14ac:dyDescent="0.25">
      <c r="A718" s="1">
        <v>46304</v>
      </c>
      <c r="B718" t="s">
        <v>13</v>
      </c>
      <c r="C718" t="s">
        <v>12</v>
      </c>
      <c r="D718">
        <v>2.5380039656311961</v>
      </c>
      <c r="E718">
        <v>0</v>
      </c>
      <c r="F718">
        <v>0</v>
      </c>
      <c r="G718">
        <v>2.0220588235294117</v>
      </c>
      <c r="H718">
        <v>0</v>
      </c>
      <c r="I718">
        <v>0</v>
      </c>
      <c r="J718">
        <v>0.79671223958333337</v>
      </c>
      <c r="K718">
        <v>0</v>
      </c>
      <c r="L718">
        <v>0</v>
      </c>
      <c r="M718">
        <v>0</v>
      </c>
      <c r="N718">
        <v>0</v>
      </c>
      <c r="O718">
        <v>0</v>
      </c>
      <c r="P718">
        <v>0</v>
      </c>
      <c r="Q718">
        <v>0</v>
      </c>
      <c r="R718">
        <v>0</v>
      </c>
      <c r="S718">
        <v>0</v>
      </c>
      <c r="T718">
        <v>0.79671223958333337</v>
      </c>
      <c r="U718">
        <v>0.20328776041666663</v>
      </c>
      <c r="V718">
        <v>0</v>
      </c>
      <c r="W718">
        <v>0</v>
      </c>
      <c r="X718">
        <v>0</v>
      </c>
      <c r="Y718">
        <v>0</v>
      </c>
      <c r="Z718">
        <v>0</v>
      </c>
      <c r="AA718">
        <v>0</v>
      </c>
      <c r="AB718">
        <v>0</v>
      </c>
      <c r="AC718">
        <v>0</v>
      </c>
      <c r="AD718">
        <v>0</v>
      </c>
      <c r="AE718" t="s">
        <v>163</v>
      </c>
      <c r="AF718">
        <v>0</v>
      </c>
      <c r="AG718" t="s">
        <v>197</v>
      </c>
      <c r="AH718">
        <v>46304</v>
      </c>
      <c r="AI718" t="s">
        <v>149</v>
      </c>
    </row>
    <row r="719" spans="1:35" x14ac:dyDescent="0.25">
      <c r="A719" s="1">
        <v>46305</v>
      </c>
      <c r="B719" t="s">
        <v>13</v>
      </c>
      <c r="C719" t="s">
        <v>12</v>
      </c>
      <c r="D719">
        <v>2.5380039656311961</v>
      </c>
      <c r="E719">
        <v>0</v>
      </c>
      <c r="F719">
        <v>0</v>
      </c>
      <c r="G719">
        <v>2.1881487889273359</v>
      </c>
      <c r="H719">
        <v>0</v>
      </c>
      <c r="I719">
        <v>0</v>
      </c>
      <c r="J719">
        <v>0.86215341605392171</v>
      </c>
      <c r="K719">
        <v>0</v>
      </c>
      <c r="L719">
        <v>0</v>
      </c>
      <c r="M719">
        <v>0</v>
      </c>
      <c r="N719">
        <v>0</v>
      </c>
      <c r="O719">
        <v>0</v>
      </c>
      <c r="P719">
        <v>0</v>
      </c>
      <c r="Q719">
        <v>0</v>
      </c>
      <c r="R719">
        <v>0</v>
      </c>
      <c r="S719">
        <v>0</v>
      </c>
      <c r="T719">
        <v>0.86215341605392171</v>
      </c>
      <c r="U719">
        <v>0.13784658394607829</v>
      </c>
      <c r="V719">
        <v>0</v>
      </c>
      <c r="W719">
        <v>0</v>
      </c>
      <c r="X719">
        <v>0</v>
      </c>
      <c r="Y719">
        <v>0</v>
      </c>
      <c r="Z719">
        <v>0</v>
      </c>
      <c r="AA719">
        <v>0</v>
      </c>
      <c r="AB719">
        <v>0</v>
      </c>
      <c r="AC719">
        <v>0</v>
      </c>
      <c r="AD719">
        <v>0</v>
      </c>
      <c r="AE719" t="s">
        <v>163</v>
      </c>
      <c r="AF719">
        <v>0</v>
      </c>
      <c r="AG719" t="s">
        <v>202</v>
      </c>
      <c r="AH719">
        <v>46305</v>
      </c>
      <c r="AI719" t="s">
        <v>149</v>
      </c>
    </row>
    <row r="720" spans="1:35" x14ac:dyDescent="0.25">
      <c r="A720" s="1">
        <v>46305</v>
      </c>
      <c r="B720" t="s">
        <v>13</v>
      </c>
      <c r="C720" t="s">
        <v>10</v>
      </c>
      <c r="D720">
        <v>1.3483146067415734</v>
      </c>
      <c r="E720">
        <v>0</v>
      </c>
      <c r="F720">
        <v>0</v>
      </c>
      <c r="G720">
        <v>1.9131433823529416</v>
      </c>
      <c r="H720">
        <v>0</v>
      </c>
      <c r="I720">
        <v>0</v>
      </c>
      <c r="J720">
        <v>1.4189146752450978</v>
      </c>
      <c r="K720">
        <v>0.41891467524509785</v>
      </c>
      <c r="L720">
        <v>0</v>
      </c>
      <c r="M720">
        <v>0</v>
      </c>
      <c r="N720">
        <v>0</v>
      </c>
      <c r="O720">
        <v>0</v>
      </c>
      <c r="P720">
        <v>0</v>
      </c>
      <c r="Q720">
        <v>0</v>
      </c>
      <c r="R720">
        <v>0</v>
      </c>
      <c r="S720">
        <v>0</v>
      </c>
      <c r="T720">
        <v>0</v>
      </c>
      <c r="U720">
        <v>0</v>
      </c>
      <c r="V720">
        <v>0</v>
      </c>
      <c r="W720">
        <v>0</v>
      </c>
      <c r="X720">
        <v>0</v>
      </c>
      <c r="Y720">
        <v>0</v>
      </c>
      <c r="Z720">
        <v>0</v>
      </c>
      <c r="AA720">
        <v>0</v>
      </c>
      <c r="AB720">
        <v>0</v>
      </c>
      <c r="AC720">
        <v>1</v>
      </c>
      <c r="AD720">
        <v>0</v>
      </c>
      <c r="AE720" t="s">
        <v>163</v>
      </c>
      <c r="AF720">
        <v>0</v>
      </c>
      <c r="AG720" t="s">
        <v>200</v>
      </c>
      <c r="AH720">
        <v>46305</v>
      </c>
      <c r="AI720" t="s">
        <v>149</v>
      </c>
    </row>
    <row r="721" spans="1:35" x14ac:dyDescent="0.25">
      <c r="A721" s="1">
        <v>46305</v>
      </c>
      <c r="B721" t="s">
        <v>13</v>
      </c>
      <c r="C721" t="s">
        <v>11</v>
      </c>
      <c r="D721">
        <v>1.7977528089887642</v>
      </c>
      <c r="E721">
        <v>0</v>
      </c>
      <c r="F721">
        <v>0</v>
      </c>
      <c r="G721">
        <v>1.0127450980392154</v>
      </c>
      <c r="H721">
        <v>0</v>
      </c>
      <c r="I721">
        <v>0</v>
      </c>
      <c r="J721">
        <v>0.56333946078431352</v>
      </c>
      <c r="K721">
        <v>0</v>
      </c>
      <c r="L721">
        <v>0</v>
      </c>
      <c r="M721">
        <v>0</v>
      </c>
      <c r="N721">
        <v>0</v>
      </c>
      <c r="O721">
        <v>0</v>
      </c>
      <c r="P721">
        <v>0</v>
      </c>
      <c r="Q721">
        <v>0</v>
      </c>
      <c r="R721">
        <v>0</v>
      </c>
      <c r="S721">
        <v>0</v>
      </c>
      <c r="T721">
        <v>0.56333946078431352</v>
      </c>
      <c r="U721">
        <v>0.43666053921568648</v>
      </c>
      <c r="V721">
        <v>0</v>
      </c>
      <c r="W721">
        <v>0</v>
      </c>
      <c r="X721">
        <v>0</v>
      </c>
      <c r="Y721">
        <v>0</v>
      </c>
      <c r="Z721">
        <v>0</v>
      </c>
      <c r="AA721">
        <v>0</v>
      </c>
      <c r="AB721">
        <v>0</v>
      </c>
      <c r="AC721">
        <v>0</v>
      </c>
      <c r="AD721">
        <v>0</v>
      </c>
      <c r="AE721" t="s">
        <v>163</v>
      </c>
      <c r="AF721">
        <v>0</v>
      </c>
      <c r="AG721" t="s">
        <v>201</v>
      </c>
      <c r="AH721">
        <v>46305</v>
      </c>
      <c r="AI721" t="s">
        <v>149</v>
      </c>
    </row>
    <row r="722" spans="1:35" x14ac:dyDescent="0.25">
      <c r="A722" s="1">
        <v>46306</v>
      </c>
      <c r="B722" t="s">
        <v>13</v>
      </c>
      <c r="C722" t="s">
        <v>12</v>
      </c>
      <c r="D722">
        <v>2.5380039656311961</v>
      </c>
      <c r="E722">
        <v>0</v>
      </c>
      <c r="F722">
        <v>0</v>
      </c>
      <c r="G722">
        <v>2.1881487889273359</v>
      </c>
      <c r="H722">
        <v>0</v>
      </c>
      <c r="I722">
        <v>0</v>
      </c>
      <c r="J722">
        <v>0.86215341605392171</v>
      </c>
      <c r="K722">
        <v>0</v>
      </c>
      <c r="L722">
        <v>0</v>
      </c>
      <c r="M722">
        <v>0</v>
      </c>
      <c r="N722">
        <v>0</v>
      </c>
      <c r="O722">
        <v>0</v>
      </c>
      <c r="P722">
        <v>0</v>
      </c>
      <c r="Q722">
        <v>0</v>
      </c>
      <c r="R722">
        <v>0</v>
      </c>
      <c r="S722">
        <v>0</v>
      </c>
      <c r="T722">
        <v>0.86215341605392171</v>
      </c>
      <c r="U722">
        <v>0.13784658394607829</v>
      </c>
      <c r="V722">
        <v>0</v>
      </c>
      <c r="W722">
        <v>0</v>
      </c>
      <c r="X722">
        <v>0</v>
      </c>
      <c r="Y722">
        <v>0</v>
      </c>
      <c r="Z722">
        <v>0</v>
      </c>
      <c r="AA722">
        <v>0</v>
      </c>
      <c r="AB722">
        <v>0</v>
      </c>
      <c r="AC722">
        <v>0</v>
      </c>
      <c r="AD722">
        <v>0</v>
      </c>
      <c r="AE722" t="s">
        <v>163</v>
      </c>
      <c r="AF722">
        <v>0</v>
      </c>
      <c r="AG722" t="s">
        <v>205</v>
      </c>
      <c r="AH722">
        <v>46306</v>
      </c>
      <c r="AI722" t="s">
        <v>149</v>
      </c>
    </row>
    <row r="723" spans="1:35" x14ac:dyDescent="0.25">
      <c r="A723" s="1">
        <v>46306</v>
      </c>
      <c r="B723" t="s">
        <v>13</v>
      </c>
      <c r="C723" t="s">
        <v>11</v>
      </c>
      <c r="D723">
        <v>1.7977528089887642</v>
      </c>
      <c r="E723">
        <v>0</v>
      </c>
      <c r="F723">
        <v>0</v>
      </c>
      <c r="G723">
        <v>1.0127450980392154</v>
      </c>
      <c r="H723">
        <v>0</v>
      </c>
      <c r="I723">
        <v>0</v>
      </c>
      <c r="J723">
        <v>0.56333946078431352</v>
      </c>
      <c r="K723">
        <v>0</v>
      </c>
      <c r="L723">
        <v>0</v>
      </c>
      <c r="M723">
        <v>0</v>
      </c>
      <c r="N723">
        <v>0</v>
      </c>
      <c r="O723">
        <v>0</v>
      </c>
      <c r="P723">
        <v>0</v>
      </c>
      <c r="Q723">
        <v>0</v>
      </c>
      <c r="R723">
        <v>0</v>
      </c>
      <c r="S723">
        <v>0</v>
      </c>
      <c r="T723">
        <v>0.56333946078431352</v>
      </c>
      <c r="U723">
        <v>0.43666053921568648</v>
      </c>
      <c r="V723">
        <v>0</v>
      </c>
      <c r="W723">
        <v>0</v>
      </c>
      <c r="X723">
        <v>0</v>
      </c>
      <c r="Y723">
        <v>0</v>
      </c>
      <c r="Z723">
        <v>0</v>
      </c>
      <c r="AA723">
        <v>0</v>
      </c>
      <c r="AB723">
        <v>0</v>
      </c>
      <c r="AC723">
        <v>0</v>
      </c>
      <c r="AD723">
        <v>0</v>
      </c>
      <c r="AE723" t="s">
        <v>163</v>
      </c>
      <c r="AF723">
        <v>0</v>
      </c>
      <c r="AG723" t="s">
        <v>203</v>
      </c>
      <c r="AH723">
        <v>46306</v>
      </c>
      <c r="AI723" t="s">
        <v>149</v>
      </c>
    </row>
    <row r="724" spans="1:35" x14ac:dyDescent="0.25">
      <c r="A724" s="1">
        <v>46306</v>
      </c>
      <c r="B724" t="s">
        <v>13</v>
      </c>
      <c r="C724" t="s">
        <v>10</v>
      </c>
      <c r="D724">
        <v>1.3483146067415734</v>
      </c>
      <c r="E724">
        <v>0</v>
      </c>
      <c r="F724">
        <v>0</v>
      </c>
      <c r="G724">
        <v>1.9131433823529416</v>
      </c>
      <c r="H724">
        <v>0</v>
      </c>
      <c r="I724">
        <v>0</v>
      </c>
      <c r="J724">
        <v>1.4189146752450978</v>
      </c>
      <c r="K724">
        <v>0.41891467524509785</v>
      </c>
      <c r="L724">
        <v>0</v>
      </c>
      <c r="M724">
        <v>0</v>
      </c>
      <c r="N724">
        <v>0</v>
      </c>
      <c r="O724">
        <v>0</v>
      </c>
      <c r="P724">
        <v>0</v>
      </c>
      <c r="Q724">
        <v>0</v>
      </c>
      <c r="R724">
        <v>0</v>
      </c>
      <c r="S724">
        <v>0</v>
      </c>
      <c r="T724">
        <v>0</v>
      </c>
      <c r="U724">
        <v>0</v>
      </c>
      <c r="V724">
        <v>0</v>
      </c>
      <c r="W724">
        <v>0</v>
      </c>
      <c r="X724">
        <v>0</v>
      </c>
      <c r="Y724">
        <v>0</v>
      </c>
      <c r="Z724">
        <v>0</v>
      </c>
      <c r="AA724">
        <v>0</v>
      </c>
      <c r="AB724">
        <v>0</v>
      </c>
      <c r="AC724">
        <v>1</v>
      </c>
      <c r="AD724">
        <v>0</v>
      </c>
      <c r="AE724" t="s">
        <v>163</v>
      </c>
      <c r="AF724">
        <v>0</v>
      </c>
      <c r="AG724" t="s">
        <v>204</v>
      </c>
      <c r="AH724">
        <v>46306</v>
      </c>
      <c r="AI724" t="s">
        <v>149</v>
      </c>
    </row>
    <row r="725" spans="1:35" x14ac:dyDescent="0.25">
      <c r="A725" s="1">
        <v>46307</v>
      </c>
      <c r="B725" t="s">
        <v>13</v>
      </c>
      <c r="C725" t="s">
        <v>12</v>
      </c>
      <c r="D725">
        <v>2.2207534699272973</v>
      </c>
      <c r="E725">
        <v>0</v>
      </c>
      <c r="F725">
        <v>0</v>
      </c>
      <c r="G725">
        <v>1.7577854671280275</v>
      </c>
      <c r="H725">
        <v>0</v>
      </c>
      <c r="I725">
        <v>0</v>
      </c>
      <c r="J725">
        <v>0.79152661064425744</v>
      </c>
      <c r="K725">
        <v>0</v>
      </c>
      <c r="L725">
        <v>0</v>
      </c>
      <c r="M725">
        <v>0</v>
      </c>
      <c r="N725">
        <v>0</v>
      </c>
      <c r="O725">
        <v>0</v>
      </c>
      <c r="P725">
        <v>0</v>
      </c>
      <c r="Q725">
        <v>0</v>
      </c>
      <c r="R725">
        <v>0</v>
      </c>
      <c r="S725">
        <v>0</v>
      </c>
      <c r="T725">
        <v>0.79152661064425744</v>
      </c>
      <c r="U725">
        <v>0.20847338935574256</v>
      </c>
      <c r="V725">
        <v>0</v>
      </c>
      <c r="W725">
        <v>0</v>
      </c>
      <c r="X725">
        <v>0</v>
      </c>
      <c r="Y725">
        <v>0</v>
      </c>
      <c r="Z725">
        <v>0</v>
      </c>
      <c r="AA725">
        <v>0</v>
      </c>
      <c r="AB725">
        <v>0</v>
      </c>
      <c r="AC725">
        <v>0</v>
      </c>
      <c r="AD725">
        <v>0</v>
      </c>
      <c r="AE725" t="s">
        <v>163</v>
      </c>
      <c r="AF725">
        <v>0</v>
      </c>
      <c r="AG725" t="s">
        <v>207</v>
      </c>
      <c r="AH725">
        <v>46307</v>
      </c>
      <c r="AI725" t="s">
        <v>149</v>
      </c>
    </row>
    <row r="726" spans="1:35" x14ac:dyDescent="0.25">
      <c r="A726" s="1">
        <v>46307</v>
      </c>
      <c r="B726" t="s">
        <v>13</v>
      </c>
      <c r="C726" t="s">
        <v>10</v>
      </c>
      <c r="D726">
        <v>1.3483146067415734</v>
      </c>
      <c r="E726">
        <v>0</v>
      </c>
      <c r="F726">
        <v>0</v>
      </c>
      <c r="G726">
        <v>0.97196691176470595</v>
      </c>
      <c r="H726">
        <v>0</v>
      </c>
      <c r="I726">
        <v>0</v>
      </c>
      <c r="J726">
        <v>0.72087545955882337</v>
      </c>
      <c r="K726">
        <v>0</v>
      </c>
      <c r="L726">
        <v>0</v>
      </c>
      <c r="M726">
        <v>0</v>
      </c>
      <c r="N726">
        <v>0</v>
      </c>
      <c r="O726">
        <v>0</v>
      </c>
      <c r="P726">
        <v>0</v>
      </c>
      <c r="Q726">
        <v>0</v>
      </c>
      <c r="R726">
        <v>0</v>
      </c>
      <c r="S726">
        <v>0</v>
      </c>
      <c r="T726">
        <v>0.72087545955882337</v>
      </c>
      <c r="U726">
        <v>0.27912454044117663</v>
      </c>
      <c r="V726">
        <v>0</v>
      </c>
      <c r="W726">
        <v>0</v>
      </c>
      <c r="X726">
        <v>0</v>
      </c>
      <c r="Y726">
        <v>0</v>
      </c>
      <c r="Z726">
        <v>0</v>
      </c>
      <c r="AA726">
        <v>0</v>
      </c>
      <c r="AB726">
        <v>0</v>
      </c>
      <c r="AC726">
        <v>0</v>
      </c>
      <c r="AD726">
        <v>0</v>
      </c>
      <c r="AE726" t="s">
        <v>163</v>
      </c>
      <c r="AF726">
        <v>0</v>
      </c>
      <c r="AG726" t="s">
        <v>208</v>
      </c>
      <c r="AH726">
        <v>46307</v>
      </c>
      <c r="AI726" t="s">
        <v>149</v>
      </c>
    </row>
    <row r="727" spans="1:35" x14ac:dyDescent="0.25">
      <c r="A727" s="1">
        <v>46307</v>
      </c>
      <c r="B727" t="s">
        <v>13</v>
      </c>
      <c r="C727" t="s">
        <v>11</v>
      </c>
      <c r="D727">
        <v>1.7977528089887642</v>
      </c>
      <c r="E727">
        <v>0</v>
      </c>
      <c r="F727">
        <v>0</v>
      </c>
      <c r="G727">
        <v>6.2745098039215685E-2</v>
      </c>
      <c r="H727">
        <v>0</v>
      </c>
      <c r="I727">
        <v>0</v>
      </c>
      <c r="J727">
        <v>3.4901960784313721E-2</v>
      </c>
      <c r="K727">
        <v>0</v>
      </c>
      <c r="L727">
        <v>0</v>
      </c>
      <c r="M727">
        <v>0</v>
      </c>
      <c r="N727">
        <v>0</v>
      </c>
      <c r="O727">
        <v>0</v>
      </c>
      <c r="P727">
        <v>0</v>
      </c>
      <c r="Q727">
        <v>0</v>
      </c>
      <c r="R727">
        <v>0</v>
      </c>
      <c r="S727">
        <v>0</v>
      </c>
      <c r="T727">
        <v>3.4901960784313721E-2</v>
      </c>
      <c r="U727">
        <v>0.96509803921568627</v>
      </c>
      <c r="V727">
        <v>0</v>
      </c>
      <c r="W727">
        <v>0</v>
      </c>
      <c r="X727">
        <v>0</v>
      </c>
      <c r="Y727">
        <v>0</v>
      </c>
      <c r="Z727">
        <v>0</v>
      </c>
      <c r="AA727">
        <v>0</v>
      </c>
      <c r="AB727">
        <v>0</v>
      </c>
      <c r="AC727">
        <v>0</v>
      </c>
      <c r="AD727">
        <v>0</v>
      </c>
      <c r="AE727" t="s">
        <v>163</v>
      </c>
      <c r="AF727">
        <v>0</v>
      </c>
      <c r="AG727" t="s">
        <v>206</v>
      </c>
      <c r="AH727">
        <v>46307</v>
      </c>
      <c r="AI727" t="s">
        <v>149</v>
      </c>
    </row>
    <row r="728" spans="1:35" x14ac:dyDescent="0.25">
      <c r="A728" s="1">
        <v>46308</v>
      </c>
      <c r="B728" t="s">
        <v>13</v>
      </c>
      <c r="C728" t="s">
        <v>10</v>
      </c>
      <c r="D728">
        <v>2.6966292134831469</v>
      </c>
      <c r="E728">
        <v>0</v>
      </c>
      <c r="F728">
        <v>0</v>
      </c>
      <c r="G728">
        <v>1.6470588235294119</v>
      </c>
      <c r="H728">
        <v>0</v>
      </c>
      <c r="I728">
        <v>0</v>
      </c>
      <c r="J728">
        <v>0.61078431372549002</v>
      </c>
      <c r="K728">
        <v>0</v>
      </c>
      <c r="L728">
        <v>0</v>
      </c>
      <c r="M728">
        <v>0</v>
      </c>
      <c r="N728">
        <v>0</v>
      </c>
      <c r="O728">
        <v>0</v>
      </c>
      <c r="P728">
        <v>0</v>
      </c>
      <c r="Q728">
        <v>0</v>
      </c>
      <c r="R728">
        <v>0</v>
      </c>
      <c r="S728">
        <v>0</v>
      </c>
      <c r="T728">
        <v>0.61078431372549002</v>
      </c>
      <c r="U728">
        <v>0.38921568627450998</v>
      </c>
      <c r="V728">
        <v>0</v>
      </c>
      <c r="W728">
        <v>0</v>
      </c>
      <c r="X728">
        <v>0</v>
      </c>
      <c r="Y728">
        <v>0</v>
      </c>
      <c r="Z728">
        <v>0</v>
      </c>
      <c r="AA728">
        <v>0</v>
      </c>
      <c r="AB728">
        <v>0</v>
      </c>
      <c r="AC728">
        <v>0</v>
      </c>
      <c r="AD728">
        <v>0</v>
      </c>
      <c r="AE728" t="s">
        <v>163</v>
      </c>
      <c r="AF728">
        <v>0</v>
      </c>
      <c r="AG728" t="s">
        <v>210</v>
      </c>
      <c r="AH728">
        <v>46308</v>
      </c>
      <c r="AI728" t="s">
        <v>149</v>
      </c>
    </row>
    <row r="729" spans="1:35" x14ac:dyDescent="0.25">
      <c r="A729" s="1">
        <v>46308</v>
      </c>
      <c r="B729" t="s">
        <v>13</v>
      </c>
      <c r="C729" t="s">
        <v>11</v>
      </c>
      <c r="D729">
        <v>1.7977528089887642</v>
      </c>
      <c r="E729">
        <v>0</v>
      </c>
      <c r="F729">
        <v>0</v>
      </c>
      <c r="G729">
        <v>6.2745098039215685E-2</v>
      </c>
      <c r="H729">
        <v>0</v>
      </c>
      <c r="I729">
        <v>0</v>
      </c>
      <c r="J729">
        <v>3.4901960784313721E-2</v>
      </c>
      <c r="K729">
        <v>0</v>
      </c>
      <c r="L729">
        <v>0</v>
      </c>
      <c r="M729">
        <v>0</v>
      </c>
      <c r="N729">
        <v>0</v>
      </c>
      <c r="O729">
        <v>0</v>
      </c>
      <c r="P729">
        <v>0</v>
      </c>
      <c r="Q729">
        <v>0</v>
      </c>
      <c r="R729">
        <v>0</v>
      </c>
      <c r="S729">
        <v>0</v>
      </c>
      <c r="T729">
        <v>3.4901960784313721E-2</v>
      </c>
      <c r="U729">
        <v>0.96509803921568627</v>
      </c>
      <c r="V729">
        <v>0</v>
      </c>
      <c r="W729">
        <v>0</v>
      </c>
      <c r="X729">
        <v>0</v>
      </c>
      <c r="Y729">
        <v>0</v>
      </c>
      <c r="Z729">
        <v>0</v>
      </c>
      <c r="AA729">
        <v>0</v>
      </c>
      <c r="AB729">
        <v>0</v>
      </c>
      <c r="AC729">
        <v>0</v>
      </c>
      <c r="AD729">
        <v>0</v>
      </c>
      <c r="AE729" t="s">
        <v>163</v>
      </c>
      <c r="AF729">
        <v>0</v>
      </c>
      <c r="AG729" t="s">
        <v>211</v>
      </c>
      <c r="AH729">
        <v>46308</v>
      </c>
      <c r="AI729" t="s">
        <v>149</v>
      </c>
    </row>
    <row r="730" spans="1:35" x14ac:dyDescent="0.25">
      <c r="A730" s="1">
        <v>46308</v>
      </c>
      <c r="B730" t="s">
        <v>13</v>
      </c>
      <c r="C730" t="s">
        <v>12</v>
      </c>
      <c r="D730">
        <v>2.2207534699272973</v>
      </c>
      <c r="E730">
        <v>0</v>
      </c>
      <c r="F730">
        <v>0</v>
      </c>
      <c r="G730">
        <v>1.9238754325259515</v>
      </c>
      <c r="H730">
        <v>0</v>
      </c>
      <c r="I730">
        <v>0</v>
      </c>
      <c r="J730">
        <v>0.86631652661064407</v>
      </c>
      <c r="K730">
        <v>0</v>
      </c>
      <c r="L730">
        <v>0</v>
      </c>
      <c r="M730">
        <v>0</v>
      </c>
      <c r="N730">
        <v>0</v>
      </c>
      <c r="O730">
        <v>0</v>
      </c>
      <c r="P730">
        <v>0</v>
      </c>
      <c r="Q730">
        <v>0</v>
      </c>
      <c r="R730">
        <v>0</v>
      </c>
      <c r="S730">
        <v>0</v>
      </c>
      <c r="T730">
        <v>0.86631652661064407</v>
      </c>
      <c r="U730">
        <v>0.13368347338935593</v>
      </c>
      <c r="V730">
        <v>0</v>
      </c>
      <c r="W730">
        <v>0</v>
      </c>
      <c r="X730">
        <v>0</v>
      </c>
      <c r="Y730">
        <v>0</v>
      </c>
      <c r="Z730">
        <v>0</v>
      </c>
      <c r="AA730">
        <v>0</v>
      </c>
      <c r="AB730">
        <v>0</v>
      </c>
      <c r="AC730">
        <v>0</v>
      </c>
      <c r="AD730">
        <v>0</v>
      </c>
      <c r="AE730" t="s">
        <v>163</v>
      </c>
      <c r="AF730">
        <v>0</v>
      </c>
      <c r="AG730" t="s">
        <v>209</v>
      </c>
      <c r="AH730">
        <v>46308</v>
      </c>
      <c r="AI730" t="s">
        <v>149</v>
      </c>
    </row>
    <row r="731" spans="1:35" x14ac:dyDescent="0.25">
      <c r="A731" s="1">
        <v>46309</v>
      </c>
      <c r="B731" t="s">
        <v>13</v>
      </c>
      <c r="C731" t="s">
        <v>12</v>
      </c>
      <c r="D731">
        <v>2.538003965631197</v>
      </c>
      <c r="E731">
        <v>0</v>
      </c>
      <c r="F731">
        <v>0</v>
      </c>
      <c r="G731">
        <v>2.188148788927335</v>
      </c>
      <c r="H731">
        <v>0</v>
      </c>
      <c r="I731">
        <v>0</v>
      </c>
      <c r="J731">
        <v>0.86215341605392104</v>
      </c>
      <c r="K731">
        <v>0</v>
      </c>
      <c r="L731">
        <v>0</v>
      </c>
      <c r="M731">
        <v>0</v>
      </c>
      <c r="N731">
        <v>0</v>
      </c>
      <c r="O731">
        <v>0</v>
      </c>
      <c r="P731">
        <v>0</v>
      </c>
      <c r="Q731">
        <v>0</v>
      </c>
      <c r="R731">
        <v>0</v>
      </c>
      <c r="S731">
        <v>0</v>
      </c>
      <c r="T731">
        <v>0.86215341605392104</v>
      </c>
      <c r="U731">
        <v>0.13784658394607896</v>
      </c>
      <c r="V731">
        <v>0</v>
      </c>
      <c r="W731">
        <v>0</v>
      </c>
      <c r="X731">
        <v>0</v>
      </c>
      <c r="Y731">
        <v>0</v>
      </c>
      <c r="Z731">
        <v>0</v>
      </c>
      <c r="AA731">
        <v>0</v>
      </c>
      <c r="AB731">
        <v>0</v>
      </c>
      <c r="AC731">
        <v>0</v>
      </c>
      <c r="AD731">
        <v>0</v>
      </c>
      <c r="AE731" t="s">
        <v>163</v>
      </c>
      <c r="AF731">
        <v>0</v>
      </c>
      <c r="AG731" t="s">
        <v>213</v>
      </c>
      <c r="AH731">
        <v>46309</v>
      </c>
      <c r="AI731" t="s">
        <v>149</v>
      </c>
    </row>
    <row r="732" spans="1:35" x14ac:dyDescent="0.25">
      <c r="A732" s="1">
        <v>46309</v>
      </c>
      <c r="B732" t="s">
        <v>13</v>
      </c>
      <c r="C732" t="s">
        <v>11</v>
      </c>
      <c r="D732">
        <v>1.7977528089887642</v>
      </c>
      <c r="E732">
        <v>0</v>
      </c>
      <c r="F732">
        <v>0</v>
      </c>
      <c r="G732">
        <v>1.0127450980392154</v>
      </c>
      <c r="H732">
        <v>0</v>
      </c>
      <c r="I732">
        <v>0</v>
      </c>
      <c r="J732">
        <v>0.56333946078431352</v>
      </c>
      <c r="K732">
        <v>0</v>
      </c>
      <c r="L732">
        <v>0</v>
      </c>
      <c r="M732">
        <v>0</v>
      </c>
      <c r="N732">
        <v>0</v>
      </c>
      <c r="O732">
        <v>0</v>
      </c>
      <c r="P732">
        <v>0</v>
      </c>
      <c r="Q732">
        <v>0</v>
      </c>
      <c r="R732">
        <v>0</v>
      </c>
      <c r="S732">
        <v>0</v>
      </c>
      <c r="T732">
        <v>0.56333946078431352</v>
      </c>
      <c r="U732">
        <v>0.43666053921568648</v>
      </c>
      <c r="V732">
        <v>0</v>
      </c>
      <c r="W732">
        <v>0</v>
      </c>
      <c r="X732">
        <v>0</v>
      </c>
      <c r="Y732">
        <v>0</v>
      </c>
      <c r="Z732">
        <v>0</v>
      </c>
      <c r="AA732">
        <v>0</v>
      </c>
      <c r="AB732">
        <v>0</v>
      </c>
      <c r="AC732">
        <v>0</v>
      </c>
      <c r="AD732">
        <v>0</v>
      </c>
      <c r="AE732" t="s">
        <v>163</v>
      </c>
      <c r="AF732">
        <v>0</v>
      </c>
      <c r="AG732" t="s">
        <v>212</v>
      </c>
      <c r="AH732">
        <v>46309</v>
      </c>
      <c r="AI732" t="s">
        <v>149</v>
      </c>
    </row>
    <row r="733" spans="1:35" x14ac:dyDescent="0.25">
      <c r="A733" s="1">
        <v>46309</v>
      </c>
      <c r="B733" t="s">
        <v>13</v>
      </c>
      <c r="C733" t="s">
        <v>10</v>
      </c>
      <c r="D733">
        <v>2.6966292134831469</v>
      </c>
      <c r="E733">
        <v>0</v>
      </c>
      <c r="F733">
        <v>0</v>
      </c>
      <c r="G733">
        <v>1.7647058823529416</v>
      </c>
      <c r="H733">
        <v>0</v>
      </c>
      <c r="I733">
        <v>0</v>
      </c>
      <c r="J733">
        <v>0.65441176470588225</v>
      </c>
      <c r="K733">
        <v>0</v>
      </c>
      <c r="L733">
        <v>0</v>
      </c>
      <c r="M733">
        <v>0</v>
      </c>
      <c r="N733">
        <v>0</v>
      </c>
      <c r="O733">
        <v>0</v>
      </c>
      <c r="P733">
        <v>0</v>
      </c>
      <c r="Q733">
        <v>0</v>
      </c>
      <c r="R733">
        <v>0</v>
      </c>
      <c r="S733">
        <v>0</v>
      </c>
      <c r="T733">
        <v>0.65441176470588225</v>
      </c>
      <c r="U733">
        <v>0.34558823529411775</v>
      </c>
      <c r="V733">
        <v>0</v>
      </c>
      <c r="W733">
        <v>0</v>
      </c>
      <c r="X733">
        <v>0</v>
      </c>
      <c r="Y733">
        <v>0</v>
      </c>
      <c r="Z733">
        <v>0</v>
      </c>
      <c r="AA733">
        <v>0</v>
      </c>
      <c r="AB733">
        <v>0</v>
      </c>
      <c r="AC733">
        <v>0</v>
      </c>
      <c r="AD733">
        <v>0</v>
      </c>
      <c r="AE733" t="s">
        <v>163</v>
      </c>
      <c r="AF733">
        <v>0</v>
      </c>
      <c r="AG733" t="s">
        <v>214</v>
      </c>
      <c r="AH733">
        <v>46309</v>
      </c>
      <c r="AI733" t="s">
        <v>149</v>
      </c>
    </row>
    <row r="734" spans="1:35" x14ac:dyDescent="0.25">
      <c r="A734" s="1">
        <v>46310</v>
      </c>
      <c r="B734" t="s">
        <v>13</v>
      </c>
      <c r="C734" t="s">
        <v>11</v>
      </c>
      <c r="D734">
        <v>1.7977528089887642</v>
      </c>
      <c r="E734">
        <v>0</v>
      </c>
      <c r="F734">
        <v>0</v>
      </c>
      <c r="G734">
        <v>1.0127450980392154</v>
      </c>
      <c r="H734">
        <v>0</v>
      </c>
      <c r="I734">
        <v>0</v>
      </c>
      <c r="J734">
        <v>0.56333946078431352</v>
      </c>
      <c r="K734">
        <v>0</v>
      </c>
      <c r="L734">
        <v>0</v>
      </c>
      <c r="M734">
        <v>0</v>
      </c>
      <c r="N734">
        <v>0</v>
      </c>
      <c r="O734">
        <v>0</v>
      </c>
      <c r="P734">
        <v>0</v>
      </c>
      <c r="Q734">
        <v>0</v>
      </c>
      <c r="R734">
        <v>0</v>
      </c>
      <c r="S734">
        <v>0</v>
      </c>
      <c r="T734">
        <v>0.56333946078431352</v>
      </c>
      <c r="U734">
        <v>0.43666053921568648</v>
      </c>
      <c r="V734">
        <v>0</v>
      </c>
      <c r="W734">
        <v>0</v>
      </c>
      <c r="X734">
        <v>0</v>
      </c>
      <c r="Y734">
        <v>0</v>
      </c>
      <c r="Z734">
        <v>0</v>
      </c>
      <c r="AA734">
        <v>0</v>
      </c>
      <c r="AB734">
        <v>0</v>
      </c>
      <c r="AC734">
        <v>0</v>
      </c>
      <c r="AD734">
        <v>0</v>
      </c>
      <c r="AE734" t="s">
        <v>163</v>
      </c>
      <c r="AF734">
        <v>0</v>
      </c>
      <c r="AG734" t="s">
        <v>216</v>
      </c>
      <c r="AH734">
        <v>46310</v>
      </c>
      <c r="AI734" t="s">
        <v>149</v>
      </c>
    </row>
    <row r="735" spans="1:35" x14ac:dyDescent="0.25">
      <c r="A735" s="1">
        <v>46310</v>
      </c>
      <c r="B735" t="s">
        <v>13</v>
      </c>
      <c r="C735" t="s">
        <v>12</v>
      </c>
      <c r="D735">
        <v>2.538003965631197</v>
      </c>
      <c r="E735">
        <v>0</v>
      </c>
      <c r="F735">
        <v>0</v>
      </c>
      <c r="G735">
        <v>2.188148788927335</v>
      </c>
      <c r="H735">
        <v>0</v>
      </c>
      <c r="I735">
        <v>0</v>
      </c>
      <c r="J735">
        <v>0.86215341605392104</v>
      </c>
      <c r="K735">
        <v>0</v>
      </c>
      <c r="L735">
        <v>0</v>
      </c>
      <c r="M735">
        <v>0</v>
      </c>
      <c r="N735">
        <v>0</v>
      </c>
      <c r="O735">
        <v>0</v>
      </c>
      <c r="P735">
        <v>0</v>
      </c>
      <c r="Q735">
        <v>0</v>
      </c>
      <c r="R735">
        <v>0</v>
      </c>
      <c r="S735">
        <v>0</v>
      </c>
      <c r="T735">
        <v>0.86215341605392104</v>
      </c>
      <c r="U735">
        <v>0.13784658394607896</v>
      </c>
      <c r="V735">
        <v>0</v>
      </c>
      <c r="W735">
        <v>0</v>
      </c>
      <c r="X735">
        <v>0</v>
      </c>
      <c r="Y735">
        <v>0</v>
      </c>
      <c r="Z735">
        <v>0</v>
      </c>
      <c r="AA735">
        <v>0</v>
      </c>
      <c r="AB735">
        <v>0</v>
      </c>
      <c r="AC735">
        <v>0</v>
      </c>
      <c r="AD735">
        <v>0</v>
      </c>
      <c r="AE735" t="s">
        <v>163</v>
      </c>
      <c r="AF735">
        <v>0</v>
      </c>
      <c r="AG735" t="s">
        <v>215</v>
      </c>
      <c r="AH735">
        <v>46310</v>
      </c>
      <c r="AI735" t="s">
        <v>149</v>
      </c>
    </row>
    <row r="736" spans="1:35" x14ac:dyDescent="0.25">
      <c r="A736" s="1">
        <v>46310</v>
      </c>
      <c r="B736" t="s">
        <v>13</v>
      </c>
      <c r="C736" t="s">
        <v>10</v>
      </c>
      <c r="D736">
        <v>2.6966292134831469</v>
      </c>
      <c r="E736">
        <v>0</v>
      </c>
      <c r="F736">
        <v>0</v>
      </c>
      <c r="G736">
        <v>1.9131433823529416</v>
      </c>
      <c r="H736">
        <v>0</v>
      </c>
      <c r="I736">
        <v>0</v>
      </c>
      <c r="J736">
        <v>0.70945733762254892</v>
      </c>
      <c r="K736">
        <v>0</v>
      </c>
      <c r="L736">
        <v>0</v>
      </c>
      <c r="M736">
        <v>0</v>
      </c>
      <c r="N736">
        <v>0</v>
      </c>
      <c r="O736">
        <v>0</v>
      </c>
      <c r="P736">
        <v>0</v>
      </c>
      <c r="Q736">
        <v>0</v>
      </c>
      <c r="R736">
        <v>0</v>
      </c>
      <c r="S736">
        <v>0</v>
      </c>
      <c r="T736">
        <v>0.70945733762254892</v>
      </c>
      <c r="U736">
        <v>0.29054266237745108</v>
      </c>
      <c r="V736">
        <v>0</v>
      </c>
      <c r="W736">
        <v>0</v>
      </c>
      <c r="X736">
        <v>0</v>
      </c>
      <c r="Y736">
        <v>0</v>
      </c>
      <c r="Z736">
        <v>0</v>
      </c>
      <c r="AA736">
        <v>0</v>
      </c>
      <c r="AB736">
        <v>0</v>
      </c>
      <c r="AC736">
        <v>0</v>
      </c>
      <c r="AD736">
        <v>0</v>
      </c>
      <c r="AE736" t="s">
        <v>163</v>
      </c>
      <c r="AF736">
        <v>0</v>
      </c>
      <c r="AG736" t="s">
        <v>217</v>
      </c>
      <c r="AH736">
        <v>46310</v>
      </c>
      <c r="AI736" t="s">
        <v>149</v>
      </c>
    </row>
    <row r="737" spans="1:35" x14ac:dyDescent="0.25">
      <c r="A737" s="1">
        <v>46311</v>
      </c>
      <c r="B737" t="s">
        <v>13</v>
      </c>
      <c r="C737" t="s">
        <v>11</v>
      </c>
      <c r="D737">
        <v>1.7977528089887642</v>
      </c>
      <c r="E737">
        <v>0</v>
      </c>
      <c r="F737">
        <v>0</v>
      </c>
      <c r="G737">
        <v>1.0127450980392154</v>
      </c>
      <c r="H737">
        <v>0</v>
      </c>
      <c r="I737">
        <v>0</v>
      </c>
      <c r="J737">
        <v>0.56333946078431352</v>
      </c>
      <c r="K737">
        <v>0</v>
      </c>
      <c r="L737">
        <v>0</v>
      </c>
      <c r="M737">
        <v>0</v>
      </c>
      <c r="N737">
        <v>0</v>
      </c>
      <c r="O737">
        <v>0</v>
      </c>
      <c r="P737">
        <v>0</v>
      </c>
      <c r="Q737">
        <v>0</v>
      </c>
      <c r="R737">
        <v>0</v>
      </c>
      <c r="S737">
        <v>0</v>
      </c>
      <c r="T737">
        <v>0.56333946078431352</v>
      </c>
      <c r="U737">
        <v>0.43666053921568648</v>
      </c>
      <c r="V737">
        <v>0</v>
      </c>
      <c r="W737">
        <v>0</v>
      </c>
      <c r="X737">
        <v>0</v>
      </c>
      <c r="Y737">
        <v>0</v>
      </c>
      <c r="Z737">
        <v>0</v>
      </c>
      <c r="AA737">
        <v>0</v>
      </c>
      <c r="AB737">
        <v>0</v>
      </c>
      <c r="AC737">
        <v>0</v>
      </c>
      <c r="AD737">
        <v>0</v>
      </c>
      <c r="AE737" t="s">
        <v>163</v>
      </c>
      <c r="AF737">
        <v>0</v>
      </c>
      <c r="AG737" t="s">
        <v>218</v>
      </c>
      <c r="AH737">
        <v>46311</v>
      </c>
      <c r="AI737" t="s">
        <v>149</v>
      </c>
    </row>
    <row r="738" spans="1:35" x14ac:dyDescent="0.25">
      <c r="A738" s="1">
        <v>46311</v>
      </c>
      <c r="B738" t="s">
        <v>13</v>
      </c>
      <c r="C738" t="s">
        <v>10</v>
      </c>
      <c r="D738">
        <v>2.3595505617977532</v>
      </c>
      <c r="E738">
        <v>0</v>
      </c>
      <c r="F738">
        <v>0</v>
      </c>
      <c r="G738">
        <v>1.8396139705882359</v>
      </c>
      <c r="H738">
        <v>0</v>
      </c>
      <c r="I738">
        <v>0</v>
      </c>
      <c r="J738">
        <v>0.7796459208683475</v>
      </c>
      <c r="K738">
        <v>0</v>
      </c>
      <c r="L738">
        <v>0</v>
      </c>
      <c r="M738">
        <v>0</v>
      </c>
      <c r="N738">
        <v>0</v>
      </c>
      <c r="O738">
        <v>0</v>
      </c>
      <c r="P738">
        <v>0</v>
      </c>
      <c r="Q738">
        <v>0</v>
      </c>
      <c r="R738">
        <v>0</v>
      </c>
      <c r="S738">
        <v>0</v>
      </c>
      <c r="T738">
        <v>0.7796459208683475</v>
      </c>
      <c r="U738">
        <v>0.2203540791316525</v>
      </c>
      <c r="V738">
        <v>0</v>
      </c>
      <c r="W738">
        <v>0</v>
      </c>
      <c r="X738">
        <v>0</v>
      </c>
      <c r="Y738">
        <v>0</v>
      </c>
      <c r="Z738">
        <v>0</v>
      </c>
      <c r="AA738">
        <v>0</v>
      </c>
      <c r="AB738">
        <v>0</v>
      </c>
      <c r="AC738">
        <v>0</v>
      </c>
      <c r="AD738">
        <v>0</v>
      </c>
      <c r="AE738" t="s">
        <v>163</v>
      </c>
      <c r="AF738">
        <v>0</v>
      </c>
      <c r="AG738" t="s">
        <v>220</v>
      </c>
      <c r="AH738">
        <v>46311</v>
      </c>
      <c r="AI738" t="s">
        <v>149</v>
      </c>
    </row>
    <row r="739" spans="1:35" x14ac:dyDescent="0.25">
      <c r="A739" s="1">
        <v>46311</v>
      </c>
      <c r="B739" t="s">
        <v>13</v>
      </c>
      <c r="C739" t="s">
        <v>12</v>
      </c>
      <c r="D739">
        <v>2.538003965631197</v>
      </c>
      <c r="E739">
        <v>0</v>
      </c>
      <c r="F739">
        <v>0</v>
      </c>
      <c r="G739">
        <v>2.0220588235294117</v>
      </c>
      <c r="H739">
        <v>0</v>
      </c>
      <c r="I739">
        <v>0</v>
      </c>
      <c r="J739">
        <v>0.79671223958333304</v>
      </c>
      <c r="K739">
        <v>0</v>
      </c>
      <c r="L739">
        <v>0</v>
      </c>
      <c r="M739">
        <v>0</v>
      </c>
      <c r="N739">
        <v>0</v>
      </c>
      <c r="O739">
        <v>0</v>
      </c>
      <c r="P739">
        <v>0</v>
      </c>
      <c r="Q739">
        <v>0</v>
      </c>
      <c r="R739">
        <v>0</v>
      </c>
      <c r="S739">
        <v>0</v>
      </c>
      <c r="T739">
        <v>0.79671223958333304</v>
      </c>
      <c r="U739">
        <v>0.20328776041666696</v>
      </c>
      <c r="V739">
        <v>0</v>
      </c>
      <c r="W739">
        <v>0</v>
      </c>
      <c r="X739">
        <v>0</v>
      </c>
      <c r="Y739">
        <v>0</v>
      </c>
      <c r="Z739">
        <v>0</v>
      </c>
      <c r="AA739">
        <v>0</v>
      </c>
      <c r="AB739">
        <v>0</v>
      </c>
      <c r="AC739">
        <v>0</v>
      </c>
      <c r="AD739">
        <v>0</v>
      </c>
      <c r="AE739" t="s">
        <v>163</v>
      </c>
      <c r="AF739">
        <v>0</v>
      </c>
      <c r="AG739" t="s">
        <v>219</v>
      </c>
      <c r="AH739">
        <v>46311</v>
      </c>
      <c r="AI739" t="s">
        <v>149</v>
      </c>
    </row>
    <row r="740" spans="1:35" x14ac:dyDescent="0.25">
      <c r="A740" s="1">
        <v>46312</v>
      </c>
      <c r="B740" t="s">
        <v>13</v>
      </c>
      <c r="C740" t="s">
        <v>10</v>
      </c>
      <c r="D740">
        <v>1.3483146067415734</v>
      </c>
      <c r="E740">
        <v>0</v>
      </c>
      <c r="F740">
        <v>0</v>
      </c>
      <c r="G740">
        <v>1.9131433823529416</v>
      </c>
      <c r="H740">
        <v>0</v>
      </c>
      <c r="I740">
        <v>0</v>
      </c>
      <c r="J740">
        <v>1.4189146752450978</v>
      </c>
      <c r="K740">
        <v>0.41891467524509785</v>
      </c>
      <c r="L740">
        <v>0</v>
      </c>
      <c r="M740">
        <v>0</v>
      </c>
      <c r="N740">
        <v>0</v>
      </c>
      <c r="O740">
        <v>0</v>
      </c>
      <c r="P740">
        <v>0</v>
      </c>
      <c r="Q740">
        <v>0</v>
      </c>
      <c r="R740">
        <v>0</v>
      </c>
      <c r="S740">
        <v>0</v>
      </c>
      <c r="T740">
        <v>0</v>
      </c>
      <c r="U740">
        <v>0</v>
      </c>
      <c r="V740">
        <v>0</v>
      </c>
      <c r="W740">
        <v>0</v>
      </c>
      <c r="X740">
        <v>0</v>
      </c>
      <c r="Y740">
        <v>0</v>
      </c>
      <c r="Z740">
        <v>0</v>
      </c>
      <c r="AA740">
        <v>0</v>
      </c>
      <c r="AB740">
        <v>0</v>
      </c>
      <c r="AC740">
        <v>1</v>
      </c>
      <c r="AD740">
        <v>0</v>
      </c>
      <c r="AE740" t="s">
        <v>163</v>
      </c>
      <c r="AF740">
        <v>0</v>
      </c>
      <c r="AG740" t="s">
        <v>222</v>
      </c>
      <c r="AH740">
        <v>46312</v>
      </c>
      <c r="AI740" t="s">
        <v>149</v>
      </c>
    </row>
    <row r="741" spans="1:35" x14ac:dyDescent="0.25">
      <c r="A741" s="1">
        <v>46312</v>
      </c>
      <c r="B741" t="s">
        <v>13</v>
      </c>
      <c r="C741" t="s">
        <v>11</v>
      </c>
      <c r="D741">
        <v>1.7977528089887642</v>
      </c>
      <c r="E741">
        <v>0</v>
      </c>
      <c r="F741">
        <v>0</v>
      </c>
      <c r="G741">
        <v>1.0127450980392154</v>
      </c>
      <c r="H741">
        <v>0</v>
      </c>
      <c r="I741">
        <v>0</v>
      </c>
      <c r="J741">
        <v>0.56333946078431352</v>
      </c>
      <c r="K741">
        <v>0</v>
      </c>
      <c r="L741">
        <v>0</v>
      </c>
      <c r="M741">
        <v>0</v>
      </c>
      <c r="N741">
        <v>0</v>
      </c>
      <c r="O741">
        <v>0</v>
      </c>
      <c r="P741">
        <v>0</v>
      </c>
      <c r="Q741">
        <v>0</v>
      </c>
      <c r="R741">
        <v>0</v>
      </c>
      <c r="S741">
        <v>0</v>
      </c>
      <c r="T741">
        <v>0.56333946078431352</v>
      </c>
      <c r="U741">
        <v>0.43666053921568648</v>
      </c>
      <c r="V741">
        <v>0</v>
      </c>
      <c r="W741">
        <v>0</v>
      </c>
      <c r="X741">
        <v>0</v>
      </c>
      <c r="Y741">
        <v>0</v>
      </c>
      <c r="Z741">
        <v>0</v>
      </c>
      <c r="AA741">
        <v>0</v>
      </c>
      <c r="AB741">
        <v>0</v>
      </c>
      <c r="AC741">
        <v>0</v>
      </c>
      <c r="AD741">
        <v>0</v>
      </c>
      <c r="AE741" t="s">
        <v>163</v>
      </c>
      <c r="AF741">
        <v>0</v>
      </c>
      <c r="AG741" t="s">
        <v>223</v>
      </c>
      <c r="AH741">
        <v>46312</v>
      </c>
      <c r="AI741" t="s">
        <v>149</v>
      </c>
    </row>
    <row r="742" spans="1:35" x14ac:dyDescent="0.25">
      <c r="A742" s="1">
        <v>46312</v>
      </c>
      <c r="B742" t="s">
        <v>13</v>
      </c>
      <c r="C742" t="s">
        <v>12</v>
      </c>
      <c r="D742">
        <v>2.5380039656311961</v>
      </c>
      <c r="E742">
        <v>0</v>
      </c>
      <c r="F742">
        <v>0</v>
      </c>
      <c r="G742">
        <v>2.1881487889273359</v>
      </c>
      <c r="H742">
        <v>0</v>
      </c>
      <c r="I742">
        <v>0</v>
      </c>
      <c r="J742">
        <v>0.86215341605392171</v>
      </c>
      <c r="K742">
        <v>0</v>
      </c>
      <c r="L742">
        <v>0</v>
      </c>
      <c r="M742">
        <v>0</v>
      </c>
      <c r="N742">
        <v>0</v>
      </c>
      <c r="O742">
        <v>0</v>
      </c>
      <c r="P742">
        <v>0</v>
      </c>
      <c r="Q742">
        <v>0</v>
      </c>
      <c r="R742">
        <v>0</v>
      </c>
      <c r="S742">
        <v>0</v>
      </c>
      <c r="T742">
        <v>0.86215341605392171</v>
      </c>
      <c r="U742">
        <v>0.13784658394607829</v>
      </c>
      <c r="V742">
        <v>0</v>
      </c>
      <c r="W742">
        <v>0</v>
      </c>
      <c r="X742">
        <v>0</v>
      </c>
      <c r="Y742">
        <v>0</v>
      </c>
      <c r="Z742">
        <v>0</v>
      </c>
      <c r="AA742">
        <v>0</v>
      </c>
      <c r="AB742">
        <v>0</v>
      </c>
      <c r="AC742">
        <v>0</v>
      </c>
      <c r="AD742">
        <v>0</v>
      </c>
      <c r="AE742" t="s">
        <v>163</v>
      </c>
      <c r="AF742">
        <v>0</v>
      </c>
      <c r="AG742" t="s">
        <v>221</v>
      </c>
      <c r="AH742">
        <v>46312</v>
      </c>
      <c r="AI742" t="s">
        <v>149</v>
      </c>
    </row>
    <row r="743" spans="1:35" x14ac:dyDescent="0.25">
      <c r="A743" s="1">
        <v>46313</v>
      </c>
      <c r="B743" t="s">
        <v>13</v>
      </c>
      <c r="C743" t="s">
        <v>10</v>
      </c>
      <c r="D743">
        <v>1.3483146067415734</v>
      </c>
      <c r="E743">
        <v>0</v>
      </c>
      <c r="F743">
        <v>0</v>
      </c>
      <c r="G743">
        <v>1.8396139705882359</v>
      </c>
      <c r="H743">
        <v>0</v>
      </c>
      <c r="I743">
        <v>0</v>
      </c>
      <c r="J743">
        <v>1.364380361519608</v>
      </c>
      <c r="K743">
        <v>0.36438036151960795</v>
      </c>
      <c r="L743">
        <v>0</v>
      </c>
      <c r="M743">
        <v>0</v>
      </c>
      <c r="N743">
        <v>0</v>
      </c>
      <c r="O743">
        <v>0</v>
      </c>
      <c r="P743">
        <v>0</v>
      </c>
      <c r="Q743">
        <v>0</v>
      </c>
      <c r="R743">
        <v>0</v>
      </c>
      <c r="S743">
        <v>0</v>
      </c>
      <c r="T743">
        <v>0</v>
      </c>
      <c r="U743">
        <v>0</v>
      </c>
      <c r="V743">
        <v>0</v>
      </c>
      <c r="W743">
        <v>0</v>
      </c>
      <c r="X743">
        <v>0</v>
      </c>
      <c r="Y743">
        <v>0</v>
      </c>
      <c r="Z743">
        <v>0</v>
      </c>
      <c r="AA743">
        <v>0</v>
      </c>
      <c r="AB743">
        <v>0</v>
      </c>
      <c r="AC743">
        <v>1</v>
      </c>
      <c r="AD743">
        <v>0</v>
      </c>
      <c r="AE743" t="s">
        <v>163</v>
      </c>
      <c r="AF743">
        <v>0</v>
      </c>
      <c r="AG743" t="s">
        <v>224</v>
      </c>
      <c r="AH743">
        <v>46313</v>
      </c>
      <c r="AI743" t="s">
        <v>149</v>
      </c>
    </row>
    <row r="744" spans="1:35" x14ac:dyDescent="0.25">
      <c r="A744" s="1">
        <v>46313</v>
      </c>
      <c r="B744" t="s">
        <v>13</v>
      </c>
      <c r="C744" t="s">
        <v>11</v>
      </c>
      <c r="D744">
        <v>1.7977528089887642</v>
      </c>
      <c r="E744">
        <v>0</v>
      </c>
      <c r="F744">
        <v>0</v>
      </c>
      <c r="G744">
        <v>1.0127450980392154</v>
      </c>
      <c r="H744">
        <v>0</v>
      </c>
      <c r="I744">
        <v>0</v>
      </c>
      <c r="J744">
        <v>0.56333946078431352</v>
      </c>
      <c r="K744">
        <v>0</v>
      </c>
      <c r="L744">
        <v>0</v>
      </c>
      <c r="M744">
        <v>0</v>
      </c>
      <c r="N744">
        <v>0</v>
      </c>
      <c r="O744">
        <v>0</v>
      </c>
      <c r="P744">
        <v>0</v>
      </c>
      <c r="Q744">
        <v>0</v>
      </c>
      <c r="R744">
        <v>0</v>
      </c>
      <c r="S744">
        <v>0</v>
      </c>
      <c r="T744">
        <v>0.56333946078431352</v>
      </c>
      <c r="U744">
        <v>0.43666053921568648</v>
      </c>
      <c r="V744">
        <v>0</v>
      </c>
      <c r="W744">
        <v>0</v>
      </c>
      <c r="X744">
        <v>0</v>
      </c>
      <c r="Y744">
        <v>0</v>
      </c>
      <c r="Z744">
        <v>0</v>
      </c>
      <c r="AA744">
        <v>0</v>
      </c>
      <c r="AB744">
        <v>0</v>
      </c>
      <c r="AC744">
        <v>0</v>
      </c>
      <c r="AD744">
        <v>0</v>
      </c>
      <c r="AE744" t="s">
        <v>163</v>
      </c>
      <c r="AF744">
        <v>0</v>
      </c>
      <c r="AG744" t="s">
        <v>225</v>
      </c>
      <c r="AH744">
        <v>46313</v>
      </c>
      <c r="AI744" t="s">
        <v>149</v>
      </c>
    </row>
    <row r="745" spans="1:35" x14ac:dyDescent="0.25">
      <c r="A745" s="1">
        <v>46313</v>
      </c>
      <c r="B745" t="s">
        <v>13</v>
      </c>
      <c r="C745" t="s">
        <v>12</v>
      </c>
      <c r="D745">
        <v>2.538003965631197</v>
      </c>
      <c r="E745">
        <v>0</v>
      </c>
      <c r="F745">
        <v>0</v>
      </c>
      <c r="G745">
        <v>2.0220588235294117</v>
      </c>
      <c r="H745">
        <v>0</v>
      </c>
      <c r="I745">
        <v>0</v>
      </c>
      <c r="J745">
        <v>0.79671223958333304</v>
      </c>
      <c r="K745">
        <v>0</v>
      </c>
      <c r="L745">
        <v>0</v>
      </c>
      <c r="M745">
        <v>0</v>
      </c>
      <c r="N745">
        <v>0</v>
      </c>
      <c r="O745">
        <v>0</v>
      </c>
      <c r="P745">
        <v>0</v>
      </c>
      <c r="Q745">
        <v>0</v>
      </c>
      <c r="R745">
        <v>0</v>
      </c>
      <c r="S745">
        <v>0</v>
      </c>
      <c r="T745">
        <v>0.79671223958333304</v>
      </c>
      <c r="U745">
        <v>0.20328776041666696</v>
      </c>
      <c r="V745">
        <v>0</v>
      </c>
      <c r="W745">
        <v>0</v>
      </c>
      <c r="X745">
        <v>0</v>
      </c>
      <c r="Y745">
        <v>0</v>
      </c>
      <c r="Z745">
        <v>0</v>
      </c>
      <c r="AA745">
        <v>0</v>
      </c>
      <c r="AB745">
        <v>0</v>
      </c>
      <c r="AC745">
        <v>0</v>
      </c>
      <c r="AD745">
        <v>0</v>
      </c>
      <c r="AE745" t="s">
        <v>163</v>
      </c>
      <c r="AF745">
        <v>0</v>
      </c>
      <c r="AG745" t="s">
        <v>226</v>
      </c>
      <c r="AH745">
        <v>46313</v>
      </c>
      <c r="AI745" t="s">
        <v>149</v>
      </c>
    </row>
    <row r="746" spans="1:35" x14ac:dyDescent="0.25">
      <c r="A746" s="1">
        <v>46314</v>
      </c>
      <c r="B746" t="s">
        <v>13</v>
      </c>
      <c r="C746" t="s">
        <v>10</v>
      </c>
      <c r="D746">
        <v>2.3595505617977532</v>
      </c>
      <c r="E746">
        <v>0</v>
      </c>
      <c r="F746">
        <v>0</v>
      </c>
      <c r="G746">
        <v>1.8396139705882359</v>
      </c>
      <c r="H746">
        <v>0</v>
      </c>
      <c r="I746">
        <v>0</v>
      </c>
      <c r="J746">
        <v>0.7796459208683475</v>
      </c>
      <c r="K746">
        <v>0</v>
      </c>
      <c r="L746">
        <v>0</v>
      </c>
      <c r="M746">
        <v>0</v>
      </c>
      <c r="N746">
        <v>0</v>
      </c>
      <c r="O746">
        <v>0</v>
      </c>
      <c r="P746">
        <v>0</v>
      </c>
      <c r="Q746">
        <v>0</v>
      </c>
      <c r="R746">
        <v>0</v>
      </c>
      <c r="S746">
        <v>0</v>
      </c>
      <c r="T746">
        <v>0.7796459208683475</v>
      </c>
      <c r="U746">
        <v>0.2203540791316525</v>
      </c>
      <c r="V746">
        <v>0</v>
      </c>
      <c r="W746">
        <v>0</v>
      </c>
      <c r="X746">
        <v>0</v>
      </c>
      <c r="Y746">
        <v>0</v>
      </c>
      <c r="Z746">
        <v>0</v>
      </c>
      <c r="AA746">
        <v>0</v>
      </c>
      <c r="AB746">
        <v>0</v>
      </c>
      <c r="AC746">
        <v>0</v>
      </c>
      <c r="AD746">
        <v>0</v>
      </c>
      <c r="AE746" t="s">
        <v>163</v>
      </c>
      <c r="AF746">
        <v>0</v>
      </c>
      <c r="AG746" t="s">
        <v>229</v>
      </c>
      <c r="AH746">
        <v>46314</v>
      </c>
      <c r="AI746" t="s">
        <v>149</v>
      </c>
    </row>
    <row r="747" spans="1:35" x14ac:dyDescent="0.25">
      <c r="A747" s="1">
        <v>46314</v>
      </c>
      <c r="B747" t="s">
        <v>13</v>
      </c>
      <c r="C747" t="s">
        <v>11</v>
      </c>
      <c r="D747">
        <v>1.7977528089887642</v>
      </c>
      <c r="E747">
        <v>0</v>
      </c>
      <c r="F747">
        <v>0</v>
      </c>
      <c r="G747">
        <v>6.2745098039215685E-2</v>
      </c>
      <c r="H747">
        <v>0</v>
      </c>
      <c r="I747">
        <v>0</v>
      </c>
      <c r="J747">
        <v>3.4901960784313721E-2</v>
      </c>
      <c r="K747">
        <v>0</v>
      </c>
      <c r="L747">
        <v>0</v>
      </c>
      <c r="M747">
        <v>0</v>
      </c>
      <c r="N747">
        <v>0</v>
      </c>
      <c r="O747">
        <v>0</v>
      </c>
      <c r="P747">
        <v>0</v>
      </c>
      <c r="Q747">
        <v>0</v>
      </c>
      <c r="R747">
        <v>0</v>
      </c>
      <c r="S747">
        <v>0</v>
      </c>
      <c r="T747">
        <v>3.4901960784313721E-2</v>
      </c>
      <c r="U747">
        <v>0.96509803921568627</v>
      </c>
      <c r="V747">
        <v>0</v>
      </c>
      <c r="W747">
        <v>0</v>
      </c>
      <c r="X747">
        <v>0</v>
      </c>
      <c r="Y747">
        <v>0</v>
      </c>
      <c r="Z747">
        <v>0</v>
      </c>
      <c r="AA747">
        <v>0</v>
      </c>
      <c r="AB747">
        <v>0</v>
      </c>
      <c r="AC747">
        <v>0</v>
      </c>
      <c r="AD747">
        <v>0</v>
      </c>
      <c r="AE747" t="s">
        <v>163</v>
      </c>
      <c r="AF747">
        <v>0</v>
      </c>
      <c r="AG747" t="s">
        <v>228</v>
      </c>
      <c r="AH747">
        <v>46314</v>
      </c>
      <c r="AI747" t="s">
        <v>149</v>
      </c>
    </row>
    <row r="748" spans="1:35" x14ac:dyDescent="0.25">
      <c r="A748" s="1">
        <v>46314</v>
      </c>
      <c r="B748" t="s">
        <v>13</v>
      </c>
      <c r="C748" t="s">
        <v>12</v>
      </c>
      <c r="D748">
        <v>2.538003965631197</v>
      </c>
      <c r="E748">
        <v>0</v>
      </c>
      <c r="F748">
        <v>0</v>
      </c>
      <c r="G748">
        <v>1.8823529411764703</v>
      </c>
      <c r="H748">
        <v>0</v>
      </c>
      <c r="I748">
        <v>0</v>
      </c>
      <c r="J748">
        <v>0.74166666666666636</v>
      </c>
      <c r="K748">
        <v>0</v>
      </c>
      <c r="L748">
        <v>0</v>
      </c>
      <c r="M748">
        <v>0</v>
      </c>
      <c r="N748">
        <v>0</v>
      </c>
      <c r="O748">
        <v>0</v>
      </c>
      <c r="P748">
        <v>0</v>
      </c>
      <c r="Q748">
        <v>0</v>
      </c>
      <c r="R748">
        <v>0</v>
      </c>
      <c r="S748">
        <v>0</v>
      </c>
      <c r="T748">
        <v>0.74166666666666636</v>
      </c>
      <c r="U748">
        <v>0.25833333333333364</v>
      </c>
      <c r="V748">
        <v>0</v>
      </c>
      <c r="W748">
        <v>0</v>
      </c>
      <c r="X748">
        <v>0</v>
      </c>
      <c r="Y748">
        <v>0</v>
      </c>
      <c r="Z748">
        <v>0</v>
      </c>
      <c r="AA748">
        <v>0</v>
      </c>
      <c r="AB748">
        <v>0</v>
      </c>
      <c r="AC748">
        <v>0</v>
      </c>
      <c r="AD748">
        <v>0</v>
      </c>
      <c r="AE748" t="s">
        <v>163</v>
      </c>
      <c r="AF748">
        <v>0</v>
      </c>
      <c r="AG748" t="s">
        <v>227</v>
      </c>
      <c r="AH748">
        <v>46314</v>
      </c>
      <c r="AI748" t="s">
        <v>149</v>
      </c>
    </row>
    <row r="749" spans="1:35" x14ac:dyDescent="0.25">
      <c r="A749" s="1">
        <v>46315</v>
      </c>
      <c r="B749" t="s">
        <v>13</v>
      </c>
      <c r="C749" t="s">
        <v>10</v>
      </c>
      <c r="D749">
        <v>2.3595505617977532</v>
      </c>
      <c r="E749">
        <v>0</v>
      </c>
      <c r="F749">
        <v>0</v>
      </c>
      <c r="G749">
        <v>1.6911764705882355</v>
      </c>
      <c r="H749">
        <v>0</v>
      </c>
      <c r="I749">
        <v>0</v>
      </c>
      <c r="J749">
        <v>0.71673669467787116</v>
      </c>
      <c r="K749">
        <v>0</v>
      </c>
      <c r="L749">
        <v>0</v>
      </c>
      <c r="M749">
        <v>0</v>
      </c>
      <c r="N749">
        <v>0</v>
      </c>
      <c r="O749">
        <v>0</v>
      </c>
      <c r="P749">
        <v>0</v>
      </c>
      <c r="Q749">
        <v>0</v>
      </c>
      <c r="R749">
        <v>0</v>
      </c>
      <c r="S749">
        <v>0</v>
      </c>
      <c r="T749">
        <v>0.71673669467787116</v>
      </c>
      <c r="U749">
        <v>0.28326330532212884</v>
      </c>
      <c r="V749">
        <v>0</v>
      </c>
      <c r="W749">
        <v>0</v>
      </c>
      <c r="X749">
        <v>0</v>
      </c>
      <c r="Y749">
        <v>0</v>
      </c>
      <c r="Z749">
        <v>0</v>
      </c>
      <c r="AA749">
        <v>0</v>
      </c>
      <c r="AB749">
        <v>0</v>
      </c>
      <c r="AC749">
        <v>0</v>
      </c>
      <c r="AD749">
        <v>0</v>
      </c>
      <c r="AE749" t="s">
        <v>163</v>
      </c>
      <c r="AF749">
        <v>0</v>
      </c>
      <c r="AG749" t="s">
        <v>230</v>
      </c>
      <c r="AH749">
        <v>46315</v>
      </c>
      <c r="AI749" t="s">
        <v>149</v>
      </c>
    </row>
    <row r="750" spans="1:35" x14ac:dyDescent="0.25">
      <c r="A750" s="1">
        <v>46315</v>
      </c>
      <c r="B750" t="s">
        <v>13</v>
      </c>
      <c r="C750" t="s">
        <v>11</v>
      </c>
      <c r="D750">
        <v>1.7977528089887642</v>
      </c>
      <c r="E750">
        <v>0</v>
      </c>
      <c r="F750">
        <v>0</v>
      </c>
      <c r="G750">
        <v>1.0127450980392154</v>
      </c>
      <c r="H750">
        <v>0</v>
      </c>
      <c r="I750">
        <v>0</v>
      </c>
      <c r="J750">
        <v>0.56333946078431352</v>
      </c>
      <c r="K750">
        <v>0</v>
      </c>
      <c r="L750">
        <v>0</v>
      </c>
      <c r="M750">
        <v>0</v>
      </c>
      <c r="N750">
        <v>0</v>
      </c>
      <c r="O750">
        <v>0</v>
      </c>
      <c r="P750">
        <v>0</v>
      </c>
      <c r="Q750">
        <v>0</v>
      </c>
      <c r="R750">
        <v>0</v>
      </c>
      <c r="S750">
        <v>0</v>
      </c>
      <c r="T750">
        <v>0.56333946078431352</v>
      </c>
      <c r="U750">
        <v>0.43666053921568648</v>
      </c>
      <c r="V750">
        <v>0</v>
      </c>
      <c r="W750">
        <v>0</v>
      </c>
      <c r="X750">
        <v>0</v>
      </c>
      <c r="Y750">
        <v>0</v>
      </c>
      <c r="Z750">
        <v>0</v>
      </c>
      <c r="AA750">
        <v>0</v>
      </c>
      <c r="AB750">
        <v>0</v>
      </c>
      <c r="AC750">
        <v>0</v>
      </c>
      <c r="AD750">
        <v>0</v>
      </c>
      <c r="AE750" t="s">
        <v>163</v>
      </c>
      <c r="AF750">
        <v>0</v>
      </c>
      <c r="AG750" t="s">
        <v>231</v>
      </c>
      <c r="AH750">
        <v>46315</v>
      </c>
      <c r="AI750" t="s">
        <v>149</v>
      </c>
    </row>
    <row r="751" spans="1:35" x14ac:dyDescent="0.25">
      <c r="A751" s="1">
        <v>46315</v>
      </c>
      <c r="B751" t="s">
        <v>13</v>
      </c>
      <c r="C751" t="s">
        <v>12</v>
      </c>
      <c r="D751">
        <v>2.538003965631197</v>
      </c>
      <c r="E751">
        <v>0</v>
      </c>
      <c r="F751">
        <v>0</v>
      </c>
      <c r="G751">
        <v>2.0220588235294117</v>
      </c>
      <c r="H751">
        <v>0</v>
      </c>
      <c r="I751">
        <v>0</v>
      </c>
      <c r="J751">
        <v>0.79671223958333304</v>
      </c>
      <c r="K751">
        <v>0</v>
      </c>
      <c r="L751">
        <v>0</v>
      </c>
      <c r="M751">
        <v>0</v>
      </c>
      <c r="N751">
        <v>0</v>
      </c>
      <c r="O751">
        <v>0</v>
      </c>
      <c r="P751">
        <v>0</v>
      </c>
      <c r="Q751">
        <v>0</v>
      </c>
      <c r="R751">
        <v>0</v>
      </c>
      <c r="S751">
        <v>0</v>
      </c>
      <c r="T751">
        <v>0.79671223958333304</v>
      </c>
      <c r="U751">
        <v>0.20328776041666696</v>
      </c>
      <c r="V751">
        <v>0</v>
      </c>
      <c r="W751">
        <v>0</v>
      </c>
      <c r="X751">
        <v>0</v>
      </c>
      <c r="Y751">
        <v>0</v>
      </c>
      <c r="Z751">
        <v>0</v>
      </c>
      <c r="AA751">
        <v>0</v>
      </c>
      <c r="AB751">
        <v>0</v>
      </c>
      <c r="AC751">
        <v>0</v>
      </c>
      <c r="AD751">
        <v>0</v>
      </c>
      <c r="AE751" t="s">
        <v>163</v>
      </c>
      <c r="AF751">
        <v>0</v>
      </c>
      <c r="AG751" t="s">
        <v>232</v>
      </c>
      <c r="AH751">
        <v>46315</v>
      </c>
      <c r="AI751" t="s">
        <v>149</v>
      </c>
    </row>
    <row r="752" spans="1:35" x14ac:dyDescent="0.25">
      <c r="A752" s="1">
        <v>46316</v>
      </c>
      <c r="B752" t="s">
        <v>13</v>
      </c>
      <c r="C752" t="s">
        <v>12</v>
      </c>
      <c r="D752">
        <v>2.538003965631197</v>
      </c>
      <c r="E752">
        <v>0</v>
      </c>
      <c r="F752">
        <v>0</v>
      </c>
      <c r="G752">
        <v>2.0484429065743939</v>
      </c>
      <c r="H752">
        <v>0</v>
      </c>
      <c r="I752">
        <v>0</v>
      </c>
      <c r="J752">
        <v>0.80710784313725448</v>
      </c>
      <c r="K752">
        <v>0</v>
      </c>
      <c r="L752">
        <v>0</v>
      </c>
      <c r="M752">
        <v>0</v>
      </c>
      <c r="N752">
        <v>0</v>
      </c>
      <c r="O752">
        <v>0</v>
      </c>
      <c r="P752">
        <v>0</v>
      </c>
      <c r="Q752">
        <v>0</v>
      </c>
      <c r="R752">
        <v>0</v>
      </c>
      <c r="S752">
        <v>0</v>
      </c>
      <c r="T752">
        <v>0.80710784313725448</v>
      </c>
      <c r="U752">
        <v>0.19289215686274552</v>
      </c>
      <c r="V752">
        <v>0</v>
      </c>
      <c r="W752">
        <v>0</v>
      </c>
      <c r="X752">
        <v>0</v>
      </c>
      <c r="Y752">
        <v>0</v>
      </c>
      <c r="Z752">
        <v>0</v>
      </c>
      <c r="AA752">
        <v>0</v>
      </c>
      <c r="AB752">
        <v>0</v>
      </c>
      <c r="AC752">
        <v>0</v>
      </c>
      <c r="AD752">
        <v>0</v>
      </c>
      <c r="AE752" t="s">
        <v>163</v>
      </c>
      <c r="AF752">
        <v>0</v>
      </c>
      <c r="AG752" t="s">
        <v>233</v>
      </c>
      <c r="AH752">
        <v>46316</v>
      </c>
      <c r="AI752" t="s">
        <v>149</v>
      </c>
    </row>
    <row r="753" spans="1:35" x14ac:dyDescent="0.25">
      <c r="A753" s="1">
        <v>46316</v>
      </c>
      <c r="B753" t="s">
        <v>13</v>
      </c>
      <c r="C753" t="s">
        <v>11</v>
      </c>
      <c r="D753">
        <v>1.7977528089887642</v>
      </c>
      <c r="E753">
        <v>0</v>
      </c>
      <c r="F753">
        <v>0</v>
      </c>
      <c r="G753">
        <v>6.2745098039215685E-2</v>
      </c>
      <c r="H753">
        <v>0</v>
      </c>
      <c r="I753">
        <v>0</v>
      </c>
      <c r="J753">
        <v>3.4901960784313721E-2</v>
      </c>
      <c r="K753">
        <v>0</v>
      </c>
      <c r="L753">
        <v>0</v>
      </c>
      <c r="M753">
        <v>0</v>
      </c>
      <c r="N753">
        <v>0</v>
      </c>
      <c r="O753">
        <v>0</v>
      </c>
      <c r="P753">
        <v>0</v>
      </c>
      <c r="Q753">
        <v>0</v>
      </c>
      <c r="R753">
        <v>0</v>
      </c>
      <c r="S753">
        <v>0</v>
      </c>
      <c r="T753">
        <v>3.4901960784313721E-2</v>
      </c>
      <c r="U753">
        <v>0.96509803921568627</v>
      </c>
      <c r="V753">
        <v>0</v>
      </c>
      <c r="W753">
        <v>0</v>
      </c>
      <c r="X753">
        <v>0</v>
      </c>
      <c r="Y753">
        <v>0</v>
      </c>
      <c r="Z753">
        <v>0</v>
      </c>
      <c r="AA753">
        <v>0</v>
      </c>
      <c r="AB753">
        <v>0</v>
      </c>
      <c r="AC753">
        <v>0</v>
      </c>
      <c r="AD753">
        <v>0</v>
      </c>
      <c r="AE753" t="s">
        <v>163</v>
      </c>
      <c r="AF753">
        <v>0</v>
      </c>
      <c r="AG753" t="s">
        <v>234</v>
      </c>
      <c r="AH753">
        <v>46316</v>
      </c>
      <c r="AI753" t="s">
        <v>149</v>
      </c>
    </row>
    <row r="754" spans="1:35" x14ac:dyDescent="0.25">
      <c r="A754" s="1">
        <v>46316</v>
      </c>
      <c r="B754" t="s">
        <v>13</v>
      </c>
      <c r="C754" t="s">
        <v>10</v>
      </c>
      <c r="D754">
        <v>2.6966292134831469</v>
      </c>
      <c r="E754">
        <v>0</v>
      </c>
      <c r="F754">
        <v>0</v>
      </c>
      <c r="G754">
        <v>1.9131433823529416</v>
      </c>
      <c r="H754">
        <v>0</v>
      </c>
      <c r="I754">
        <v>0</v>
      </c>
      <c r="J754">
        <v>0.70945733762254892</v>
      </c>
      <c r="K754">
        <v>0</v>
      </c>
      <c r="L754">
        <v>0</v>
      </c>
      <c r="M754">
        <v>0</v>
      </c>
      <c r="N754">
        <v>0</v>
      </c>
      <c r="O754">
        <v>0</v>
      </c>
      <c r="P754">
        <v>0</v>
      </c>
      <c r="Q754">
        <v>0</v>
      </c>
      <c r="R754">
        <v>0</v>
      </c>
      <c r="S754">
        <v>0</v>
      </c>
      <c r="T754">
        <v>0.70945733762254892</v>
      </c>
      <c r="U754">
        <v>0.29054266237745108</v>
      </c>
      <c r="V754">
        <v>0</v>
      </c>
      <c r="W754">
        <v>0</v>
      </c>
      <c r="X754">
        <v>0</v>
      </c>
      <c r="Y754">
        <v>0</v>
      </c>
      <c r="Z754">
        <v>0</v>
      </c>
      <c r="AA754">
        <v>0</v>
      </c>
      <c r="AB754">
        <v>0</v>
      </c>
      <c r="AC754">
        <v>0</v>
      </c>
      <c r="AD754">
        <v>0</v>
      </c>
      <c r="AE754" t="s">
        <v>163</v>
      </c>
      <c r="AF754">
        <v>0</v>
      </c>
      <c r="AG754" t="s">
        <v>235</v>
      </c>
      <c r="AH754">
        <v>46316</v>
      </c>
      <c r="AI754" t="s">
        <v>149</v>
      </c>
    </row>
    <row r="755" spans="1:35" x14ac:dyDescent="0.25">
      <c r="A755" s="1">
        <v>46317</v>
      </c>
      <c r="B755" t="s">
        <v>13</v>
      </c>
      <c r="C755" t="s">
        <v>10</v>
      </c>
      <c r="D755">
        <v>2.3595505617977532</v>
      </c>
      <c r="E755">
        <v>0</v>
      </c>
      <c r="F755">
        <v>0</v>
      </c>
      <c r="G755">
        <v>1.6911764705882355</v>
      </c>
      <c r="H755">
        <v>0</v>
      </c>
      <c r="I755">
        <v>0</v>
      </c>
      <c r="J755">
        <v>0.71673669467787116</v>
      </c>
      <c r="K755">
        <v>0</v>
      </c>
      <c r="L755">
        <v>0</v>
      </c>
      <c r="M755">
        <v>0</v>
      </c>
      <c r="N755">
        <v>0</v>
      </c>
      <c r="O755">
        <v>0</v>
      </c>
      <c r="P755">
        <v>0</v>
      </c>
      <c r="Q755">
        <v>0</v>
      </c>
      <c r="R755">
        <v>0</v>
      </c>
      <c r="S755">
        <v>0</v>
      </c>
      <c r="T755">
        <v>0.71673669467787116</v>
      </c>
      <c r="U755">
        <v>0.28326330532212884</v>
      </c>
      <c r="V755">
        <v>0</v>
      </c>
      <c r="W755">
        <v>0</v>
      </c>
      <c r="X755">
        <v>0</v>
      </c>
      <c r="Y755">
        <v>0</v>
      </c>
      <c r="Z755">
        <v>0</v>
      </c>
      <c r="AA755">
        <v>0</v>
      </c>
      <c r="AB755">
        <v>0</v>
      </c>
      <c r="AC755">
        <v>0</v>
      </c>
      <c r="AD755">
        <v>0</v>
      </c>
      <c r="AE755" t="s">
        <v>163</v>
      </c>
      <c r="AF755">
        <v>0</v>
      </c>
      <c r="AG755" t="s">
        <v>236</v>
      </c>
      <c r="AH755">
        <v>46317</v>
      </c>
      <c r="AI755" t="s">
        <v>149</v>
      </c>
    </row>
    <row r="756" spans="1:35" x14ac:dyDescent="0.25">
      <c r="A756" s="1">
        <v>46317</v>
      </c>
      <c r="B756" t="s">
        <v>13</v>
      </c>
      <c r="C756" t="s">
        <v>11</v>
      </c>
      <c r="D756">
        <v>1.7977528089887642</v>
      </c>
      <c r="E756">
        <v>0</v>
      </c>
      <c r="F756">
        <v>0</v>
      </c>
      <c r="G756">
        <v>1.0127450980392154</v>
      </c>
      <c r="H756">
        <v>0</v>
      </c>
      <c r="I756">
        <v>0</v>
      </c>
      <c r="J756">
        <v>0.56333946078431352</v>
      </c>
      <c r="K756">
        <v>0</v>
      </c>
      <c r="L756">
        <v>0</v>
      </c>
      <c r="M756">
        <v>0</v>
      </c>
      <c r="N756">
        <v>0</v>
      </c>
      <c r="O756">
        <v>0</v>
      </c>
      <c r="P756">
        <v>0</v>
      </c>
      <c r="Q756">
        <v>0</v>
      </c>
      <c r="R756">
        <v>0</v>
      </c>
      <c r="S756">
        <v>0</v>
      </c>
      <c r="T756">
        <v>0.56333946078431352</v>
      </c>
      <c r="U756">
        <v>0.43666053921568648</v>
      </c>
      <c r="V756">
        <v>0</v>
      </c>
      <c r="W756">
        <v>0</v>
      </c>
      <c r="X756">
        <v>0</v>
      </c>
      <c r="Y756">
        <v>0</v>
      </c>
      <c r="Z756">
        <v>0</v>
      </c>
      <c r="AA756">
        <v>0</v>
      </c>
      <c r="AB756">
        <v>0</v>
      </c>
      <c r="AC756">
        <v>0</v>
      </c>
      <c r="AD756">
        <v>0</v>
      </c>
      <c r="AE756" t="s">
        <v>163</v>
      </c>
      <c r="AF756">
        <v>0</v>
      </c>
      <c r="AG756" t="s">
        <v>237</v>
      </c>
      <c r="AH756">
        <v>46317</v>
      </c>
      <c r="AI756" t="s">
        <v>149</v>
      </c>
    </row>
    <row r="757" spans="1:35" x14ac:dyDescent="0.25">
      <c r="A757" s="1">
        <v>46317</v>
      </c>
      <c r="B757" t="s">
        <v>13</v>
      </c>
      <c r="C757" t="s">
        <v>12</v>
      </c>
      <c r="D757">
        <v>2.538003965631197</v>
      </c>
      <c r="E757">
        <v>0</v>
      </c>
      <c r="F757">
        <v>0</v>
      </c>
      <c r="G757">
        <v>2.0220588235294117</v>
      </c>
      <c r="H757">
        <v>0</v>
      </c>
      <c r="I757">
        <v>0</v>
      </c>
      <c r="J757">
        <v>0.79671223958333304</v>
      </c>
      <c r="K757">
        <v>0</v>
      </c>
      <c r="L757">
        <v>0</v>
      </c>
      <c r="M757">
        <v>0</v>
      </c>
      <c r="N757">
        <v>0</v>
      </c>
      <c r="O757">
        <v>0</v>
      </c>
      <c r="P757">
        <v>0</v>
      </c>
      <c r="Q757">
        <v>0</v>
      </c>
      <c r="R757">
        <v>0</v>
      </c>
      <c r="S757">
        <v>0</v>
      </c>
      <c r="T757">
        <v>0.79671223958333304</v>
      </c>
      <c r="U757">
        <v>0.20328776041666696</v>
      </c>
      <c r="V757">
        <v>0</v>
      </c>
      <c r="W757">
        <v>0</v>
      </c>
      <c r="X757">
        <v>0</v>
      </c>
      <c r="Y757">
        <v>0</v>
      </c>
      <c r="Z757">
        <v>0</v>
      </c>
      <c r="AA757">
        <v>0</v>
      </c>
      <c r="AB757">
        <v>0</v>
      </c>
      <c r="AC757">
        <v>0</v>
      </c>
      <c r="AD757">
        <v>0</v>
      </c>
      <c r="AE757" t="s">
        <v>163</v>
      </c>
      <c r="AF757">
        <v>0</v>
      </c>
      <c r="AG757" t="s">
        <v>238</v>
      </c>
      <c r="AH757">
        <v>46317</v>
      </c>
      <c r="AI757" t="s">
        <v>149</v>
      </c>
    </row>
    <row r="758" spans="1:35" x14ac:dyDescent="0.25">
      <c r="A758" s="1">
        <v>46318</v>
      </c>
      <c r="B758" t="s">
        <v>13</v>
      </c>
      <c r="C758" t="s">
        <v>10</v>
      </c>
      <c r="D758">
        <v>2.3595505617977532</v>
      </c>
      <c r="E758">
        <v>0</v>
      </c>
      <c r="F758">
        <v>0</v>
      </c>
      <c r="G758">
        <v>1.8396139705882359</v>
      </c>
      <c r="H758">
        <v>0</v>
      </c>
      <c r="I758">
        <v>0</v>
      </c>
      <c r="J758">
        <v>0.7796459208683475</v>
      </c>
      <c r="K758">
        <v>0</v>
      </c>
      <c r="L758">
        <v>0</v>
      </c>
      <c r="M758">
        <v>0</v>
      </c>
      <c r="N758">
        <v>0</v>
      </c>
      <c r="O758">
        <v>0</v>
      </c>
      <c r="P758">
        <v>0</v>
      </c>
      <c r="Q758">
        <v>0</v>
      </c>
      <c r="R758">
        <v>0</v>
      </c>
      <c r="S758">
        <v>0</v>
      </c>
      <c r="T758">
        <v>0.7796459208683475</v>
      </c>
      <c r="U758">
        <v>0.2203540791316525</v>
      </c>
      <c r="V758">
        <v>0</v>
      </c>
      <c r="W758">
        <v>0</v>
      </c>
      <c r="X758">
        <v>0</v>
      </c>
      <c r="Y758">
        <v>0</v>
      </c>
      <c r="Z758">
        <v>0</v>
      </c>
      <c r="AA758">
        <v>0</v>
      </c>
      <c r="AB758">
        <v>0</v>
      </c>
      <c r="AC758">
        <v>0</v>
      </c>
      <c r="AD758">
        <v>0</v>
      </c>
      <c r="AE758" t="s">
        <v>163</v>
      </c>
      <c r="AF758">
        <v>0</v>
      </c>
      <c r="AG758" t="s">
        <v>239</v>
      </c>
      <c r="AH758">
        <v>46318</v>
      </c>
      <c r="AI758" t="s">
        <v>149</v>
      </c>
    </row>
    <row r="759" spans="1:35" x14ac:dyDescent="0.25">
      <c r="A759" s="1">
        <v>46318</v>
      </c>
      <c r="B759" t="s">
        <v>13</v>
      </c>
      <c r="C759" t="s">
        <v>11</v>
      </c>
      <c r="D759">
        <v>1.7977528089887642</v>
      </c>
      <c r="E759">
        <v>0</v>
      </c>
      <c r="F759">
        <v>0</v>
      </c>
      <c r="G759">
        <v>1.0127450980392154</v>
      </c>
      <c r="H759">
        <v>0</v>
      </c>
      <c r="I759">
        <v>0</v>
      </c>
      <c r="J759">
        <v>0.56333946078431352</v>
      </c>
      <c r="K759">
        <v>0</v>
      </c>
      <c r="L759">
        <v>0</v>
      </c>
      <c r="M759">
        <v>0</v>
      </c>
      <c r="N759">
        <v>0</v>
      </c>
      <c r="O759">
        <v>0</v>
      </c>
      <c r="P759">
        <v>0</v>
      </c>
      <c r="Q759">
        <v>0</v>
      </c>
      <c r="R759">
        <v>0</v>
      </c>
      <c r="S759">
        <v>0</v>
      </c>
      <c r="T759">
        <v>0.56333946078431352</v>
      </c>
      <c r="U759">
        <v>0.43666053921568648</v>
      </c>
      <c r="V759">
        <v>0</v>
      </c>
      <c r="W759">
        <v>0</v>
      </c>
      <c r="X759">
        <v>0</v>
      </c>
      <c r="Y759">
        <v>0</v>
      </c>
      <c r="Z759">
        <v>0</v>
      </c>
      <c r="AA759">
        <v>0</v>
      </c>
      <c r="AB759">
        <v>0</v>
      </c>
      <c r="AC759">
        <v>0</v>
      </c>
      <c r="AD759">
        <v>0</v>
      </c>
      <c r="AE759" t="s">
        <v>163</v>
      </c>
      <c r="AF759">
        <v>0</v>
      </c>
      <c r="AG759" t="s">
        <v>240</v>
      </c>
      <c r="AH759">
        <v>46318</v>
      </c>
      <c r="AI759" t="s">
        <v>149</v>
      </c>
    </row>
    <row r="760" spans="1:35" x14ac:dyDescent="0.25">
      <c r="A760" s="1">
        <v>46318</v>
      </c>
      <c r="B760" t="s">
        <v>13</v>
      </c>
      <c r="C760" t="s">
        <v>12</v>
      </c>
      <c r="D760">
        <v>2.538003965631197</v>
      </c>
      <c r="E760">
        <v>0</v>
      </c>
      <c r="F760">
        <v>0</v>
      </c>
      <c r="G760">
        <v>2.0220588235294117</v>
      </c>
      <c r="H760">
        <v>0</v>
      </c>
      <c r="I760">
        <v>0</v>
      </c>
      <c r="J760">
        <v>0.79671223958333304</v>
      </c>
      <c r="K760">
        <v>0</v>
      </c>
      <c r="L760">
        <v>0</v>
      </c>
      <c r="M760">
        <v>0</v>
      </c>
      <c r="N760">
        <v>0</v>
      </c>
      <c r="O760">
        <v>0</v>
      </c>
      <c r="P760">
        <v>0</v>
      </c>
      <c r="Q760">
        <v>0</v>
      </c>
      <c r="R760">
        <v>0</v>
      </c>
      <c r="S760">
        <v>0</v>
      </c>
      <c r="T760">
        <v>0.79671223958333304</v>
      </c>
      <c r="U760">
        <v>0.20328776041666696</v>
      </c>
      <c r="V760">
        <v>0</v>
      </c>
      <c r="W760">
        <v>0</v>
      </c>
      <c r="X760">
        <v>0</v>
      </c>
      <c r="Y760">
        <v>0</v>
      </c>
      <c r="Z760">
        <v>0</v>
      </c>
      <c r="AA760">
        <v>0</v>
      </c>
      <c r="AB760">
        <v>0</v>
      </c>
      <c r="AC760">
        <v>0</v>
      </c>
      <c r="AD760">
        <v>0</v>
      </c>
      <c r="AE760" t="s">
        <v>163</v>
      </c>
      <c r="AF760">
        <v>0</v>
      </c>
      <c r="AG760" t="s">
        <v>241</v>
      </c>
      <c r="AH760">
        <v>46318</v>
      </c>
      <c r="AI760" t="s">
        <v>149</v>
      </c>
    </row>
    <row r="761" spans="1:35" x14ac:dyDescent="0.25">
      <c r="A761" s="1">
        <v>46319</v>
      </c>
      <c r="B761" t="s">
        <v>13</v>
      </c>
      <c r="C761" t="s">
        <v>12</v>
      </c>
      <c r="D761">
        <v>2.538003965631197</v>
      </c>
      <c r="E761">
        <v>0</v>
      </c>
      <c r="F761">
        <v>0</v>
      </c>
      <c r="G761">
        <v>2.188148788927335</v>
      </c>
      <c r="H761">
        <v>0</v>
      </c>
      <c r="I761">
        <v>0</v>
      </c>
      <c r="J761">
        <v>0.86215341605392104</v>
      </c>
      <c r="K761">
        <v>0</v>
      </c>
      <c r="L761">
        <v>0</v>
      </c>
      <c r="M761">
        <v>0</v>
      </c>
      <c r="N761">
        <v>0</v>
      </c>
      <c r="O761">
        <v>0</v>
      </c>
      <c r="P761">
        <v>0</v>
      </c>
      <c r="Q761">
        <v>0</v>
      </c>
      <c r="R761">
        <v>0</v>
      </c>
      <c r="S761">
        <v>0</v>
      </c>
      <c r="T761">
        <v>0.86215341605392104</v>
      </c>
      <c r="U761">
        <v>0.13784658394607896</v>
      </c>
      <c r="V761">
        <v>0</v>
      </c>
      <c r="W761">
        <v>0</v>
      </c>
      <c r="X761">
        <v>0</v>
      </c>
      <c r="Y761">
        <v>0</v>
      </c>
      <c r="Z761">
        <v>0</v>
      </c>
      <c r="AA761">
        <v>0</v>
      </c>
      <c r="AB761">
        <v>0</v>
      </c>
      <c r="AC761">
        <v>0</v>
      </c>
      <c r="AD761">
        <v>0</v>
      </c>
      <c r="AE761" t="s">
        <v>163</v>
      </c>
      <c r="AF761">
        <v>0</v>
      </c>
      <c r="AG761" t="s">
        <v>242</v>
      </c>
      <c r="AH761">
        <v>46319</v>
      </c>
      <c r="AI761" t="s">
        <v>149</v>
      </c>
    </row>
    <row r="762" spans="1:35" x14ac:dyDescent="0.25">
      <c r="A762" s="1">
        <v>46319</v>
      </c>
      <c r="B762" t="s">
        <v>13</v>
      </c>
      <c r="C762" t="s">
        <v>10</v>
      </c>
      <c r="D762">
        <v>1.3483146067415734</v>
      </c>
      <c r="E762">
        <v>0</v>
      </c>
      <c r="F762">
        <v>0</v>
      </c>
      <c r="G762">
        <v>1.9131433823529416</v>
      </c>
      <c r="H762">
        <v>0</v>
      </c>
      <c r="I762">
        <v>0</v>
      </c>
      <c r="J762">
        <v>1.4189146752450978</v>
      </c>
      <c r="K762">
        <v>0.41891467524509785</v>
      </c>
      <c r="L762">
        <v>0</v>
      </c>
      <c r="M762">
        <v>0</v>
      </c>
      <c r="N762">
        <v>0</v>
      </c>
      <c r="O762">
        <v>0</v>
      </c>
      <c r="P762">
        <v>0</v>
      </c>
      <c r="Q762">
        <v>0</v>
      </c>
      <c r="R762">
        <v>0</v>
      </c>
      <c r="S762">
        <v>0</v>
      </c>
      <c r="T762">
        <v>0</v>
      </c>
      <c r="U762">
        <v>0</v>
      </c>
      <c r="V762">
        <v>0</v>
      </c>
      <c r="W762">
        <v>0</v>
      </c>
      <c r="X762">
        <v>0</v>
      </c>
      <c r="Y762">
        <v>0</v>
      </c>
      <c r="Z762">
        <v>0</v>
      </c>
      <c r="AA762">
        <v>0</v>
      </c>
      <c r="AB762">
        <v>0</v>
      </c>
      <c r="AC762">
        <v>1</v>
      </c>
      <c r="AD762">
        <v>0</v>
      </c>
      <c r="AE762" t="s">
        <v>163</v>
      </c>
      <c r="AF762">
        <v>0</v>
      </c>
      <c r="AG762" t="s">
        <v>244</v>
      </c>
      <c r="AH762">
        <v>46319</v>
      </c>
      <c r="AI762" t="s">
        <v>149</v>
      </c>
    </row>
    <row r="763" spans="1:35" x14ac:dyDescent="0.25">
      <c r="A763" s="1">
        <v>46319</v>
      </c>
      <c r="B763" t="s">
        <v>13</v>
      </c>
      <c r="C763" t="s">
        <v>11</v>
      </c>
      <c r="D763">
        <v>1.7977528089887642</v>
      </c>
      <c r="E763">
        <v>0</v>
      </c>
      <c r="F763">
        <v>0</v>
      </c>
      <c r="G763">
        <v>1.0127450980392154</v>
      </c>
      <c r="H763">
        <v>0</v>
      </c>
      <c r="I763">
        <v>0</v>
      </c>
      <c r="J763">
        <v>0.56333946078431352</v>
      </c>
      <c r="K763">
        <v>0</v>
      </c>
      <c r="L763">
        <v>0</v>
      </c>
      <c r="M763">
        <v>0</v>
      </c>
      <c r="N763">
        <v>0</v>
      </c>
      <c r="O763">
        <v>0</v>
      </c>
      <c r="P763">
        <v>0</v>
      </c>
      <c r="Q763">
        <v>0</v>
      </c>
      <c r="R763">
        <v>0</v>
      </c>
      <c r="S763">
        <v>0</v>
      </c>
      <c r="T763">
        <v>0.56333946078431352</v>
      </c>
      <c r="U763">
        <v>0.43666053921568648</v>
      </c>
      <c r="V763">
        <v>0</v>
      </c>
      <c r="W763">
        <v>0</v>
      </c>
      <c r="X763">
        <v>0</v>
      </c>
      <c r="Y763">
        <v>0</v>
      </c>
      <c r="Z763">
        <v>0</v>
      </c>
      <c r="AA763">
        <v>0</v>
      </c>
      <c r="AB763">
        <v>0</v>
      </c>
      <c r="AC763">
        <v>0</v>
      </c>
      <c r="AD763">
        <v>0</v>
      </c>
      <c r="AE763" t="s">
        <v>163</v>
      </c>
      <c r="AF763">
        <v>0</v>
      </c>
      <c r="AG763" t="s">
        <v>243</v>
      </c>
      <c r="AH763">
        <v>46319</v>
      </c>
      <c r="AI763" t="s">
        <v>149</v>
      </c>
    </row>
    <row r="764" spans="1:35" x14ac:dyDescent="0.25">
      <c r="A764" s="1">
        <v>46320</v>
      </c>
      <c r="B764" t="s">
        <v>13</v>
      </c>
      <c r="C764" t="s">
        <v>11</v>
      </c>
      <c r="D764">
        <v>1.7977528089887642</v>
      </c>
      <c r="E764">
        <v>0</v>
      </c>
      <c r="F764">
        <v>0</v>
      </c>
      <c r="G764">
        <v>1.0127450980392154</v>
      </c>
      <c r="H764">
        <v>0</v>
      </c>
      <c r="I764">
        <v>0</v>
      </c>
      <c r="J764">
        <v>0.56333946078431352</v>
      </c>
      <c r="K764">
        <v>0</v>
      </c>
      <c r="L764">
        <v>0</v>
      </c>
      <c r="M764">
        <v>0</v>
      </c>
      <c r="N764">
        <v>0</v>
      </c>
      <c r="O764">
        <v>0</v>
      </c>
      <c r="P764">
        <v>0</v>
      </c>
      <c r="Q764">
        <v>0</v>
      </c>
      <c r="R764">
        <v>0</v>
      </c>
      <c r="S764">
        <v>0</v>
      </c>
      <c r="T764">
        <v>0.56333946078431352</v>
      </c>
      <c r="U764">
        <v>0.43666053921568648</v>
      </c>
      <c r="V764">
        <v>0</v>
      </c>
      <c r="W764">
        <v>0</v>
      </c>
      <c r="X764">
        <v>0</v>
      </c>
      <c r="Y764">
        <v>0</v>
      </c>
      <c r="Z764">
        <v>0</v>
      </c>
      <c r="AA764">
        <v>0</v>
      </c>
      <c r="AB764">
        <v>0</v>
      </c>
      <c r="AC764">
        <v>0</v>
      </c>
      <c r="AD764">
        <v>0</v>
      </c>
      <c r="AE764" t="s">
        <v>163</v>
      </c>
      <c r="AF764">
        <v>0</v>
      </c>
      <c r="AG764" t="s">
        <v>247</v>
      </c>
      <c r="AH764">
        <v>46320</v>
      </c>
      <c r="AI764" t="s">
        <v>149</v>
      </c>
    </row>
    <row r="765" spans="1:35" x14ac:dyDescent="0.25">
      <c r="A765" s="1">
        <v>46320</v>
      </c>
      <c r="B765" t="s">
        <v>13</v>
      </c>
      <c r="C765" t="s">
        <v>12</v>
      </c>
      <c r="D765">
        <v>2.538003965631197</v>
      </c>
      <c r="E765">
        <v>0</v>
      </c>
      <c r="F765">
        <v>0</v>
      </c>
      <c r="G765">
        <v>2.188148788927335</v>
      </c>
      <c r="H765">
        <v>0</v>
      </c>
      <c r="I765">
        <v>0</v>
      </c>
      <c r="J765">
        <v>0.86215341605392104</v>
      </c>
      <c r="K765">
        <v>0</v>
      </c>
      <c r="L765">
        <v>0</v>
      </c>
      <c r="M765">
        <v>0</v>
      </c>
      <c r="N765">
        <v>0</v>
      </c>
      <c r="O765">
        <v>0</v>
      </c>
      <c r="P765">
        <v>0</v>
      </c>
      <c r="Q765">
        <v>0</v>
      </c>
      <c r="R765">
        <v>0</v>
      </c>
      <c r="S765">
        <v>0</v>
      </c>
      <c r="T765">
        <v>0.86215341605392104</v>
      </c>
      <c r="U765">
        <v>0.13784658394607896</v>
      </c>
      <c r="V765">
        <v>0</v>
      </c>
      <c r="W765">
        <v>0</v>
      </c>
      <c r="X765">
        <v>0</v>
      </c>
      <c r="Y765">
        <v>0</v>
      </c>
      <c r="Z765">
        <v>0</v>
      </c>
      <c r="AA765">
        <v>0</v>
      </c>
      <c r="AB765">
        <v>0</v>
      </c>
      <c r="AC765">
        <v>0</v>
      </c>
      <c r="AD765">
        <v>0</v>
      </c>
      <c r="AE765" t="s">
        <v>163</v>
      </c>
      <c r="AF765">
        <v>0</v>
      </c>
      <c r="AG765" t="s">
        <v>245</v>
      </c>
      <c r="AH765">
        <v>46320</v>
      </c>
      <c r="AI765" t="s">
        <v>149</v>
      </c>
    </row>
    <row r="766" spans="1:35" x14ac:dyDescent="0.25">
      <c r="A766" s="1">
        <v>46320</v>
      </c>
      <c r="B766" t="s">
        <v>13</v>
      </c>
      <c r="C766" t="s">
        <v>10</v>
      </c>
      <c r="D766">
        <v>1.3483146067415734</v>
      </c>
      <c r="E766">
        <v>0</v>
      </c>
      <c r="F766">
        <v>0</v>
      </c>
      <c r="G766">
        <v>1.9131433823529416</v>
      </c>
      <c r="H766">
        <v>0</v>
      </c>
      <c r="I766">
        <v>0</v>
      </c>
      <c r="J766">
        <v>1.4189146752450978</v>
      </c>
      <c r="K766">
        <v>0.41891467524509785</v>
      </c>
      <c r="L766">
        <v>0</v>
      </c>
      <c r="M766">
        <v>0</v>
      </c>
      <c r="N766">
        <v>0</v>
      </c>
      <c r="O766">
        <v>0</v>
      </c>
      <c r="P766">
        <v>0</v>
      </c>
      <c r="Q766">
        <v>0</v>
      </c>
      <c r="R766">
        <v>0</v>
      </c>
      <c r="S766">
        <v>0</v>
      </c>
      <c r="T766">
        <v>0</v>
      </c>
      <c r="U766">
        <v>0</v>
      </c>
      <c r="V766">
        <v>0</v>
      </c>
      <c r="W766">
        <v>0</v>
      </c>
      <c r="X766">
        <v>0</v>
      </c>
      <c r="Y766">
        <v>0</v>
      </c>
      <c r="Z766">
        <v>0</v>
      </c>
      <c r="AA766">
        <v>0</v>
      </c>
      <c r="AB766">
        <v>0</v>
      </c>
      <c r="AC766">
        <v>1</v>
      </c>
      <c r="AD766">
        <v>0</v>
      </c>
      <c r="AE766" t="s">
        <v>163</v>
      </c>
      <c r="AF766">
        <v>0</v>
      </c>
      <c r="AG766" t="s">
        <v>246</v>
      </c>
      <c r="AH766">
        <v>46320</v>
      </c>
      <c r="AI766" t="s">
        <v>149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630CC-77D4-431C-9BA5-C101708360B5}">
  <dimension ref="A1:S766"/>
  <sheetViews>
    <sheetView workbookViewId="0">
      <selection activeCell="V13" sqref="V13"/>
    </sheetView>
  </sheetViews>
  <sheetFormatPr defaultRowHeight="15" x14ac:dyDescent="0.25"/>
  <cols>
    <col min="1" max="1" width="10.7109375" bestFit="1" customWidth="1"/>
    <col min="2" max="3" width="6.7109375" bestFit="1" customWidth="1"/>
    <col min="4" max="4" width="12" bestFit="1" customWidth="1"/>
    <col min="5" max="5" width="9.5703125" bestFit="1" customWidth="1"/>
    <col min="6" max="6" width="8.5703125" bestFit="1" customWidth="1"/>
    <col min="7" max="7" width="10.140625" bestFit="1" customWidth="1"/>
    <col min="8" max="8" width="18.140625" bestFit="1" customWidth="1"/>
    <col min="9" max="9" width="27.42578125" bestFit="1" customWidth="1"/>
    <col min="10" max="10" width="12" bestFit="1" customWidth="1"/>
    <col min="11" max="11" width="19.5703125" bestFit="1" customWidth="1"/>
    <col min="12" max="12" width="19.140625" bestFit="1" customWidth="1"/>
    <col min="13" max="13" width="12.28515625" bestFit="1" customWidth="1"/>
    <col min="14" max="14" width="17" bestFit="1" customWidth="1"/>
    <col min="15" max="15" width="13.85546875" bestFit="1" customWidth="1"/>
    <col min="16" max="16" width="25" bestFit="1" customWidth="1"/>
    <col min="17" max="17" width="24.28515625" bestFit="1" customWidth="1"/>
    <col min="18" max="18" width="12.7109375" bestFit="1" customWidth="1"/>
    <col min="19" max="19" width="17.7109375" bestFit="1" customWidth="1"/>
    <col min="20" max="20" width="17.7109375" customWidth="1"/>
    <col min="21" max="21" width="24.28515625" bestFit="1" customWidth="1"/>
    <col min="22" max="22" width="12.7109375" bestFit="1" customWidth="1"/>
    <col min="23" max="23" width="17.7109375" bestFit="1" customWidth="1"/>
    <col min="24" max="24" width="12.7109375" bestFit="1" customWidth="1"/>
    <col min="25" max="25" width="17.7109375" customWidth="1"/>
  </cols>
  <sheetData>
    <row r="1" spans="1:19" x14ac:dyDescent="0.25">
      <c r="A1" t="s">
        <v>0</v>
      </c>
      <c r="B1" t="s">
        <v>14</v>
      </c>
      <c r="C1" t="s">
        <v>15</v>
      </c>
      <c r="D1" t="s">
        <v>2</v>
      </c>
      <c r="E1" t="s">
        <v>135</v>
      </c>
      <c r="F1" t="s">
        <v>153</v>
      </c>
      <c r="G1" t="s">
        <v>145</v>
      </c>
      <c r="H1" t="s">
        <v>38</v>
      </c>
      <c r="I1" t="s">
        <v>138</v>
      </c>
      <c r="J1" t="s">
        <v>39</v>
      </c>
      <c r="K1" t="s">
        <v>139</v>
      </c>
      <c r="L1" t="s">
        <v>40</v>
      </c>
      <c r="M1" t="s">
        <v>124</v>
      </c>
      <c r="N1" t="s">
        <v>132</v>
      </c>
      <c r="O1" t="s">
        <v>133</v>
      </c>
      <c r="P1" t="s">
        <v>41</v>
      </c>
      <c r="Q1" t="s">
        <v>42</v>
      </c>
      <c r="R1" t="s">
        <v>43</v>
      </c>
      <c r="S1" t="s">
        <v>44</v>
      </c>
    </row>
    <row r="2" spans="1:19" x14ac:dyDescent="0.25">
      <c r="A2" s="1">
        <v>46293</v>
      </c>
      <c r="B2" t="s">
        <v>148</v>
      </c>
      <c r="C2" t="s">
        <v>12</v>
      </c>
      <c r="D2">
        <v>10.668662966820335</v>
      </c>
      <c r="E2" t="s">
        <v>161</v>
      </c>
      <c r="F2">
        <v>46293</v>
      </c>
      <c r="G2" t="s">
        <v>149</v>
      </c>
      <c r="H2">
        <v>8.1679453676765768E-2</v>
      </c>
      <c r="I2">
        <v>8.1679453676765768E-2</v>
      </c>
      <c r="J2">
        <v>0</v>
      </c>
      <c r="K2">
        <v>0</v>
      </c>
      <c r="L2">
        <v>0</v>
      </c>
      <c r="M2" t="s">
        <v>125</v>
      </c>
      <c r="N2" t="s">
        <v>125</v>
      </c>
      <c r="O2">
        <v>28.36</v>
      </c>
    </row>
    <row r="3" spans="1:19" x14ac:dyDescent="0.25">
      <c r="A3" s="1">
        <v>46300</v>
      </c>
      <c r="B3" t="s">
        <v>148</v>
      </c>
      <c r="C3" t="s">
        <v>12</v>
      </c>
      <c r="D3">
        <v>10.668662966820332</v>
      </c>
      <c r="E3" t="s">
        <v>161</v>
      </c>
      <c r="F3">
        <v>46300</v>
      </c>
      <c r="G3" t="s">
        <v>149</v>
      </c>
      <c r="H3">
        <v>8.6444395793264572E-2</v>
      </c>
      <c r="I3">
        <v>8.6444395793264572E-2</v>
      </c>
      <c r="J3">
        <v>0</v>
      </c>
      <c r="K3">
        <v>0</v>
      </c>
      <c r="L3">
        <v>0</v>
      </c>
      <c r="M3" t="s">
        <v>125</v>
      </c>
      <c r="N3" t="s">
        <v>125</v>
      </c>
      <c r="O3">
        <v>28.36</v>
      </c>
    </row>
    <row r="4" spans="1:19" x14ac:dyDescent="0.25">
      <c r="A4" s="1">
        <v>46307</v>
      </c>
      <c r="B4" t="s">
        <v>148</v>
      </c>
      <c r="C4" t="s">
        <v>12</v>
      </c>
      <c r="D4">
        <v>10.668662966820335</v>
      </c>
      <c r="E4" t="s">
        <v>161</v>
      </c>
      <c r="F4">
        <v>46307</v>
      </c>
      <c r="G4" t="s">
        <v>149</v>
      </c>
      <c r="H4">
        <v>0.14787800191063982</v>
      </c>
      <c r="I4">
        <v>0.14787800191063982</v>
      </c>
      <c r="J4">
        <v>0</v>
      </c>
      <c r="K4">
        <v>0</v>
      </c>
      <c r="L4">
        <v>0</v>
      </c>
      <c r="M4" t="s">
        <v>125</v>
      </c>
      <c r="N4" t="s">
        <v>125</v>
      </c>
      <c r="O4">
        <v>28.36</v>
      </c>
    </row>
    <row r="5" spans="1:19" x14ac:dyDescent="0.25">
      <c r="A5" s="1">
        <v>46314</v>
      </c>
      <c r="B5" t="s">
        <v>148</v>
      </c>
      <c r="C5" t="s">
        <v>12</v>
      </c>
      <c r="D5">
        <v>10.668662966820335</v>
      </c>
      <c r="E5" t="s">
        <v>161</v>
      </c>
      <c r="F5">
        <v>46314</v>
      </c>
      <c r="G5" t="s">
        <v>149</v>
      </c>
      <c r="H5">
        <v>0.14787800191063982</v>
      </c>
      <c r="I5">
        <v>0.14787800191063982</v>
      </c>
      <c r="J5">
        <v>0</v>
      </c>
      <c r="K5">
        <v>0</v>
      </c>
      <c r="L5">
        <v>0</v>
      </c>
      <c r="M5" t="s">
        <v>125</v>
      </c>
      <c r="N5" t="s">
        <v>125</v>
      </c>
      <c r="O5">
        <v>28.36</v>
      </c>
    </row>
    <row r="6" spans="1:19" x14ac:dyDescent="0.25">
      <c r="A6" s="1">
        <v>46293</v>
      </c>
      <c r="B6" t="s">
        <v>148</v>
      </c>
      <c r="C6" t="s">
        <v>11</v>
      </c>
      <c r="D6">
        <v>4.1033319103155144</v>
      </c>
      <c r="E6" t="s">
        <v>161</v>
      </c>
      <c r="F6">
        <v>46293</v>
      </c>
      <c r="G6" t="s">
        <v>149</v>
      </c>
      <c r="H6">
        <v>0</v>
      </c>
      <c r="I6">
        <v>0</v>
      </c>
      <c r="J6">
        <v>0.35333191031551453</v>
      </c>
      <c r="K6">
        <v>0.35333191031551453</v>
      </c>
      <c r="L6">
        <v>3.75</v>
      </c>
      <c r="M6" t="s">
        <v>125</v>
      </c>
      <c r="N6" t="s">
        <v>125</v>
      </c>
      <c r="O6">
        <v>29.417999999999999</v>
      </c>
    </row>
    <row r="7" spans="1:19" x14ac:dyDescent="0.25">
      <c r="A7" s="1">
        <v>46300</v>
      </c>
      <c r="B7" t="s">
        <v>148</v>
      </c>
      <c r="C7" t="s">
        <v>11</v>
      </c>
      <c r="D7">
        <v>4.1033319103155144</v>
      </c>
      <c r="E7" t="s">
        <v>161</v>
      </c>
      <c r="F7">
        <v>46300</v>
      </c>
      <c r="G7" t="s">
        <v>149</v>
      </c>
      <c r="H7">
        <v>0.14928774809895229</v>
      </c>
      <c r="I7">
        <v>0.14928774809895229</v>
      </c>
      <c r="J7">
        <v>0</v>
      </c>
      <c r="K7">
        <v>0</v>
      </c>
      <c r="L7">
        <v>0</v>
      </c>
      <c r="M7" t="s">
        <v>125</v>
      </c>
      <c r="N7" t="s">
        <v>125</v>
      </c>
      <c r="O7">
        <v>29.417999999999999</v>
      </c>
    </row>
    <row r="8" spans="1:19" x14ac:dyDescent="0.25">
      <c r="A8" s="1">
        <v>46307</v>
      </c>
      <c r="B8" t="s">
        <v>148</v>
      </c>
      <c r="C8" t="s">
        <v>11</v>
      </c>
      <c r="D8">
        <v>4.1033319103155144</v>
      </c>
      <c r="E8" t="s">
        <v>161</v>
      </c>
      <c r="F8">
        <v>46307</v>
      </c>
      <c r="G8" t="s">
        <v>149</v>
      </c>
      <c r="H8">
        <v>0.14236432792968179</v>
      </c>
      <c r="I8">
        <v>0.14236432792968179</v>
      </c>
      <c r="J8">
        <v>0</v>
      </c>
      <c r="K8">
        <v>0</v>
      </c>
      <c r="L8">
        <v>0</v>
      </c>
      <c r="M8" t="s">
        <v>125</v>
      </c>
      <c r="N8" t="s">
        <v>125</v>
      </c>
      <c r="O8">
        <v>29.417999999999999</v>
      </c>
    </row>
    <row r="9" spans="1:19" x14ac:dyDescent="0.25">
      <c r="A9" s="1">
        <v>46293</v>
      </c>
      <c r="B9" t="s">
        <v>148</v>
      </c>
      <c r="C9" t="s">
        <v>10</v>
      </c>
      <c r="D9">
        <v>11.544040441020975</v>
      </c>
      <c r="E9" t="s">
        <v>161</v>
      </c>
      <c r="F9">
        <v>46293</v>
      </c>
      <c r="G9" t="s">
        <v>149</v>
      </c>
      <c r="H9">
        <v>0</v>
      </c>
      <c r="I9">
        <v>0</v>
      </c>
      <c r="J9">
        <v>0.65494730376607346</v>
      </c>
      <c r="K9">
        <v>0.65494730376607346</v>
      </c>
      <c r="L9">
        <v>10.889093137254902</v>
      </c>
      <c r="M9" t="s">
        <v>125</v>
      </c>
      <c r="N9" t="s">
        <v>125</v>
      </c>
      <c r="O9">
        <v>27.57</v>
      </c>
    </row>
    <row r="10" spans="1:19" x14ac:dyDescent="0.25">
      <c r="A10" s="1">
        <v>46300</v>
      </c>
      <c r="B10" t="s">
        <v>148</v>
      </c>
      <c r="C10" t="s">
        <v>10</v>
      </c>
      <c r="D10">
        <v>11.544040441020975</v>
      </c>
      <c r="E10" t="s">
        <v>161</v>
      </c>
      <c r="F10">
        <v>46300</v>
      </c>
      <c r="G10" t="s">
        <v>149</v>
      </c>
      <c r="H10">
        <v>5.5739544769137783E-2</v>
      </c>
      <c r="I10">
        <v>5.5739544769137783E-2</v>
      </c>
      <c r="J10">
        <v>0</v>
      </c>
      <c r="K10">
        <v>0</v>
      </c>
      <c r="L10">
        <v>0</v>
      </c>
      <c r="M10" t="s">
        <v>125</v>
      </c>
      <c r="N10" t="s">
        <v>125</v>
      </c>
      <c r="O10">
        <v>27.57</v>
      </c>
    </row>
    <row r="11" spans="1:19" x14ac:dyDescent="0.25">
      <c r="A11" s="1">
        <v>46307</v>
      </c>
      <c r="B11" t="s">
        <v>148</v>
      </c>
      <c r="C11" t="s">
        <v>10</v>
      </c>
      <c r="D11">
        <v>11.544040441020975</v>
      </c>
      <c r="E11" t="s">
        <v>161</v>
      </c>
      <c r="F11">
        <v>46307</v>
      </c>
      <c r="G11" t="s">
        <v>149</v>
      </c>
      <c r="H11">
        <v>0</v>
      </c>
      <c r="I11">
        <v>0</v>
      </c>
      <c r="J11">
        <v>1.2278639704327392</v>
      </c>
      <c r="K11">
        <v>1.2278639704327392</v>
      </c>
      <c r="L11">
        <v>10.316176470588236</v>
      </c>
      <c r="M11" t="s">
        <v>125</v>
      </c>
      <c r="N11" t="s">
        <v>125</v>
      </c>
      <c r="O11">
        <v>27.57</v>
      </c>
    </row>
    <row r="12" spans="1:19" x14ac:dyDescent="0.25">
      <c r="A12" s="1">
        <v>46294</v>
      </c>
      <c r="B12" t="s">
        <v>148</v>
      </c>
      <c r="C12" t="s">
        <v>10</v>
      </c>
      <c r="D12">
        <v>12.665617829840553</v>
      </c>
      <c r="E12" t="s">
        <v>161</v>
      </c>
      <c r="F12">
        <v>46294</v>
      </c>
      <c r="G12" t="s">
        <v>149</v>
      </c>
      <c r="H12">
        <v>0</v>
      </c>
      <c r="I12">
        <v>0</v>
      </c>
      <c r="J12">
        <v>0.50343680910690147</v>
      </c>
      <c r="K12">
        <v>0.50343680910690147</v>
      </c>
      <c r="L12">
        <v>12.162181020733652</v>
      </c>
      <c r="M12" t="s">
        <v>126</v>
      </c>
      <c r="N12" t="s">
        <v>126</v>
      </c>
      <c r="O12">
        <v>27.57</v>
      </c>
    </row>
    <row r="13" spans="1:19" x14ac:dyDescent="0.25">
      <c r="A13" s="1">
        <v>46301</v>
      </c>
      <c r="B13" t="s">
        <v>148</v>
      </c>
      <c r="C13" t="s">
        <v>10</v>
      </c>
      <c r="D13">
        <v>11.407262710677127</v>
      </c>
      <c r="E13" t="s">
        <v>161</v>
      </c>
      <c r="F13">
        <v>46301</v>
      </c>
      <c r="G13" t="s">
        <v>149</v>
      </c>
      <c r="H13">
        <v>0</v>
      </c>
      <c r="I13">
        <v>0</v>
      </c>
      <c r="J13">
        <v>2.0322627106771267</v>
      </c>
      <c r="K13">
        <v>2.0322627106771267</v>
      </c>
      <c r="L13">
        <v>9.375</v>
      </c>
      <c r="M13" t="s">
        <v>126</v>
      </c>
      <c r="N13" t="s">
        <v>126</v>
      </c>
      <c r="O13">
        <v>27.57</v>
      </c>
    </row>
    <row r="14" spans="1:19" x14ac:dyDescent="0.25">
      <c r="A14" s="1">
        <v>46308</v>
      </c>
      <c r="B14" t="s">
        <v>148</v>
      </c>
      <c r="C14" t="s">
        <v>10</v>
      </c>
      <c r="D14">
        <v>12.665617829840553</v>
      </c>
      <c r="E14" t="s">
        <v>161</v>
      </c>
      <c r="F14">
        <v>46308</v>
      </c>
      <c r="G14" t="s">
        <v>149</v>
      </c>
      <c r="H14">
        <v>6.8345041022791042E-2</v>
      </c>
      <c r="I14">
        <v>6.8345041022791042E-2</v>
      </c>
      <c r="J14">
        <v>0</v>
      </c>
      <c r="K14">
        <v>0</v>
      </c>
      <c r="L14">
        <v>0</v>
      </c>
      <c r="M14" t="s">
        <v>126</v>
      </c>
      <c r="N14" t="s">
        <v>126</v>
      </c>
      <c r="O14">
        <v>27.57</v>
      </c>
    </row>
    <row r="15" spans="1:19" x14ac:dyDescent="0.25">
      <c r="A15" s="1">
        <v>46294</v>
      </c>
      <c r="B15" t="s">
        <v>148</v>
      </c>
      <c r="C15" t="s">
        <v>11</v>
      </c>
      <c r="D15">
        <v>4.1033319103155144</v>
      </c>
      <c r="E15" t="s">
        <v>161</v>
      </c>
      <c r="F15">
        <v>46294</v>
      </c>
      <c r="G15" t="s">
        <v>149</v>
      </c>
      <c r="H15">
        <v>0.14236432792968179</v>
      </c>
      <c r="I15">
        <v>0.14236432792968179</v>
      </c>
      <c r="J15">
        <v>0</v>
      </c>
      <c r="K15">
        <v>0</v>
      </c>
      <c r="L15">
        <v>0</v>
      </c>
      <c r="M15" t="s">
        <v>126</v>
      </c>
      <c r="N15" t="s">
        <v>126</v>
      </c>
      <c r="O15">
        <v>29.417999999999999</v>
      </c>
    </row>
    <row r="16" spans="1:19" x14ac:dyDescent="0.25">
      <c r="A16" s="1">
        <v>46301</v>
      </c>
      <c r="B16" t="s">
        <v>148</v>
      </c>
      <c r="C16" t="s">
        <v>11</v>
      </c>
      <c r="D16">
        <v>4.1033319103155144</v>
      </c>
      <c r="E16" t="s">
        <v>161</v>
      </c>
      <c r="F16">
        <v>46301</v>
      </c>
      <c r="G16" t="s">
        <v>149</v>
      </c>
      <c r="H16">
        <v>0.14236432792968179</v>
      </c>
      <c r="I16">
        <v>0.14236432792968179</v>
      </c>
      <c r="J16">
        <v>0</v>
      </c>
      <c r="K16">
        <v>0</v>
      </c>
      <c r="L16">
        <v>0</v>
      </c>
      <c r="M16" t="s">
        <v>126</v>
      </c>
      <c r="N16" t="s">
        <v>126</v>
      </c>
      <c r="O16">
        <v>29.417999999999999</v>
      </c>
    </row>
    <row r="17" spans="1:15" x14ac:dyDescent="0.25">
      <c r="A17" s="1">
        <v>46308</v>
      </c>
      <c r="B17" t="s">
        <v>148</v>
      </c>
      <c r="C17" t="s">
        <v>11</v>
      </c>
      <c r="D17">
        <v>4.1033319103155144</v>
      </c>
      <c r="E17" t="s">
        <v>161</v>
      </c>
      <c r="F17">
        <v>46308</v>
      </c>
      <c r="G17" t="s">
        <v>149</v>
      </c>
      <c r="H17">
        <v>0.14236432792968179</v>
      </c>
      <c r="I17">
        <v>0.14236432792968179</v>
      </c>
      <c r="J17">
        <v>0</v>
      </c>
      <c r="K17">
        <v>0</v>
      </c>
      <c r="L17">
        <v>0</v>
      </c>
      <c r="M17" t="s">
        <v>126</v>
      </c>
      <c r="N17" t="s">
        <v>126</v>
      </c>
      <c r="O17">
        <v>29.417999999999999</v>
      </c>
    </row>
    <row r="18" spans="1:15" x14ac:dyDescent="0.25">
      <c r="A18" s="1">
        <v>46294</v>
      </c>
      <c r="B18" t="s">
        <v>148</v>
      </c>
      <c r="C18" t="s">
        <v>12</v>
      </c>
      <c r="D18">
        <v>10.668662966820335</v>
      </c>
      <c r="E18" t="s">
        <v>161</v>
      </c>
      <c r="F18">
        <v>46294</v>
      </c>
      <c r="G18" t="s">
        <v>149</v>
      </c>
      <c r="H18">
        <v>7.310910370609558E-2</v>
      </c>
      <c r="I18">
        <v>7.310910370609558E-2</v>
      </c>
      <c r="J18">
        <v>0</v>
      </c>
      <c r="K18">
        <v>0</v>
      </c>
      <c r="L18">
        <v>0</v>
      </c>
      <c r="M18" t="s">
        <v>126</v>
      </c>
      <c r="N18" t="s">
        <v>126</v>
      </c>
      <c r="O18">
        <v>28.36</v>
      </c>
    </row>
    <row r="19" spans="1:15" x14ac:dyDescent="0.25">
      <c r="A19" s="1">
        <v>46301</v>
      </c>
      <c r="B19" t="s">
        <v>148</v>
      </c>
      <c r="C19" t="s">
        <v>12</v>
      </c>
      <c r="D19">
        <v>10.668662966820335</v>
      </c>
      <c r="E19" t="s">
        <v>161</v>
      </c>
      <c r="F19">
        <v>46301</v>
      </c>
      <c r="G19" t="s">
        <v>149</v>
      </c>
      <c r="H19">
        <v>0.14236432792968201</v>
      </c>
      <c r="I19">
        <v>0.14236432792968201</v>
      </c>
      <c r="J19">
        <v>0</v>
      </c>
      <c r="K19">
        <v>0</v>
      </c>
      <c r="L19">
        <v>0</v>
      </c>
      <c r="M19" t="s">
        <v>126</v>
      </c>
      <c r="N19" t="s">
        <v>126</v>
      </c>
      <c r="O19">
        <v>28.36</v>
      </c>
    </row>
    <row r="20" spans="1:15" x14ac:dyDescent="0.25">
      <c r="A20" s="1">
        <v>46308</v>
      </c>
      <c r="B20" t="s">
        <v>148</v>
      </c>
      <c r="C20" t="s">
        <v>12</v>
      </c>
      <c r="D20">
        <v>10.668662966820335</v>
      </c>
      <c r="E20" t="s">
        <v>161</v>
      </c>
      <c r="F20">
        <v>46308</v>
      </c>
      <c r="G20" t="s">
        <v>149</v>
      </c>
      <c r="H20">
        <v>0.14236432792968201</v>
      </c>
      <c r="I20">
        <v>0.14236432792968201</v>
      </c>
      <c r="J20">
        <v>0</v>
      </c>
      <c r="K20">
        <v>0</v>
      </c>
      <c r="L20">
        <v>0</v>
      </c>
      <c r="M20" t="s">
        <v>126</v>
      </c>
      <c r="N20" t="s">
        <v>126</v>
      </c>
      <c r="O20">
        <v>28.36</v>
      </c>
    </row>
    <row r="21" spans="1:15" x14ac:dyDescent="0.25">
      <c r="A21" s="1">
        <v>46295</v>
      </c>
      <c r="B21" t="s">
        <v>148</v>
      </c>
      <c r="C21" t="s">
        <v>10</v>
      </c>
      <c r="D21">
        <v>12.227929092740233</v>
      </c>
      <c r="E21" t="s">
        <v>161</v>
      </c>
      <c r="F21">
        <v>46295</v>
      </c>
      <c r="G21" t="s">
        <v>149</v>
      </c>
      <c r="H21">
        <v>0</v>
      </c>
      <c r="I21">
        <v>0</v>
      </c>
      <c r="J21">
        <v>0.91910556332846793</v>
      </c>
      <c r="K21">
        <v>0.91910556332846793</v>
      </c>
      <c r="L21">
        <v>11.308823529411764</v>
      </c>
      <c r="M21" t="s">
        <v>127</v>
      </c>
      <c r="N21" t="s">
        <v>127</v>
      </c>
      <c r="O21">
        <v>27.57</v>
      </c>
    </row>
    <row r="22" spans="1:15" x14ac:dyDescent="0.25">
      <c r="A22" s="1">
        <v>46302</v>
      </c>
      <c r="B22" t="s">
        <v>148</v>
      </c>
      <c r="C22" t="s">
        <v>10</v>
      </c>
      <c r="D22">
        <v>11.407262710677127</v>
      </c>
      <c r="E22" t="s">
        <v>161</v>
      </c>
      <c r="F22">
        <v>46302</v>
      </c>
      <c r="G22" t="s">
        <v>149</v>
      </c>
      <c r="H22">
        <v>0</v>
      </c>
      <c r="I22">
        <v>0</v>
      </c>
      <c r="J22">
        <v>2.0322627106771267</v>
      </c>
      <c r="K22">
        <v>2.0322627106771267</v>
      </c>
      <c r="L22">
        <v>9.375</v>
      </c>
      <c r="M22" t="s">
        <v>127</v>
      </c>
      <c r="N22" t="s">
        <v>127</v>
      </c>
      <c r="O22">
        <v>27.57</v>
      </c>
    </row>
    <row r="23" spans="1:15" x14ac:dyDescent="0.25">
      <c r="A23" s="1">
        <v>46309</v>
      </c>
      <c r="B23" t="s">
        <v>148</v>
      </c>
      <c r="C23" t="s">
        <v>10</v>
      </c>
      <c r="D23">
        <v>12.227929092740233</v>
      </c>
      <c r="E23" t="s">
        <v>161</v>
      </c>
      <c r="F23">
        <v>46309</v>
      </c>
      <c r="G23" t="s">
        <v>149</v>
      </c>
      <c r="H23">
        <v>7.0506169125840845E-2</v>
      </c>
      <c r="I23">
        <v>7.0506169125840845E-2</v>
      </c>
      <c r="J23">
        <v>0</v>
      </c>
      <c r="K23">
        <v>0</v>
      </c>
      <c r="L23">
        <v>0</v>
      </c>
      <c r="M23" t="s">
        <v>127</v>
      </c>
      <c r="N23" t="s">
        <v>127</v>
      </c>
      <c r="O23">
        <v>27.57</v>
      </c>
    </row>
    <row r="24" spans="1:15" x14ac:dyDescent="0.25">
      <c r="A24" s="1">
        <v>46295</v>
      </c>
      <c r="B24" t="s">
        <v>148</v>
      </c>
      <c r="C24" t="s">
        <v>11</v>
      </c>
      <c r="D24">
        <v>4.1033319103155144</v>
      </c>
      <c r="E24" t="s">
        <v>161</v>
      </c>
      <c r="F24">
        <v>46295</v>
      </c>
      <c r="G24" t="s">
        <v>149</v>
      </c>
      <c r="H24">
        <v>0.14236432792968179</v>
      </c>
      <c r="I24">
        <v>0.14236432792968179</v>
      </c>
      <c r="J24">
        <v>0</v>
      </c>
      <c r="K24">
        <v>0</v>
      </c>
      <c r="L24">
        <v>0</v>
      </c>
      <c r="M24" t="s">
        <v>127</v>
      </c>
      <c r="N24" t="s">
        <v>127</v>
      </c>
      <c r="O24">
        <v>29.417999999999999</v>
      </c>
    </row>
    <row r="25" spans="1:15" x14ac:dyDescent="0.25">
      <c r="A25" s="1">
        <v>46302</v>
      </c>
      <c r="B25" t="s">
        <v>148</v>
      </c>
      <c r="C25" t="s">
        <v>11</v>
      </c>
      <c r="D25">
        <v>4.1033319103155144</v>
      </c>
      <c r="E25" t="s">
        <v>161</v>
      </c>
      <c r="F25">
        <v>46302</v>
      </c>
      <c r="G25" t="s">
        <v>149</v>
      </c>
      <c r="H25">
        <v>0.37083719351561828</v>
      </c>
      <c r="I25">
        <v>0.37083719351561828</v>
      </c>
      <c r="J25">
        <v>0</v>
      </c>
      <c r="K25">
        <v>0</v>
      </c>
      <c r="L25">
        <v>0</v>
      </c>
      <c r="M25" t="s">
        <v>127</v>
      </c>
      <c r="N25" t="s">
        <v>127</v>
      </c>
      <c r="O25">
        <v>29.417999999999999</v>
      </c>
    </row>
    <row r="26" spans="1:15" x14ac:dyDescent="0.25">
      <c r="A26" s="1">
        <v>46309</v>
      </c>
      <c r="B26" t="s">
        <v>148</v>
      </c>
      <c r="C26" t="s">
        <v>11</v>
      </c>
      <c r="D26">
        <v>4.1033319103155144</v>
      </c>
      <c r="E26" t="s">
        <v>161</v>
      </c>
      <c r="F26">
        <v>46309</v>
      </c>
      <c r="G26" t="s">
        <v>149</v>
      </c>
      <c r="H26">
        <v>0.14236432792968179</v>
      </c>
      <c r="I26">
        <v>0.14236432792968179</v>
      </c>
      <c r="J26">
        <v>0</v>
      </c>
      <c r="K26">
        <v>0</v>
      </c>
      <c r="L26">
        <v>0</v>
      </c>
      <c r="M26" t="s">
        <v>127</v>
      </c>
      <c r="N26" t="s">
        <v>127</v>
      </c>
      <c r="O26">
        <v>29.417999999999999</v>
      </c>
    </row>
    <row r="27" spans="1:15" x14ac:dyDescent="0.25">
      <c r="A27" s="1">
        <v>46295</v>
      </c>
      <c r="B27" t="s">
        <v>148</v>
      </c>
      <c r="C27" t="s">
        <v>12</v>
      </c>
      <c r="D27">
        <v>10.504529690407711</v>
      </c>
      <c r="E27" t="s">
        <v>161</v>
      </c>
      <c r="F27">
        <v>46295</v>
      </c>
      <c r="G27" t="s">
        <v>149</v>
      </c>
      <c r="H27">
        <v>7.1316546505134193E-2</v>
      </c>
      <c r="I27">
        <v>7.1316546505134193E-2</v>
      </c>
      <c r="J27">
        <v>0</v>
      </c>
      <c r="K27">
        <v>0</v>
      </c>
      <c r="L27">
        <v>0</v>
      </c>
      <c r="M27" t="s">
        <v>127</v>
      </c>
      <c r="N27" t="s">
        <v>127</v>
      </c>
      <c r="O27">
        <v>28.36</v>
      </c>
    </row>
    <row r="28" spans="1:15" x14ac:dyDescent="0.25">
      <c r="A28" s="1">
        <v>46302</v>
      </c>
      <c r="B28" t="s">
        <v>148</v>
      </c>
      <c r="C28" t="s">
        <v>12</v>
      </c>
      <c r="D28">
        <v>10.504529690407711</v>
      </c>
      <c r="E28" t="s">
        <v>161</v>
      </c>
      <c r="F28">
        <v>46302</v>
      </c>
      <c r="G28" t="s">
        <v>149</v>
      </c>
      <c r="H28">
        <v>0.16021377055358377</v>
      </c>
      <c r="I28">
        <v>0.16021377055358377</v>
      </c>
      <c r="J28">
        <v>0</v>
      </c>
      <c r="K28">
        <v>0</v>
      </c>
      <c r="L28">
        <v>0</v>
      </c>
      <c r="M28" t="s">
        <v>127</v>
      </c>
      <c r="N28" t="s">
        <v>127</v>
      </c>
      <c r="O28">
        <v>28.36</v>
      </c>
    </row>
    <row r="29" spans="1:15" x14ac:dyDescent="0.25">
      <c r="A29" s="1">
        <v>46309</v>
      </c>
      <c r="B29" t="s">
        <v>148</v>
      </c>
      <c r="C29" t="s">
        <v>12</v>
      </c>
      <c r="D29">
        <v>10.504529690407711</v>
      </c>
      <c r="E29" t="s">
        <v>161</v>
      </c>
      <c r="F29">
        <v>46309</v>
      </c>
      <c r="G29" t="s">
        <v>149</v>
      </c>
      <c r="H29">
        <v>0.11296524596090385</v>
      </c>
      <c r="I29">
        <v>0.11296524596090385</v>
      </c>
      <c r="J29">
        <v>0</v>
      </c>
      <c r="K29">
        <v>0</v>
      </c>
      <c r="L29">
        <v>0</v>
      </c>
      <c r="M29" t="s">
        <v>127</v>
      </c>
      <c r="N29" t="s">
        <v>127</v>
      </c>
      <c r="O29">
        <v>28.36</v>
      </c>
    </row>
    <row r="30" spans="1:15" x14ac:dyDescent="0.25">
      <c r="A30" s="1">
        <v>46296</v>
      </c>
      <c r="B30" t="s">
        <v>148</v>
      </c>
      <c r="C30" t="s">
        <v>10</v>
      </c>
      <c r="D30">
        <v>11.407262710677127</v>
      </c>
      <c r="E30" t="s">
        <v>161</v>
      </c>
      <c r="F30">
        <v>46296</v>
      </c>
      <c r="G30" t="s">
        <v>149</v>
      </c>
      <c r="H30">
        <v>6.0179843905963981E-2</v>
      </c>
      <c r="I30">
        <v>6.0179843905963981E-2</v>
      </c>
      <c r="J30">
        <v>0</v>
      </c>
      <c r="K30">
        <v>0</v>
      </c>
      <c r="L30">
        <v>0</v>
      </c>
      <c r="M30" t="s">
        <v>128</v>
      </c>
      <c r="N30" t="s">
        <v>128</v>
      </c>
      <c r="O30">
        <v>27.57</v>
      </c>
    </row>
    <row r="31" spans="1:15" x14ac:dyDescent="0.25">
      <c r="A31" s="1">
        <v>46303</v>
      </c>
      <c r="B31" t="s">
        <v>148</v>
      </c>
      <c r="C31" t="s">
        <v>10</v>
      </c>
      <c r="D31">
        <v>11.407262710677127</v>
      </c>
      <c r="E31" t="s">
        <v>161</v>
      </c>
      <c r="F31">
        <v>46303</v>
      </c>
      <c r="G31" t="s">
        <v>149</v>
      </c>
      <c r="H31">
        <v>6.8398292308335717E-2</v>
      </c>
      <c r="I31">
        <v>6.8398292308335717E-2</v>
      </c>
      <c r="J31">
        <v>0</v>
      </c>
      <c r="K31">
        <v>0</v>
      </c>
      <c r="L31">
        <v>0</v>
      </c>
      <c r="M31" t="s">
        <v>128</v>
      </c>
      <c r="N31" t="s">
        <v>128</v>
      </c>
      <c r="O31">
        <v>27.57</v>
      </c>
    </row>
    <row r="32" spans="1:15" x14ac:dyDescent="0.25">
      <c r="A32" s="1">
        <v>46310</v>
      </c>
      <c r="B32" t="s">
        <v>148</v>
      </c>
      <c r="C32" t="s">
        <v>10</v>
      </c>
      <c r="D32">
        <v>11.407262710677127</v>
      </c>
      <c r="E32" t="s">
        <v>161</v>
      </c>
      <c r="F32">
        <v>46310</v>
      </c>
      <c r="G32" t="s">
        <v>149</v>
      </c>
      <c r="H32">
        <v>6.0179843905963981E-2</v>
      </c>
      <c r="I32">
        <v>6.0179843905963981E-2</v>
      </c>
      <c r="J32">
        <v>0</v>
      </c>
      <c r="K32">
        <v>0</v>
      </c>
      <c r="L32">
        <v>0</v>
      </c>
      <c r="M32" t="s">
        <v>128</v>
      </c>
      <c r="N32" t="s">
        <v>128</v>
      </c>
      <c r="O32">
        <v>27.57</v>
      </c>
    </row>
    <row r="33" spans="1:15" x14ac:dyDescent="0.25">
      <c r="A33" s="1">
        <v>46296</v>
      </c>
      <c r="B33" t="s">
        <v>148</v>
      </c>
      <c r="C33" t="s">
        <v>12</v>
      </c>
      <c r="D33">
        <v>10.668662966820335</v>
      </c>
      <c r="E33" t="s">
        <v>161</v>
      </c>
      <c r="F33">
        <v>46296</v>
      </c>
      <c r="G33" t="s">
        <v>149</v>
      </c>
      <c r="H33">
        <v>5.4490148858167942E-2</v>
      </c>
      <c r="I33">
        <v>5.4490148858167942E-2</v>
      </c>
      <c r="J33">
        <v>0</v>
      </c>
      <c r="K33">
        <v>0</v>
      </c>
      <c r="L33">
        <v>0</v>
      </c>
      <c r="M33" t="s">
        <v>128</v>
      </c>
      <c r="N33" t="s">
        <v>128</v>
      </c>
      <c r="O33">
        <v>28.36</v>
      </c>
    </row>
    <row r="34" spans="1:15" x14ac:dyDescent="0.25">
      <c r="A34" s="1">
        <v>46303</v>
      </c>
      <c r="B34" t="s">
        <v>148</v>
      </c>
      <c r="C34" t="s">
        <v>12</v>
      </c>
      <c r="D34">
        <v>10.668662966820335</v>
      </c>
      <c r="E34" t="s">
        <v>161</v>
      </c>
      <c r="F34">
        <v>46303</v>
      </c>
      <c r="G34" t="s">
        <v>149</v>
      </c>
      <c r="H34">
        <v>0.23023850700119608</v>
      </c>
      <c r="I34">
        <v>0.23023850700119608</v>
      </c>
      <c r="J34">
        <v>0</v>
      </c>
      <c r="K34">
        <v>0</v>
      </c>
      <c r="L34">
        <v>0</v>
      </c>
      <c r="M34" t="s">
        <v>128</v>
      </c>
      <c r="N34" t="s">
        <v>128</v>
      </c>
      <c r="O34">
        <v>28.36</v>
      </c>
    </row>
    <row r="35" spans="1:15" x14ac:dyDescent="0.25">
      <c r="A35" s="1">
        <v>46310</v>
      </c>
      <c r="B35" t="s">
        <v>148</v>
      </c>
      <c r="C35" t="s">
        <v>12</v>
      </c>
      <c r="D35">
        <v>10.668662966820335</v>
      </c>
      <c r="E35" t="s">
        <v>161</v>
      </c>
      <c r="F35">
        <v>46310</v>
      </c>
      <c r="G35" t="s">
        <v>149</v>
      </c>
      <c r="H35">
        <v>0.14236432792968201</v>
      </c>
      <c r="I35">
        <v>0.14236432792968201</v>
      </c>
      <c r="J35">
        <v>0</v>
      </c>
      <c r="K35">
        <v>0</v>
      </c>
      <c r="L35">
        <v>0</v>
      </c>
      <c r="M35" t="s">
        <v>128</v>
      </c>
      <c r="N35" t="s">
        <v>128</v>
      </c>
      <c r="O35">
        <v>28.36</v>
      </c>
    </row>
    <row r="36" spans="1:15" x14ac:dyDescent="0.25">
      <c r="A36" s="1">
        <v>46296</v>
      </c>
      <c r="B36" t="s">
        <v>148</v>
      </c>
      <c r="C36" t="s">
        <v>11</v>
      </c>
      <c r="D36">
        <v>4.1033319103155144</v>
      </c>
      <c r="E36" t="s">
        <v>161</v>
      </c>
      <c r="F36">
        <v>46296</v>
      </c>
      <c r="G36" t="s">
        <v>149</v>
      </c>
      <c r="H36">
        <v>0.14236432792968179</v>
      </c>
      <c r="I36">
        <v>0.14236432792968179</v>
      </c>
      <c r="J36">
        <v>0</v>
      </c>
      <c r="K36">
        <v>0</v>
      </c>
      <c r="L36">
        <v>0</v>
      </c>
      <c r="M36" t="s">
        <v>128</v>
      </c>
      <c r="N36" t="s">
        <v>128</v>
      </c>
      <c r="O36">
        <v>29.417999999999999</v>
      </c>
    </row>
    <row r="37" spans="1:15" x14ac:dyDescent="0.25">
      <c r="A37" s="1">
        <v>46303</v>
      </c>
      <c r="B37" t="s">
        <v>148</v>
      </c>
      <c r="C37" t="s">
        <v>11</v>
      </c>
      <c r="D37">
        <v>4.1033319103155135</v>
      </c>
      <c r="E37" t="s">
        <v>161</v>
      </c>
      <c r="F37">
        <v>46303</v>
      </c>
      <c r="G37" t="s">
        <v>149</v>
      </c>
      <c r="H37">
        <v>0.33275838258462898</v>
      </c>
      <c r="I37">
        <v>0.33275838258462898</v>
      </c>
      <c r="J37">
        <v>0</v>
      </c>
      <c r="K37">
        <v>0</v>
      </c>
      <c r="L37">
        <v>0</v>
      </c>
      <c r="M37" t="s">
        <v>128</v>
      </c>
      <c r="N37" t="s">
        <v>128</v>
      </c>
      <c r="O37">
        <v>29.417999999999999</v>
      </c>
    </row>
    <row r="38" spans="1:15" x14ac:dyDescent="0.25">
      <c r="A38" s="1">
        <v>46310</v>
      </c>
      <c r="B38" t="s">
        <v>148</v>
      </c>
      <c r="C38" t="s">
        <v>11</v>
      </c>
      <c r="D38">
        <v>4.1033319103155144</v>
      </c>
      <c r="E38" t="s">
        <v>161</v>
      </c>
      <c r="F38">
        <v>46310</v>
      </c>
      <c r="G38" t="s">
        <v>149</v>
      </c>
      <c r="H38">
        <v>0.14236432792968179</v>
      </c>
      <c r="I38">
        <v>0.14236432792968179</v>
      </c>
      <c r="J38">
        <v>0</v>
      </c>
      <c r="K38">
        <v>0</v>
      </c>
      <c r="L38">
        <v>0</v>
      </c>
      <c r="M38" t="s">
        <v>128</v>
      </c>
      <c r="N38" t="s">
        <v>128</v>
      </c>
      <c r="O38">
        <v>29.417999999999999</v>
      </c>
    </row>
    <row r="39" spans="1:15" x14ac:dyDescent="0.25">
      <c r="A39" s="1">
        <v>46297</v>
      </c>
      <c r="B39" t="s">
        <v>148</v>
      </c>
      <c r="C39" t="s">
        <v>10</v>
      </c>
      <c r="D39">
        <v>10.668662966820335</v>
      </c>
      <c r="E39" t="s">
        <v>161</v>
      </c>
      <c r="F39">
        <v>46297</v>
      </c>
      <c r="G39" t="s">
        <v>149</v>
      </c>
      <c r="H39">
        <v>3.0712429815287656E-2</v>
      </c>
      <c r="I39">
        <v>3.0712429815287656E-2</v>
      </c>
      <c r="J39">
        <v>0</v>
      </c>
      <c r="K39">
        <v>0</v>
      </c>
      <c r="L39">
        <v>0</v>
      </c>
      <c r="M39" t="s">
        <v>129</v>
      </c>
      <c r="N39" t="s">
        <v>129</v>
      </c>
      <c r="O39">
        <v>27.57</v>
      </c>
    </row>
    <row r="40" spans="1:15" x14ac:dyDescent="0.25">
      <c r="A40" s="1">
        <v>46304</v>
      </c>
      <c r="B40" t="s">
        <v>148</v>
      </c>
      <c r="C40" t="s">
        <v>10</v>
      </c>
      <c r="D40">
        <v>10.668662966820335</v>
      </c>
      <c r="E40" t="s">
        <v>161</v>
      </c>
      <c r="F40">
        <v>46304</v>
      </c>
      <c r="G40" t="s">
        <v>149</v>
      </c>
      <c r="H40">
        <v>0.14787800191063982</v>
      </c>
      <c r="I40">
        <v>0.14787800191063982</v>
      </c>
      <c r="J40">
        <v>0</v>
      </c>
      <c r="K40">
        <v>0</v>
      </c>
      <c r="L40">
        <v>0</v>
      </c>
      <c r="M40" t="s">
        <v>129</v>
      </c>
      <c r="N40" t="s">
        <v>129</v>
      </c>
      <c r="O40">
        <v>27.57</v>
      </c>
    </row>
    <row r="41" spans="1:15" x14ac:dyDescent="0.25">
      <c r="A41" s="1">
        <v>46311</v>
      </c>
      <c r="B41" t="s">
        <v>148</v>
      </c>
      <c r="C41" t="s">
        <v>10</v>
      </c>
      <c r="D41">
        <v>10.668662966820335</v>
      </c>
      <c r="E41" t="s">
        <v>161</v>
      </c>
      <c r="F41">
        <v>46311</v>
      </c>
      <c r="G41" t="s">
        <v>149</v>
      </c>
      <c r="H41">
        <v>6.0003822839125753E-2</v>
      </c>
      <c r="I41">
        <v>6.0003822839125753E-2</v>
      </c>
      <c r="J41">
        <v>0</v>
      </c>
      <c r="K41">
        <v>0</v>
      </c>
      <c r="L41">
        <v>0</v>
      </c>
      <c r="M41" t="s">
        <v>129</v>
      </c>
      <c r="N41" t="s">
        <v>129</v>
      </c>
      <c r="O41">
        <v>27.57</v>
      </c>
    </row>
    <row r="42" spans="1:15" x14ac:dyDescent="0.25">
      <c r="A42" s="1">
        <v>46297</v>
      </c>
      <c r="B42" t="s">
        <v>148</v>
      </c>
      <c r="C42" t="s">
        <v>11</v>
      </c>
      <c r="D42">
        <v>4.1033319103155144</v>
      </c>
      <c r="E42" t="s">
        <v>161</v>
      </c>
      <c r="F42">
        <v>46297</v>
      </c>
      <c r="G42" t="s">
        <v>149</v>
      </c>
      <c r="H42">
        <v>0.14236432792968179</v>
      </c>
      <c r="I42">
        <v>0.14236432792968179</v>
      </c>
      <c r="J42">
        <v>0</v>
      </c>
      <c r="K42">
        <v>0</v>
      </c>
      <c r="L42">
        <v>0</v>
      </c>
      <c r="M42" t="s">
        <v>129</v>
      </c>
      <c r="N42" t="s">
        <v>129</v>
      </c>
      <c r="O42">
        <v>29.417999999999999</v>
      </c>
    </row>
    <row r="43" spans="1:15" x14ac:dyDescent="0.25">
      <c r="A43" s="1">
        <v>46304</v>
      </c>
      <c r="B43" t="s">
        <v>148</v>
      </c>
      <c r="C43" t="s">
        <v>11</v>
      </c>
      <c r="D43">
        <v>4.1033319103155144</v>
      </c>
      <c r="E43" t="s">
        <v>161</v>
      </c>
      <c r="F43">
        <v>46304</v>
      </c>
      <c r="G43" t="s">
        <v>149</v>
      </c>
      <c r="H43">
        <v>0.37083719351561828</v>
      </c>
      <c r="I43">
        <v>0.37083719351561828</v>
      </c>
      <c r="J43">
        <v>0</v>
      </c>
      <c r="K43">
        <v>0</v>
      </c>
      <c r="L43">
        <v>0</v>
      </c>
      <c r="M43" t="s">
        <v>129</v>
      </c>
      <c r="N43" t="s">
        <v>129</v>
      </c>
      <c r="O43">
        <v>29.417999999999999</v>
      </c>
    </row>
    <row r="44" spans="1:15" x14ac:dyDescent="0.25">
      <c r="A44" s="1">
        <v>46311</v>
      </c>
      <c r="B44" t="s">
        <v>148</v>
      </c>
      <c r="C44" t="s">
        <v>11</v>
      </c>
      <c r="D44">
        <v>4.1033319103155144</v>
      </c>
      <c r="E44" t="s">
        <v>161</v>
      </c>
      <c r="F44">
        <v>46311</v>
      </c>
      <c r="G44" t="s">
        <v>149</v>
      </c>
      <c r="H44">
        <v>0.14236432792968179</v>
      </c>
      <c r="I44">
        <v>0.14236432792968179</v>
      </c>
      <c r="J44">
        <v>0</v>
      </c>
      <c r="K44">
        <v>0</v>
      </c>
      <c r="L44">
        <v>0</v>
      </c>
      <c r="M44" t="s">
        <v>129</v>
      </c>
      <c r="N44" t="s">
        <v>129</v>
      </c>
      <c r="O44">
        <v>29.417999999999999</v>
      </c>
    </row>
    <row r="45" spans="1:15" x14ac:dyDescent="0.25">
      <c r="A45" s="1">
        <v>46297</v>
      </c>
      <c r="B45" t="s">
        <v>148</v>
      </c>
      <c r="C45" t="s">
        <v>12</v>
      </c>
      <c r="D45">
        <v>10.723374058957877</v>
      </c>
      <c r="E45" t="s">
        <v>161</v>
      </c>
      <c r="F45">
        <v>46297</v>
      </c>
      <c r="G45" t="s">
        <v>149</v>
      </c>
      <c r="H45">
        <v>0.17767751093591166</v>
      </c>
      <c r="I45">
        <v>0.17767751093591166</v>
      </c>
      <c r="J45">
        <v>0</v>
      </c>
      <c r="K45">
        <v>0</v>
      </c>
      <c r="L45">
        <v>0</v>
      </c>
      <c r="M45" t="s">
        <v>129</v>
      </c>
      <c r="N45" t="s">
        <v>129</v>
      </c>
      <c r="O45">
        <v>28.36</v>
      </c>
    </row>
    <row r="46" spans="1:15" x14ac:dyDescent="0.25">
      <c r="A46" s="1">
        <v>46304</v>
      </c>
      <c r="B46" t="s">
        <v>148</v>
      </c>
      <c r="C46" t="s">
        <v>12</v>
      </c>
      <c r="D46">
        <v>10.723374058957877</v>
      </c>
      <c r="E46" t="s">
        <v>161</v>
      </c>
      <c r="F46">
        <v>46304</v>
      </c>
      <c r="G46" t="s">
        <v>149</v>
      </c>
      <c r="H46">
        <v>0.22430462636161286</v>
      </c>
      <c r="I46">
        <v>0.22430462636161286</v>
      </c>
      <c r="J46">
        <v>0</v>
      </c>
      <c r="K46">
        <v>0</v>
      </c>
      <c r="L46">
        <v>0</v>
      </c>
      <c r="M46" t="s">
        <v>129</v>
      </c>
      <c r="N46" t="s">
        <v>129</v>
      </c>
      <c r="O46">
        <v>28.36</v>
      </c>
    </row>
    <row r="47" spans="1:15" x14ac:dyDescent="0.25">
      <c r="A47" s="1">
        <v>46311</v>
      </c>
      <c r="B47" t="s">
        <v>148</v>
      </c>
      <c r="C47" t="s">
        <v>12</v>
      </c>
      <c r="D47">
        <v>10.723374058957877</v>
      </c>
      <c r="E47" t="s">
        <v>161</v>
      </c>
      <c r="F47">
        <v>46311</v>
      </c>
      <c r="G47" t="s">
        <v>149</v>
      </c>
      <c r="H47">
        <v>4.9452943515233105E-2</v>
      </c>
      <c r="I47">
        <v>4.9452943515233105E-2</v>
      </c>
      <c r="J47">
        <v>0</v>
      </c>
      <c r="K47">
        <v>0</v>
      </c>
      <c r="L47">
        <v>0</v>
      </c>
      <c r="M47" t="s">
        <v>129</v>
      </c>
      <c r="N47" t="s">
        <v>129</v>
      </c>
      <c r="O47">
        <v>28.36</v>
      </c>
    </row>
    <row r="48" spans="1:15" x14ac:dyDescent="0.25">
      <c r="A48" s="1">
        <v>46298</v>
      </c>
      <c r="B48" t="s">
        <v>148</v>
      </c>
      <c r="C48" t="s">
        <v>11</v>
      </c>
      <c r="D48">
        <v>4.1033319103155144</v>
      </c>
      <c r="E48" t="s">
        <v>161</v>
      </c>
      <c r="F48">
        <v>46298</v>
      </c>
      <c r="G48" t="s">
        <v>149</v>
      </c>
      <c r="H48">
        <v>0.14236432792968179</v>
      </c>
      <c r="I48">
        <v>0.14236432792968179</v>
      </c>
      <c r="J48">
        <v>0</v>
      </c>
      <c r="K48">
        <v>0</v>
      </c>
      <c r="L48">
        <v>0</v>
      </c>
      <c r="M48" t="s">
        <v>119</v>
      </c>
      <c r="N48" t="s">
        <v>119</v>
      </c>
      <c r="O48">
        <v>32.272000000000013</v>
      </c>
    </row>
    <row r="49" spans="1:15" x14ac:dyDescent="0.25">
      <c r="A49" s="1">
        <v>46305</v>
      </c>
      <c r="B49" t="s">
        <v>148</v>
      </c>
      <c r="C49" t="s">
        <v>11</v>
      </c>
      <c r="D49">
        <v>4.1033319103155144</v>
      </c>
      <c r="E49" t="s">
        <v>161</v>
      </c>
      <c r="F49">
        <v>46305</v>
      </c>
      <c r="G49" t="s">
        <v>149</v>
      </c>
      <c r="H49">
        <v>0.14236432792968179</v>
      </c>
      <c r="I49">
        <v>0.14236432792968179</v>
      </c>
      <c r="J49">
        <v>0</v>
      </c>
      <c r="K49">
        <v>0</v>
      </c>
      <c r="L49">
        <v>0</v>
      </c>
      <c r="M49" t="s">
        <v>119</v>
      </c>
      <c r="N49" t="s">
        <v>119</v>
      </c>
      <c r="O49">
        <v>32.272000000000013</v>
      </c>
    </row>
    <row r="50" spans="1:15" x14ac:dyDescent="0.25">
      <c r="A50" s="1">
        <v>46312</v>
      </c>
      <c r="B50" t="s">
        <v>148</v>
      </c>
      <c r="C50" t="s">
        <v>11</v>
      </c>
      <c r="D50">
        <v>4.1033319103155144</v>
      </c>
      <c r="E50" t="s">
        <v>161</v>
      </c>
      <c r="F50">
        <v>46312</v>
      </c>
      <c r="G50" t="s">
        <v>149</v>
      </c>
      <c r="H50">
        <v>0.14236432792968179</v>
      </c>
      <c r="I50">
        <v>0.14236432792968179</v>
      </c>
      <c r="J50">
        <v>0</v>
      </c>
      <c r="K50">
        <v>0</v>
      </c>
      <c r="L50">
        <v>0</v>
      </c>
      <c r="M50" t="s">
        <v>119</v>
      </c>
      <c r="N50" t="s">
        <v>119</v>
      </c>
      <c r="O50">
        <v>32.272000000000013</v>
      </c>
    </row>
    <row r="51" spans="1:15" x14ac:dyDescent="0.25">
      <c r="A51" s="1">
        <v>46298</v>
      </c>
      <c r="B51" t="s">
        <v>148</v>
      </c>
      <c r="C51" t="s">
        <v>10</v>
      </c>
      <c r="D51">
        <v>10.723374058957877</v>
      </c>
      <c r="E51" t="s">
        <v>161</v>
      </c>
      <c r="F51">
        <v>46298</v>
      </c>
      <c r="G51" t="s">
        <v>149</v>
      </c>
      <c r="H51">
        <v>8.6703954208592116E-2</v>
      </c>
      <c r="I51">
        <v>8.6703954208592116E-2</v>
      </c>
      <c r="J51">
        <v>0</v>
      </c>
      <c r="K51">
        <v>0</v>
      </c>
      <c r="L51">
        <v>0</v>
      </c>
      <c r="M51" t="s">
        <v>119</v>
      </c>
      <c r="N51" t="s">
        <v>119</v>
      </c>
      <c r="O51">
        <v>37.600000000000009</v>
      </c>
    </row>
    <row r="52" spans="1:15" x14ac:dyDescent="0.25">
      <c r="A52" s="1">
        <v>46305</v>
      </c>
      <c r="B52" t="s">
        <v>148</v>
      </c>
      <c r="C52" t="s">
        <v>10</v>
      </c>
      <c r="D52">
        <v>10.723374058957877</v>
      </c>
      <c r="E52" t="s">
        <v>161</v>
      </c>
      <c r="F52">
        <v>46305</v>
      </c>
      <c r="G52" t="s">
        <v>149</v>
      </c>
      <c r="H52">
        <v>4.9110097078279402E-2</v>
      </c>
      <c r="I52">
        <v>4.9110097078279402E-2</v>
      </c>
      <c r="J52">
        <v>0</v>
      </c>
      <c r="K52">
        <v>0</v>
      </c>
      <c r="L52">
        <v>0</v>
      </c>
      <c r="M52" t="s">
        <v>119</v>
      </c>
      <c r="N52" t="s">
        <v>119</v>
      </c>
      <c r="O52">
        <v>37.600000000000009</v>
      </c>
    </row>
    <row r="53" spans="1:15" x14ac:dyDescent="0.25">
      <c r="A53" s="1">
        <v>46312</v>
      </c>
      <c r="B53" t="s">
        <v>148</v>
      </c>
      <c r="C53" t="s">
        <v>10</v>
      </c>
      <c r="D53">
        <v>10.723374058957878</v>
      </c>
      <c r="E53" t="s">
        <v>161</v>
      </c>
      <c r="F53">
        <v>46312</v>
      </c>
      <c r="G53" t="s">
        <v>149</v>
      </c>
      <c r="H53">
        <v>0.11356522722557205</v>
      </c>
      <c r="I53">
        <v>0.11356522722557205</v>
      </c>
      <c r="J53">
        <v>0</v>
      </c>
      <c r="K53">
        <v>0</v>
      </c>
      <c r="L53">
        <v>0</v>
      </c>
      <c r="M53" t="s">
        <v>119</v>
      </c>
      <c r="N53" t="s">
        <v>119</v>
      </c>
      <c r="O53">
        <v>37.600000000000009</v>
      </c>
    </row>
    <row r="54" spans="1:15" x14ac:dyDescent="0.25">
      <c r="A54" s="1">
        <v>46298</v>
      </c>
      <c r="B54" t="s">
        <v>148</v>
      </c>
      <c r="C54" t="s">
        <v>12</v>
      </c>
      <c r="D54">
        <v>10.668662966820335</v>
      </c>
      <c r="E54" t="s">
        <v>161</v>
      </c>
      <c r="F54">
        <v>46298</v>
      </c>
      <c r="G54" t="s">
        <v>149</v>
      </c>
      <c r="H54">
        <v>0.15093449509573609</v>
      </c>
      <c r="I54">
        <v>0.15093449509573609</v>
      </c>
      <c r="J54">
        <v>0</v>
      </c>
      <c r="K54">
        <v>0</v>
      </c>
      <c r="L54">
        <v>0</v>
      </c>
      <c r="M54" t="s">
        <v>119</v>
      </c>
      <c r="N54" t="s">
        <v>119</v>
      </c>
      <c r="O54">
        <v>33.160000000000011</v>
      </c>
    </row>
    <row r="55" spans="1:15" x14ac:dyDescent="0.25">
      <c r="A55" s="1">
        <v>46305</v>
      </c>
      <c r="B55" t="s">
        <v>148</v>
      </c>
      <c r="C55" t="s">
        <v>12</v>
      </c>
      <c r="D55">
        <v>10.668662966820335</v>
      </c>
      <c r="E55" t="s">
        <v>161</v>
      </c>
      <c r="F55">
        <v>46305</v>
      </c>
      <c r="G55" t="s">
        <v>149</v>
      </c>
      <c r="H55">
        <v>0.14236432792968201</v>
      </c>
      <c r="I55">
        <v>0.14236432792968201</v>
      </c>
      <c r="J55">
        <v>0</v>
      </c>
      <c r="K55">
        <v>0</v>
      </c>
      <c r="L55">
        <v>0</v>
      </c>
      <c r="M55" t="s">
        <v>119</v>
      </c>
      <c r="N55" t="s">
        <v>119</v>
      </c>
      <c r="O55">
        <v>33.160000000000011</v>
      </c>
    </row>
    <row r="56" spans="1:15" x14ac:dyDescent="0.25">
      <c r="A56" s="1">
        <v>46312</v>
      </c>
      <c r="B56" t="s">
        <v>148</v>
      </c>
      <c r="C56" t="s">
        <v>12</v>
      </c>
      <c r="D56">
        <v>10.668662966820335</v>
      </c>
      <c r="E56" t="s">
        <v>161</v>
      </c>
      <c r="F56">
        <v>46312</v>
      </c>
      <c r="G56" t="s">
        <v>149</v>
      </c>
      <c r="H56">
        <v>0.14787800191063982</v>
      </c>
      <c r="I56">
        <v>0.14787800191063982</v>
      </c>
      <c r="J56">
        <v>0</v>
      </c>
      <c r="K56">
        <v>0</v>
      </c>
      <c r="L56">
        <v>0</v>
      </c>
      <c r="M56" t="s">
        <v>119</v>
      </c>
      <c r="N56" t="s">
        <v>119</v>
      </c>
      <c r="O56">
        <v>33.160000000000011</v>
      </c>
    </row>
    <row r="57" spans="1:15" x14ac:dyDescent="0.25">
      <c r="A57" s="1">
        <v>46299</v>
      </c>
      <c r="B57" t="s">
        <v>148</v>
      </c>
      <c r="C57" t="s">
        <v>10</v>
      </c>
      <c r="D57">
        <v>10.668662966820335</v>
      </c>
      <c r="E57" t="s">
        <v>161</v>
      </c>
      <c r="F57">
        <v>46299</v>
      </c>
      <c r="G57" t="s">
        <v>149</v>
      </c>
      <c r="H57">
        <v>0.14236432792968201</v>
      </c>
      <c r="I57">
        <v>0.14236432792968201</v>
      </c>
      <c r="J57">
        <v>0</v>
      </c>
      <c r="K57">
        <v>0</v>
      </c>
      <c r="L57">
        <v>0</v>
      </c>
      <c r="M57" t="s">
        <v>120</v>
      </c>
      <c r="N57" t="s">
        <v>120</v>
      </c>
      <c r="O57">
        <v>42.790000000000006</v>
      </c>
    </row>
    <row r="58" spans="1:15" x14ac:dyDescent="0.25">
      <c r="A58" s="1">
        <v>46306</v>
      </c>
      <c r="B58" t="s">
        <v>148</v>
      </c>
      <c r="C58" t="s">
        <v>10</v>
      </c>
      <c r="D58">
        <v>10.668662966820335</v>
      </c>
      <c r="E58" t="s">
        <v>161</v>
      </c>
      <c r="F58">
        <v>46306</v>
      </c>
      <c r="G58" t="s">
        <v>149</v>
      </c>
      <c r="H58">
        <v>0.14236432792968201</v>
      </c>
      <c r="I58">
        <v>0.14236432792968201</v>
      </c>
      <c r="J58">
        <v>0</v>
      </c>
      <c r="K58">
        <v>0</v>
      </c>
      <c r="L58">
        <v>0</v>
      </c>
      <c r="M58" t="s">
        <v>120</v>
      </c>
      <c r="N58" t="s">
        <v>120</v>
      </c>
      <c r="O58">
        <v>42.790000000000006</v>
      </c>
    </row>
    <row r="59" spans="1:15" x14ac:dyDescent="0.25">
      <c r="A59" s="1">
        <v>46313</v>
      </c>
      <c r="B59" t="s">
        <v>148</v>
      </c>
      <c r="C59" t="s">
        <v>10</v>
      </c>
      <c r="D59">
        <v>10.668662966820335</v>
      </c>
      <c r="E59" t="s">
        <v>161</v>
      </c>
      <c r="F59">
        <v>46313</v>
      </c>
      <c r="G59" t="s">
        <v>149</v>
      </c>
      <c r="H59">
        <v>0.14236432792968201</v>
      </c>
      <c r="I59">
        <v>0.14236432792968201</v>
      </c>
      <c r="J59">
        <v>0</v>
      </c>
      <c r="K59">
        <v>0</v>
      </c>
      <c r="L59">
        <v>0</v>
      </c>
      <c r="M59" t="s">
        <v>120</v>
      </c>
      <c r="N59" t="s">
        <v>120</v>
      </c>
      <c r="O59">
        <v>42.790000000000006</v>
      </c>
    </row>
    <row r="60" spans="1:15" x14ac:dyDescent="0.25">
      <c r="A60" s="1">
        <v>46299</v>
      </c>
      <c r="B60" t="s">
        <v>148</v>
      </c>
      <c r="C60" t="s">
        <v>11</v>
      </c>
      <c r="D60">
        <v>4.1033319103155144</v>
      </c>
      <c r="E60" t="s">
        <v>161</v>
      </c>
      <c r="F60">
        <v>46299</v>
      </c>
      <c r="G60" t="s">
        <v>149</v>
      </c>
      <c r="H60">
        <v>0.14236432792968179</v>
      </c>
      <c r="I60">
        <v>0.14236432792968179</v>
      </c>
      <c r="J60">
        <v>0</v>
      </c>
      <c r="K60">
        <v>0</v>
      </c>
      <c r="L60">
        <v>0</v>
      </c>
      <c r="M60" t="s">
        <v>120</v>
      </c>
      <c r="N60" t="s">
        <v>120</v>
      </c>
      <c r="O60">
        <v>36.574000000000012</v>
      </c>
    </row>
    <row r="61" spans="1:15" x14ac:dyDescent="0.25">
      <c r="A61" s="1">
        <v>46306</v>
      </c>
      <c r="B61" t="s">
        <v>148</v>
      </c>
      <c r="C61" t="s">
        <v>11</v>
      </c>
      <c r="D61">
        <v>4.1033319103155144</v>
      </c>
      <c r="E61" t="s">
        <v>161</v>
      </c>
      <c r="F61">
        <v>46306</v>
      </c>
      <c r="G61" t="s">
        <v>149</v>
      </c>
      <c r="H61">
        <v>0.14236432792968179</v>
      </c>
      <c r="I61">
        <v>0.14236432792968179</v>
      </c>
      <c r="J61">
        <v>0</v>
      </c>
      <c r="K61">
        <v>0</v>
      </c>
      <c r="L61">
        <v>0</v>
      </c>
      <c r="M61" t="s">
        <v>120</v>
      </c>
      <c r="N61" t="s">
        <v>120</v>
      </c>
      <c r="O61">
        <v>36.574000000000012</v>
      </c>
    </row>
    <row r="62" spans="1:15" x14ac:dyDescent="0.25">
      <c r="A62" s="1">
        <v>46313</v>
      </c>
      <c r="B62" t="s">
        <v>148</v>
      </c>
      <c r="C62" t="s">
        <v>11</v>
      </c>
      <c r="D62">
        <v>4.1033319103155144</v>
      </c>
      <c r="E62" t="s">
        <v>161</v>
      </c>
      <c r="F62">
        <v>46313</v>
      </c>
      <c r="G62" t="s">
        <v>149</v>
      </c>
      <c r="H62">
        <v>0.14236432792968179</v>
      </c>
      <c r="I62">
        <v>0.14236432792968179</v>
      </c>
      <c r="J62">
        <v>0</v>
      </c>
      <c r="K62">
        <v>0</v>
      </c>
      <c r="L62">
        <v>0</v>
      </c>
      <c r="M62" t="s">
        <v>120</v>
      </c>
      <c r="N62" t="s">
        <v>120</v>
      </c>
      <c r="O62">
        <v>36.574000000000012</v>
      </c>
    </row>
    <row r="63" spans="1:15" x14ac:dyDescent="0.25">
      <c r="A63" s="1">
        <v>46299</v>
      </c>
      <c r="B63" t="s">
        <v>148</v>
      </c>
      <c r="C63" t="s">
        <v>12</v>
      </c>
      <c r="D63">
        <v>11.489329348883439</v>
      </c>
      <c r="E63" t="s">
        <v>161</v>
      </c>
      <c r="F63">
        <v>46299</v>
      </c>
      <c r="G63" t="s">
        <v>149</v>
      </c>
      <c r="H63">
        <v>6.0766875934704645E-2</v>
      </c>
      <c r="I63">
        <v>6.0766875934704645E-2</v>
      </c>
      <c r="J63">
        <v>0</v>
      </c>
      <c r="K63">
        <v>0</v>
      </c>
      <c r="L63">
        <v>0</v>
      </c>
      <c r="M63" t="s">
        <v>120</v>
      </c>
      <c r="N63" t="s">
        <v>120</v>
      </c>
      <c r="O63">
        <v>37.610000000000007</v>
      </c>
    </row>
    <row r="64" spans="1:15" x14ac:dyDescent="0.25">
      <c r="A64" s="1">
        <v>46306</v>
      </c>
      <c r="B64" t="s">
        <v>148</v>
      </c>
      <c r="C64" t="s">
        <v>12</v>
      </c>
      <c r="D64">
        <v>10.668662966820335</v>
      </c>
      <c r="E64" t="s">
        <v>161</v>
      </c>
      <c r="F64">
        <v>46306</v>
      </c>
      <c r="G64" t="s">
        <v>149</v>
      </c>
      <c r="H64">
        <v>0.14236432792968201</v>
      </c>
      <c r="I64">
        <v>0.14236432792968201</v>
      </c>
      <c r="J64">
        <v>0</v>
      </c>
      <c r="K64">
        <v>0</v>
      </c>
      <c r="L64">
        <v>0</v>
      </c>
      <c r="M64" t="s">
        <v>120</v>
      </c>
      <c r="N64" t="s">
        <v>120</v>
      </c>
      <c r="O64">
        <v>37.610000000000007</v>
      </c>
    </row>
    <row r="65" spans="1:15" x14ac:dyDescent="0.25">
      <c r="A65" s="1">
        <v>46313</v>
      </c>
      <c r="B65" t="s">
        <v>148</v>
      </c>
      <c r="C65" t="s">
        <v>12</v>
      </c>
      <c r="D65">
        <v>11.489329348883439</v>
      </c>
      <c r="E65" t="s">
        <v>161</v>
      </c>
      <c r="F65">
        <v>46313</v>
      </c>
      <c r="G65" t="s">
        <v>149</v>
      </c>
      <c r="H65">
        <v>0.14236432792968201</v>
      </c>
      <c r="I65">
        <v>0.14236432792968201</v>
      </c>
      <c r="J65">
        <v>0</v>
      </c>
      <c r="K65">
        <v>0</v>
      </c>
      <c r="L65">
        <v>0</v>
      </c>
      <c r="M65" t="s">
        <v>120</v>
      </c>
      <c r="N65" t="s">
        <v>120</v>
      </c>
      <c r="O65">
        <v>37.610000000000007</v>
      </c>
    </row>
    <row r="66" spans="1:15" x14ac:dyDescent="0.25">
      <c r="A66" s="1">
        <v>46314</v>
      </c>
      <c r="B66" t="s">
        <v>148</v>
      </c>
      <c r="C66" t="s">
        <v>11</v>
      </c>
      <c r="D66">
        <v>4.1033319103155144</v>
      </c>
      <c r="E66" t="s">
        <v>161</v>
      </c>
      <c r="F66">
        <v>46314</v>
      </c>
      <c r="G66" t="s">
        <v>149</v>
      </c>
      <c r="H66">
        <v>0.14236432792968179</v>
      </c>
      <c r="I66">
        <v>0.14236432792968179</v>
      </c>
      <c r="J66">
        <v>0</v>
      </c>
      <c r="K66">
        <v>0</v>
      </c>
      <c r="L66">
        <v>0</v>
      </c>
      <c r="M66" t="s">
        <v>125</v>
      </c>
      <c r="N66" t="s">
        <v>125</v>
      </c>
      <c r="O66">
        <v>29.417999999999999</v>
      </c>
    </row>
    <row r="67" spans="1:15" x14ac:dyDescent="0.25">
      <c r="A67" s="1">
        <v>46314</v>
      </c>
      <c r="B67" t="s">
        <v>148</v>
      </c>
      <c r="C67" t="s">
        <v>10</v>
      </c>
      <c r="D67">
        <v>11.544040441020975</v>
      </c>
      <c r="E67" t="s">
        <v>161</v>
      </c>
      <c r="F67">
        <v>46314</v>
      </c>
      <c r="G67" t="s">
        <v>149</v>
      </c>
      <c r="H67">
        <v>5.6058018236639695E-2</v>
      </c>
      <c r="I67">
        <v>5.6058018236639695E-2</v>
      </c>
      <c r="J67">
        <v>0</v>
      </c>
      <c r="K67">
        <v>0</v>
      </c>
      <c r="L67">
        <v>0</v>
      </c>
      <c r="M67" t="s">
        <v>125</v>
      </c>
      <c r="N67" t="s">
        <v>125</v>
      </c>
      <c r="O67">
        <v>27.57</v>
      </c>
    </row>
    <row r="68" spans="1:15" x14ac:dyDescent="0.25">
      <c r="A68" s="1">
        <v>46315</v>
      </c>
      <c r="B68" t="s">
        <v>148</v>
      </c>
      <c r="C68" t="s">
        <v>10</v>
      </c>
      <c r="D68">
        <v>11.407262710677127</v>
      </c>
      <c r="E68" t="s">
        <v>161</v>
      </c>
      <c r="F68">
        <v>46315</v>
      </c>
      <c r="G68" t="s">
        <v>149</v>
      </c>
      <c r="H68">
        <v>6.0179843905963981E-2</v>
      </c>
      <c r="I68">
        <v>6.0179843905963981E-2</v>
      </c>
      <c r="J68">
        <v>0</v>
      </c>
      <c r="K68">
        <v>0</v>
      </c>
      <c r="L68">
        <v>0</v>
      </c>
      <c r="M68" t="s">
        <v>126</v>
      </c>
      <c r="N68" t="s">
        <v>126</v>
      </c>
      <c r="O68">
        <v>27.57</v>
      </c>
    </row>
    <row r="69" spans="1:15" x14ac:dyDescent="0.25">
      <c r="A69" s="1">
        <v>46315</v>
      </c>
      <c r="B69" t="s">
        <v>148</v>
      </c>
      <c r="C69" t="s">
        <v>11</v>
      </c>
      <c r="D69">
        <v>4.1033319103155144</v>
      </c>
      <c r="E69" t="s">
        <v>161</v>
      </c>
      <c r="F69">
        <v>46315</v>
      </c>
      <c r="G69" t="s">
        <v>149</v>
      </c>
      <c r="H69">
        <v>0.14236432792968179</v>
      </c>
      <c r="I69">
        <v>0.14236432792968179</v>
      </c>
      <c r="J69">
        <v>0</v>
      </c>
      <c r="K69">
        <v>0</v>
      </c>
      <c r="L69">
        <v>0</v>
      </c>
      <c r="M69" t="s">
        <v>126</v>
      </c>
      <c r="N69" t="s">
        <v>126</v>
      </c>
      <c r="O69">
        <v>29.417999999999999</v>
      </c>
    </row>
    <row r="70" spans="1:15" x14ac:dyDescent="0.25">
      <c r="A70" s="1">
        <v>46315</v>
      </c>
      <c r="B70" t="s">
        <v>148</v>
      </c>
      <c r="C70" t="s">
        <v>12</v>
      </c>
      <c r="D70">
        <v>10.668662966820335</v>
      </c>
      <c r="E70" t="s">
        <v>161</v>
      </c>
      <c r="F70">
        <v>46315</v>
      </c>
      <c r="G70" t="s">
        <v>149</v>
      </c>
      <c r="H70">
        <v>0.14236432792968201</v>
      </c>
      <c r="I70">
        <v>0.14236432792968201</v>
      </c>
      <c r="J70">
        <v>0</v>
      </c>
      <c r="K70">
        <v>0</v>
      </c>
      <c r="L70">
        <v>0</v>
      </c>
      <c r="M70" t="s">
        <v>126</v>
      </c>
      <c r="N70" t="s">
        <v>126</v>
      </c>
      <c r="O70">
        <v>28.36</v>
      </c>
    </row>
    <row r="71" spans="1:15" x14ac:dyDescent="0.25">
      <c r="A71" s="1">
        <v>46316</v>
      </c>
      <c r="B71" t="s">
        <v>148</v>
      </c>
      <c r="C71" t="s">
        <v>12</v>
      </c>
      <c r="D71">
        <v>10.504529690407711</v>
      </c>
      <c r="E71" t="s">
        <v>161</v>
      </c>
      <c r="F71">
        <v>46316</v>
      </c>
      <c r="G71" t="s">
        <v>149</v>
      </c>
      <c r="H71">
        <v>0.13641451372171542</v>
      </c>
      <c r="I71">
        <v>0.13641451372171542</v>
      </c>
      <c r="J71">
        <v>0</v>
      </c>
      <c r="K71">
        <v>0</v>
      </c>
      <c r="L71">
        <v>0</v>
      </c>
      <c r="M71" t="s">
        <v>127</v>
      </c>
      <c r="N71" t="s">
        <v>127</v>
      </c>
      <c r="O71">
        <v>28.36</v>
      </c>
    </row>
    <row r="72" spans="1:15" x14ac:dyDescent="0.25">
      <c r="A72" s="1">
        <v>46316</v>
      </c>
      <c r="B72" t="s">
        <v>148</v>
      </c>
      <c r="C72" t="s">
        <v>11</v>
      </c>
      <c r="D72">
        <v>4.1033319103155144</v>
      </c>
      <c r="E72" t="s">
        <v>161</v>
      </c>
      <c r="F72">
        <v>46316</v>
      </c>
      <c r="G72" t="s">
        <v>149</v>
      </c>
      <c r="H72">
        <v>0.14236432792968179</v>
      </c>
      <c r="I72">
        <v>0.14236432792968179</v>
      </c>
      <c r="J72">
        <v>0</v>
      </c>
      <c r="K72">
        <v>0</v>
      </c>
      <c r="L72">
        <v>0</v>
      </c>
      <c r="M72" t="s">
        <v>127</v>
      </c>
      <c r="N72" t="s">
        <v>127</v>
      </c>
      <c r="O72">
        <v>29.417999999999999</v>
      </c>
    </row>
    <row r="73" spans="1:15" x14ac:dyDescent="0.25">
      <c r="A73" s="1">
        <v>46316</v>
      </c>
      <c r="B73" t="s">
        <v>148</v>
      </c>
      <c r="C73" t="s">
        <v>10</v>
      </c>
      <c r="D73">
        <v>11.407262710677127</v>
      </c>
      <c r="E73" t="s">
        <v>161</v>
      </c>
      <c r="F73">
        <v>46316</v>
      </c>
      <c r="G73" t="s">
        <v>149</v>
      </c>
      <c r="H73">
        <v>6.0179843905963981E-2</v>
      </c>
      <c r="I73">
        <v>6.0179843905963981E-2</v>
      </c>
      <c r="J73">
        <v>0</v>
      </c>
      <c r="K73">
        <v>0</v>
      </c>
      <c r="L73">
        <v>0</v>
      </c>
      <c r="M73" t="s">
        <v>127</v>
      </c>
      <c r="N73" t="s">
        <v>127</v>
      </c>
      <c r="O73">
        <v>27.57</v>
      </c>
    </row>
    <row r="74" spans="1:15" x14ac:dyDescent="0.25">
      <c r="A74" s="1">
        <v>46317</v>
      </c>
      <c r="B74" t="s">
        <v>148</v>
      </c>
      <c r="C74" t="s">
        <v>10</v>
      </c>
      <c r="D74">
        <v>11.407262710677127</v>
      </c>
      <c r="E74" t="s">
        <v>161</v>
      </c>
      <c r="F74">
        <v>46317</v>
      </c>
      <c r="G74" t="s">
        <v>149</v>
      </c>
      <c r="H74">
        <v>0.14236432792968201</v>
      </c>
      <c r="I74">
        <v>0.14236432792968201</v>
      </c>
      <c r="J74">
        <v>0</v>
      </c>
      <c r="K74">
        <v>0</v>
      </c>
      <c r="L74">
        <v>0</v>
      </c>
      <c r="M74" t="s">
        <v>128</v>
      </c>
      <c r="N74" t="s">
        <v>128</v>
      </c>
      <c r="O74">
        <v>27.57</v>
      </c>
    </row>
    <row r="75" spans="1:15" x14ac:dyDescent="0.25">
      <c r="A75" s="1">
        <v>46317</v>
      </c>
      <c r="B75" t="s">
        <v>148</v>
      </c>
      <c r="C75" t="s">
        <v>11</v>
      </c>
      <c r="D75">
        <v>4.1033319103155144</v>
      </c>
      <c r="E75" t="s">
        <v>161</v>
      </c>
      <c r="F75">
        <v>46317</v>
      </c>
      <c r="G75" t="s">
        <v>149</v>
      </c>
      <c r="H75">
        <v>0.14236432792968179</v>
      </c>
      <c r="I75">
        <v>0.14236432792968179</v>
      </c>
      <c r="J75">
        <v>0</v>
      </c>
      <c r="K75">
        <v>0</v>
      </c>
      <c r="L75">
        <v>0</v>
      </c>
      <c r="M75" t="s">
        <v>128</v>
      </c>
      <c r="N75" t="s">
        <v>128</v>
      </c>
      <c r="O75">
        <v>29.417999999999999</v>
      </c>
    </row>
    <row r="76" spans="1:15" x14ac:dyDescent="0.25">
      <c r="A76" s="1">
        <v>46317</v>
      </c>
      <c r="B76" t="s">
        <v>148</v>
      </c>
      <c r="C76" t="s">
        <v>12</v>
      </c>
      <c r="D76">
        <v>10.668662966820335</v>
      </c>
      <c r="E76" t="s">
        <v>161</v>
      </c>
      <c r="F76">
        <v>46317</v>
      </c>
      <c r="G76" t="s">
        <v>149</v>
      </c>
      <c r="H76">
        <v>0.14236432792968201</v>
      </c>
      <c r="I76">
        <v>0.14236432792968201</v>
      </c>
      <c r="J76">
        <v>0</v>
      </c>
      <c r="K76">
        <v>0</v>
      </c>
      <c r="L76">
        <v>0</v>
      </c>
      <c r="M76" t="s">
        <v>128</v>
      </c>
      <c r="N76" t="s">
        <v>128</v>
      </c>
      <c r="O76">
        <v>28.36</v>
      </c>
    </row>
    <row r="77" spans="1:15" x14ac:dyDescent="0.25">
      <c r="A77" s="1">
        <v>46318</v>
      </c>
      <c r="B77" t="s">
        <v>148</v>
      </c>
      <c r="C77" t="s">
        <v>10</v>
      </c>
      <c r="D77">
        <v>10.668662966820335</v>
      </c>
      <c r="E77" t="s">
        <v>161</v>
      </c>
      <c r="F77">
        <v>46318</v>
      </c>
      <c r="G77" t="s">
        <v>149</v>
      </c>
      <c r="H77">
        <v>0</v>
      </c>
      <c r="I77">
        <v>0</v>
      </c>
      <c r="J77">
        <v>0.35616296682033466</v>
      </c>
      <c r="K77">
        <v>0.35616296682033466</v>
      </c>
      <c r="L77">
        <v>10.3125</v>
      </c>
      <c r="M77" t="s">
        <v>129</v>
      </c>
      <c r="N77" t="s">
        <v>129</v>
      </c>
      <c r="O77">
        <v>27.57</v>
      </c>
    </row>
    <row r="78" spans="1:15" x14ac:dyDescent="0.25">
      <c r="A78" s="1">
        <v>46318</v>
      </c>
      <c r="B78" t="s">
        <v>148</v>
      </c>
      <c r="C78" t="s">
        <v>11</v>
      </c>
      <c r="D78">
        <v>4.1033319103155144</v>
      </c>
      <c r="E78" t="s">
        <v>161</v>
      </c>
      <c r="F78">
        <v>46318</v>
      </c>
      <c r="G78" t="s">
        <v>149</v>
      </c>
      <c r="H78">
        <v>0.14236432792968179</v>
      </c>
      <c r="I78">
        <v>0.14236432792968179</v>
      </c>
      <c r="J78">
        <v>0</v>
      </c>
      <c r="K78">
        <v>0</v>
      </c>
      <c r="L78">
        <v>0</v>
      </c>
      <c r="M78" t="s">
        <v>129</v>
      </c>
      <c r="N78" t="s">
        <v>129</v>
      </c>
      <c r="O78">
        <v>29.417999999999999</v>
      </c>
    </row>
    <row r="79" spans="1:15" x14ac:dyDescent="0.25">
      <c r="A79" s="1">
        <v>46318</v>
      </c>
      <c r="B79" t="s">
        <v>148</v>
      </c>
      <c r="C79" t="s">
        <v>12</v>
      </c>
      <c r="D79">
        <v>10.723374058957877</v>
      </c>
      <c r="E79" t="s">
        <v>161</v>
      </c>
      <c r="F79">
        <v>46318</v>
      </c>
      <c r="G79" t="s">
        <v>149</v>
      </c>
      <c r="H79">
        <v>0.13653593850146928</v>
      </c>
      <c r="I79">
        <v>0.13653593850146928</v>
      </c>
      <c r="J79">
        <v>0</v>
      </c>
      <c r="K79">
        <v>0</v>
      </c>
      <c r="L79">
        <v>0</v>
      </c>
      <c r="M79" t="s">
        <v>129</v>
      </c>
      <c r="N79" t="s">
        <v>129</v>
      </c>
      <c r="O79">
        <v>28.36</v>
      </c>
    </row>
    <row r="80" spans="1:15" x14ac:dyDescent="0.25">
      <c r="A80" s="1">
        <v>46319</v>
      </c>
      <c r="B80" t="s">
        <v>148</v>
      </c>
      <c r="C80" t="s">
        <v>12</v>
      </c>
      <c r="D80">
        <v>10.668662966820335</v>
      </c>
      <c r="E80" t="s">
        <v>161</v>
      </c>
      <c r="F80">
        <v>46319</v>
      </c>
      <c r="G80" t="s">
        <v>149</v>
      </c>
      <c r="H80">
        <v>0.14236432792968201</v>
      </c>
      <c r="I80">
        <v>0.14236432792968201</v>
      </c>
      <c r="J80">
        <v>0</v>
      </c>
      <c r="K80">
        <v>0</v>
      </c>
      <c r="L80">
        <v>0</v>
      </c>
      <c r="M80" t="s">
        <v>119</v>
      </c>
      <c r="N80" t="s">
        <v>119</v>
      </c>
      <c r="O80">
        <v>33.160000000000011</v>
      </c>
    </row>
    <row r="81" spans="1:15" x14ac:dyDescent="0.25">
      <c r="A81" s="1">
        <v>46319</v>
      </c>
      <c r="B81" t="s">
        <v>148</v>
      </c>
      <c r="C81" t="s">
        <v>11</v>
      </c>
      <c r="D81">
        <v>4.1033319103155144</v>
      </c>
      <c r="E81" t="s">
        <v>161</v>
      </c>
      <c r="F81">
        <v>46319</v>
      </c>
      <c r="G81" t="s">
        <v>149</v>
      </c>
      <c r="H81">
        <v>0.14236432792968179</v>
      </c>
      <c r="I81">
        <v>0.14236432792968179</v>
      </c>
      <c r="J81">
        <v>0</v>
      </c>
      <c r="K81">
        <v>0</v>
      </c>
      <c r="L81">
        <v>0</v>
      </c>
      <c r="M81" t="s">
        <v>119</v>
      </c>
      <c r="N81" t="s">
        <v>119</v>
      </c>
      <c r="O81">
        <v>32.272000000000013</v>
      </c>
    </row>
    <row r="82" spans="1:15" x14ac:dyDescent="0.25">
      <c r="A82" s="1">
        <v>46319</v>
      </c>
      <c r="B82" t="s">
        <v>148</v>
      </c>
      <c r="C82" t="s">
        <v>10</v>
      </c>
      <c r="D82">
        <v>10.723374058957877</v>
      </c>
      <c r="E82" t="s">
        <v>161</v>
      </c>
      <c r="F82">
        <v>46319</v>
      </c>
      <c r="G82" t="s">
        <v>149</v>
      </c>
      <c r="H82">
        <v>4.9110097078279402E-2</v>
      </c>
      <c r="I82">
        <v>4.9110097078279402E-2</v>
      </c>
      <c r="J82">
        <v>0</v>
      </c>
      <c r="K82">
        <v>0</v>
      </c>
      <c r="L82">
        <v>0</v>
      </c>
      <c r="M82" t="s">
        <v>119</v>
      </c>
      <c r="N82" t="s">
        <v>119</v>
      </c>
      <c r="O82">
        <v>37.600000000000009</v>
      </c>
    </row>
    <row r="83" spans="1:15" x14ac:dyDescent="0.25">
      <c r="A83" s="1">
        <v>46320</v>
      </c>
      <c r="B83" t="s">
        <v>148</v>
      </c>
      <c r="C83" t="s">
        <v>12</v>
      </c>
      <c r="D83">
        <v>10.668662966820335</v>
      </c>
      <c r="E83" t="s">
        <v>161</v>
      </c>
      <c r="F83">
        <v>46320</v>
      </c>
      <c r="G83" t="s">
        <v>149</v>
      </c>
      <c r="H83">
        <v>0.14236432792968201</v>
      </c>
      <c r="I83">
        <v>0.14236432792968201</v>
      </c>
      <c r="J83">
        <v>0</v>
      </c>
      <c r="K83">
        <v>0</v>
      </c>
      <c r="L83">
        <v>0</v>
      </c>
      <c r="M83" t="s">
        <v>120</v>
      </c>
      <c r="N83" t="s">
        <v>120</v>
      </c>
      <c r="O83">
        <v>37.610000000000007</v>
      </c>
    </row>
    <row r="84" spans="1:15" x14ac:dyDescent="0.25">
      <c r="A84" s="1">
        <v>46320</v>
      </c>
      <c r="B84" t="s">
        <v>148</v>
      </c>
      <c r="C84" t="s">
        <v>10</v>
      </c>
      <c r="D84">
        <v>10.668662966820335</v>
      </c>
      <c r="E84" t="s">
        <v>161</v>
      </c>
      <c r="F84">
        <v>46320</v>
      </c>
      <c r="G84" t="s">
        <v>149</v>
      </c>
      <c r="H84">
        <v>0.14236432792968201</v>
      </c>
      <c r="I84">
        <v>0.14236432792968201</v>
      </c>
      <c r="J84">
        <v>0</v>
      </c>
      <c r="K84">
        <v>0</v>
      </c>
      <c r="L84">
        <v>0</v>
      </c>
      <c r="M84" t="s">
        <v>120</v>
      </c>
      <c r="N84" t="s">
        <v>120</v>
      </c>
      <c r="O84">
        <v>42.790000000000006</v>
      </c>
    </row>
    <row r="85" spans="1:15" x14ac:dyDescent="0.25">
      <c r="A85" s="1">
        <v>46320</v>
      </c>
      <c r="B85" t="s">
        <v>148</v>
      </c>
      <c r="C85" t="s">
        <v>11</v>
      </c>
      <c r="D85">
        <v>4.1033319103155144</v>
      </c>
      <c r="E85" t="s">
        <v>161</v>
      </c>
      <c r="F85">
        <v>46320</v>
      </c>
      <c r="G85" t="s">
        <v>149</v>
      </c>
      <c r="H85">
        <v>0.14236432792968179</v>
      </c>
      <c r="I85">
        <v>0.14236432792968179</v>
      </c>
      <c r="J85">
        <v>0</v>
      </c>
      <c r="K85">
        <v>0</v>
      </c>
      <c r="L85">
        <v>0</v>
      </c>
      <c r="M85" t="s">
        <v>120</v>
      </c>
      <c r="N85" t="s">
        <v>120</v>
      </c>
      <c r="O85">
        <v>36.574000000000012</v>
      </c>
    </row>
    <row r="86" spans="1:15" x14ac:dyDescent="0.25">
      <c r="A86" s="1">
        <v>46293</v>
      </c>
      <c r="B86" t="s">
        <v>97</v>
      </c>
      <c r="C86" t="s">
        <v>11</v>
      </c>
      <c r="D86">
        <v>0</v>
      </c>
      <c r="E86" t="s">
        <v>161</v>
      </c>
      <c r="F86">
        <v>46293</v>
      </c>
      <c r="G86" t="s">
        <v>149</v>
      </c>
      <c r="H86">
        <v>0</v>
      </c>
      <c r="I86">
        <v>0</v>
      </c>
      <c r="J86">
        <v>0</v>
      </c>
      <c r="K86">
        <v>0</v>
      </c>
      <c r="L86">
        <v>0</v>
      </c>
      <c r="M86" t="s">
        <v>125</v>
      </c>
    </row>
    <row r="87" spans="1:15" x14ac:dyDescent="0.25">
      <c r="A87" s="1">
        <v>46293</v>
      </c>
      <c r="B87" t="s">
        <v>97</v>
      </c>
      <c r="C87" t="s">
        <v>12</v>
      </c>
      <c r="D87">
        <v>3.0895675560022688</v>
      </c>
      <c r="E87" t="s">
        <v>161</v>
      </c>
      <c r="F87">
        <v>46293</v>
      </c>
      <c r="G87" t="s">
        <v>149</v>
      </c>
      <c r="H87">
        <v>0.48171373122644079</v>
      </c>
      <c r="I87">
        <v>0.48171373122644079</v>
      </c>
      <c r="J87">
        <v>0</v>
      </c>
      <c r="K87">
        <v>0</v>
      </c>
      <c r="L87">
        <v>0</v>
      </c>
      <c r="M87" t="s">
        <v>125</v>
      </c>
    </row>
    <row r="88" spans="1:15" x14ac:dyDescent="0.25">
      <c r="A88" s="1">
        <v>46293</v>
      </c>
      <c r="B88" t="s">
        <v>97</v>
      </c>
      <c r="C88" t="s">
        <v>10</v>
      </c>
      <c r="D88">
        <v>4.3768873710032157</v>
      </c>
      <c r="E88" t="s">
        <v>161</v>
      </c>
      <c r="F88">
        <v>46293</v>
      </c>
      <c r="G88" t="s">
        <v>149</v>
      </c>
      <c r="H88">
        <v>0</v>
      </c>
      <c r="I88">
        <v>0</v>
      </c>
      <c r="J88">
        <v>1.5533579592385098</v>
      </c>
      <c r="K88">
        <v>1.5533579592385098</v>
      </c>
      <c r="L88">
        <v>2.8235294117647056</v>
      </c>
      <c r="M88" t="s">
        <v>125</v>
      </c>
    </row>
    <row r="89" spans="1:15" x14ac:dyDescent="0.25">
      <c r="A89" s="1">
        <v>46294</v>
      </c>
      <c r="B89" t="s">
        <v>97</v>
      </c>
      <c r="C89" t="s">
        <v>11</v>
      </c>
      <c r="D89">
        <v>0</v>
      </c>
      <c r="E89" t="s">
        <v>161</v>
      </c>
      <c r="F89">
        <v>46294</v>
      </c>
      <c r="G89" t="s">
        <v>149</v>
      </c>
      <c r="H89">
        <v>0</v>
      </c>
      <c r="I89">
        <v>0</v>
      </c>
      <c r="J89">
        <v>0</v>
      </c>
      <c r="K89">
        <v>0</v>
      </c>
      <c r="L89">
        <v>0</v>
      </c>
      <c r="M89" t="s">
        <v>126</v>
      </c>
    </row>
    <row r="90" spans="1:15" x14ac:dyDescent="0.25">
      <c r="A90" s="1">
        <v>46294</v>
      </c>
      <c r="B90" t="s">
        <v>97</v>
      </c>
      <c r="C90" t="s">
        <v>12</v>
      </c>
      <c r="D90">
        <v>3.0895675560022688</v>
      </c>
      <c r="E90" t="s">
        <v>161</v>
      </c>
      <c r="F90">
        <v>46294</v>
      </c>
      <c r="G90" t="s">
        <v>149</v>
      </c>
      <c r="H90">
        <v>0.2140420896821329</v>
      </c>
      <c r="I90">
        <v>0.2140420896821329</v>
      </c>
      <c r="J90">
        <v>0</v>
      </c>
      <c r="K90">
        <v>0</v>
      </c>
      <c r="L90">
        <v>0</v>
      </c>
      <c r="M90" t="s">
        <v>126</v>
      </c>
    </row>
    <row r="91" spans="1:15" x14ac:dyDescent="0.25">
      <c r="A91" s="1">
        <v>46294</v>
      </c>
      <c r="B91" t="s">
        <v>97</v>
      </c>
      <c r="C91" t="s">
        <v>10</v>
      </c>
      <c r="D91">
        <v>4.3768873710032157</v>
      </c>
      <c r="E91" t="s">
        <v>161</v>
      </c>
      <c r="F91">
        <v>46294</v>
      </c>
      <c r="G91" t="s">
        <v>149</v>
      </c>
      <c r="H91">
        <v>0</v>
      </c>
      <c r="I91">
        <v>0</v>
      </c>
      <c r="J91">
        <v>0.612181488650275</v>
      </c>
      <c r="K91">
        <v>0.612181488650275</v>
      </c>
      <c r="L91">
        <v>3.7647058823529407</v>
      </c>
      <c r="M91" t="s">
        <v>126</v>
      </c>
    </row>
    <row r="92" spans="1:15" x14ac:dyDescent="0.25">
      <c r="A92" s="1">
        <v>46295</v>
      </c>
      <c r="B92" t="s">
        <v>97</v>
      </c>
      <c r="C92" t="s">
        <v>10</v>
      </c>
      <c r="D92">
        <v>4.3768873710032157</v>
      </c>
      <c r="E92" t="s">
        <v>161</v>
      </c>
      <c r="F92">
        <v>46295</v>
      </c>
      <c r="G92" t="s">
        <v>149</v>
      </c>
      <c r="H92">
        <v>0</v>
      </c>
      <c r="I92">
        <v>0</v>
      </c>
      <c r="J92">
        <v>1.5533579592385094</v>
      </c>
      <c r="K92">
        <v>1.5533579592385094</v>
      </c>
      <c r="L92">
        <v>2.8235294117647061</v>
      </c>
      <c r="M92" t="s">
        <v>127</v>
      </c>
    </row>
    <row r="93" spans="1:15" x14ac:dyDescent="0.25">
      <c r="A93" s="1">
        <v>46295</v>
      </c>
      <c r="B93" t="s">
        <v>97</v>
      </c>
      <c r="C93" t="s">
        <v>11</v>
      </c>
      <c r="D93">
        <v>0</v>
      </c>
      <c r="E93" t="s">
        <v>161</v>
      </c>
      <c r="F93">
        <v>46295</v>
      </c>
      <c r="G93" t="s">
        <v>149</v>
      </c>
      <c r="H93">
        <v>0</v>
      </c>
      <c r="I93">
        <v>0</v>
      </c>
      <c r="J93">
        <v>0</v>
      </c>
      <c r="K93">
        <v>0</v>
      </c>
      <c r="L93">
        <v>0</v>
      </c>
      <c r="M93" t="s">
        <v>127</v>
      </c>
    </row>
    <row r="94" spans="1:15" x14ac:dyDescent="0.25">
      <c r="A94" s="1">
        <v>46295</v>
      </c>
      <c r="B94" t="s">
        <v>97</v>
      </c>
      <c r="C94" t="s">
        <v>12</v>
      </c>
      <c r="D94">
        <v>3.8619594450028361</v>
      </c>
      <c r="E94" t="s">
        <v>161</v>
      </c>
      <c r="F94">
        <v>46295</v>
      </c>
      <c r="G94" t="s">
        <v>149</v>
      </c>
      <c r="H94">
        <v>0.18537098498115245</v>
      </c>
      <c r="I94">
        <v>0.18537098498115245</v>
      </c>
      <c r="J94">
        <v>0</v>
      </c>
      <c r="K94">
        <v>0</v>
      </c>
      <c r="L94">
        <v>0</v>
      </c>
      <c r="M94" t="s">
        <v>127</v>
      </c>
    </row>
    <row r="95" spans="1:15" x14ac:dyDescent="0.25">
      <c r="A95" s="1">
        <v>46296</v>
      </c>
      <c r="B95" t="s">
        <v>97</v>
      </c>
      <c r="C95" t="s">
        <v>12</v>
      </c>
      <c r="D95">
        <v>3.8619594450028361</v>
      </c>
      <c r="E95" t="s">
        <v>161</v>
      </c>
      <c r="F95">
        <v>46296</v>
      </c>
      <c r="G95" t="s">
        <v>149</v>
      </c>
      <c r="H95">
        <v>0</v>
      </c>
      <c r="I95">
        <v>0</v>
      </c>
      <c r="J95">
        <v>0.11109439309972152</v>
      </c>
      <c r="K95">
        <v>0.11109439309972152</v>
      </c>
      <c r="L95">
        <v>3.7508650519031144</v>
      </c>
      <c r="M95" t="s">
        <v>128</v>
      </c>
    </row>
    <row r="96" spans="1:15" x14ac:dyDescent="0.25">
      <c r="A96" s="1">
        <v>46296</v>
      </c>
      <c r="B96" t="s">
        <v>97</v>
      </c>
      <c r="C96" t="s">
        <v>11</v>
      </c>
      <c r="D96">
        <v>0</v>
      </c>
      <c r="E96" t="s">
        <v>161</v>
      </c>
      <c r="F96">
        <v>46296</v>
      </c>
      <c r="G96" t="s">
        <v>149</v>
      </c>
      <c r="H96">
        <v>0</v>
      </c>
      <c r="I96">
        <v>0</v>
      </c>
      <c r="J96">
        <v>0</v>
      </c>
      <c r="K96">
        <v>0</v>
      </c>
      <c r="L96">
        <v>0</v>
      </c>
      <c r="M96" t="s">
        <v>128</v>
      </c>
    </row>
    <row r="97" spans="1:13" x14ac:dyDescent="0.25">
      <c r="A97" s="1">
        <v>46296</v>
      </c>
      <c r="B97" t="s">
        <v>97</v>
      </c>
      <c r="C97" t="s">
        <v>10</v>
      </c>
      <c r="D97">
        <v>3.5015098968025717</v>
      </c>
      <c r="E97" t="s">
        <v>161</v>
      </c>
      <c r="F97">
        <v>46296</v>
      </c>
      <c r="G97" t="s">
        <v>149</v>
      </c>
      <c r="H97">
        <v>7.5166426286759735E-2</v>
      </c>
      <c r="I97">
        <v>7.5166426286759735E-2</v>
      </c>
      <c r="J97">
        <v>0</v>
      </c>
      <c r="K97">
        <v>0</v>
      </c>
      <c r="L97">
        <v>0</v>
      </c>
      <c r="M97" t="s">
        <v>128</v>
      </c>
    </row>
    <row r="98" spans="1:13" x14ac:dyDescent="0.25">
      <c r="A98" s="1">
        <v>46297</v>
      </c>
      <c r="B98" t="s">
        <v>97</v>
      </c>
      <c r="C98" t="s">
        <v>10</v>
      </c>
      <c r="D98">
        <v>3.5015098968025709</v>
      </c>
      <c r="E98" t="s">
        <v>161</v>
      </c>
      <c r="F98">
        <v>46297</v>
      </c>
      <c r="G98" t="s">
        <v>149</v>
      </c>
      <c r="H98">
        <v>0</v>
      </c>
      <c r="I98">
        <v>0</v>
      </c>
      <c r="J98">
        <v>0.93165695562609974</v>
      </c>
      <c r="K98">
        <v>0.93165695562609974</v>
      </c>
      <c r="L98">
        <v>2.569852941176471</v>
      </c>
      <c r="M98" t="s">
        <v>129</v>
      </c>
    </row>
    <row r="99" spans="1:13" x14ac:dyDescent="0.25">
      <c r="A99" s="1">
        <v>46297</v>
      </c>
      <c r="B99" t="s">
        <v>97</v>
      </c>
      <c r="C99" t="s">
        <v>11</v>
      </c>
      <c r="D99">
        <v>0</v>
      </c>
      <c r="E99" t="s">
        <v>161</v>
      </c>
      <c r="F99">
        <v>46297</v>
      </c>
      <c r="G99" t="s">
        <v>149</v>
      </c>
      <c r="H99">
        <v>0</v>
      </c>
      <c r="I99">
        <v>0</v>
      </c>
      <c r="J99">
        <v>0</v>
      </c>
      <c r="K99">
        <v>0</v>
      </c>
      <c r="L99">
        <v>0</v>
      </c>
      <c r="M99" t="s">
        <v>129</v>
      </c>
    </row>
    <row r="100" spans="1:13" x14ac:dyDescent="0.25">
      <c r="A100" s="1">
        <v>46297</v>
      </c>
      <c r="B100" t="s">
        <v>97</v>
      </c>
      <c r="C100" t="s">
        <v>12</v>
      </c>
      <c r="D100">
        <v>3.8619594450028361</v>
      </c>
      <c r="E100" t="s">
        <v>161</v>
      </c>
      <c r="F100">
        <v>46297</v>
      </c>
      <c r="G100" t="s">
        <v>149</v>
      </c>
      <c r="H100">
        <v>0</v>
      </c>
      <c r="I100">
        <v>0</v>
      </c>
      <c r="J100">
        <v>0.40319358571794611</v>
      </c>
      <c r="K100">
        <v>0.40319358571794611</v>
      </c>
      <c r="L100">
        <v>3.45876585928489</v>
      </c>
      <c r="M100" t="s">
        <v>129</v>
      </c>
    </row>
    <row r="101" spans="1:13" x14ac:dyDescent="0.25">
      <c r="A101" s="1">
        <v>46298</v>
      </c>
      <c r="B101" t="s">
        <v>97</v>
      </c>
      <c r="C101" t="s">
        <v>10</v>
      </c>
      <c r="D101">
        <v>4.3768873710032157</v>
      </c>
      <c r="E101" t="s">
        <v>161</v>
      </c>
      <c r="F101">
        <v>46298</v>
      </c>
      <c r="G101" t="s">
        <v>149</v>
      </c>
      <c r="H101">
        <v>0</v>
      </c>
      <c r="I101">
        <v>0</v>
      </c>
      <c r="J101">
        <v>2.494534429826746</v>
      </c>
      <c r="K101">
        <v>2.494534429826746</v>
      </c>
      <c r="L101">
        <v>1.8823529411764699</v>
      </c>
      <c r="M101" t="s">
        <v>119</v>
      </c>
    </row>
    <row r="102" spans="1:13" x14ac:dyDescent="0.25">
      <c r="A102" s="1">
        <v>46298</v>
      </c>
      <c r="B102" t="s">
        <v>97</v>
      </c>
      <c r="C102" t="s">
        <v>11</v>
      </c>
      <c r="D102">
        <v>0</v>
      </c>
      <c r="E102" t="s">
        <v>161</v>
      </c>
      <c r="F102">
        <v>46298</v>
      </c>
      <c r="G102" t="s">
        <v>149</v>
      </c>
      <c r="H102">
        <v>0</v>
      </c>
      <c r="I102">
        <v>0</v>
      </c>
      <c r="J102">
        <v>0</v>
      </c>
      <c r="K102">
        <v>0</v>
      </c>
      <c r="L102">
        <v>0</v>
      </c>
      <c r="M102" t="s">
        <v>119</v>
      </c>
    </row>
    <row r="103" spans="1:13" x14ac:dyDescent="0.25">
      <c r="A103" s="1">
        <v>46298</v>
      </c>
      <c r="B103" t="s">
        <v>97</v>
      </c>
      <c r="C103" t="s">
        <v>12</v>
      </c>
      <c r="D103">
        <v>3.8619594450028361</v>
      </c>
      <c r="E103" t="s">
        <v>161</v>
      </c>
      <c r="F103">
        <v>46298</v>
      </c>
      <c r="G103" t="s">
        <v>149</v>
      </c>
      <c r="H103">
        <v>0</v>
      </c>
      <c r="I103">
        <v>0</v>
      </c>
      <c r="J103">
        <v>1.9865269190512787</v>
      </c>
      <c r="K103">
        <v>1.9865269190512787</v>
      </c>
      <c r="L103">
        <v>1.8754325259515572</v>
      </c>
      <c r="M103" t="s">
        <v>119</v>
      </c>
    </row>
    <row r="104" spans="1:13" x14ac:dyDescent="0.25">
      <c r="A104" s="1">
        <v>46299</v>
      </c>
      <c r="B104" t="s">
        <v>97</v>
      </c>
      <c r="C104" t="s">
        <v>10</v>
      </c>
      <c r="D104">
        <v>4.3768873710032157</v>
      </c>
      <c r="E104" t="s">
        <v>161</v>
      </c>
      <c r="F104">
        <v>46299</v>
      </c>
      <c r="G104" t="s">
        <v>149</v>
      </c>
      <c r="H104">
        <v>0</v>
      </c>
      <c r="I104">
        <v>0</v>
      </c>
      <c r="J104">
        <v>0.86585795923850939</v>
      </c>
      <c r="K104">
        <v>0.86585795923850939</v>
      </c>
      <c r="L104">
        <v>3.5110294117647061</v>
      </c>
      <c r="M104" t="s">
        <v>120</v>
      </c>
    </row>
    <row r="105" spans="1:13" x14ac:dyDescent="0.25">
      <c r="A105" s="1">
        <v>46299</v>
      </c>
      <c r="B105" t="s">
        <v>97</v>
      </c>
      <c r="C105" t="s">
        <v>12</v>
      </c>
      <c r="D105">
        <v>3.8619594450028361</v>
      </c>
      <c r="E105" t="s">
        <v>161</v>
      </c>
      <c r="F105">
        <v>46299</v>
      </c>
      <c r="G105" t="s">
        <v>149</v>
      </c>
      <c r="H105">
        <v>0</v>
      </c>
      <c r="I105">
        <v>0</v>
      </c>
      <c r="J105">
        <v>0.34783026391863819</v>
      </c>
      <c r="K105">
        <v>0.34783026391863819</v>
      </c>
      <c r="L105">
        <v>3.5141291810841979</v>
      </c>
      <c r="M105" t="s">
        <v>120</v>
      </c>
    </row>
    <row r="106" spans="1:13" x14ac:dyDescent="0.25">
      <c r="A106" s="1">
        <v>46299</v>
      </c>
      <c r="B106" t="s">
        <v>97</v>
      </c>
      <c r="C106" t="s">
        <v>11</v>
      </c>
      <c r="D106">
        <v>0</v>
      </c>
      <c r="E106" t="s">
        <v>161</v>
      </c>
      <c r="F106">
        <v>46299</v>
      </c>
      <c r="G106" t="s">
        <v>149</v>
      </c>
      <c r="H106">
        <v>0</v>
      </c>
      <c r="I106">
        <v>0</v>
      </c>
      <c r="J106">
        <v>0</v>
      </c>
      <c r="K106">
        <v>0</v>
      </c>
      <c r="L106">
        <v>0</v>
      </c>
      <c r="M106" t="s">
        <v>120</v>
      </c>
    </row>
    <row r="107" spans="1:13" x14ac:dyDescent="0.25">
      <c r="A107" s="1">
        <v>46300</v>
      </c>
      <c r="B107" t="s">
        <v>97</v>
      </c>
      <c r="C107" t="s">
        <v>11</v>
      </c>
      <c r="D107">
        <v>0</v>
      </c>
      <c r="E107" t="s">
        <v>161</v>
      </c>
      <c r="F107">
        <v>46300</v>
      </c>
      <c r="G107" t="s">
        <v>149</v>
      </c>
      <c r="H107">
        <v>0</v>
      </c>
      <c r="I107">
        <v>0</v>
      </c>
      <c r="J107">
        <v>0</v>
      </c>
      <c r="K107">
        <v>0</v>
      </c>
      <c r="L107">
        <v>0</v>
      </c>
      <c r="M107" t="s">
        <v>125</v>
      </c>
    </row>
    <row r="108" spans="1:13" x14ac:dyDescent="0.25">
      <c r="A108" s="1">
        <v>46300</v>
      </c>
      <c r="B108" t="s">
        <v>97</v>
      </c>
      <c r="C108" t="s">
        <v>10</v>
      </c>
      <c r="D108">
        <v>4.3768873710032157</v>
      </c>
      <c r="E108" t="s">
        <v>161</v>
      </c>
      <c r="F108">
        <v>46300</v>
      </c>
      <c r="G108" t="s">
        <v>149</v>
      </c>
      <c r="H108">
        <v>7.5166426286759513E-2</v>
      </c>
      <c r="I108">
        <v>7.5166426286759513E-2</v>
      </c>
      <c r="J108">
        <v>0</v>
      </c>
      <c r="K108">
        <v>0</v>
      </c>
      <c r="L108">
        <v>0</v>
      </c>
      <c r="M108" t="s">
        <v>125</v>
      </c>
    </row>
    <row r="109" spans="1:13" x14ac:dyDescent="0.25">
      <c r="A109" s="1">
        <v>46300</v>
      </c>
      <c r="B109" t="s">
        <v>97</v>
      </c>
      <c r="C109" t="s">
        <v>12</v>
      </c>
      <c r="D109">
        <v>3.0895675560022693</v>
      </c>
      <c r="E109" t="s">
        <v>161</v>
      </c>
      <c r="F109">
        <v>46300</v>
      </c>
      <c r="G109" t="s">
        <v>149</v>
      </c>
      <c r="H109">
        <v>0.23196153012024534</v>
      </c>
      <c r="I109">
        <v>0.23196153012024534</v>
      </c>
      <c r="J109">
        <v>0</v>
      </c>
      <c r="K109">
        <v>0</v>
      </c>
      <c r="L109">
        <v>0</v>
      </c>
      <c r="M109" t="s">
        <v>125</v>
      </c>
    </row>
    <row r="110" spans="1:13" x14ac:dyDescent="0.25">
      <c r="A110" s="1">
        <v>46301</v>
      </c>
      <c r="B110" t="s">
        <v>97</v>
      </c>
      <c r="C110" t="s">
        <v>12</v>
      </c>
      <c r="D110">
        <v>3.0895675560022688</v>
      </c>
      <c r="E110" t="s">
        <v>161</v>
      </c>
      <c r="F110">
        <v>46301</v>
      </c>
      <c r="G110" t="s">
        <v>149</v>
      </c>
      <c r="H110">
        <v>0.13741781572541156</v>
      </c>
      <c r="I110">
        <v>0.13741781572541156</v>
      </c>
      <c r="J110">
        <v>0</v>
      </c>
      <c r="K110">
        <v>0</v>
      </c>
      <c r="L110">
        <v>0</v>
      </c>
      <c r="M110" t="s">
        <v>126</v>
      </c>
    </row>
    <row r="111" spans="1:13" x14ac:dyDescent="0.25">
      <c r="A111" s="1">
        <v>46301</v>
      </c>
      <c r="B111" t="s">
        <v>97</v>
      </c>
      <c r="C111" t="s">
        <v>11</v>
      </c>
      <c r="D111">
        <v>0</v>
      </c>
      <c r="E111" t="s">
        <v>161</v>
      </c>
      <c r="F111">
        <v>46301</v>
      </c>
      <c r="G111" t="s">
        <v>149</v>
      </c>
      <c r="H111">
        <v>0</v>
      </c>
      <c r="I111">
        <v>0</v>
      </c>
      <c r="J111">
        <v>0</v>
      </c>
      <c r="K111">
        <v>0</v>
      </c>
      <c r="L111">
        <v>0</v>
      </c>
      <c r="M111" t="s">
        <v>126</v>
      </c>
    </row>
    <row r="112" spans="1:13" x14ac:dyDescent="0.25">
      <c r="A112" s="1">
        <v>46301</v>
      </c>
      <c r="B112" t="s">
        <v>97</v>
      </c>
      <c r="C112" t="s">
        <v>10</v>
      </c>
      <c r="D112">
        <v>4.3768873710032157</v>
      </c>
      <c r="E112" t="s">
        <v>161</v>
      </c>
      <c r="F112">
        <v>46301</v>
      </c>
      <c r="G112" t="s">
        <v>149</v>
      </c>
      <c r="H112">
        <v>0</v>
      </c>
      <c r="I112">
        <v>0</v>
      </c>
      <c r="J112">
        <v>0.86585795923850994</v>
      </c>
      <c r="K112">
        <v>0.86585795923850994</v>
      </c>
      <c r="L112">
        <v>3.5110294117647056</v>
      </c>
      <c r="M112" t="s">
        <v>126</v>
      </c>
    </row>
    <row r="113" spans="1:13" x14ac:dyDescent="0.25">
      <c r="A113" s="1">
        <v>46302</v>
      </c>
      <c r="B113" t="s">
        <v>97</v>
      </c>
      <c r="C113" t="s">
        <v>12</v>
      </c>
      <c r="D113">
        <v>3.8619594450028369</v>
      </c>
      <c r="E113" t="s">
        <v>161</v>
      </c>
      <c r="F113">
        <v>46302</v>
      </c>
      <c r="G113" t="s">
        <v>149</v>
      </c>
      <c r="H113">
        <v>0</v>
      </c>
      <c r="I113">
        <v>0</v>
      </c>
      <c r="J113">
        <v>0.1110943930997224</v>
      </c>
      <c r="K113">
        <v>0.1110943930997224</v>
      </c>
      <c r="L113">
        <v>3.7508650519031144</v>
      </c>
      <c r="M113" t="s">
        <v>127</v>
      </c>
    </row>
    <row r="114" spans="1:13" x14ac:dyDescent="0.25">
      <c r="A114" s="1">
        <v>46302</v>
      </c>
      <c r="B114" t="s">
        <v>97</v>
      </c>
      <c r="C114" t="s">
        <v>11</v>
      </c>
      <c r="D114">
        <v>0</v>
      </c>
      <c r="E114" t="s">
        <v>161</v>
      </c>
      <c r="F114">
        <v>46302</v>
      </c>
      <c r="G114" t="s">
        <v>149</v>
      </c>
      <c r="H114">
        <v>0</v>
      </c>
      <c r="I114">
        <v>0</v>
      </c>
      <c r="J114">
        <v>0</v>
      </c>
      <c r="K114">
        <v>0</v>
      </c>
      <c r="L114">
        <v>0</v>
      </c>
      <c r="M114" t="s">
        <v>127</v>
      </c>
    </row>
    <row r="115" spans="1:13" x14ac:dyDescent="0.25">
      <c r="A115" s="1">
        <v>46302</v>
      </c>
      <c r="B115" t="s">
        <v>97</v>
      </c>
      <c r="C115" t="s">
        <v>10</v>
      </c>
      <c r="D115">
        <v>3.5015098968025717</v>
      </c>
      <c r="E115" t="s">
        <v>161</v>
      </c>
      <c r="F115">
        <v>46302</v>
      </c>
      <c r="G115" t="s">
        <v>149</v>
      </c>
      <c r="H115">
        <v>7.5166426286759735E-2</v>
      </c>
      <c r="I115">
        <v>7.5166426286759735E-2</v>
      </c>
      <c r="J115">
        <v>0</v>
      </c>
      <c r="K115">
        <v>0</v>
      </c>
      <c r="L115">
        <v>0</v>
      </c>
      <c r="M115" t="s">
        <v>127</v>
      </c>
    </row>
    <row r="116" spans="1:13" x14ac:dyDescent="0.25">
      <c r="A116" s="1">
        <v>46303</v>
      </c>
      <c r="B116" t="s">
        <v>97</v>
      </c>
      <c r="C116" t="s">
        <v>12</v>
      </c>
      <c r="D116">
        <v>3.8619594450028369</v>
      </c>
      <c r="E116" t="s">
        <v>161</v>
      </c>
      <c r="F116">
        <v>46303</v>
      </c>
      <c r="G116" t="s">
        <v>149</v>
      </c>
      <c r="H116">
        <v>0</v>
      </c>
      <c r="I116">
        <v>0</v>
      </c>
      <c r="J116">
        <v>0.11215907236509355</v>
      </c>
      <c r="K116">
        <v>0.11215907236509355</v>
      </c>
      <c r="L116">
        <v>3.7498003726377434</v>
      </c>
      <c r="M116" t="s">
        <v>128</v>
      </c>
    </row>
    <row r="117" spans="1:13" x14ac:dyDescent="0.25">
      <c r="A117" s="1">
        <v>46303</v>
      </c>
      <c r="B117" t="s">
        <v>97</v>
      </c>
      <c r="C117" t="s">
        <v>11</v>
      </c>
      <c r="D117">
        <v>0</v>
      </c>
      <c r="E117" t="s">
        <v>161</v>
      </c>
      <c r="F117">
        <v>46303</v>
      </c>
      <c r="G117" t="s">
        <v>149</v>
      </c>
      <c r="H117">
        <v>0</v>
      </c>
      <c r="I117">
        <v>0</v>
      </c>
      <c r="J117">
        <v>0</v>
      </c>
      <c r="K117">
        <v>0</v>
      </c>
      <c r="L117">
        <v>0</v>
      </c>
      <c r="M117" t="s">
        <v>128</v>
      </c>
    </row>
    <row r="118" spans="1:13" x14ac:dyDescent="0.25">
      <c r="A118" s="1">
        <v>46303</v>
      </c>
      <c r="B118" t="s">
        <v>97</v>
      </c>
      <c r="C118" t="s">
        <v>10</v>
      </c>
      <c r="D118">
        <v>3.5015098968025717</v>
      </c>
      <c r="E118" t="s">
        <v>161</v>
      </c>
      <c r="F118">
        <v>46303</v>
      </c>
      <c r="G118" t="s">
        <v>149</v>
      </c>
      <c r="H118">
        <v>4.0917226259760131E-3</v>
      </c>
      <c r="I118">
        <v>4.0917226259760131E-3</v>
      </c>
      <c r="J118">
        <v>0</v>
      </c>
      <c r="K118">
        <v>0</v>
      </c>
      <c r="L118">
        <v>0</v>
      </c>
      <c r="M118" t="s">
        <v>128</v>
      </c>
    </row>
    <row r="119" spans="1:13" x14ac:dyDescent="0.25">
      <c r="A119" s="1">
        <v>46304</v>
      </c>
      <c r="B119" t="s">
        <v>97</v>
      </c>
      <c r="C119" t="s">
        <v>10</v>
      </c>
      <c r="D119">
        <v>3.5015098968025709</v>
      </c>
      <c r="E119" t="s">
        <v>161</v>
      </c>
      <c r="F119">
        <v>46304</v>
      </c>
      <c r="G119" t="s">
        <v>149</v>
      </c>
      <c r="H119">
        <v>0</v>
      </c>
      <c r="I119">
        <v>0</v>
      </c>
      <c r="J119">
        <v>0.6779804850378649</v>
      </c>
      <c r="K119">
        <v>0.6779804850378649</v>
      </c>
      <c r="L119">
        <v>2.8235294117647061</v>
      </c>
      <c r="M119" t="s">
        <v>129</v>
      </c>
    </row>
    <row r="120" spans="1:13" x14ac:dyDescent="0.25">
      <c r="A120" s="1">
        <v>46304</v>
      </c>
      <c r="B120" t="s">
        <v>97</v>
      </c>
      <c r="C120" t="s">
        <v>11</v>
      </c>
      <c r="D120">
        <v>0</v>
      </c>
      <c r="E120" t="s">
        <v>161</v>
      </c>
      <c r="F120">
        <v>46304</v>
      </c>
      <c r="G120" t="s">
        <v>149</v>
      </c>
      <c r="H120">
        <v>0</v>
      </c>
      <c r="I120">
        <v>0</v>
      </c>
      <c r="J120">
        <v>0</v>
      </c>
      <c r="K120">
        <v>0</v>
      </c>
      <c r="L120">
        <v>0</v>
      </c>
      <c r="M120" t="s">
        <v>129</v>
      </c>
    </row>
    <row r="121" spans="1:13" x14ac:dyDescent="0.25">
      <c r="A121" s="1">
        <v>46304</v>
      </c>
      <c r="B121" t="s">
        <v>97</v>
      </c>
      <c r="C121" t="s">
        <v>12</v>
      </c>
      <c r="D121">
        <v>3.8619594450028369</v>
      </c>
      <c r="E121" t="s">
        <v>161</v>
      </c>
      <c r="F121">
        <v>46304</v>
      </c>
      <c r="G121" t="s">
        <v>149</v>
      </c>
      <c r="H121">
        <v>0</v>
      </c>
      <c r="I121">
        <v>0</v>
      </c>
      <c r="J121">
        <v>0.1664577148990303</v>
      </c>
      <c r="K121">
        <v>0.1664577148990303</v>
      </c>
      <c r="L121">
        <v>3.6955017301038064</v>
      </c>
      <c r="M121" t="s">
        <v>129</v>
      </c>
    </row>
    <row r="122" spans="1:13" x14ac:dyDescent="0.25">
      <c r="A122" s="1">
        <v>46305</v>
      </c>
      <c r="B122" t="s">
        <v>97</v>
      </c>
      <c r="C122" t="s">
        <v>10</v>
      </c>
      <c r="D122">
        <v>4.3768873710032157</v>
      </c>
      <c r="E122" t="s">
        <v>161</v>
      </c>
      <c r="F122">
        <v>46305</v>
      </c>
      <c r="G122" t="s">
        <v>149</v>
      </c>
      <c r="H122">
        <v>0</v>
      </c>
      <c r="I122">
        <v>0</v>
      </c>
      <c r="J122">
        <v>0.61218148865027311</v>
      </c>
      <c r="K122">
        <v>0.61218148865027311</v>
      </c>
      <c r="L122">
        <v>3.7647058823529425</v>
      </c>
      <c r="M122" t="s">
        <v>119</v>
      </c>
    </row>
    <row r="123" spans="1:13" x14ac:dyDescent="0.25">
      <c r="A123" s="1">
        <v>46305</v>
      </c>
      <c r="B123" t="s">
        <v>97</v>
      </c>
      <c r="C123" t="s">
        <v>11</v>
      </c>
      <c r="D123">
        <v>0</v>
      </c>
      <c r="E123" t="s">
        <v>161</v>
      </c>
      <c r="F123">
        <v>46305</v>
      </c>
      <c r="G123" t="s">
        <v>149</v>
      </c>
      <c r="H123">
        <v>0</v>
      </c>
      <c r="I123">
        <v>0</v>
      </c>
      <c r="J123">
        <v>0</v>
      </c>
      <c r="K123">
        <v>0</v>
      </c>
      <c r="L123">
        <v>0</v>
      </c>
      <c r="M123" t="s">
        <v>119</v>
      </c>
    </row>
    <row r="124" spans="1:13" x14ac:dyDescent="0.25">
      <c r="A124" s="1">
        <v>46305</v>
      </c>
      <c r="B124" t="s">
        <v>97</v>
      </c>
      <c r="C124" t="s">
        <v>12</v>
      </c>
      <c r="D124">
        <v>3.0895675560022697</v>
      </c>
      <c r="E124" t="s">
        <v>161</v>
      </c>
      <c r="F124">
        <v>46305</v>
      </c>
      <c r="G124" t="s">
        <v>149</v>
      </c>
      <c r="H124">
        <v>0.21404208968213245</v>
      </c>
      <c r="I124">
        <v>0.21404208968213245</v>
      </c>
      <c r="J124">
        <v>0</v>
      </c>
      <c r="K124">
        <v>0</v>
      </c>
      <c r="L124">
        <v>0</v>
      </c>
      <c r="M124" t="s">
        <v>119</v>
      </c>
    </row>
    <row r="125" spans="1:13" x14ac:dyDescent="0.25">
      <c r="A125" s="1">
        <v>46306</v>
      </c>
      <c r="B125" t="s">
        <v>97</v>
      </c>
      <c r="C125" t="s">
        <v>11</v>
      </c>
      <c r="D125">
        <v>0</v>
      </c>
      <c r="E125" t="s">
        <v>161</v>
      </c>
      <c r="F125">
        <v>46306</v>
      </c>
      <c r="G125" t="s">
        <v>149</v>
      </c>
      <c r="H125">
        <v>0</v>
      </c>
      <c r="I125">
        <v>0</v>
      </c>
      <c r="J125">
        <v>0</v>
      </c>
      <c r="K125">
        <v>0</v>
      </c>
      <c r="L125">
        <v>0</v>
      </c>
      <c r="M125" t="s">
        <v>120</v>
      </c>
    </row>
    <row r="126" spans="1:13" x14ac:dyDescent="0.25">
      <c r="A126" s="1">
        <v>46306</v>
      </c>
      <c r="B126" t="s">
        <v>97</v>
      </c>
      <c r="C126" t="s">
        <v>10</v>
      </c>
      <c r="D126">
        <v>4.3768873710032157</v>
      </c>
      <c r="E126" t="s">
        <v>161</v>
      </c>
      <c r="F126">
        <v>46306</v>
      </c>
      <c r="G126" t="s">
        <v>149</v>
      </c>
      <c r="H126">
        <v>0</v>
      </c>
      <c r="I126">
        <v>0</v>
      </c>
      <c r="J126">
        <v>1.5533579592385098</v>
      </c>
      <c r="K126">
        <v>1.5533579592385098</v>
      </c>
      <c r="L126">
        <v>2.8235294117647056</v>
      </c>
      <c r="M126" t="s">
        <v>120</v>
      </c>
    </row>
    <row r="127" spans="1:13" x14ac:dyDescent="0.25">
      <c r="A127" s="1">
        <v>46306</v>
      </c>
      <c r="B127" t="s">
        <v>97</v>
      </c>
      <c r="C127" t="s">
        <v>12</v>
      </c>
      <c r="D127">
        <v>3.0895675560022697</v>
      </c>
      <c r="E127" t="s">
        <v>161</v>
      </c>
      <c r="F127">
        <v>46306</v>
      </c>
      <c r="G127" t="s">
        <v>149</v>
      </c>
      <c r="H127">
        <v>0.19612264924401979</v>
      </c>
      <c r="I127">
        <v>0.19612264924401979</v>
      </c>
      <c r="J127">
        <v>0</v>
      </c>
      <c r="K127">
        <v>0</v>
      </c>
      <c r="L127">
        <v>0</v>
      </c>
      <c r="M127" t="s">
        <v>120</v>
      </c>
    </row>
    <row r="128" spans="1:13" x14ac:dyDescent="0.25">
      <c r="A128" s="1">
        <v>46307</v>
      </c>
      <c r="B128" t="s">
        <v>97</v>
      </c>
      <c r="C128" t="s">
        <v>12</v>
      </c>
      <c r="D128">
        <v>3.0895675560022697</v>
      </c>
      <c r="E128" t="s">
        <v>161</v>
      </c>
      <c r="F128">
        <v>46307</v>
      </c>
      <c r="G128" t="s">
        <v>149</v>
      </c>
      <c r="H128">
        <v>0.21404208968213245</v>
      </c>
      <c r="I128">
        <v>0.21404208968213245</v>
      </c>
      <c r="J128">
        <v>0</v>
      </c>
      <c r="K128">
        <v>0</v>
      </c>
      <c r="L128">
        <v>0</v>
      </c>
      <c r="M128" t="s">
        <v>125</v>
      </c>
    </row>
    <row r="129" spans="1:13" x14ac:dyDescent="0.25">
      <c r="A129" s="1">
        <v>46307</v>
      </c>
      <c r="B129" t="s">
        <v>97</v>
      </c>
      <c r="C129" t="s">
        <v>11</v>
      </c>
      <c r="D129">
        <v>0</v>
      </c>
      <c r="E129" t="s">
        <v>161</v>
      </c>
      <c r="F129">
        <v>46307</v>
      </c>
      <c r="G129" t="s">
        <v>149</v>
      </c>
      <c r="H129">
        <v>0</v>
      </c>
      <c r="I129">
        <v>0</v>
      </c>
      <c r="J129">
        <v>0</v>
      </c>
      <c r="K129">
        <v>0</v>
      </c>
      <c r="L129">
        <v>0</v>
      </c>
      <c r="M129" t="s">
        <v>125</v>
      </c>
    </row>
    <row r="130" spans="1:13" x14ac:dyDescent="0.25">
      <c r="A130" s="1">
        <v>46307</v>
      </c>
      <c r="B130" t="s">
        <v>97</v>
      </c>
      <c r="C130" t="s">
        <v>10</v>
      </c>
      <c r="D130">
        <v>4.3768873710032157</v>
      </c>
      <c r="E130" t="s">
        <v>161</v>
      </c>
      <c r="F130">
        <v>46307</v>
      </c>
      <c r="G130" t="s">
        <v>149</v>
      </c>
      <c r="H130">
        <v>0</v>
      </c>
      <c r="I130">
        <v>0</v>
      </c>
      <c r="J130">
        <v>0.61218148865027355</v>
      </c>
      <c r="K130">
        <v>0.61218148865027355</v>
      </c>
      <c r="L130">
        <v>3.764705882352942</v>
      </c>
      <c r="M130" t="s">
        <v>125</v>
      </c>
    </row>
    <row r="131" spans="1:13" x14ac:dyDescent="0.25">
      <c r="A131" s="1">
        <v>46308</v>
      </c>
      <c r="B131" t="s">
        <v>97</v>
      </c>
      <c r="C131" t="s">
        <v>11</v>
      </c>
      <c r="D131">
        <v>0</v>
      </c>
      <c r="E131" t="s">
        <v>161</v>
      </c>
      <c r="F131">
        <v>46308</v>
      </c>
      <c r="G131" t="s">
        <v>149</v>
      </c>
      <c r="H131">
        <v>0</v>
      </c>
      <c r="I131">
        <v>0</v>
      </c>
      <c r="J131">
        <v>0</v>
      </c>
      <c r="K131">
        <v>0</v>
      </c>
      <c r="L131">
        <v>0</v>
      </c>
      <c r="M131" t="s">
        <v>126</v>
      </c>
    </row>
    <row r="132" spans="1:13" x14ac:dyDescent="0.25">
      <c r="A132" s="1">
        <v>46308</v>
      </c>
      <c r="B132" t="s">
        <v>97</v>
      </c>
      <c r="C132" t="s">
        <v>10</v>
      </c>
      <c r="D132">
        <v>4.3768873710032157</v>
      </c>
      <c r="E132" t="s">
        <v>161</v>
      </c>
      <c r="F132">
        <v>46308</v>
      </c>
      <c r="G132" t="s">
        <v>149</v>
      </c>
      <c r="H132">
        <v>0</v>
      </c>
      <c r="I132">
        <v>0</v>
      </c>
      <c r="J132">
        <v>0.61218148865027355</v>
      </c>
      <c r="K132">
        <v>0.61218148865027355</v>
      </c>
      <c r="L132">
        <v>3.764705882352942</v>
      </c>
      <c r="M132" t="s">
        <v>126</v>
      </c>
    </row>
    <row r="133" spans="1:13" x14ac:dyDescent="0.25">
      <c r="A133" s="1">
        <v>46308</v>
      </c>
      <c r="B133" t="s">
        <v>97</v>
      </c>
      <c r="C133" t="s">
        <v>12</v>
      </c>
      <c r="D133">
        <v>3.0895675560022697</v>
      </c>
      <c r="E133" t="s">
        <v>161</v>
      </c>
      <c r="F133">
        <v>46308</v>
      </c>
      <c r="G133" t="s">
        <v>149</v>
      </c>
      <c r="H133">
        <v>0.21404208968213245</v>
      </c>
      <c r="I133">
        <v>0.21404208968213245</v>
      </c>
      <c r="J133">
        <v>0</v>
      </c>
      <c r="K133">
        <v>0</v>
      </c>
      <c r="L133">
        <v>0</v>
      </c>
      <c r="M133" t="s">
        <v>126</v>
      </c>
    </row>
    <row r="134" spans="1:13" x14ac:dyDescent="0.25">
      <c r="A134" s="1">
        <v>46309</v>
      </c>
      <c r="B134" t="s">
        <v>97</v>
      </c>
      <c r="C134" t="s">
        <v>11</v>
      </c>
      <c r="D134">
        <v>0</v>
      </c>
      <c r="E134" t="s">
        <v>161</v>
      </c>
      <c r="F134">
        <v>46309</v>
      </c>
      <c r="G134" t="s">
        <v>149</v>
      </c>
      <c r="H134">
        <v>0</v>
      </c>
      <c r="I134">
        <v>0</v>
      </c>
      <c r="J134">
        <v>0</v>
      </c>
      <c r="K134">
        <v>0</v>
      </c>
      <c r="L134">
        <v>0</v>
      </c>
      <c r="M134" t="s">
        <v>127</v>
      </c>
    </row>
    <row r="135" spans="1:13" x14ac:dyDescent="0.25">
      <c r="A135" s="1">
        <v>46309</v>
      </c>
      <c r="B135" t="s">
        <v>97</v>
      </c>
      <c r="C135" t="s">
        <v>12</v>
      </c>
      <c r="D135">
        <v>3.8619594450028352</v>
      </c>
      <c r="E135" t="s">
        <v>161</v>
      </c>
      <c r="F135">
        <v>46309</v>
      </c>
      <c r="G135" t="s">
        <v>149</v>
      </c>
      <c r="H135">
        <v>0.1997065373316429</v>
      </c>
      <c r="I135">
        <v>0.1997065373316429</v>
      </c>
      <c r="J135">
        <v>0</v>
      </c>
      <c r="K135">
        <v>0</v>
      </c>
      <c r="L135">
        <v>0</v>
      </c>
      <c r="M135" t="s">
        <v>127</v>
      </c>
    </row>
    <row r="136" spans="1:13" x14ac:dyDescent="0.25">
      <c r="A136" s="1">
        <v>46309</v>
      </c>
      <c r="B136" t="s">
        <v>97</v>
      </c>
      <c r="C136" t="s">
        <v>10</v>
      </c>
      <c r="D136">
        <v>4.3768873710032157</v>
      </c>
      <c r="E136" t="s">
        <v>161</v>
      </c>
      <c r="F136">
        <v>46309</v>
      </c>
      <c r="G136" t="s">
        <v>149</v>
      </c>
      <c r="H136">
        <v>0</v>
      </c>
      <c r="I136">
        <v>0</v>
      </c>
      <c r="J136">
        <v>0.612181488650276</v>
      </c>
      <c r="K136">
        <v>0.612181488650276</v>
      </c>
      <c r="L136">
        <v>3.7647058823529398</v>
      </c>
      <c r="M136" t="s">
        <v>127</v>
      </c>
    </row>
    <row r="137" spans="1:13" x14ac:dyDescent="0.25">
      <c r="A137" s="1">
        <v>46310</v>
      </c>
      <c r="B137" t="s">
        <v>97</v>
      </c>
      <c r="C137" t="s">
        <v>11</v>
      </c>
      <c r="D137">
        <v>0</v>
      </c>
      <c r="E137" t="s">
        <v>161</v>
      </c>
      <c r="F137">
        <v>46310</v>
      </c>
      <c r="G137" t="s">
        <v>149</v>
      </c>
      <c r="H137">
        <v>0</v>
      </c>
      <c r="I137">
        <v>0</v>
      </c>
      <c r="J137">
        <v>0</v>
      </c>
      <c r="K137">
        <v>0</v>
      </c>
      <c r="L137">
        <v>0</v>
      </c>
      <c r="M137" t="s">
        <v>128</v>
      </c>
    </row>
    <row r="138" spans="1:13" x14ac:dyDescent="0.25">
      <c r="A138" s="1">
        <v>46310</v>
      </c>
      <c r="B138" t="s">
        <v>97</v>
      </c>
      <c r="C138" t="s">
        <v>12</v>
      </c>
      <c r="D138">
        <v>3.8619594450028361</v>
      </c>
      <c r="E138" t="s">
        <v>161</v>
      </c>
      <c r="F138">
        <v>46310</v>
      </c>
      <c r="G138" t="s">
        <v>149</v>
      </c>
      <c r="H138">
        <v>0</v>
      </c>
      <c r="I138">
        <v>0</v>
      </c>
      <c r="J138">
        <v>0.11109439309972152</v>
      </c>
      <c r="K138">
        <v>0.11109439309972152</v>
      </c>
      <c r="L138">
        <v>3.7508650519031144</v>
      </c>
      <c r="M138" t="s">
        <v>128</v>
      </c>
    </row>
    <row r="139" spans="1:13" x14ac:dyDescent="0.25">
      <c r="A139" s="1">
        <v>46310</v>
      </c>
      <c r="B139" t="s">
        <v>97</v>
      </c>
      <c r="C139" t="s">
        <v>10</v>
      </c>
      <c r="D139">
        <v>3.5015098968025717</v>
      </c>
      <c r="E139" t="s">
        <v>161</v>
      </c>
      <c r="F139">
        <v>46310</v>
      </c>
      <c r="G139" t="s">
        <v>149</v>
      </c>
      <c r="H139">
        <v>7.5166426286759735E-2</v>
      </c>
      <c r="I139">
        <v>7.5166426286759735E-2</v>
      </c>
      <c r="J139">
        <v>0</v>
      </c>
      <c r="K139">
        <v>0</v>
      </c>
      <c r="L139">
        <v>0</v>
      </c>
      <c r="M139" t="s">
        <v>128</v>
      </c>
    </row>
    <row r="140" spans="1:13" x14ac:dyDescent="0.25">
      <c r="A140" s="1">
        <v>46311</v>
      </c>
      <c r="B140" t="s">
        <v>97</v>
      </c>
      <c r="C140" t="s">
        <v>10</v>
      </c>
      <c r="D140">
        <v>3.5015098968025722</v>
      </c>
      <c r="E140" t="s">
        <v>161</v>
      </c>
      <c r="F140">
        <v>46311</v>
      </c>
      <c r="G140" t="s">
        <v>149</v>
      </c>
      <c r="H140">
        <v>0</v>
      </c>
      <c r="I140">
        <v>0</v>
      </c>
      <c r="J140">
        <v>0.67798048503786557</v>
      </c>
      <c r="K140">
        <v>0.67798048503786557</v>
      </c>
      <c r="L140">
        <v>2.8235294117647065</v>
      </c>
      <c r="M140" t="s">
        <v>129</v>
      </c>
    </row>
    <row r="141" spans="1:13" x14ac:dyDescent="0.25">
      <c r="A141" s="1">
        <v>46311</v>
      </c>
      <c r="B141" t="s">
        <v>97</v>
      </c>
      <c r="C141" t="s">
        <v>12</v>
      </c>
      <c r="D141">
        <v>3.8619594450028361</v>
      </c>
      <c r="E141" t="s">
        <v>161</v>
      </c>
      <c r="F141">
        <v>46311</v>
      </c>
      <c r="G141" t="s">
        <v>149</v>
      </c>
      <c r="H141">
        <v>0</v>
      </c>
      <c r="I141">
        <v>0</v>
      </c>
      <c r="J141">
        <v>0.16645771489902941</v>
      </c>
      <c r="K141">
        <v>0.16645771489902941</v>
      </c>
      <c r="L141">
        <v>3.6955017301038064</v>
      </c>
      <c r="M141" t="s">
        <v>129</v>
      </c>
    </row>
    <row r="142" spans="1:13" x14ac:dyDescent="0.25">
      <c r="A142" s="1">
        <v>46311</v>
      </c>
      <c r="B142" t="s">
        <v>97</v>
      </c>
      <c r="C142" t="s">
        <v>11</v>
      </c>
      <c r="D142">
        <v>0</v>
      </c>
      <c r="E142" t="s">
        <v>161</v>
      </c>
      <c r="F142">
        <v>46311</v>
      </c>
      <c r="G142" t="s">
        <v>149</v>
      </c>
      <c r="H142">
        <v>0</v>
      </c>
      <c r="I142">
        <v>0</v>
      </c>
      <c r="J142">
        <v>0</v>
      </c>
      <c r="K142">
        <v>0</v>
      </c>
      <c r="L142">
        <v>0</v>
      </c>
      <c r="M142" t="s">
        <v>129</v>
      </c>
    </row>
    <row r="143" spans="1:13" x14ac:dyDescent="0.25">
      <c r="A143" s="1">
        <v>46312</v>
      </c>
      <c r="B143" t="s">
        <v>97</v>
      </c>
      <c r="C143" t="s">
        <v>10</v>
      </c>
      <c r="D143">
        <v>4.3768873710032157</v>
      </c>
      <c r="E143" t="s">
        <v>161</v>
      </c>
      <c r="F143">
        <v>46312</v>
      </c>
      <c r="G143" t="s">
        <v>149</v>
      </c>
      <c r="H143">
        <v>0</v>
      </c>
      <c r="I143">
        <v>0</v>
      </c>
      <c r="J143">
        <v>0.61218148865027355</v>
      </c>
      <c r="K143">
        <v>0.61218148865027355</v>
      </c>
      <c r="L143">
        <v>3.764705882352942</v>
      </c>
      <c r="M143" t="s">
        <v>119</v>
      </c>
    </row>
    <row r="144" spans="1:13" x14ac:dyDescent="0.25">
      <c r="A144" s="1">
        <v>46312</v>
      </c>
      <c r="B144" t="s">
        <v>97</v>
      </c>
      <c r="C144" t="s">
        <v>11</v>
      </c>
      <c r="D144">
        <v>0</v>
      </c>
      <c r="E144" t="s">
        <v>161</v>
      </c>
      <c r="F144">
        <v>46312</v>
      </c>
      <c r="G144" t="s">
        <v>149</v>
      </c>
      <c r="H144">
        <v>0</v>
      </c>
      <c r="I144">
        <v>0</v>
      </c>
      <c r="J144">
        <v>0</v>
      </c>
      <c r="K144">
        <v>0</v>
      </c>
      <c r="L144">
        <v>0</v>
      </c>
      <c r="M144" t="s">
        <v>119</v>
      </c>
    </row>
    <row r="145" spans="1:13" x14ac:dyDescent="0.25">
      <c r="A145" s="1">
        <v>46312</v>
      </c>
      <c r="B145" t="s">
        <v>97</v>
      </c>
      <c r="C145" t="s">
        <v>12</v>
      </c>
      <c r="D145">
        <v>3.8619594450028361</v>
      </c>
      <c r="E145" t="s">
        <v>161</v>
      </c>
      <c r="F145">
        <v>46312</v>
      </c>
      <c r="G145" t="s">
        <v>149</v>
      </c>
      <c r="H145">
        <v>0.19970653733164268</v>
      </c>
      <c r="I145">
        <v>0.19970653733164268</v>
      </c>
      <c r="J145">
        <v>0</v>
      </c>
      <c r="K145">
        <v>0</v>
      </c>
      <c r="L145">
        <v>0</v>
      </c>
      <c r="M145" t="s">
        <v>119</v>
      </c>
    </row>
    <row r="146" spans="1:13" x14ac:dyDescent="0.25">
      <c r="A146" s="1">
        <v>46313</v>
      </c>
      <c r="B146" t="s">
        <v>97</v>
      </c>
      <c r="C146" t="s">
        <v>10</v>
      </c>
      <c r="D146">
        <v>4.3768873710032157</v>
      </c>
      <c r="E146" t="s">
        <v>161</v>
      </c>
      <c r="F146">
        <v>46313</v>
      </c>
      <c r="G146" t="s">
        <v>149</v>
      </c>
      <c r="H146">
        <v>0</v>
      </c>
      <c r="I146">
        <v>0</v>
      </c>
      <c r="J146">
        <v>0.61218148865027355</v>
      </c>
      <c r="K146">
        <v>0.61218148865027355</v>
      </c>
      <c r="L146">
        <v>3.764705882352942</v>
      </c>
      <c r="M146" t="s">
        <v>120</v>
      </c>
    </row>
    <row r="147" spans="1:13" x14ac:dyDescent="0.25">
      <c r="A147" s="1">
        <v>46313</v>
      </c>
      <c r="B147" t="s">
        <v>97</v>
      </c>
      <c r="C147" t="s">
        <v>11</v>
      </c>
      <c r="D147">
        <v>0</v>
      </c>
      <c r="E147" t="s">
        <v>161</v>
      </c>
      <c r="F147">
        <v>46313</v>
      </c>
      <c r="G147" t="s">
        <v>149</v>
      </c>
      <c r="H147">
        <v>0</v>
      </c>
      <c r="I147">
        <v>0</v>
      </c>
      <c r="J147">
        <v>0</v>
      </c>
      <c r="K147">
        <v>0</v>
      </c>
      <c r="L147">
        <v>0</v>
      </c>
      <c r="M147" t="s">
        <v>120</v>
      </c>
    </row>
    <row r="148" spans="1:13" x14ac:dyDescent="0.25">
      <c r="A148" s="1">
        <v>46313</v>
      </c>
      <c r="B148" t="s">
        <v>97</v>
      </c>
      <c r="C148" t="s">
        <v>12</v>
      </c>
      <c r="D148">
        <v>3.8619594450028361</v>
      </c>
      <c r="E148" t="s">
        <v>161</v>
      </c>
      <c r="F148">
        <v>46313</v>
      </c>
      <c r="G148" t="s">
        <v>149</v>
      </c>
      <c r="H148">
        <v>0</v>
      </c>
      <c r="I148">
        <v>0</v>
      </c>
      <c r="J148">
        <v>0.11109439309972152</v>
      </c>
      <c r="K148">
        <v>0.11109439309972152</v>
      </c>
      <c r="L148">
        <v>3.7508650519031144</v>
      </c>
      <c r="M148" t="s">
        <v>120</v>
      </c>
    </row>
    <row r="149" spans="1:13" x14ac:dyDescent="0.25">
      <c r="A149" s="1">
        <v>46314</v>
      </c>
      <c r="B149" t="s">
        <v>97</v>
      </c>
      <c r="C149" t="s">
        <v>12</v>
      </c>
      <c r="D149">
        <v>3.0895675560022697</v>
      </c>
      <c r="E149" t="s">
        <v>161</v>
      </c>
      <c r="F149">
        <v>46314</v>
      </c>
      <c r="G149" t="s">
        <v>149</v>
      </c>
      <c r="H149">
        <v>0.21404208968213245</v>
      </c>
      <c r="I149">
        <v>0.21404208968213245</v>
      </c>
      <c r="J149">
        <v>0</v>
      </c>
      <c r="K149">
        <v>0</v>
      </c>
      <c r="L149">
        <v>0</v>
      </c>
      <c r="M149" t="s">
        <v>125</v>
      </c>
    </row>
    <row r="150" spans="1:13" x14ac:dyDescent="0.25">
      <c r="A150" s="1">
        <v>46314</v>
      </c>
      <c r="B150" t="s">
        <v>97</v>
      </c>
      <c r="C150" t="s">
        <v>10</v>
      </c>
      <c r="D150">
        <v>4.3768873710032157</v>
      </c>
      <c r="E150" t="s">
        <v>161</v>
      </c>
      <c r="F150">
        <v>46314</v>
      </c>
      <c r="G150" t="s">
        <v>149</v>
      </c>
      <c r="H150">
        <v>0</v>
      </c>
      <c r="I150">
        <v>0</v>
      </c>
      <c r="J150">
        <v>0.61218148865027355</v>
      </c>
      <c r="K150">
        <v>0.61218148865027355</v>
      </c>
      <c r="L150">
        <v>3.764705882352942</v>
      </c>
      <c r="M150" t="s">
        <v>125</v>
      </c>
    </row>
    <row r="151" spans="1:13" x14ac:dyDescent="0.25">
      <c r="A151" s="1">
        <v>46314</v>
      </c>
      <c r="B151" t="s">
        <v>97</v>
      </c>
      <c r="C151" t="s">
        <v>11</v>
      </c>
      <c r="D151">
        <v>0</v>
      </c>
      <c r="E151" t="s">
        <v>161</v>
      </c>
      <c r="F151">
        <v>46314</v>
      </c>
      <c r="G151" t="s">
        <v>149</v>
      </c>
      <c r="H151">
        <v>0</v>
      </c>
      <c r="I151">
        <v>0</v>
      </c>
      <c r="J151">
        <v>0</v>
      </c>
      <c r="K151">
        <v>0</v>
      </c>
      <c r="L151">
        <v>0</v>
      </c>
      <c r="M151" t="s">
        <v>125</v>
      </c>
    </row>
    <row r="152" spans="1:13" x14ac:dyDescent="0.25">
      <c r="A152" s="1">
        <v>46315</v>
      </c>
      <c r="B152" t="s">
        <v>97</v>
      </c>
      <c r="C152" t="s">
        <v>10</v>
      </c>
      <c r="D152">
        <v>4.3768873710032157</v>
      </c>
      <c r="E152" t="s">
        <v>161</v>
      </c>
      <c r="F152">
        <v>46315</v>
      </c>
      <c r="G152" t="s">
        <v>149</v>
      </c>
      <c r="H152">
        <v>0</v>
      </c>
      <c r="I152">
        <v>0</v>
      </c>
      <c r="J152">
        <v>0.612181488650275</v>
      </c>
      <c r="K152">
        <v>0.612181488650275</v>
      </c>
      <c r="L152">
        <v>3.7647058823529407</v>
      </c>
      <c r="M152" t="s">
        <v>126</v>
      </c>
    </row>
    <row r="153" spans="1:13" x14ac:dyDescent="0.25">
      <c r="A153" s="1">
        <v>46315</v>
      </c>
      <c r="B153" t="s">
        <v>97</v>
      </c>
      <c r="C153" t="s">
        <v>11</v>
      </c>
      <c r="D153">
        <v>0</v>
      </c>
      <c r="E153" t="s">
        <v>161</v>
      </c>
      <c r="F153">
        <v>46315</v>
      </c>
      <c r="G153" t="s">
        <v>149</v>
      </c>
      <c r="H153">
        <v>0</v>
      </c>
      <c r="I153">
        <v>0</v>
      </c>
      <c r="J153">
        <v>0</v>
      </c>
      <c r="K153">
        <v>0</v>
      </c>
      <c r="L153">
        <v>0</v>
      </c>
      <c r="M153" t="s">
        <v>126</v>
      </c>
    </row>
    <row r="154" spans="1:13" x14ac:dyDescent="0.25">
      <c r="A154" s="1">
        <v>46315</v>
      </c>
      <c r="B154" t="s">
        <v>97</v>
      </c>
      <c r="C154" t="s">
        <v>12</v>
      </c>
      <c r="D154">
        <v>3.0895675560022697</v>
      </c>
      <c r="E154" t="s">
        <v>161</v>
      </c>
      <c r="F154">
        <v>46315</v>
      </c>
      <c r="G154" t="s">
        <v>149</v>
      </c>
      <c r="H154">
        <v>0.21404208968213245</v>
      </c>
      <c r="I154">
        <v>0.21404208968213245</v>
      </c>
      <c r="J154">
        <v>0</v>
      </c>
      <c r="K154">
        <v>0</v>
      </c>
      <c r="L154">
        <v>0</v>
      </c>
      <c r="M154" t="s">
        <v>126</v>
      </c>
    </row>
    <row r="155" spans="1:13" x14ac:dyDescent="0.25">
      <c r="A155" s="1">
        <v>46316</v>
      </c>
      <c r="B155" t="s">
        <v>97</v>
      </c>
      <c r="C155" t="s">
        <v>12</v>
      </c>
      <c r="D155">
        <v>3.8619594450028369</v>
      </c>
      <c r="E155" t="s">
        <v>161</v>
      </c>
      <c r="F155">
        <v>46316</v>
      </c>
      <c r="G155" t="s">
        <v>149</v>
      </c>
      <c r="H155">
        <v>0.19970653733164245</v>
      </c>
      <c r="I155">
        <v>0.19970653733164245</v>
      </c>
      <c r="J155">
        <v>0</v>
      </c>
      <c r="K155">
        <v>0</v>
      </c>
      <c r="L155">
        <v>0</v>
      </c>
      <c r="M155" t="s">
        <v>127</v>
      </c>
    </row>
    <row r="156" spans="1:13" x14ac:dyDescent="0.25">
      <c r="A156" s="1">
        <v>46316</v>
      </c>
      <c r="B156" t="s">
        <v>97</v>
      </c>
      <c r="C156" t="s">
        <v>11</v>
      </c>
      <c r="D156">
        <v>0</v>
      </c>
      <c r="E156" t="s">
        <v>161</v>
      </c>
      <c r="F156">
        <v>46316</v>
      </c>
      <c r="G156" t="s">
        <v>149</v>
      </c>
      <c r="H156">
        <v>0</v>
      </c>
      <c r="I156">
        <v>0</v>
      </c>
      <c r="J156">
        <v>0</v>
      </c>
      <c r="K156">
        <v>0</v>
      </c>
      <c r="L156">
        <v>0</v>
      </c>
      <c r="M156" t="s">
        <v>127</v>
      </c>
    </row>
    <row r="157" spans="1:13" x14ac:dyDescent="0.25">
      <c r="A157" s="1">
        <v>46316</v>
      </c>
      <c r="B157" t="s">
        <v>97</v>
      </c>
      <c r="C157" t="s">
        <v>10</v>
      </c>
      <c r="D157">
        <v>3.5015098968025722</v>
      </c>
      <c r="E157" t="s">
        <v>161</v>
      </c>
      <c r="F157">
        <v>46316</v>
      </c>
      <c r="G157" t="s">
        <v>149</v>
      </c>
      <c r="H157">
        <v>7.5166426286759291E-2</v>
      </c>
      <c r="I157">
        <v>7.5166426286759291E-2</v>
      </c>
      <c r="J157">
        <v>0</v>
      </c>
      <c r="K157">
        <v>0</v>
      </c>
      <c r="L157">
        <v>0</v>
      </c>
      <c r="M157" t="s">
        <v>127</v>
      </c>
    </row>
    <row r="158" spans="1:13" x14ac:dyDescent="0.25">
      <c r="A158" s="1">
        <v>46317</v>
      </c>
      <c r="B158" t="s">
        <v>97</v>
      </c>
      <c r="C158" t="s">
        <v>10</v>
      </c>
      <c r="D158">
        <v>3.5015098968025717</v>
      </c>
      <c r="E158" t="s">
        <v>161</v>
      </c>
      <c r="F158">
        <v>46317</v>
      </c>
      <c r="G158" t="s">
        <v>149</v>
      </c>
      <c r="H158">
        <v>7.5166426286759291E-2</v>
      </c>
      <c r="I158">
        <v>7.5166426286759291E-2</v>
      </c>
      <c r="J158">
        <v>0</v>
      </c>
      <c r="K158">
        <v>0</v>
      </c>
      <c r="L158">
        <v>0</v>
      </c>
      <c r="M158" t="s">
        <v>128</v>
      </c>
    </row>
    <row r="159" spans="1:13" x14ac:dyDescent="0.25">
      <c r="A159" s="1">
        <v>46317</v>
      </c>
      <c r="B159" t="s">
        <v>97</v>
      </c>
      <c r="C159" t="s">
        <v>11</v>
      </c>
      <c r="D159">
        <v>0</v>
      </c>
      <c r="E159" t="s">
        <v>161</v>
      </c>
      <c r="F159">
        <v>46317</v>
      </c>
      <c r="G159" t="s">
        <v>149</v>
      </c>
      <c r="H159">
        <v>0</v>
      </c>
      <c r="I159">
        <v>0</v>
      </c>
      <c r="J159">
        <v>0</v>
      </c>
      <c r="K159">
        <v>0</v>
      </c>
      <c r="L159">
        <v>0</v>
      </c>
      <c r="M159" t="s">
        <v>128</v>
      </c>
    </row>
    <row r="160" spans="1:13" x14ac:dyDescent="0.25">
      <c r="A160" s="1">
        <v>46317</v>
      </c>
      <c r="B160" t="s">
        <v>97</v>
      </c>
      <c r="C160" t="s">
        <v>12</v>
      </c>
      <c r="D160">
        <v>3.8619594450028369</v>
      </c>
      <c r="E160" t="s">
        <v>161</v>
      </c>
      <c r="F160">
        <v>46317</v>
      </c>
      <c r="G160" t="s">
        <v>149</v>
      </c>
      <c r="H160">
        <v>0.19970653733164245</v>
      </c>
      <c r="I160">
        <v>0.19970653733164245</v>
      </c>
      <c r="J160">
        <v>0</v>
      </c>
      <c r="K160">
        <v>0</v>
      </c>
      <c r="L160">
        <v>0</v>
      </c>
      <c r="M160" t="s">
        <v>128</v>
      </c>
    </row>
    <row r="161" spans="1:13" x14ac:dyDescent="0.25">
      <c r="A161" s="1">
        <v>46318</v>
      </c>
      <c r="B161" t="s">
        <v>97</v>
      </c>
      <c r="C161" t="s">
        <v>11</v>
      </c>
      <c r="D161">
        <v>0</v>
      </c>
      <c r="E161" t="s">
        <v>161</v>
      </c>
      <c r="F161">
        <v>46318</v>
      </c>
      <c r="G161" t="s">
        <v>149</v>
      </c>
      <c r="H161">
        <v>0</v>
      </c>
      <c r="I161">
        <v>0</v>
      </c>
      <c r="J161">
        <v>0</v>
      </c>
      <c r="K161">
        <v>0</v>
      </c>
      <c r="L161">
        <v>0</v>
      </c>
      <c r="M161" t="s">
        <v>129</v>
      </c>
    </row>
    <row r="162" spans="1:13" x14ac:dyDescent="0.25">
      <c r="A162" s="1">
        <v>46318</v>
      </c>
      <c r="B162" t="s">
        <v>97</v>
      </c>
      <c r="C162" t="s">
        <v>12</v>
      </c>
      <c r="D162">
        <v>3.8619594450028369</v>
      </c>
      <c r="E162" t="s">
        <v>161</v>
      </c>
      <c r="F162">
        <v>46318</v>
      </c>
      <c r="G162" t="s">
        <v>149</v>
      </c>
      <c r="H162">
        <v>0.19970653733164245</v>
      </c>
      <c r="I162">
        <v>0.19970653733164245</v>
      </c>
      <c r="J162">
        <v>0</v>
      </c>
      <c r="K162">
        <v>0</v>
      </c>
      <c r="L162">
        <v>0</v>
      </c>
      <c r="M162" t="s">
        <v>129</v>
      </c>
    </row>
    <row r="163" spans="1:13" x14ac:dyDescent="0.25">
      <c r="A163" s="1">
        <v>46318</v>
      </c>
      <c r="B163" t="s">
        <v>97</v>
      </c>
      <c r="C163" t="s">
        <v>10</v>
      </c>
      <c r="D163">
        <v>3.5015098968025717</v>
      </c>
      <c r="E163" t="s">
        <v>161</v>
      </c>
      <c r="F163">
        <v>46318</v>
      </c>
      <c r="G163" t="s">
        <v>149</v>
      </c>
      <c r="H163">
        <v>7.5166426286759735E-2</v>
      </c>
      <c r="I163">
        <v>7.5166426286759735E-2</v>
      </c>
      <c r="J163">
        <v>0</v>
      </c>
      <c r="K163">
        <v>0</v>
      </c>
      <c r="L163">
        <v>0</v>
      </c>
      <c r="M163" t="s">
        <v>129</v>
      </c>
    </row>
    <row r="164" spans="1:13" x14ac:dyDescent="0.25">
      <c r="A164" s="1">
        <v>46319</v>
      </c>
      <c r="B164" t="s">
        <v>97</v>
      </c>
      <c r="C164" t="s">
        <v>11</v>
      </c>
      <c r="D164">
        <v>0</v>
      </c>
      <c r="E164" t="s">
        <v>161</v>
      </c>
      <c r="F164">
        <v>46319</v>
      </c>
      <c r="G164" t="s">
        <v>149</v>
      </c>
      <c r="H164">
        <v>0</v>
      </c>
      <c r="I164">
        <v>0</v>
      </c>
      <c r="J164">
        <v>0</v>
      </c>
      <c r="K164">
        <v>0</v>
      </c>
      <c r="L164">
        <v>0</v>
      </c>
      <c r="M164" t="s">
        <v>119</v>
      </c>
    </row>
    <row r="165" spans="1:13" x14ac:dyDescent="0.25">
      <c r="A165" s="1">
        <v>46319</v>
      </c>
      <c r="B165" t="s">
        <v>97</v>
      </c>
      <c r="C165" t="s">
        <v>12</v>
      </c>
      <c r="D165">
        <v>3.0895675560022697</v>
      </c>
      <c r="E165" t="s">
        <v>161</v>
      </c>
      <c r="F165">
        <v>46319</v>
      </c>
      <c r="G165" t="s">
        <v>149</v>
      </c>
      <c r="H165">
        <v>0.19612264924401979</v>
      </c>
      <c r="I165">
        <v>0.19612264924401979</v>
      </c>
      <c r="J165">
        <v>0</v>
      </c>
      <c r="K165">
        <v>0</v>
      </c>
      <c r="L165">
        <v>0</v>
      </c>
      <c r="M165" t="s">
        <v>119</v>
      </c>
    </row>
    <row r="166" spans="1:13" x14ac:dyDescent="0.25">
      <c r="A166" s="1">
        <v>46319</v>
      </c>
      <c r="B166" t="s">
        <v>97</v>
      </c>
      <c r="C166" t="s">
        <v>10</v>
      </c>
      <c r="D166">
        <v>4.3768873710032157</v>
      </c>
      <c r="E166" t="s">
        <v>161</v>
      </c>
      <c r="F166">
        <v>46319</v>
      </c>
      <c r="G166" t="s">
        <v>149</v>
      </c>
      <c r="H166">
        <v>0</v>
      </c>
      <c r="I166">
        <v>0</v>
      </c>
      <c r="J166">
        <v>1.5533579592385098</v>
      </c>
      <c r="K166">
        <v>1.5533579592385098</v>
      </c>
      <c r="L166">
        <v>2.8235294117647056</v>
      </c>
      <c r="M166" t="s">
        <v>119</v>
      </c>
    </row>
    <row r="167" spans="1:13" x14ac:dyDescent="0.25">
      <c r="A167" s="1">
        <v>46320</v>
      </c>
      <c r="B167" t="s">
        <v>97</v>
      </c>
      <c r="C167" t="s">
        <v>11</v>
      </c>
      <c r="D167">
        <v>0</v>
      </c>
      <c r="E167" t="s">
        <v>161</v>
      </c>
      <c r="F167">
        <v>46320</v>
      </c>
      <c r="G167" t="s">
        <v>149</v>
      </c>
      <c r="H167">
        <v>0</v>
      </c>
      <c r="I167">
        <v>0</v>
      </c>
      <c r="J167">
        <v>0</v>
      </c>
      <c r="K167">
        <v>0</v>
      </c>
      <c r="L167">
        <v>0</v>
      </c>
      <c r="M167" t="s">
        <v>120</v>
      </c>
    </row>
    <row r="168" spans="1:13" x14ac:dyDescent="0.25">
      <c r="A168" s="1">
        <v>46320</v>
      </c>
      <c r="B168" t="s">
        <v>97</v>
      </c>
      <c r="C168" t="s">
        <v>10</v>
      </c>
      <c r="D168">
        <v>4.3768873710032157</v>
      </c>
      <c r="E168" t="s">
        <v>161</v>
      </c>
      <c r="F168">
        <v>46320</v>
      </c>
      <c r="G168" t="s">
        <v>149</v>
      </c>
      <c r="H168">
        <v>0</v>
      </c>
      <c r="I168">
        <v>0</v>
      </c>
      <c r="J168">
        <v>0.612181488650275</v>
      </c>
      <c r="K168">
        <v>0.612181488650275</v>
      </c>
      <c r="L168">
        <v>3.7647058823529407</v>
      </c>
      <c r="M168" t="s">
        <v>120</v>
      </c>
    </row>
    <row r="169" spans="1:13" x14ac:dyDescent="0.25">
      <c r="A169" s="1">
        <v>46320</v>
      </c>
      <c r="B169" t="s">
        <v>97</v>
      </c>
      <c r="C169" t="s">
        <v>12</v>
      </c>
      <c r="D169">
        <v>3.0895675560022697</v>
      </c>
      <c r="E169" t="s">
        <v>161</v>
      </c>
      <c r="F169">
        <v>46320</v>
      </c>
      <c r="G169" t="s">
        <v>149</v>
      </c>
      <c r="H169">
        <v>0.21404208968213245</v>
      </c>
      <c r="I169">
        <v>0.21404208968213245</v>
      </c>
      <c r="J169">
        <v>0</v>
      </c>
      <c r="K169">
        <v>0</v>
      </c>
      <c r="L169">
        <v>0</v>
      </c>
      <c r="M169" t="s">
        <v>120</v>
      </c>
    </row>
    <row r="170" spans="1:13" x14ac:dyDescent="0.25">
      <c r="A170" s="1">
        <v>46293</v>
      </c>
      <c r="B170" t="s">
        <v>13</v>
      </c>
      <c r="C170" t="s">
        <v>12</v>
      </c>
      <c r="D170">
        <v>3.3887200615322879</v>
      </c>
      <c r="E170" t="s">
        <v>161</v>
      </c>
      <c r="F170">
        <v>46293</v>
      </c>
      <c r="G170" t="s">
        <v>149</v>
      </c>
      <c r="H170">
        <v>0.22505961178977918</v>
      </c>
      <c r="I170">
        <v>0.22505961178977918</v>
      </c>
      <c r="J170">
        <v>0</v>
      </c>
      <c r="K170">
        <v>0</v>
      </c>
      <c r="L170">
        <v>0</v>
      </c>
      <c r="M170" t="s">
        <v>125</v>
      </c>
    </row>
    <row r="171" spans="1:13" x14ac:dyDescent="0.25">
      <c r="A171" s="1">
        <v>46293</v>
      </c>
      <c r="B171" t="s">
        <v>13</v>
      </c>
      <c r="C171" t="s">
        <v>11</v>
      </c>
      <c r="D171">
        <v>1.2801831343566421</v>
      </c>
      <c r="E171" t="s">
        <v>161</v>
      </c>
      <c r="F171">
        <v>46293</v>
      </c>
      <c r="G171" t="s">
        <v>149</v>
      </c>
      <c r="H171">
        <v>0</v>
      </c>
      <c r="I171">
        <v>0</v>
      </c>
      <c r="J171">
        <v>0.33900666376840694</v>
      </c>
      <c r="K171">
        <v>0.33900666376840694</v>
      </c>
      <c r="L171">
        <v>0.94117647058823517</v>
      </c>
      <c r="M171" t="s">
        <v>125</v>
      </c>
    </row>
    <row r="172" spans="1:13" x14ac:dyDescent="0.25">
      <c r="A172" s="1">
        <v>46293</v>
      </c>
      <c r="B172" t="s">
        <v>13</v>
      </c>
      <c r="C172" t="s">
        <v>10</v>
      </c>
      <c r="D172">
        <v>5.8508369812393406</v>
      </c>
      <c r="E172" t="s">
        <v>161</v>
      </c>
      <c r="F172">
        <v>46293</v>
      </c>
      <c r="G172" t="s">
        <v>149</v>
      </c>
      <c r="H172">
        <v>0</v>
      </c>
      <c r="I172">
        <v>0</v>
      </c>
      <c r="J172">
        <v>3.26535904006287</v>
      </c>
      <c r="K172">
        <v>3.26535904006287</v>
      </c>
      <c r="L172">
        <v>2.5854779411764706</v>
      </c>
      <c r="M172" t="s">
        <v>125</v>
      </c>
    </row>
    <row r="173" spans="1:13" x14ac:dyDescent="0.25">
      <c r="A173" s="1">
        <v>46294</v>
      </c>
      <c r="B173" t="s">
        <v>13</v>
      </c>
      <c r="C173" t="s">
        <v>10</v>
      </c>
      <c r="D173">
        <v>5.8508369812393406</v>
      </c>
      <c r="E173" t="s">
        <v>161</v>
      </c>
      <c r="F173">
        <v>46294</v>
      </c>
      <c r="G173" t="s">
        <v>149</v>
      </c>
      <c r="H173">
        <v>0</v>
      </c>
      <c r="I173">
        <v>0</v>
      </c>
      <c r="J173">
        <v>3.2065355106511051</v>
      </c>
      <c r="K173">
        <v>3.2065355106511051</v>
      </c>
      <c r="L173">
        <v>2.6443014705882355</v>
      </c>
      <c r="M173" t="s">
        <v>126</v>
      </c>
    </row>
    <row r="174" spans="1:13" x14ac:dyDescent="0.25">
      <c r="A174" s="1">
        <v>46294</v>
      </c>
      <c r="B174" t="s">
        <v>13</v>
      </c>
      <c r="C174" t="s">
        <v>12</v>
      </c>
      <c r="D174">
        <v>3.3887200615322879</v>
      </c>
      <c r="E174" t="s">
        <v>161</v>
      </c>
      <c r="F174">
        <v>46294</v>
      </c>
      <c r="G174" t="s">
        <v>149</v>
      </c>
      <c r="H174">
        <v>0.20770098424201833</v>
      </c>
      <c r="I174">
        <v>0.20770098424201833</v>
      </c>
      <c r="J174">
        <v>0</v>
      </c>
      <c r="K174">
        <v>0</v>
      </c>
      <c r="L174">
        <v>0</v>
      </c>
      <c r="M174" t="s">
        <v>126</v>
      </c>
    </row>
    <row r="175" spans="1:13" x14ac:dyDescent="0.25">
      <c r="A175" s="1">
        <v>46294</v>
      </c>
      <c r="B175" t="s">
        <v>13</v>
      </c>
      <c r="C175" t="s">
        <v>11</v>
      </c>
      <c r="D175">
        <v>1.2801831343566421</v>
      </c>
      <c r="E175" t="s">
        <v>161</v>
      </c>
      <c r="F175">
        <v>46294</v>
      </c>
      <c r="G175" t="s">
        <v>149</v>
      </c>
      <c r="H175">
        <v>0</v>
      </c>
      <c r="I175">
        <v>0</v>
      </c>
      <c r="J175">
        <v>0.33900666376840694</v>
      </c>
      <c r="K175">
        <v>0.33900666376840694</v>
      </c>
      <c r="L175">
        <v>0.94117647058823517</v>
      </c>
      <c r="M175" t="s">
        <v>126</v>
      </c>
    </row>
    <row r="176" spans="1:13" x14ac:dyDescent="0.25">
      <c r="A176" s="1">
        <v>46295</v>
      </c>
      <c r="B176" t="s">
        <v>13</v>
      </c>
      <c r="C176" t="s">
        <v>10</v>
      </c>
      <c r="D176">
        <v>4.6506652927799887</v>
      </c>
      <c r="E176" t="s">
        <v>161</v>
      </c>
      <c r="F176">
        <v>46295</v>
      </c>
      <c r="G176" t="s">
        <v>149</v>
      </c>
      <c r="H176">
        <v>0</v>
      </c>
      <c r="I176">
        <v>0</v>
      </c>
      <c r="J176">
        <v>1.7444152927799885</v>
      </c>
      <c r="K176">
        <v>1.7444152927799885</v>
      </c>
      <c r="L176">
        <v>2.9062500000000004</v>
      </c>
      <c r="M176" t="s">
        <v>127</v>
      </c>
    </row>
    <row r="177" spans="1:13" x14ac:dyDescent="0.25">
      <c r="A177" s="1">
        <v>46295</v>
      </c>
      <c r="B177" t="s">
        <v>13</v>
      </c>
      <c r="C177" t="s">
        <v>11</v>
      </c>
      <c r="D177">
        <v>1.2801831343566421</v>
      </c>
      <c r="E177" t="s">
        <v>161</v>
      </c>
      <c r="F177">
        <v>46295</v>
      </c>
      <c r="G177" t="s">
        <v>149</v>
      </c>
      <c r="H177">
        <v>0</v>
      </c>
      <c r="I177">
        <v>0</v>
      </c>
      <c r="J177">
        <v>0.33900666376840694</v>
      </c>
      <c r="K177">
        <v>0.33900666376840694</v>
      </c>
      <c r="L177">
        <v>0.94117647058823517</v>
      </c>
      <c r="M177" t="s">
        <v>127</v>
      </c>
    </row>
    <row r="178" spans="1:13" x14ac:dyDescent="0.25">
      <c r="A178" s="1">
        <v>46295</v>
      </c>
      <c r="B178" t="s">
        <v>13</v>
      </c>
      <c r="C178" t="s">
        <v>12</v>
      </c>
      <c r="D178">
        <v>3.9535067384543359</v>
      </c>
      <c r="E178" t="s">
        <v>161</v>
      </c>
      <c r="F178">
        <v>46295</v>
      </c>
      <c r="G178" t="s">
        <v>149</v>
      </c>
      <c r="H178">
        <v>7.6964262059826538E-2</v>
      </c>
      <c r="I178">
        <v>7.6964262059826538E-2</v>
      </c>
      <c r="J178">
        <v>0</v>
      </c>
      <c r="K178">
        <v>0</v>
      </c>
      <c r="L178">
        <v>0</v>
      </c>
      <c r="M178" t="s">
        <v>127</v>
      </c>
    </row>
    <row r="179" spans="1:13" x14ac:dyDescent="0.25">
      <c r="A179" s="1">
        <v>46296</v>
      </c>
      <c r="B179" t="s">
        <v>13</v>
      </c>
      <c r="C179" t="s">
        <v>12</v>
      </c>
      <c r="D179">
        <v>3.5299167307627997</v>
      </c>
      <c r="E179" t="s">
        <v>161</v>
      </c>
      <c r="F179">
        <v>46296</v>
      </c>
      <c r="G179" t="s">
        <v>149</v>
      </c>
      <c r="H179">
        <v>0</v>
      </c>
      <c r="I179">
        <v>0</v>
      </c>
      <c r="J179">
        <v>0.47874208133646645</v>
      </c>
      <c r="K179">
        <v>0.47874208133646645</v>
      </c>
      <c r="L179">
        <v>3.0511746494263332</v>
      </c>
      <c r="M179" t="s">
        <v>128</v>
      </c>
    </row>
    <row r="180" spans="1:13" x14ac:dyDescent="0.25">
      <c r="A180" s="1">
        <v>46296</v>
      </c>
      <c r="B180" t="s">
        <v>13</v>
      </c>
      <c r="C180" t="s">
        <v>11</v>
      </c>
      <c r="D180">
        <v>1.2801831343566421</v>
      </c>
      <c r="E180" t="s">
        <v>161</v>
      </c>
      <c r="F180">
        <v>46296</v>
      </c>
      <c r="G180" t="s">
        <v>149</v>
      </c>
      <c r="H180">
        <v>0</v>
      </c>
      <c r="I180">
        <v>0</v>
      </c>
      <c r="J180">
        <v>0.33900666376840694</v>
      </c>
      <c r="K180">
        <v>0.33900666376840694</v>
      </c>
      <c r="L180">
        <v>0.94117647058823517</v>
      </c>
      <c r="M180" t="s">
        <v>128</v>
      </c>
    </row>
    <row r="181" spans="1:13" x14ac:dyDescent="0.25">
      <c r="A181" s="1">
        <v>46296</v>
      </c>
      <c r="B181" t="s">
        <v>13</v>
      </c>
      <c r="C181" t="s">
        <v>10</v>
      </c>
      <c r="D181">
        <v>6.0008584422967584</v>
      </c>
      <c r="E181" t="s">
        <v>161</v>
      </c>
      <c r="F181">
        <v>46296</v>
      </c>
      <c r="G181" t="s">
        <v>149</v>
      </c>
      <c r="H181">
        <v>0</v>
      </c>
      <c r="I181">
        <v>0</v>
      </c>
      <c r="J181">
        <v>3.000084448488709</v>
      </c>
      <c r="K181">
        <v>3.000084448488709</v>
      </c>
      <c r="L181">
        <v>3.0007739938080493</v>
      </c>
      <c r="M181" t="s">
        <v>128</v>
      </c>
    </row>
    <row r="182" spans="1:13" x14ac:dyDescent="0.25">
      <c r="A182" s="1">
        <v>46297</v>
      </c>
      <c r="B182" t="s">
        <v>13</v>
      </c>
      <c r="C182" t="s">
        <v>10</v>
      </c>
      <c r="D182">
        <v>4.8006867538374074</v>
      </c>
      <c r="E182" t="s">
        <v>161</v>
      </c>
      <c r="F182">
        <v>46297</v>
      </c>
      <c r="G182" t="s">
        <v>149</v>
      </c>
      <c r="H182">
        <v>0</v>
      </c>
      <c r="I182">
        <v>0</v>
      </c>
      <c r="J182">
        <v>1.9183338126609362</v>
      </c>
      <c r="K182">
        <v>1.9183338126609362</v>
      </c>
      <c r="L182">
        <v>2.8823529411764715</v>
      </c>
      <c r="M182" t="s">
        <v>129</v>
      </c>
    </row>
    <row r="183" spans="1:13" x14ac:dyDescent="0.25">
      <c r="A183" s="1">
        <v>46297</v>
      </c>
      <c r="B183" t="s">
        <v>13</v>
      </c>
      <c r="C183" t="s">
        <v>11</v>
      </c>
      <c r="D183">
        <v>1.2801831343566421</v>
      </c>
      <c r="E183" t="s">
        <v>161</v>
      </c>
      <c r="F183">
        <v>46297</v>
      </c>
      <c r="G183" t="s">
        <v>149</v>
      </c>
      <c r="H183">
        <v>0</v>
      </c>
      <c r="I183">
        <v>0</v>
      </c>
      <c r="J183">
        <v>0.33900666376840694</v>
      </c>
      <c r="K183">
        <v>0.33900666376840694</v>
      </c>
      <c r="L183">
        <v>0.94117647058823517</v>
      </c>
      <c r="M183" t="s">
        <v>129</v>
      </c>
    </row>
    <row r="184" spans="1:13" x14ac:dyDescent="0.25">
      <c r="A184" s="1">
        <v>46297</v>
      </c>
      <c r="B184" t="s">
        <v>13</v>
      </c>
      <c r="C184" t="s">
        <v>12</v>
      </c>
      <c r="D184">
        <v>2.2591467076881915</v>
      </c>
      <c r="E184" t="s">
        <v>161</v>
      </c>
      <c r="F184">
        <v>46297</v>
      </c>
      <c r="G184" t="s">
        <v>149</v>
      </c>
      <c r="H184">
        <v>0</v>
      </c>
      <c r="I184">
        <v>0</v>
      </c>
      <c r="J184">
        <v>0.15534047931448883</v>
      </c>
      <c r="K184">
        <v>0.15534047931448883</v>
      </c>
      <c r="L184">
        <v>2.1038062283737027</v>
      </c>
      <c r="M184" t="s">
        <v>129</v>
      </c>
    </row>
    <row r="185" spans="1:13" x14ac:dyDescent="0.25">
      <c r="A185" s="1">
        <v>46298</v>
      </c>
      <c r="B185" t="s">
        <v>13</v>
      </c>
      <c r="C185" t="s">
        <v>10</v>
      </c>
      <c r="D185">
        <v>3.6005150653780555</v>
      </c>
      <c r="E185" t="s">
        <v>161</v>
      </c>
      <c r="F185">
        <v>46298</v>
      </c>
      <c r="G185" t="s">
        <v>149</v>
      </c>
      <c r="H185">
        <v>6.0918471889627845E-2</v>
      </c>
      <c r="I185">
        <v>6.0918471889627845E-2</v>
      </c>
      <c r="J185">
        <v>0</v>
      </c>
      <c r="K185">
        <v>0</v>
      </c>
      <c r="L185">
        <v>0</v>
      </c>
      <c r="M185" t="s">
        <v>119</v>
      </c>
    </row>
    <row r="186" spans="1:13" x14ac:dyDescent="0.25">
      <c r="A186" s="1">
        <v>46298</v>
      </c>
      <c r="B186" t="s">
        <v>13</v>
      </c>
      <c r="C186" t="s">
        <v>11</v>
      </c>
      <c r="D186">
        <v>1.2801831343566421</v>
      </c>
      <c r="E186" t="s">
        <v>161</v>
      </c>
      <c r="F186">
        <v>46298</v>
      </c>
      <c r="G186" t="s">
        <v>149</v>
      </c>
      <c r="H186">
        <v>0</v>
      </c>
      <c r="I186">
        <v>0</v>
      </c>
      <c r="J186">
        <v>0.33900666376840694</v>
      </c>
      <c r="K186">
        <v>0.33900666376840694</v>
      </c>
      <c r="L186">
        <v>0.94117647058823517</v>
      </c>
      <c r="M186" t="s">
        <v>119</v>
      </c>
    </row>
    <row r="187" spans="1:13" x14ac:dyDescent="0.25">
      <c r="A187" s="1">
        <v>46298</v>
      </c>
      <c r="B187" t="s">
        <v>13</v>
      </c>
      <c r="C187" t="s">
        <v>12</v>
      </c>
      <c r="D187">
        <v>3.388720061532287</v>
      </c>
      <c r="E187" t="s">
        <v>161</v>
      </c>
      <c r="F187">
        <v>46298</v>
      </c>
      <c r="G187" t="s">
        <v>149</v>
      </c>
      <c r="H187">
        <v>0.15894366274757243</v>
      </c>
      <c r="I187">
        <v>0.15894366274757243</v>
      </c>
      <c r="J187">
        <v>0</v>
      </c>
      <c r="K187">
        <v>0</v>
      </c>
      <c r="L187">
        <v>0</v>
      </c>
      <c r="M187" t="s">
        <v>119</v>
      </c>
    </row>
    <row r="188" spans="1:13" x14ac:dyDescent="0.25">
      <c r="A188" s="1">
        <v>46299</v>
      </c>
      <c r="B188" t="s">
        <v>13</v>
      </c>
      <c r="C188" t="s">
        <v>10</v>
      </c>
      <c r="D188">
        <v>4.7256760233086972</v>
      </c>
      <c r="E188" t="s">
        <v>161</v>
      </c>
      <c r="F188">
        <v>46299</v>
      </c>
      <c r="G188" t="s">
        <v>149</v>
      </c>
      <c r="H188">
        <v>0</v>
      </c>
      <c r="I188">
        <v>0</v>
      </c>
      <c r="J188">
        <v>1.1401980821322264</v>
      </c>
      <c r="K188">
        <v>1.1401980821322264</v>
      </c>
      <c r="L188">
        <v>3.585477941176471</v>
      </c>
      <c r="M188" t="s">
        <v>120</v>
      </c>
    </row>
    <row r="189" spans="1:13" x14ac:dyDescent="0.25">
      <c r="A189" s="1">
        <v>46299</v>
      </c>
      <c r="B189" t="s">
        <v>13</v>
      </c>
      <c r="C189" t="s">
        <v>11</v>
      </c>
      <c r="D189">
        <v>1.2801831343566421</v>
      </c>
      <c r="E189" t="s">
        <v>161</v>
      </c>
      <c r="F189">
        <v>46299</v>
      </c>
      <c r="G189" t="s">
        <v>149</v>
      </c>
      <c r="H189">
        <v>0</v>
      </c>
      <c r="I189">
        <v>0</v>
      </c>
      <c r="J189">
        <v>0.33900666376840694</v>
      </c>
      <c r="K189">
        <v>0.33900666376840694</v>
      </c>
      <c r="L189">
        <v>0.94117647058823517</v>
      </c>
      <c r="M189" t="s">
        <v>120</v>
      </c>
    </row>
    <row r="190" spans="1:13" x14ac:dyDescent="0.25">
      <c r="A190" s="1">
        <v>46299</v>
      </c>
      <c r="B190" t="s">
        <v>13</v>
      </c>
      <c r="C190" t="s">
        <v>12</v>
      </c>
      <c r="D190">
        <v>3.388720061532287</v>
      </c>
      <c r="E190" t="s">
        <v>161</v>
      </c>
      <c r="F190">
        <v>46299</v>
      </c>
      <c r="G190" t="s">
        <v>149</v>
      </c>
      <c r="H190">
        <v>0</v>
      </c>
      <c r="I190">
        <v>0</v>
      </c>
      <c r="J190">
        <v>0.12314912727623317</v>
      </c>
      <c r="K190">
        <v>0.12314912727623317</v>
      </c>
      <c r="L190">
        <v>3.2655709342560537</v>
      </c>
      <c r="M190" t="s">
        <v>120</v>
      </c>
    </row>
    <row r="191" spans="1:13" x14ac:dyDescent="0.25">
      <c r="A191" s="1">
        <v>46300</v>
      </c>
      <c r="B191" t="s">
        <v>13</v>
      </c>
      <c r="C191" t="s">
        <v>11</v>
      </c>
      <c r="D191">
        <v>1.2801831343566421</v>
      </c>
      <c r="E191" t="s">
        <v>161</v>
      </c>
      <c r="F191">
        <v>46300</v>
      </c>
      <c r="G191" t="s">
        <v>149</v>
      </c>
      <c r="H191">
        <v>0</v>
      </c>
      <c r="I191">
        <v>0</v>
      </c>
      <c r="J191">
        <v>1.2801831343566421</v>
      </c>
      <c r="K191">
        <v>1.2801831343566421</v>
      </c>
      <c r="L191">
        <v>0</v>
      </c>
      <c r="M191" t="s">
        <v>125</v>
      </c>
    </row>
    <row r="192" spans="1:13" x14ac:dyDescent="0.25">
      <c r="A192" s="1">
        <v>46300</v>
      </c>
      <c r="B192" t="s">
        <v>13</v>
      </c>
      <c r="C192" t="s">
        <v>12</v>
      </c>
      <c r="D192">
        <v>3.388720061532287</v>
      </c>
      <c r="E192" t="s">
        <v>161</v>
      </c>
      <c r="F192">
        <v>46300</v>
      </c>
      <c r="G192" t="s">
        <v>149</v>
      </c>
      <c r="H192">
        <v>0</v>
      </c>
      <c r="I192">
        <v>0</v>
      </c>
      <c r="J192">
        <v>0.45446400616896471</v>
      </c>
      <c r="K192">
        <v>0.45446400616896471</v>
      </c>
      <c r="L192">
        <v>2.9342560553633223</v>
      </c>
      <c r="M192" t="s">
        <v>125</v>
      </c>
    </row>
    <row r="193" spans="1:13" x14ac:dyDescent="0.25">
      <c r="A193" s="1">
        <v>46300</v>
      </c>
      <c r="B193" t="s">
        <v>13</v>
      </c>
      <c r="C193" t="s">
        <v>10</v>
      </c>
      <c r="D193">
        <v>3.5255043348493458</v>
      </c>
      <c r="E193" t="s">
        <v>161</v>
      </c>
      <c r="F193">
        <v>46300</v>
      </c>
      <c r="G193" t="s">
        <v>149</v>
      </c>
      <c r="H193">
        <v>0</v>
      </c>
      <c r="I193">
        <v>0</v>
      </c>
      <c r="J193">
        <v>0.6468278642611105</v>
      </c>
      <c r="K193">
        <v>0.6468278642611105</v>
      </c>
      <c r="L193">
        <v>2.8786764705882355</v>
      </c>
      <c r="M193" t="s">
        <v>125</v>
      </c>
    </row>
    <row r="194" spans="1:13" x14ac:dyDescent="0.25">
      <c r="A194" s="1">
        <v>46301</v>
      </c>
      <c r="B194" t="s">
        <v>13</v>
      </c>
      <c r="C194" t="s">
        <v>12</v>
      </c>
      <c r="D194">
        <v>3.388720061532287</v>
      </c>
      <c r="E194" t="s">
        <v>161</v>
      </c>
      <c r="F194">
        <v>46301</v>
      </c>
      <c r="G194" t="s">
        <v>149</v>
      </c>
      <c r="H194">
        <v>0</v>
      </c>
      <c r="I194">
        <v>0</v>
      </c>
      <c r="J194">
        <v>9.2295609398492753E-2</v>
      </c>
      <c r="K194">
        <v>9.2295609398492753E-2</v>
      </c>
      <c r="L194">
        <v>3.2964244521337944</v>
      </c>
      <c r="M194" t="s">
        <v>126</v>
      </c>
    </row>
    <row r="195" spans="1:13" x14ac:dyDescent="0.25">
      <c r="A195" s="1">
        <v>46301</v>
      </c>
      <c r="B195" t="s">
        <v>13</v>
      </c>
      <c r="C195" t="s">
        <v>11</v>
      </c>
      <c r="D195">
        <v>1.2801831343566421</v>
      </c>
      <c r="E195" t="s">
        <v>161</v>
      </c>
      <c r="F195">
        <v>46301</v>
      </c>
      <c r="G195" t="s">
        <v>149</v>
      </c>
      <c r="H195">
        <v>0</v>
      </c>
      <c r="I195">
        <v>0</v>
      </c>
      <c r="J195">
        <v>0.33900666376840694</v>
      </c>
      <c r="K195">
        <v>0.33900666376840694</v>
      </c>
      <c r="L195">
        <v>0.94117647058823517</v>
      </c>
      <c r="M195" t="s">
        <v>126</v>
      </c>
    </row>
    <row r="196" spans="1:13" x14ac:dyDescent="0.25">
      <c r="A196" s="1">
        <v>46301</v>
      </c>
      <c r="B196" t="s">
        <v>13</v>
      </c>
      <c r="C196" t="s">
        <v>10</v>
      </c>
      <c r="D196">
        <v>7.0510086696986916</v>
      </c>
      <c r="E196" t="s">
        <v>161</v>
      </c>
      <c r="F196">
        <v>46301</v>
      </c>
      <c r="G196" t="s">
        <v>149</v>
      </c>
      <c r="H196">
        <v>0</v>
      </c>
      <c r="I196">
        <v>0</v>
      </c>
      <c r="J196">
        <v>2.1821361206790844</v>
      </c>
      <c r="K196">
        <v>2.1821361206790844</v>
      </c>
      <c r="L196">
        <v>4.8688725490196072</v>
      </c>
      <c r="M196" t="s">
        <v>126</v>
      </c>
    </row>
    <row r="197" spans="1:13" x14ac:dyDescent="0.25">
      <c r="A197" s="1">
        <v>46302</v>
      </c>
      <c r="B197" t="s">
        <v>13</v>
      </c>
      <c r="C197" t="s">
        <v>12</v>
      </c>
      <c r="D197">
        <v>3.3181217269170316</v>
      </c>
      <c r="E197" t="s">
        <v>161</v>
      </c>
      <c r="F197">
        <v>46302</v>
      </c>
      <c r="G197" t="s">
        <v>149</v>
      </c>
      <c r="H197">
        <v>0</v>
      </c>
      <c r="I197">
        <v>0</v>
      </c>
      <c r="J197">
        <v>0.66431549854332894</v>
      </c>
      <c r="K197">
        <v>0.66431549854332894</v>
      </c>
      <c r="L197">
        <v>2.6538062283737025</v>
      </c>
      <c r="M197" t="s">
        <v>127</v>
      </c>
    </row>
    <row r="198" spans="1:13" x14ac:dyDescent="0.25">
      <c r="A198" s="1">
        <v>46302</v>
      </c>
      <c r="B198" t="s">
        <v>13</v>
      </c>
      <c r="C198" t="s">
        <v>10</v>
      </c>
      <c r="D198">
        <v>5.8508369812393406</v>
      </c>
      <c r="E198" t="s">
        <v>161</v>
      </c>
      <c r="F198">
        <v>46302</v>
      </c>
      <c r="G198" t="s">
        <v>149</v>
      </c>
      <c r="H198">
        <v>0</v>
      </c>
      <c r="I198">
        <v>0</v>
      </c>
      <c r="J198">
        <v>1.7403590400628695</v>
      </c>
      <c r="K198">
        <v>1.7403590400628695</v>
      </c>
      <c r="L198">
        <v>4.1104779411764714</v>
      </c>
      <c r="M198" t="s">
        <v>127</v>
      </c>
    </row>
    <row r="199" spans="1:13" x14ac:dyDescent="0.25">
      <c r="A199" s="1">
        <v>46302</v>
      </c>
      <c r="B199" t="s">
        <v>13</v>
      </c>
      <c r="C199" t="s">
        <v>11</v>
      </c>
      <c r="D199">
        <v>1.2801831343566421</v>
      </c>
      <c r="E199" t="s">
        <v>161</v>
      </c>
      <c r="F199">
        <v>46302</v>
      </c>
      <c r="G199" t="s">
        <v>149</v>
      </c>
      <c r="H199">
        <v>0</v>
      </c>
      <c r="I199">
        <v>0</v>
      </c>
      <c r="J199">
        <v>0.33900666376840694</v>
      </c>
      <c r="K199">
        <v>0.33900666376840694</v>
      </c>
      <c r="L199">
        <v>0.94117647058823517</v>
      </c>
      <c r="M199" t="s">
        <v>127</v>
      </c>
    </row>
    <row r="200" spans="1:13" x14ac:dyDescent="0.25">
      <c r="A200" s="1">
        <v>46303</v>
      </c>
      <c r="B200" t="s">
        <v>13</v>
      </c>
      <c r="C200" t="s">
        <v>12</v>
      </c>
      <c r="D200">
        <v>3.388720061532287</v>
      </c>
      <c r="E200" t="s">
        <v>161</v>
      </c>
      <c r="F200">
        <v>46303</v>
      </c>
      <c r="G200" t="s">
        <v>149</v>
      </c>
      <c r="H200">
        <v>0</v>
      </c>
      <c r="I200">
        <v>0</v>
      </c>
      <c r="J200">
        <v>1.4325597864467627E-2</v>
      </c>
      <c r="K200">
        <v>1.4325597864467627E-2</v>
      </c>
      <c r="L200">
        <v>3.3743944636678194</v>
      </c>
      <c r="M200" t="s">
        <v>128</v>
      </c>
    </row>
    <row r="201" spans="1:13" x14ac:dyDescent="0.25">
      <c r="A201" s="1">
        <v>46303</v>
      </c>
      <c r="B201" t="s">
        <v>13</v>
      </c>
      <c r="C201" t="s">
        <v>10</v>
      </c>
      <c r="D201">
        <v>5.7758262507106322</v>
      </c>
      <c r="E201" t="s">
        <v>161</v>
      </c>
      <c r="F201">
        <v>46303</v>
      </c>
      <c r="G201" t="s">
        <v>149</v>
      </c>
      <c r="H201">
        <v>0</v>
      </c>
      <c r="I201">
        <v>0</v>
      </c>
      <c r="J201">
        <v>2.3684733095341608</v>
      </c>
      <c r="K201">
        <v>2.3684733095341608</v>
      </c>
      <c r="L201">
        <v>3.4073529411764714</v>
      </c>
      <c r="M201" t="s">
        <v>128</v>
      </c>
    </row>
    <row r="202" spans="1:13" x14ac:dyDescent="0.25">
      <c r="A202" s="1">
        <v>46303</v>
      </c>
      <c r="B202" t="s">
        <v>13</v>
      </c>
      <c r="C202" t="s">
        <v>11</v>
      </c>
      <c r="D202">
        <v>1.2801831343566421</v>
      </c>
      <c r="E202" t="s">
        <v>161</v>
      </c>
      <c r="F202">
        <v>46303</v>
      </c>
      <c r="G202" t="s">
        <v>149</v>
      </c>
      <c r="H202">
        <v>0</v>
      </c>
      <c r="I202">
        <v>0</v>
      </c>
      <c r="J202">
        <v>0.33900666376840694</v>
      </c>
      <c r="K202">
        <v>0.33900666376840694</v>
      </c>
      <c r="L202">
        <v>0.94117647058823517</v>
      </c>
      <c r="M202" t="s">
        <v>128</v>
      </c>
    </row>
    <row r="203" spans="1:13" x14ac:dyDescent="0.25">
      <c r="A203" s="1">
        <v>46304</v>
      </c>
      <c r="B203" t="s">
        <v>13</v>
      </c>
      <c r="C203" t="s">
        <v>10</v>
      </c>
      <c r="D203">
        <v>4.5756545622512785</v>
      </c>
      <c r="E203" t="s">
        <v>161</v>
      </c>
      <c r="F203">
        <v>46304</v>
      </c>
      <c r="G203" t="s">
        <v>149</v>
      </c>
      <c r="H203">
        <v>0</v>
      </c>
      <c r="I203">
        <v>0</v>
      </c>
      <c r="J203">
        <v>2.1683016210748076</v>
      </c>
      <c r="K203">
        <v>2.1683016210748076</v>
      </c>
      <c r="L203">
        <v>2.4073529411764709</v>
      </c>
      <c r="M203" t="s">
        <v>129</v>
      </c>
    </row>
    <row r="204" spans="1:13" x14ac:dyDescent="0.25">
      <c r="A204" s="1">
        <v>46304</v>
      </c>
      <c r="B204" t="s">
        <v>13</v>
      </c>
      <c r="C204" t="s">
        <v>11</v>
      </c>
      <c r="D204">
        <v>1.2801831343566421</v>
      </c>
      <c r="E204" t="s">
        <v>161</v>
      </c>
      <c r="F204">
        <v>46304</v>
      </c>
      <c r="G204" t="s">
        <v>149</v>
      </c>
      <c r="H204">
        <v>0</v>
      </c>
      <c r="I204">
        <v>0</v>
      </c>
      <c r="J204">
        <v>0.33900666376840694</v>
      </c>
      <c r="K204">
        <v>0.33900666376840694</v>
      </c>
      <c r="L204">
        <v>0.94117647058823517</v>
      </c>
      <c r="M204" t="s">
        <v>129</v>
      </c>
    </row>
    <row r="205" spans="1:13" x14ac:dyDescent="0.25">
      <c r="A205" s="1">
        <v>46304</v>
      </c>
      <c r="B205" t="s">
        <v>13</v>
      </c>
      <c r="C205" t="s">
        <v>12</v>
      </c>
      <c r="D205">
        <v>2.2591467076881915</v>
      </c>
      <c r="E205" t="s">
        <v>161</v>
      </c>
      <c r="F205">
        <v>46304</v>
      </c>
      <c r="G205" t="s">
        <v>149</v>
      </c>
      <c r="H205">
        <v>7.7051784551664726E-2</v>
      </c>
      <c r="I205">
        <v>7.7051784551664726E-2</v>
      </c>
      <c r="J205">
        <v>0</v>
      </c>
      <c r="K205">
        <v>0</v>
      </c>
      <c r="L205">
        <v>0</v>
      </c>
      <c r="M205" t="s">
        <v>129</v>
      </c>
    </row>
    <row r="206" spans="1:13" x14ac:dyDescent="0.25">
      <c r="A206" s="1">
        <v>46305</v>
      </c>
      <c r="B206" t="s">
        <v>13</v>
      </c>
      <c r="C206" t="s">
        <v>12</v>
      </c>
      <c r="D206">
        <v>2.2591467076881915</v>
      </c>
      <c r="E206" t="s">
        <v>161</v>
      </c>
      <c r="F206">
        <v>46305</v>
      </c>
      <c r="G206" t="s">
        <v>149</v>
      </c>
      <c r="H206">
        <v>0</v>
      </c>
      <c r="I206">
        <v>0</v>
      </c>
      <c r="J206">
        <v>9.9977157515180909E-2</v>
      </c>
      <c r="K206">
        <v>9.9977157515180909E-2</v>
      </c>
      <c r="L206">
        <v>2.1591695501730106</v>
      </c>
      <c r="M206" t="s">
        <v>119</v>
      </c>
    </row>
    <row r="207" spans="1:13" x14ac:dyDescent="0.25">
      <c r="A207" s="1">
        <v>46305</v>
      </c>
      <c r="B207" t="s">
        <v>13</v>
      </c>
      <c r="C207" t="s">
        <v>10</v>
      </c>
      <c r="D207">
        <v>4.2006009096077319</v>
      </c>
      <c r="E207" t="s">
        <v>161</v>
      </c>
      <c r="F207">
        <v>46305</v>
      </c>
      <c r="G207" t="s">
        <v>149</v>
      </c>
      <c r="H207">
        <v>2.9264504008416736E-2</v>
      </c>
      <c r="I207">
        <v>2.9264504008416736E-2</v>
      </c>
      <c r="J207">
        <v>0</v>
      </c>
      <c r="K207">
        <v>0</v>
      </c>
      <c r="L207">
        <v>0</v>
      </c>
      <c r="M207" t="s">
        <v>119</v>
      </c>
    </row>
    <row r="208" spans="1:13" x14ac:dyDescent="0.25">
      <c r="A208" s="1">
        <v>46305</v>
      </c>
      <c r="B208" t="s">
        <v>13</v>
      </c>
      <c r="C208" t="s">
        <v>11</v>
      </c>
      <c r="D208">
        <v>1.2801831343566421</v>
      </c>
      <c r="E208" t="s">
        <v>161</v>
      </c>
      <c r="F208">
        <v>46305</v>
      </c>
      <c r="G208" t="s">
        <v>149</v>
      </c>
      <c r="H208">
        <v>0</v>
      </c>
      <c r="I208">
        <v>0</v>
      </c>
      <c r="J208">
        <v>0.33900666376840694</v>
      </c>
      <c r="K208">
        <v>0.33900666376840694</v>
      </c>
      <c r="L208">
        <v>0.94117647058823517</v>
      </c>
      <c r="M208" t="s">
        <v>119</v>
      </c>
    </row>
    <row r="209" spans="1:13" x14ac:dyDescent="0.25">
      <c r="A209" s="1">
        <v>46306</v>
      </c>
      <c r="B209" t="s">
        <v>13</v>
      </c>
      <c r="C209" t="s">
        <v>12</v>
      </c>
      <c r="D209">
        <v>2.2591467076881915</v>
      </c>
      <c r="E209" t="s">
        <v>161</v>
      </c>
      <c r="F209">
        <v>46306</v>
      </c>
      <c r="G209" t="s">
        <v>149</v>
      </c>
      <c r="H209">
        <v>0</v>
      </c>
      <c r="I209">
        <v>0</v>
      </c>
      <c r="J209">
        <v>0.21070380111379622</v>
      </c>
      <c r="K209">
        <v>0.21070380111379622</v>
      </c>
      <c r="L209">
        <v>2.0484429065743952</v>
      </c>
      <c r="M209" t="s">
        <v>120</v>
      </c>
    </row>
    <row r="210" spans="1:13" x14ac:dyDescent="0.25">
      <c r="A210" s="1">
        <v>46306</v>
      </c>
      <c r="B210" t="s">
        <v>13</v>
      </c>
      <c r="C210" t="s">
        <v>11</v>
      </c>
      <c r="D210">
        <v>1.2801831343566421</v>
      </c>
      <c r="E210" t="s">
        <v>161</v>
      </c>
      <c r="F210">
        <v>46306</v>
      </c>
      <c r="G210" t="s">
        <v>149</v>
      </c>
      <c r="H210">
        <v>0</v>
      </c>
      <c r="I210">
        <v>0</v>
      </c>
      <c r="J210">
        <v>0.33900666376840694</v>
      </c>
      <c r="K210">
        <v>0.33900666376840694</v>
      </c>
      <c r="L210">
        <v>0.94117647058823517</v>
      </c>
      <c r="M210" t="s">
        <v>120</v>
      </c>
    </row>
    <row r="211" spans="1:13" x14ac:dyDescent="0.25">
      <c r="A211" s="1">
        <v>46306</v>
      </c>
      <c r="B211" t="s">
        <v>13</v>
      </c>
      <c r="C211" t="s">
        <v>10</v>
      </c>
      <c r="D211">
        <v>2.4003433769187037</v>
      </c>
      <c r="E211" t="s">
        <v>161</v>
      </c>
      <c r="F211">
        <v>46306</v>
      </c>
      <c r="G211" t="s">
        <v>149</v>
      </c>
      <c r="H211">
        <v>0.22531488572430525</v>
      </c>
      <c r="I211">
        <v>0.22531488572430525</v>
      </c>
      <c r="J211">
        <v>0</v>
      </c>
      <c r="K211">
        <v>0</v>
      </c>
      <c r="L211">
        <v>0</v>
      </c>
      <c r="M211" t="s">
        <v>120</v>
      </c>
    </row>
    <row r="212" spans="1:13" x14ac:dyDescent="0.25">
      <c r="A212" s="1">
        <v>46307</v>
      </c>
      <c r="B212" t="s">
        <v>13</v>
      </c>
      <c r="C212" t="s">
        <v>12</v>
      </c>
      <c r="D212">
        <v>3.3887200615322879</v>
      </c>
      <c r="E212" t="s">
        <v>161</v>
      </c>
      <c r="F212">
        <v>46307</v>
      </c>
      <c r="G212" t="s">
        <v>149</v>
      </c>
      <c r="H212">
        <v>0</v>
      </c>
      <c r="I212">
        <v>0</v>
      </c>
      <c r="J212">
        <v>0.12314912727623321</v>
      </c>
      <c r="K212">
        <v>0.12314912727623321</v>
      </c>
      <c r="L212">
        <v>3.2655709342560546</v>
      </c>
      <c r="M212" t="s">
        <v>125</v>
      </c>
    </row>
    <row r="213" spans="1:13" x14ac:dyDescent="0.25">
      <c r="A213" s="1">
        <v>46307</v>
      </c>
      <c r="B213" t="s">
        <v>13</v>
      </c>
      <c r="C213" t="s">
        <v>10</v>
      </c>
      <c r="D213">
        <v>5.8508369812393406</v>
      </c>
      <c r="E213" t="s">
        <v>161</v>
      </c>
      <c r="F213">
        <v>46307</v>
      </c>
      <c r="G213" t="s">
        <v>149</v>
      </c>
      <c r="H213">
        <v>0</v>
      </c>
      <c r="I213">
        <v>0</v>
      </c>
      <c r="J213">
        <v>2.2653590400628696</v>
      </c>
      <c r="K213">
        <v>2.2653590400628696</v>
      </c>
      <c r="L213">
        <v>3.585477941176471</v>
      </c>
      <c r="M213" t="s">
        <v>125</v>
      </c>
    </row>
    <row r="214" spans="1:13" x14ac:dyDescent="0.25">
      <c r="A214" s="1">
        <v>46307</v>
      </c>
      <c r="B214" t="s">
        <v>13</v>
      </c>
      <c r="C214" t="s">
        <v>11</v>
      </c>
      <c r="D214">
        <v>1.2801831343566421</v>
      </c>
      <c r="E214" t="s">
        <v>161</v>
      </c>
      <c r="F214">
        <v>46307</v>
      </c>
      <c r="G214" t="s">
        <v>149</v>
      </c>
      <c r="H214">
        <v>0</v>
      </c>
      <c r="I214">
        <v>0</v>
      </c>
      <c r="J214">
        <v>0.33900666376840694</v>
      </c>
      <c r="K214">
        <v>0.33900666376840694</v>
      </c>
      <c r="L214">
        <v>0.94117647058823517</v>
      </c>
      <c r="M214" t="s">
        <v>125</v>
      </c>
    </row>
    <row r="215" spans="1:13" x14ac:dyDescent="0.25">
      <c r="A215" s="1">
        <v>46308</v>
      </c>
      <c r="B215" t="s">
        <v>13</v>
      </c>
      <c r="C215" t="s">
        <v>10</v>
      </c>
      <c r="D215">
        <v>5.8508369812393406</v>
      </c>
      <c r="E215" t="s">
        <v>161</v>
      </c>
      <c r="F215">
        <v>46308</v>
      </c>
      <c r="G215" t="s">
        <v>149</v>
      </c>
      <c r="H215">
        <v>0</v>
      </c>
      <c r="I215">
        <v>0</v>
      </c>
      <c r="J215">
        <v>2.2653590400628696</v>
      </c>
      <c r="K215">
        <v>2.2653590400628696</v>
      </c>
      <c r="L215">
        <v>3.585477941176471</v>
      </c>
      <c r="M215" t="s">
        <v>126</v>
      </c>
    </row>
    <row r="216" spans="1:13" x14ac:dyDescent="0.25">
      <c r="A216" s="1">
        <v>46308</v>
      </c>
      <c r="B216" t="s">
        <v>13</v>
      </c>
      <c r="C216" t="s">
        <v>11</v>
      </c>
      <c r="D216">
        <v>1.2801831343566421</v>
      </c>
      <c r="E216" t="s">
        <v>161</v>
      </c>
      <c r="F216">
        <v>46308</v>
      </c>
      <c r="G216" t="s">
        <v>149</v>
      </c>
      <c r="H216">
        <v>0</v>
      </c>
      <c r="I216">
        <v>0</v>
      </c>
      <c r="J216">
        <v>0.33900666376840694</v>
      </c>
      <c r="K216">
        <v>0.33900666376840694</v>
      </c>
      <c r="L216">
        <v>0.94117647058823517</v>
      </c>
      <c r="M216" t="s">
        <v>126</v>
      </c>
    </row>
    <row r="217" spans="1:13" x14ac:dyDescent="0.25">
      <c r="A217" s="1">
        <v>46308</v>
      </c>
      <c r="B217" t="s">
        <v>13</v>
      </c>
      <c r="C217" t="s">
        <v>12</v>
      </c>
      <c r="D217">
        <v>3.3887200615322879</v>
      </c>
      <c r="E217" t="s">
        <v>161</v>
      </c>
      <c r="F217">
        <v>46308</v>
      </c>
      <c r="G217" t="s">
        <v>149</v>
      </c>
      <c r="H217">
        <v>0</v>
      </c>
      <c r="I217">
        <v>0</v>
      </c>
      <c r="J217">
        <v>0.12314912727623321</v>
      </c>
      <c r="K217">
        <v>0.12314912727623321</v>
      </c>
      <c r="L217">
        <v>3.2655709342560546</v>
      </c>
      <c r="M217" t="s">
        <v>126</v>
      </c>
    </row>
    <row r="218" spans="1:13" x14ac:dyDescent="0.25">
      <c r="A218" s="1">
        <v>46309</v>
      </c>
      <c r="B218" t="s">
        <v>13</v>
      </c>
      <c r="C218" t="s">
        <v>12</v>
      </c>
      <c r="D218">
        <v>3.9535067384543359</v>
      </c>
      <c r="E218" t="s">
        <v>161</v>
      </c>
      <c r="F218">
        <v>46309</v>
      </c>
      <c r="G218" t="s">
        <v>149</v>
      </c>
      <c r="H218">
        <v>0</v>
      </c>
      <c r="I218">
        <v>0</v>
      </c>
      <c r="J218">
        <v>0.49329912599758907</v>
      </c>
      <c r="K218">
        <v>0.49329912599758907</v>
      </c>
      <c r="L218">
        <v>3.4602076124567467</v>
      </c>
      <c r="M218" t="s">
        <v>127</v>
      </c>
    </row>
    <row r="219" spans="1:13" x14ac:dyDescent="0.25">
      <c r="A219" s="1">
        <v>46309</v>
      </c>
      <c r="B219" t="s">
        <v>13</v>
      </c>
      <c r="C219" t="s">
        <v>11</v>
      </c>
      <c r="D219">
        <v>1.2801831343566421</v>
      </c>
      <c r="E219" t="s">
        <v>161</v>
      </c>
      <c r="F219">
        <v>46309</v>
      </c>
      <c r="G219" t="s">
        <v>149</v>
      </c>
      <c r="H219">
        <v>0</v>
      </c>
      <c r="I219">
        <v>0</v>
      </c>
      <c r="J219">
        <v>0.33900666376840694</v>
      </c>
      <c r="K219">
        <v>0.33900666376840694</v>
      </c>
      <c r="L219">
        <v>0.94117647058823517</v>
      </c>
      <c r="M219" t="s">
        <v>127</v>
      </c>
    </row>
    <row r="220" spans="1:13" x14ac:dyDescent="0.25">
      <c r="A220" s="1">
        <v>46309</v>
      </c>
      <c r="B220" t="s">
        <v>13</v>
      </c>
      <c r="C220" t="s">
        <v>10</v>
      </c>
      <c r="D220">
        <v>4.6506652927799887</v>
      </c>
      <c r="E220" t="s">
        <v>161</v>
      </c>
      <c r="F220">
        <v>46309</v>
      </c>
      <c r="G220" t="s">
        <v>149</v>
      </c>
      <c r="H220">
        <v>0</v>
      </c>
      <c r="I220">
        <v>0</v>
      </c>
      <c r="J220">
        <v>2.7094888221917532</v>
      </c>
      <c r="K220">
        <v>2.7094888221917532</v>
      </c>
      <c r="L220">
        <v>1.9411764705882357</v>
      </c>
      <c r="M220" t="s">
        <v>127</v>
      </c>
    </row>
    <row r="221" spans="1:13" x14ac:dyDescent="0.25">
      <c r="A221" s="1">
        <v>46310</v>
      </c>
      <c r="B221" t="s">
        <v>13</v>
      </c>
      <c r="C221" t="s">
        <v>11</v>
      </c>
      <c r="D221">
        <v>1.2801831343566421</v>
      </c>
      <c r="E221" t="s">
        <v>161</v>
      </c>
      <c r="F221">
        <v>46310</v>
      </c>
      <c r="G221" t="s">
        <v>149</v>
      </c>
      <c r="H221">
        <v>0</v>
      </c>
      <c r="I221">
        <v>0</v>
      </c>
      <c r="J221">
        <v>0.33900666376840694</v>
      </c>
      <c r="K221">
        <v>0.33900666376840694</v>
      </c>
      <c r="L221">
        <v>0.94117647058823517</v>
      </c>
      <c r="M221" t="s">
        <v>128</v>
      </c>
    </row>
    <row r="222" spans="1:13" x14ac:dyDescent="0.25">
      <c r="A222" s="1">
        <v>46310</v>
      </c>
      <c r="B222" t="s">
        <v>13</v>
      </c>
      <c r="C222" t="s">
        <v>12</v>
      </c>
      <c r="D222">
        <v>3.5299167307627997</v>
      </c>
      <c r="E222" t="s">
        <v>161</v>
      </c>
      <c r="F222">
        <v>46310</v>
      </c>
      <c r="G222" t="s">
        <v>149</v>
      </c>
      <c r="H222">
        <v>0</v>
      </c>
      <c r="I222">
        <v>0</v>
      </c>
      <c r="J222">
        <v>0.36801543773784962</v>
      </c>
      <c r="K222">
        <v>0.36801543773784962</v>
      </c>
      <c r="L222">
        <v>3.1619012930249499</v>
      </c>
      <c r="M222" t="s">
        <v>128</v>
      </c>
    </row>
    <row r="223" spans="1:13" x14ac:dyDescent="0.25">
      <c r="A223" s="1">
        <v>46310</v>
      </c>
      <c r="B223" t="s">
        <v>13</v>
      </c>
      <c r="C223" t="s">
        <v>10</v>
      </c>
      <c r="D223">
        <v>6.0008584422967584</v>
      </c>
      <c r="E223" t="s">
        <v>161</v>
      </c>
      <c r="F223">
        <v>46310</v>
      </c>
      <c r="G223" t="s">
        <v>149</v>
      </c>
      <c r="H223">
        <v>0</v>
      </c>
      <c r="I223">
        <v>0</v>
      </c>
      <c r="J223">
        <v>1.1177315073122378</v>
      </c>
      <c r="K223">
        <v>1.1177315073122378</v>
      </c>
      <c r="L223">
        <v>4.8831269349845208</v>
      </c>
      <c r="M223" t="s">
        <v>128</v>
      </c>
    </row>
    <row r="224" spans="1:13" x14ac:dyDescent="0.25">
      <c r="A224" s="1">
        <v>46311</v>
      </c>
      <c r="B224" t="s">
        <v>13</v>
      </c>
      <c r="C224" t="s">
        <v>11</v>
      </c>
      <c r="D224">
        <v>1.2801831343566421</v>
      </c>
      <c r="E224" t="s">
        <v>161</v>
      </c>
      <c r="F224">
        <v>46311</v>
      </c>
      <c r="G224" t="s">
        <v>149</v>
      </c>
      <c r="H224">
        <v>0</v>
      </c>
      <c r="I224">
        <v>0</v>
      </c>
      <c r="J224">
        <v>0.33900666376840694</v>
      </c>
      <c r="K224">
        <v>0.33900666376840694</v>
      </c>
      <c r="L224">
        <v>0.94117647058823517</v>
      </c>
      <c r="M224" t="s">
        <v>129</v>
      </c>
    </row>
    <row r="225" spans="1:13" x14ac:dyDescent="0.25">
      <c r="A225" s="1">
        <v>46311</v>
      </c>
      <c r="B225" t="s">
        <v>13</v>
      </c>
      <c r="C225" t="s">
        <v>10</v>
      </c>
      <c r="D225">
        <v>4.8006867538374074</v>
      </c>
      <c r="E225" t="s">
        <v>161</v>
      </c>
      <c r="F225">
        <v>46311</v>
      </c>
      <c r="G225" t="s">
        <v>149</v>
      </c>
      <c r="H225">
        <v>0</v>
      </c>
      <c r="I225">
        <v>0</v>
      </c>
      <c r="J225">
        <v>0.27403234207270166</v>
      </c>
      <c r="K225">
        <v>0.27403234207270166</v>
      </c>
      <c r="L225">
        <v>4.5266544117647056</v>
      </c>
      <c r="M225" t="s">
        <v>129</v>
      </c>
    </row>
    <row r="226" spans="1:13" x14ac:dyDescent="0.25">
      <c r="A226" s="1">
        <v>46311</v>
      </c>
      <c r="B226" t="s">
        <v>13</v>
      </c>
      <c r="C226" t="s">
        <v>12</v>
      </c>
      <c r="D226">
        <v>2.2591467076881915</v>
      </c>
      <c r="E226" t="s">
        <v>161</v>
      </c>
      <c r="F226">
        <v>46311</v>
      </c>
      <c r="G226" t="s">
        <v>149</v>
      </c>
      <c r="H226">
        <v>5.3387890821114503E-2</v>
      </c>
      <c r="I226">
        <v>5.3387890821114503E-2</v>
      </c>
      <c r="J226">
        <v>0</v>
      </c>
      <c r="K226">
        <v>0</v>
      </c>
      <c r="L226">
        <v>0</v>
      </c>
      <c r="M226" t="s">
        <v>129</v>
      </c>
    </row>
    <row r="227" spans="1:13" x14ac:dyDescent="0.25">
      <c r="A227" s="1">
        <v>46312</v>
      </c>
      <c r="B227" t="s">
        <v>13</v>
      </c>
      <c r="C227" t="s">
        <v>10</v>
      </c>
      <c r="D227">
        <v>3.6005150653780555</v>
      </c>
      <c r="E227" t="s">
        <v>161</v>
      </c>
      <c r="F227">
        <v>46312</v>
      </c>
      <c r="G227" t="s">
        <v>149</v>
      </c>
      <c r="H227">
        <v>0</v>
      </c>
      <c r="I227">
        <v>0</v>
      </c>
      <c r="J227">
        <v>0.71816212420158432</v>
      </c>
      <c r="K227">
        <v>0.71816212420158432</v>
      </c>
      <c r="L227">
        <v>2.882352941176471</v>
      </c>
      <c r="M227" t="s">
        <v>119</v>
      </c>
    </row>
    <row r="228" spans="1:13" x14ac:dyDescent="0.25">
      <c r="A228" s="1">
        <v>46312</v>
      </c>
      <c r="B228" t="s">
        <v>13</v>
      </c>
      <c r="C228" t="s">
        <v>11</v>
      </c>
      <c r="D228">
        <v>1.2801831343566421</v>
      </c>
      <c r="E228" t="s">
        <v>161</v>
      </c>
      <c r="F228">
        <v>46312</v>
      </c>
      <c r="G228" t="s">
        <v>149</v>
      </c>
      <c r="H228">
        <v>0</v>
      </c>
      <c r="I228">
        <v>0</v>
      </c>
      <c r="J228">
        <v>0.33900666376840694</v>
      </c>
      <c r="K228">
        <v>0.33900666376840694</v>
      </c>
      <c r="L228">
        <v>0.94117647058823517</v>
      </c>
      <c r="M228" t="s">
        <v>119</v>
      </c>
    </row>
    <row r="229" spans="1:13" x14ac:dyDescent="0.25">
      <c r="A229" s="1">
        <v>46312</v>
      </c>
      <c r="B229" t="s">
        <v>13</v>
      </c>
      <c r="C229" t="s">
        <v>12</v>
      </c>
      <c r="D229">
        <v>3.388720061532287</v>
      </c>
      <c r="E229" t="s">
        <v>161</v>
      </c>
      <c r="F229">
        <v>46312</v>
      </c>
      <c r="G229" t="s">
        <v>149</v>
      </c>
      <c r="H229">
        <v>0</v>
      </c>
      <c r="I229">
        <v>0</v>
      </c>
      <c r="J229">
        <v>0.34373736257035026</v>
      </c>
      <c r="K229">
        <v>0.34373736257035026</v>
      </c>
      <c r="L229">
        <v>3.0449826989619369</v>
      </c>
      <c r="M229" t="s">
        <v>119</v>
      </c>
    </row>
    <row r="230" spans="1:13" x14ac:dyDescent="0.25">
      <c r="A230" s="1">
        <v>46313</v>
      </c>
      <c r="B230" t="s">
        <v>13</v>
      </c>
      <c r="C230" t="s">
        <v>10</v>
      </c>
      <c r="D230">
        <v>4.7256760233086981</v>
      </c>
      <c r="E230" t="s">
        <v>161</v>
      </c>
      <c r="F230">
        <v>46313</v>
      </c>
      <c r="G230" t="s">
        <v>149</v>
      </c>
      <c r="H230">
        <v>0</v>
      </c>
      <c r="I230">
        <v>0</v>
      </c>
      <c r="J230">
        <v>1.8433230821322268</v>
      </c>
      <c r="K230">
        <v>1.8433230821322268</v>
      </c>
      <c r="L230">
        <v>2.882352941176471</v>
      </c>
      <c r="M230" t="s">
        <v>120</v>
      </c>
    </row>
    <row r="231" spans="1:13" x14ac:dyDescent="0.25">
      <c r="A231" s="1">
        <v>46313</v>
      </c>
      <c r="B231" t="s">
        <v>13</v>
      </c>
      <c r="C231" t="s">
        <v>11</v>
      </c>
      <c r="D231">
        <v>1.2801831343566421</v>
      </c>
      <c r="E231" t="s">
        <v>161</v>
      </c>
      <c r="F231">
        <v>46313</v>
      </c>
      <c r="G231" t="s">
        <v>149</v>
      </c>
      <c r="H231">
        <v>0</v>
      </c>
      <c r="I231">
        <v>0</v>
      </c>
      <c r="J231">
        <v>0.33900666376840694</v>
      </c>
      <c r="K231">
        <v>0.33900666376840694</v>
      </c>
      <c r="L231">
        <v>0.94117647058823517</v>
      </c>
      <c r="M231" t="s">
        <v>120</v>
      </c>
    </row>
    <row r="232" spans="1:13" x14ac:dyDescent="0.25">
      <c r="A232" s="1">
        <v>46313</v>
      </c>
      <c r="B232" t="s">
        <v>13</v>
      </c>
      <c r="C232" t="s">
        <v>12</v>
      </c>
      <c r="D232">
        <v>3.388720061532287</v>
      </c>
      <c r="E232" t="s">
        <v>161</v>
      </c>
      <c r="F232">
        <v>46313</v>
      </c>
      <c r="G232" t="s">
        <v>149</v>
      </c>
      <c r="H232">
        <v>0</v>
      </c>
      <c r="I232">
        <v>0</v>
      </c>
      <c r="J232">
        <v>0.34373736257035026</v>
      </c>
      <c r="K232">
        <v>0.34373736257035026</v>
      </c>
      <c r="L232">
        <v>3.0449826989619369</v>
      </c>
      <c r="M232" t="s">
        <v>120</v>
      </c>
    </row>
    <row r="233" spans="1:13" x14ac:dyDescent="0.25">
      <c r="A233" s="1">
        <v>46314</v>
      </c>
      <c r="B233" t="s">
        <v>13</v>
      </c>
      <c r="C233" t="s">
        <v>10</v>
      </c>
      <c r="D233">
        <v>3.5255043348493458</v>
      </c>
      <c r="E233" t="s">
        <v>161</v>
      </c>
      <c r="F233">
        <v>46314</v>
      </c>
      <c r="G233" t="s">
        <v>149</v>
      </c>
      <c r="H233">
        <v>0</v>
      </c>
      <c r="I233">
        <v>0</v>
      </c>
      <c r="J233">
        <v>0.17807786426111039</v>
      </c>
      <c r="K233">
        <v>0.17807786426111039</v>
      </c>
      <c r="L233">
        <v>3.3474264705882355</v>
      </c>
      <c r="M233" t="s">
        <v>125</v>
      </c>
    </row>
    <row r="234" spans="1:13" x14ac:dyDescent="0.25">
      <c r="A234" s="1">
        <v>46314</v>
      </c>
      <c r="B234" t="s">
        <v>13</v>
      </c>
      <c r="C234" t="s">
        <v>11</v>
      </c>
      <c r="D234">
        <v>1.2801831343566421</v>
      </c>
      <c r="E234" t="s">
        <v>161</v>
      </c>
      <c r="F234">
        <v>46314</v>
      </c>
      <c r="G234" t="s">
        <v>149</v>
      </c>
      <c r="H234">
        <v>0</v>
      </c>
      <c r="I234">
        <v>0</v>
      </c>
      <c r="J234">
        <v>0.33900666376840694</v>
      </c>
      <c r="K234">
        <v>0.33900666376840694</v>
      </c>
      <c r="L234">
        <v>0.94117647058823517</v>
      </c>
      <c r="M234" t="s">
        <v>125</v>
      </c>
    </row>
    <row r="235" spans="1:13" x14ac:dyDescent="0.25">
      <c r="A235" s="1">
        <v>46314</v>
      </c>
      <c r="B235" t="s">
        <v>13</v>
      </c>
      <c r="C235" t="s">
        <v>12</v>
      </c>
      <c r="D235">
        <v>3.3887200615322879</v>
      </c>
      <c r="E235" t="s">
        <v>161</v>
      </c>
      <c r="F235">
        <v>46314</v>
      </c>
      <c r="G235" t="s">
        <v>149</v>
      </c>
      <c r="H235">
        <v>1.2416424329707354E-2</v>
      </c>
      <c r="I235">
        <v>1.2416424329707354E-2</v>
      </c>
      <c r="J235">
        <v>0</v>
      </c>
      <c r="K235">
        <v>0</v>
      </c>
      <c r="L235">
        <v>0</v>
      </c>
      <c r="M235" t="s">
        <v>125</v>
      </c>
    </row>
    <row r="236" spans="1:13" x14ac:dyDescent="0.25">
      <c r="A236" s="1">
        <v>46315</v>
      </c>
      <c r="B236" t="s">
        <v>13</v>
      </c>
      <c r="C236" t="s">
        <v>10</v>
      </c>
      <c r="D236">
        <v>7.0510086696986916</v>
      </c>
      <c r="E236" t="s">
        <v>161</v>
      </c>
      <c r="F236">
        <v>46315</v>
      </c>
      <c r="G236" t="s">
        <v>149</v>
      </c>
      <c r="H236">
        <v>0</v>
      </c>
      <c r="I236">
        <v>0</v>
      </c>
      <c r="J236">
        <v>2.524354257933985</v>
      </c>
      <c r="K236">
        <v>2.524354257933985</v>
      </c>
      <c r="L236">
        <v>4.5266544117647065</v>
      </c>
      <c r="M236" t="s">
        <v>126</v>
      </c>
    </row>
    <row r="237" spans="1:13" x14ac:dyDescent="0.25">
      <c r="A237" s="1">
        <v>46315</v>
      </c>
      <c r="B237" t="s">
        <v>13</v>
      </c>
      <c r="C237" t="s">
        <v>11</v>
      </c>
      <c r="D237">
        <v>1.2801831343566421</v>
      </c>
      <c r="E237" t="s">
        <v>161</v>
      </c>
      <c r="F237">
        <v>46315</v>
      </c>
      <c r="G237" t="s">
        <v>149</v>
      </c>
      <c r="H237">
        <v>0</v>
      </c>
      <c r="I237">
        <v>0</v>
      </c>
      <c r="J237">
        <v>0.33900666376840694</v>
      </c>
      <c r="K237">
        <v>0.33900666376840694</v>
      </c>
      <c r="L237">
        <v>0.94117647058823517</v>
      </c>
      <c r="M237" t="s">
        <v>126</v>
      </c>
    </row>
    <row r="238" spans="1:13" x14ac:dyDescent="0.25">
      <c r="A238" s="1">
        <v>46315</v>
      </c>
      <c r="B238" t="s">
        <v>13</v>
      </c>
      <c r="C238" t="s">
        <v>12</v>
      </c>
      <c r="D238">
        <v>3.3887200615322879</v>
      </c>
      <c r="E238" t="s">
        <v>161</v>
      </c>
      <c r="F238">
        <v>46315</v>
      </c>
      <c r="G238" t="s">
        <v>149</v>
      </c>
      <c r="H238">
        <v>0</v>
      </c>
      <c r="I238">
        <v>0</v>
      </c>
      <c r="J238">
        <v>6.7785805476925046E-2</v>
      </c>
      <c r="K238">
        <v>6.7785805476925046E-2</v>
      </c>
      <c r="L238">
        <v>3.320934256055363</v>
      </c>
      <c r="M238" t="s">
        <v>126</v>
      </c>
    </row>
    <row r="239" spans="1:13" x14ac:dyDescent="0.25">
      <c r="A239" s="1">
        <v>46316</v>
      </c>
      <c r="B239" t="s">
        <v>13</v>
      </c>
      <c r="C239" t="s">
        <v>12</v>
      </c>
      <c r="D239">
        <v>3.3181217269170316</v>
      </c>
      <c r="E239" t="s">
        <v>161</v>
      </c>
      <c r="F239">
        <v>46316</v>
      </c>
      <c r="G239" t="s">
        <v>149</v>
      </c>
      <c r="H239">
        <v>0</v>
      </c>
      <c r="I239">
        <v>0</v>
      </c>
      <c r="J239">
        <v>5.7452753445290286E-2</v>
      </c>
      <c r="K239">
        <v>5.7452753445290286E-2</v>
      </c>
      <c r="L239">
        <v>3.2606689734717413</v>
      </c>
      <c r="M239" t="s">
        <v>127</v>
      </c>
    </row>
    <row r="240" spans="1:13" x14ac:dyDescent="0.25">
      <c r="A240" s="1">
        <v>46316</v>
      </c>
      <c r="B240" t="s">
        <v>13</v>
      </c>
      <c r="C240" t="s">
        <v>11</v>
      </c>
      <c r="D240">
        <v>1.2801831343566421</v>
      </c>
      <c r="E240" t="s">
        <v>161</v>
      </c>
      <c r="F240">
        <v>46316</v>
      </c>
      <c r="G240" t="s">
        <v>149</v>
      </c>
      <c r="H240">
        <v>0</v>
      </c>
      <c r="I240">
        <v>0</v>
      </c>
      <c r="J240">
        <v>0.33900666376840694</v>
      </c>
      <c r="K240">
        <v>0.33900666376840694</v>
      </c>
      <c r="L240">
        <v>0.94117647058823517</v>
      </c>
      <c r="M240" t="s">
        <v>127</v>
      </c>
    </row>
    <row r="241" spans="1:15" x14ac:dyDescent="0.25">
      <c r="A241" s="1">
        <v>46316</v>
      </c>
      <c r="B241" t="s">
        <v>13</v>
      </c>
      <c r="C241" t="s">
        <v>10</v>
      </c>
      <c r="D241">
        <v>5.8508369812393415</v>
      </c>
      <c r="E241" t="s">
        <v>161</v>
      </c>
      <c r="F241">
        <v>46316</v>
      </c>
      <c r="G241" t="s">
        <v>149</v>
      </c>
      <c r="H241">
        <v>0</v>
      </c>
      <c r="I241">
        <v>0</v>
      </c>
      <c r="J241">
        <v>1.6351507067295386</v>
      </c>
      <c r="K241">
        <v>1.6351507067295386</v>
      </c>
      <c r="L241">
        <v>4.2156862745098032</v>
      </c>
      <c r="M241" t="s">
        <v>127</v>
      </c>
    </row>
    <row r="242" spans="1:15" x14ac:dyDescent="0.25">
      <c r="A242" s="1">
        <v>46317</v>
      </c>
      <c r="B242" t="s">
        <v>13</v>
      </c>
      <c r="C242" t="s">
        <v>10</v>
      </c>
      <c r="D242">
        <v>5.7758262507106322</v>
      </c>
      <c r="E242" t="s">
        <v>161</v>
      </c>
      <c r="F242">
        <v>46317</v>
      </c>
      <c r="G242" t="s">
        <v>149</v>
      </c>
      <c r="H242">
        <v>0</v>
      </c>
      <c r="I242">
        <v>0</v>
      </c>
      <c r="J242">
        <v>1.6653483095341606</v>
      </c>
      <c r="K242">
        <v>1.6653483095341606</v>
      </c>
      <c r="L242">
        <v>4.1104779411764714</v>
      </c>
      <c r="M242" t="s">
        <v>128</v>
      </c>
    </row>
    <row r="243" spans="1:15" x14ac:dyDescent="0.25">
      <c r="A243" s="1">
        <v>46317</v>
      </c>
      <c r="B243" t="s">
        <v>13</v>
      </c>
      <c r="C243" t="s">
        <v>11</v>
      </c>
      <c r="D243">
        <v>1.2801831343566421</v>
      </c>
      <c r="E243" t="s">
        <v>161</v>
      </c>
      <c r="F243">
        <v>46317</v>
      </c>
      <c r="G243" t="s">
        <v>149</v>
      </c>
      <c r="H243">
        <v>0</v>
      </c>
      <c r="I243">
        <v>0</v>
      </c>
      <c r="J243">
        <v>0.33900666376840694</v>
      </c>
      <c r="K243">
        <v>0.33900666376840694</v>
      </c>
      <c r="L243">
        <v>0.94117647058823517</v>
      </c>
      <c r="M243" t="s">
        <v>128</v>
      </c>
    </row>
    <row r="244" spans="1:15" x14ac:dyDescent="0.25">
      <c r="A244" s="1">
        <v>46317</v>
      </c>
      <c r="B244" t="s">
        <v>13</v>
      </c>
      <c r="C244" t="s">
        <v>12</v>
      </c>
      <c r="D244">
        <v>3.3887200615322879</v>
      </c>
      <c r="E244" t="s">
        <v>161</v>
      </c>
      <c r="F244">
        <v>46317</v>
      </c>
      <c r="G244" t="s">
        <v>149</v>
      </c>
      <c r="H244">
        <v>6.0867417102722365E-2</v>
      </c>
      <c r="I244">
        <v>6.0867417102722365E-2</v>
      </c>
      <c r="J244">
        <v>0</v>
      </c>
      <c r="K244">
        <v>0</v>
      </c>
      <c r="L244">
        <v>0</v>
      </c>
      <c r="M244" t="s">
        <v>128</v>
      </c>
    </row>
    <row r="245" spans="1:15" x14ac:dyDescent="0.25">
      <c r="A245" s="1">
        <v>46318</v>
      </c>
      <c r="B245" t="s">
        <v>13</v>
      </c>
      <c r="C245" t="s">
        <v>10</v>
      </c>
      <c r="D245">
        <v>4.5756545622512785</v>
      </c>
      <c r="E245" t="s">
        <v>161</v>
      </c>
      <c r="F245">
        <v>46318</v>
      </c>
      <c r="G245" t="s">
        <v>149</v>
      </c>
      <c r="H245">
        <v>0</v>
      </c>
      <c r="I245">
        <v>0</v>
      </c>
      <c r="J245">
        <v>1.4651766210748081</v>
      </c>
      <c r="K245">
        <v>1.4651766210748081</v>
      </c>
      <c r="L245">
        <v>3.1104779411764705</v>
      </c>
      <c r="M245" t="s">
        <v>129</v>
      </c>
    </row>
    <row r="246" spans="1:15" x14ac:dyDescent="0.25">
      <c r="A246" s="1">
        <v>46318</v>
      </c>
      <c r="B246" t="s">
        <v>13</v>
      </c>
      <c r="C246" t="s">
        <v>11</v>
      </c>
      <c r="D246">
        <v>1.2801831343566421</v>
      </c>
      <c r="E246" t="s">
        <v>161</v>
      </c>
      <c r="F246">
        <v>46318</v>
      </c>
      <c r="G246" t="s">
        <v>149</v>
      </c>
      <c r="H246">
        <v>0</v>
      </c>
      <c r="I246">
        <v>0</v>
      </c>
      <c r="J246">
        <v>0.33900666376840694</v>
      </c>
      <c r="K246">
        <v>0.33900666376840694</v>
      </c>
      <c r="L246">
        <v>0.94117647058823517</v>
      </c>
      <c r="M246" t="s">
        <v>129</v>
      </c>
    </row>
    <row r="247" spans="1:15" x14ac:dyDescent="0.25">
      <c r="A247" s="1">
        <v>46318</v>
      </c>
      <c r="B247" t="s">
        <v>13</v>
      </c>
      <c r="C247" t="s">
        <v>12</v>
      </c>
      <c r="D247">
        <v>2.2591467076881915</v>
      </c>
      <c r="E247" t="s">
        <v>161</v>
      </c>
      <c r="F247">
        <v>46318</v>
      </c>
      <c r="G247" t="s">
        <v>149</v>
      </c>
      <c r="H247">
        <v>0.17469406450782032</v>
      </c>
      <c r="I247">
        <v>0.17469406450782032</v>
      </c>
      <c r="J247">
        <v>0</v>
      </c>
      <c r="K247">
        <v>0</v>
      </c>
      <c r="L247">
        <v>0</v>
      </c>
      <c r="M247" t="s">
        <v>129</v>
      </c>
    </row>
    <row r="248" spans="1:15" x14ac:dyDescent="0.25">
      <c r="A248" s="1">
        <v>46319</v>
      </c>
      <c r="B248" t="s">
        <v>13</v>
      </c>
      <c r="C248" t="s">
        <v>12</v>
      </c>
      <c r="D248">
        <v>2.2591467076881915</v>
      </c>
      <c r="E248" t="s">
        <v>161</v>
      </c>
      <c r="F248">
        <v>46319</v>
      </c>
      <c r="G248" t="s">
        <v>149</v>
      </c>
      <c r="H248">
        <v>0</v>
      </c>
      <c r="I248">
        <v>0</v>
      </c>
      <c r="J248">
        <v>9.9977157515180909E-2</v>
      </c>
      <c r="K248">
        <v>9.9977157515180909E-2</v>
      </c>
      <c r="L248">
        <v>2.1591695501730106</v>
      </c>
      <c r="M248" t="s">
        <v>119</v>
      </c>
    </row>
    <row r="249" spans="1:15" x14ac:dyDescent="0.25">
      <c r="A249" s="1">
        <v>46319</v>
      </c>
      <c r="B249" t="s">
        <v>13</v>
      </c>
      <c r="C249" t="s">
        <v>10</v>
      </c>
      <c r="D249">
        <v>4.2006009096077328</v>
      </c>
      <c r="E249" t="s">
        <v>161</v>
      </c>
      <c r="F249">
        <v>46319</v>
      </c>
      <c r="G249" t="s">
        <v>149</v>
      </c>
      <c r="H249">
        <v>0</v>
      </c>
      <c r="I249">
        <v>0</v>
      </c>
      <c r="J249">
        <v>0.37707149784302629</v>
      </c>
      <c r="K249">
        <v>0.37707149784302629</v>
      </c>
      <c r="L249">
        <v>3.8235294117647065</v>
      </c>
      <c r="M249" t="s">
        <v>119</v>
      </c>
    </row>
    <row r="250" spans="1:15" x14ac:dyDescent="0.25">
      <c r="A250" s="1">
        <v>46319</v>
      </c>
      <c r="B250" t="s">
        <v>13</v>
      </c>
      <c r="C250" t="s">
        <v>11</v>
      </c>
      <c r="D250">
        <v>1.2801831343566421</v>
      </c>
      <c r="E250" t="s">
        <v>161</v>
      </c>
      <c r="F250">
        <v>46319</v>
      </c>
      <c r="G250" t="s">
        <v>149</v>
      </c>
      <c r="H250">
        <v>0</v>
      </c>
      <c r="I250">
        <v>0</v>
      </c>
      <c r="J250">
        <v>0.33900666376840694</v>
      </c>
      <c r="K250">
        <v>0.33900666376840694</v>
      </c>
      <c r="L250">
        <v>0.94117647058823517</v>
      </c>
      <c r="M250" t="s">
        <v>119</v>
      </c>
    </row>
    <row r="251" spans="1:15" x14ac:dyDescent="0.25">
      <c r="A251" s="1">
        <v>46320</v>
      </c>
      <c r="B251" t="s">
        <v>13</v>
      </c>
      <c r="C251" t="s">
        <v>11</v>
      </c>
      <c r="D251">
        <v>1.2801831343566421</v>
      </c>
      <c r="E251" t="s">
        <v>161</v>
      </c>
      <c r="F251">
        <v>46320</v>
      </c>
      <c r="G251" t="s">
        <v>149</v>
      </c>
      <c r="H251">
        <v>0</v>
      </c>
      <c r="I251">
        <v>0</v>
      </c>
      <c r="J251">
        <v>0.33900666376840694</v>
      </c>
      <c r="K251">
        <v>0.33900666376840694</v>
      </c>
      <c r="L251">
        <v>0.94117647058823517</v>
      </c>
      <c r="M251" t="s">
        <v>120</v>
      </c>
    </row>
    <row r="252" spans="1:15" x14ac:dyDescent="0.25">
      <c r="A252" s="1">
        <v>46320</v>
      </c>
      <c r="B252" t="s">
        <v>13</v>
      </c>
      <c r="C252" t="s">
        <v>12</v>
      </c>
      <c r="D252">
        <v>2.2591467076881915</v>
      </c>
      <c r="E252" t="s">
        <v>161</v>
      </c>
      <c r="F252">
        <v>46320</v>
      </c>
      <c r="G252" t="s">
        <v>149</v>
      </c>
      <c r="H252">
        <v>0</v>
      </c>
      <c r="I252">
        <v>0</v>
      </c>
      <c r="J252">
        <v>0.21070380111379622</v>
      </c>
      <c r="K252">
        <v>0.21070380111379622</v>
      </c>
      <c r="L252">
        <v>2.0484429065743952</v>
      </c>
      <c r="M252" t="s">
        <v>120</v>
      </c>
    </row>
    <row r="253" spans="1:15" x14ac:dyDescent="0.25">
      <c r="A253" s="1">
        <v>46320</v>
      </c>
      <c r="B253" t="s">
        <v>13</v>
      </c>
      <c r="C253" t="s">
        <v>10</v>
      </c>
      <c r="D253">
        <v>2.4003433769187037</v>
      </c>
      <c r="E253" t="s">
        <v>161</v>
      </c>
      <c r="F253">
        <v>46320</v>
      </c>
      <c r="G253" t="s">
        <v>149</v>
      </c>
      <c r="H253">
        <v>0.22531488572430525</v>
      </c>
      <c r="I253">
        <v>0.22531488572430525</v>
      </c>
      <c r="J253">
        <v>0</v>
      </c>
      <c r="K253">
        <v>0</v>
      </c>
      <c r="L253">
        <v>0</v>
      </c>
      <c r="M253" t="s">
        <v>120</v>
      </c>
    </row>
    <row r="254" spans="1:15" x14ac:dyDescent="0.25">
      <c r="A254" s="1">
        <v>46293</v>
      </c>
      <c r="B254" t="s">
        <v>148</v>
      </c>
      <c r="C254" t="s">
        <v>12</v>
      </c>
      <c r="D254">
        <v>8.177446981285291</v>
      </c>
      <c r="E254" t="s">
        <v>162</v>
      </c>
      <c r="F254">
        <v>46293</v>
      </c>
      <c r="G254" t="s">
        <v>149</v>
      </c>
      <c r="H254">
        <v>0.31319656445817867</v>
      </c>
      <c r="I254">
        <v>0.31319656445817867</v>
      </c>
      <c r="J254">
        <v>0</v>
      </c>
      <c r="K254">
        <v>0</v>
      </c>
      <c r="L254">
        <v>0</v>
      </c>
      <c r="M254" t="s">
        <v>125</v>
      </c>
      <c r="N254" t="s">
        <v>125</v>
      </c>
      <c r="O254">
        <v>28.36</v>
      </c>
    </row>
    <row r="255" spans="1:15" x14ac:dyDescent="0.25">
      <c r="A255" s="1">
        <v>46293</v>
      </c>
      <c r="B255" t="s">
        <v>148</v>
      </c>
      <c r="C255" t="s">
        <v>11</v>
      </c>
      <c r="D255">
        <v>4.4391855041263009</v>
      </c>
      <c r="E255" t="s">
        <v>162</v>
      </c>
      <c r="F255">
        <v>46293</v>
      </c>
      <c r="G255" t="s">
        <v>149</v>
      </c>
      <c r="H255">
        <v>0</v>
      </c>
      <c r="I255">
        <v>0</v>
      </c>
      <c r="J255">
        <v>0.48269806540081106</v>
      </c>
      <c r="K255">
        <v>0.48269806540081106</v>
      </c>
      <c r="L255">
        <v>3.9564874387254898</v>
      </c>
      <c r="M255" t="s">
        <v>125</v>
      </c>
      <c r="N255" t="s">
        <v>125</v>
      </c>
      <c r="O255">
        <v>29.417999999999999</v>
      </c>
    </row>
    <row r="256" spans="1:15" x14ac:dyDescent="0.25">
      <c r="A256" s="1">
        <v>46293</v>
      </c>
      <c r="B256" t="s">
        <v>148</v>
      </c>
      <c r="C256" t="s">
        <v>10</v>
      </c>
      <c r="D256">
        <v>10.864322417993314</v>
      </c>
      <c r="E256" t="s">
        <v>162</v>
      </c>
      <c r="F256">
        <v>46293</v>
      </c>
      <c r="G256" t="s">
        <v>149</v>
      </c>
      <c r="H256">
        <v>0</v>
      </c>
      <c r="I256">
        <v>0</v>
      </c>
      <c r="J256">
        <v>0.40335428073841068</v>
      </c>
      <c r="K256">
        <v>0.40335428073841068</v>
      </c>
      <c r="L256">
        <v>10.460968137254904</v>
      </c>
      <c r="M256" t="s">
        <v>125</v>
      </c>
      <c r="N256" t="s">
        <v>125</v>
      </c>
      <c r="O256">
        <v>27.57</v>
      </c>
    </row>
    <row r="257" spans="1:15" x14ac:dyDescent="0.25">
      <c r="A257" s="1">
        <v>46294</v>
      </c>
      <c r="B257" t="s">
        <v>148</v>
      </c>
      <c r="C257" t="s">
        <v>10</v>
      </c>
      <c r="D257">
        <v>10.864322417993314</v>
      </c>
      <c r="E257" t="s">
        <v>162</v>
      </c>
      <c r="F257">
        <v>46294</v>
      </c>
      <c r="G257" t="s">
        <v>149</v>
      </c>
      <c r="H257">
        <v>0.15628658072433566</v>
      </c>
      <c r="I257">
        <v>0.15628658072433566</v>
      </c>
      <c r="J257">
        <v>0</v>
      </c>
      <c r="K257">
        <v>0</v>
      </c>
      <c r="L257">
        <v>0</v>
      </c>
      <c r="M257" t="s">
        <v>126</v>
      </c>
      <c r="N257" t="s">
        <v>126</v>
      </c>
      <c r="O257">
        <v>27.57</v>
      </c>
    </row>
    <row r="258" spans="1:15" x14ac:dyDescent="0.25">
      <c r="A258" s="1">
        <v>46294</v>
      </c>
      <c r="B258" t="s">
        <v>148</v>
      </c>
      <c r="C258" t="s">
        <v>12</v>
      </c>
      <c r="D258">
        <v>8.1190366457046821</v>
      </c>
      <c r="E258" t="s">
        <v>162</v>
      </c>
      <c r="F258">
        <v>46294</v>
      </c>
      <c r="G258" t="s">
        <v>149</v>
      </c>
      <c r="H258">
        <v>0.33713429492028379</v>
      </c>
      <c r="I258">
        <v>0.33713429492028379</v>
      </c>
      <c r="J258">
        <v>0</v>
      </c>
      <c r="K258">
        <v>0</v>
      </c>
      <c r="L258">
        <v>0</v>
      </c>
      <c r="M258" t="s">
        <v>126</v>
      </c>
      <c r="N258" t="s">
        <v>126</v>
      </c>
      <c r="O258">
        <v>28.36</v>
      </c>
    </row>
    <row r="259" spans="1:15" x14ac:dyDescent="0.25">
      <c r="A259" s="1">
        <v>46294</v>
      </c>
      <c r="B259" t="s">
        <v>148</v>
      </c>
      <c r="C259" t="s">
        <v>11</v>
      </c>
      <c r="D259">
        <v>4.4391855041263009</v>
      </c>
      <c r="E259" t="s">
        <v>162</v>
      </c>
      <c r="F259">
        <v>46294</v>
      </c>
      <c r="G259" t="s">
        <v>149</v>
      </c>
      <c r="H259">
        <v>0</v>
      </c>
      <c r="I259">
        <v>0</v>
      </c>
      <c r="J259">
        <v>0.48269806540081106</v>
      </c>
      <c r="K259">
        <v>0.48269806540081106</v>
      </c>
      <c r="L259">
        <v>3.9564874387254898</v>
      </c>
      <c r="M259" t="s">
        <v>126</v>
      </c>
      <c r="N259" t="s">
        <v>126</v>
      </c>
      <c r="O259">
        <v>29.417999999999999</v>
      </c>
    </row>
    <row r="260" spans="1:15" x14ac:dyDescent="0.25">
      <c r="A260" s="1">
        <v>46295</v>
      </c>
      <c r="B260" t="s">
        <v>148</v>
      </c>
      <c r="C260" t="s">
        <v>10</v>
      </c>
      <c r="D260">
        <v>9.9297570487035678</v>
      </c>
      <c r="E260" t="s">
        <v>162</v>
      </c>
      <c r="F260">
        <v>46295</v>
      </c>
      <c r="G260" t="s">
        <v>149</v>
      </c>
      <c r="H260">
        <v>0.17000615234107141</v>
      </c>
      <c r="I260">
        <v>0.17000615234107141</v>
      </c>
      <c r="J260">
        <v>0</v>
      </c>
      <c r="K260">
        <v>0</v>
      </c>
      <c r="L260">
        <v>0</v>
      </c>
      <c r="M260" t="s">
        <v>127</v>
      </c>
      <c r="N260" t="s">
        <v>127</v>
      </c>
      <c r="O260">
        <v>27.57</v>
      </c>
    </row>
    <row r="261" spans="1:15" x14ac:dyDescent="0.25">
      <c r="A261" s="1">
        <v>46295</v>
      </c>
      <c r="B261" t="s">
        <v>148</v>
      </c>
      <c r="C261" t="s">
        <v>11</v>
      </c>
      <c r="D261">
        <v>4.4391855041263009</v>
      </c>
      <c r="E261" t="s">
        <v>162</v>
      </c>
      <c r="F261">
        <v>46295</v>
      </c>
      <c r="G261" t="s">
        <v>149</v>
      </c>
      <c r="H261">
        <v>0</v>
      </c>
      <c r="I261">
        <v>0</v>
      </c>
      <c r="J261">
        <v>0.41701179089100732</v>
      </c>
      <c r="K261">
        <v>0.41701179089100732</v>
      </c>
      <c r="L261">
        <v>4.0221737132352935</v>
      </c>
      <c r="M261" t="s">
        <v>127</v>
      </c>
      <c r="N261" t="s">
        <v>127</v>
      </c>
      <c r="O261">
        <v>29.417999999999999</v>
      </c>
    </row>
    <row r="262" spans="1:15" x14ac:dyDescent="0.25">
      <c r="A262" s="1">
        <v>46295</v>
      </c>
      <c r="B262" t="s">
        <v>148</v>
      </c>
      <c r="C262" t="s">
        <v>12</v>
      </c>
      <c r="D262">
        <v>8.0022159745434642</v>
      </c>
      <c r="E262" t="s">
        <v>162</v>
      </c>
      <c r="F262">
        <v>46295</v>
      </c>
      <c r="G262" t="s">
        <v>149</v>
      </c>
      <c r="H262">
        <v>0.34189526466159137</v>
      </c>
      <c r="I262">
        <v>0.34189526466159137</v>
      </c>
      <c r="J262">
        <v>0</v>
      </c>
      <c r="K262">
        <v>0</v>
      </c>
      <c r="L262">
        <v>0</v>
      </c>
      <c r="M262" t="s">
        <v>127</v>
      </c>
      <c r="N262" t="s">
        <v>127</v>
      </c>
      <c r="O262">
        <v>28.36</v>
      </c>
    </row>
    <row r="263" spans="1:15" x14ac:dyDescent="0.25">
      <c r="A263" s="1">
        <v>46296</v>
      </c>
      <c r="B263" t="s">
        <v>148</v>
      </c>
      <c r="C263" t="s">
        <v>10</v>
      </c>
      <c r="D263">
        <v>10.922732753573923</v>
      </c>
      <c r="E263" t="s">
        <v>162</v>
      </c>
      <c r="F263">
        <v>46296</v>
      </c>
      <c r="G263" t="s">
        <v>149</v>
      </c>
      <c r="H263">
        <v>8.5523039996187489E-2</v>
      </c>
      <c r="I263">
        <v>8.5523039996187489E-2</v>
      </c>
      <c r="J263">
        <v>0</v>
      </c>
      <c r="K263">
        <v>0</v>
      </c>
      <c r="L263">
        <v>0</v>
      </c>
      <c r="M263" t="s">
        <v>128</v>
      </c>
      <c r="N263" t="s">
        <v>128</v>
      </c>
      <c r="O263">
        <v>27.57</v>
      </c>
    </row>
    <row r="264" spans="1:15" x14ac:dyDescent="0.25">
      <c r="A264" s="1">
        <v>46296</v>
      </c>
      <c r="B264" t="s">
        <v>148</v>
      </c>
      <c r="C264" t="s">
        <v>12</v>
      </c>
      <c r="D264">
        <v>8.8783710082525999</v>
      </c>
      <c r="E264" t="s">
        <v>162</v>
      </c>
      <c r="F264">
        <v>46296</v>
      </c>
      <c r="G264" t="s">
        <v>149</v>
      </c>
      <c r="H264">
        <v>0.29565447912946707</v>
      </c>
      <c r="I264">
        <v>0.29565447912946707</v>
      </c>
      <c r="J264">
        <v>0</v>
      </c>
      <c r="K264">
        <v>0</v>
      </c>
      <c r="L264">
        <v>0</v>
      </c>
      <c r="M264" t="s">
        <v>128</v>
      </c>
      <c r="N264" t="s">
        <v>128</v>
      </c>
      <c r="O264">
        <v>28.36</v>
      </c>
    </row>
    <row r="265" spans="1:15" x14ac:dyDescent="0.25">
      <c r="A265" s="1">
        <v>46296</v>
      </c>
      <c r="B265" t="s">
        <v>148</v>
      </c>
      <c r="C265" t="s">
        <v>11</v>
      </c>
      <c r="D265">
        <v>4.4391855041263009</v>
      </c>
      <c r="E265" t="s">
        <v>162</v>
      </c>
      <c r="F265">
        <v>46296</v>
      </c>
      <c r="G265" t="s">
        <v>149</v>
      </c>
      <c r="H265">
        <v>0</v>
      </c>
      <c r="I265">
        <v>0</v>
      </c>
      <c r="J265">
        <v>0.29936473206747771</v>
      </c>
      <c r="K265">
        <v>0.29936473206747771</v>
      </c>
      <c r="L265">
        <v>4.1398207720588234</v>
      </c>
      <c r="M265" t="s">
        <v>128</v>
      </c>
      <c r="N265" t="s">
        <v>128</v>
      </c>
      <c r="O265">
        <v>29.417999999999999</v>
      </c>
    </row>
    <row r="266" spans="1:15" x14ac:dyDescent="0.25">
      <c r="A266" s="1">
        <v>46297</v>
      </c>
      <c r="B266" t="s">
        <v>148</v>
      </c>
      <c r="C266" t="s">
        <v>10</v>
      </c>
      <c r="D266">
        <v>9.929757048703566</v>
      </c>
      <c r="E266" t="s">
        <v>162</v>
      </c>
      <c r="F266">
        <v>46297</v>
      </c>
      <c r="G266" t="s">
        <v>149</v>
      </c>
      <c r="H266">
        <v>0.28293481325056202</v>
      </c>
      <c r="I266">
        <v>0.28293481325056202</v>
      </c>
      <c r="J266">
        <v>0</v>
      </c>
      <c r="K266">
        <v>0</v>
      </c>
      <c r="L266">
        <v>0</v>
      </c>
      <c r="M266" t="s">
        <v>129</v>
      </c>
      <c r="N266" t="s">
        <v>129</v>
      </c>
      <c r="O266">
        <v>27.57</v>
      </c>
    </row>
    <row r="267" spans="1:15" x14ac:dyDescent="0.25">
      <c r="A267" s="1">
        <v>46297</v>
      </c>
      <c r="B267" t="s">
        <v>148</v>
      </c>
      <c r="C267" t="s">
        <v>11</v>
      </c>
      <c r="D267">
        <v>4.4391855041263009</v>
      </c>
      <c r="E267" t="s">
        <v>162</v>
      </c>
      <c r="F267">
        <v>46297</v>
      </c>
      <c r="G267" t="s">
        <v>149</v>
      </c>
      <c r="H267">
        <v>0.11653082172807316</v>
      </c>
      <c r="I267">
        <v>0.11653082172807316</v>
      </c>
      <c r="J267">
        <v>0</v>
      </c>
      <c r="K267">
        <v>0</v>
      </c>
      <c r="L267">
        <v>0</v>
      </c>
      <c r="M267" t="s">
        <v>129</v>
      </c>
      <c r="N267" t="s">
        <v>129</v>
      </c>
      <c r="O267">
        <v>29.417999999999999</v>
      </c>
    </row>
    <row r="268" spans="1:15" x14ac:dyDescent="0.25">
      <c r="A268" s="1">
        <v>46297</v>
      </c>
      <c r="B268" t="s">
        <v>148</v>
      </c>
      <c r="C268" t="s">
        <v>12</v>
      </c>
      <c r="D268">
        <v>8.9367813438332107</v>
      </c>
      <c r="E268" t="s">
        <v>162</v>
      </c>
      <c r="F268">
        <v>46297</v>
      </c>
      <c r="G268" t="s">
        <v>149</v>
      </c>
      <c r="H268">
        <v>0.21642768294209991</v>
      </c>
      <c r="I268">
        <v>0.21642768294209991</v>
      </c>
      <c r="J268">
        <v>0</v>
      </c>
      <c r="K268">
        <v>0</v>
      </c>
      <c r="L268">
        <v>0</v>
      </c>
      <c r="M268" t="s">
        <v>129</v>
      </c>
      <c r="N268" t="s">
        <v>129</v>
      </c>
      <c r="O268">
        <v>28.36</v>
      </c>
    </row>
    <row r="269" spans="1:15" x14ac:dyDescent="0.25">
      <c r="A269" s="1">
        <v>46298</v>
      </c>
      <c r="B269" t="s">
        <v>148</v>
      </c>
      <c r="C269" t="s">
        <v>10</v>
      </c>
      <c r="D269">
        <v>9.929757048703566</v>
      </c>
      <c r="E269" t="s">
        <v>162</v>
      </c>
      <c r="F269">
        <v>46298</v>
      </c>
      <c r="G269" t="s">
        <v>149</v>
      </c>
      <c r="H269">
        <v>0.11109047298622543</v>
      </c>
      <c r="I269">
        <v>0.11109047298622543</v>
      </c>
      <c r="J269">
        <v>0</v>
      </c>
      <c r="K269">
        <v>0</v>
      </c>
      <c r="L269">
        <v>0</v>
      </c>
      <c r="M269" t="s">
        <v>119</v>
      </c>
      <c r="N269" t="s">
        <v>119</v>
      </c>
      <c r="O269">
        <v>37.600000000000009</v>
      </c>
    </row>
    <row r="270" spans="1:15" x14ac:dyDescent="0.25">
      <c r="A270" s="1">
        <v>46298</v>
      </c>
      <c r="B270" t="s">
        <v>148</v>
      </c>
      <c r="C270" t="s">
        <v>11</v>
      </c>
      <c r="D270">
        <v>4.4391855041263009</v>
      </c>
      <c r="E270" t="s">
        <v>162</v>
      </c>
      <c r="F270">
        <v>46298</v>
      </c>
      <c r="G270" t="s">
        <v>149</v>
      </c>
      <c r="H270">
        <v>9.6732003922801457E-2</v>
      </c>
      <c r="I270">
        <v>9.6732003922801457E-2</v>
      </c>
      <c r="J270">
        <v>0</v>
      </c>
      <c r="K270">
        <v>0</v>
      </c>
      <c r="L270">
        <v>0</v>
      </c>
      <c r="M270" t="s">
        <v>119</v>
      </c>
      <c r="N270" t="s">
        <v>119</v>
      </c>
      <c r="O270">
        <v>32.272000000000013</v>
      </c>
    </row>
    <row r="271" spans="1:15" x14ac:dyDescent="0.25">
      <c r="A271" s="1">
        <v>46298</v>
      </c>
      <c r="B271" t="s">
        <v>148</v>
      </c>
      <c r="C271" t="s">
        <v>12</v>
      </c>
      <c r="D271">
        <v>8.0606263101240714</v>
      </c>
      <c r="E271" t="s">
        <v>162</v>
      </c>
      <c r="F271">
        <v>46298</v>
      </c>
      <c r="G271" t="s">
        <v>149</v>
      </c>
      <c r="H271">
        <v>0.27608505029850794</v>
      </c>
      <c r="I271">
        <v>0.27608505029850794</v>
      </c>
      <c r="J271">
        <v>0</v>
      </c>
      <c r="K271">
        <v>0</v>
      </c>
      <c r="L271">
        <v>0</v>
      </c>
      <c r="M271" t="s">
        <v>119</v>
      </c>
      <c r="N271" t="s">
        <v>119</v>
      </c>
      <c r="O271">
        <v>33.160000000000011</v>
      </c>
    </row>
    <row r="272" spans="1:15" x14ac:dyDescent="0.25">
      <c r="A272" s="1">
        <v>46299</v>
      </c>
      <c r="B272" t="s">
        <v>148</v>
      </c>
      <c r="C272" t="s">
        <v>10</v>
      </c>
      <c r="D272">
        <v>9.929757048703566</v>
      </c>
      <c r="E272" t="s">
        <v>162</v>
      </c>
      <c r="F272">
        <v>46299</v>
      </c>
      <c r="G272" t="s">
        <v>149</v>
      </c>
      <c r="H272">
        <v>0.19994994224098139</v>
      </c>
      <c r="I272">
        <v>0.19994994224098139</v>
      </c>
      <c r="J272">
        <v>0</v>
      </c>
      <c r="K272">
        <v>0</v>
      </c>
      <c r="L272">
        <v>0</v>
      </c>
      <c r="M272" t="s">
        <v>120</v>
      </c>
      <c r="N272" t="s">
        <v>120</v>
      </c>
      <c r="O272">
        <v>42.790000000000006</v>
      </c>
    </row>
    <row r="273" spans="1:15" x14ac:dyDescent="0.25">
      <c r="A273" s="1">
        <v>46299</v>
      </c>
      <c r="B273" t="s">
        <v>148</v>
      </c>
      <c r="C273" t="s">
        <v>11</v>
      </c>
      <c r="D273">
        <v>4.4391855041263009</v>
      </c>
      <c r="E273" t="s">
        <v>162</v>
      </c>
      <c r="F273">
        <v>46299</v>
      </c>
      <c r="G273" t="s">
        <v>149</v>
      </c>
      <c r="H273">
        <v>0.10343513308824637</v>
      </c>
      <c r="I273">
        <v>0.10343513308824637</v>
      </c>
      <c r="J273">
        <v>0</v>
      </c>
      <c r="K273">
        <v>0</v>
      </c>
      <c r="L273">
        <v>0</v>
      </c>
      <c r="M273" t="s">
        <v>120</v>
      </c>
      <c r="N273" t="s">
        <v>120</v>
      </c>
      <c r="O273">
        <v>36.574000000000012</v>
      </c>
    </row>
    <row r="274" spans="1:15" x14ac:dyDescent="0.25">
      <c r="A274" s="1">
        <v>46299</v>
      </c>
      <c r="B274" t="s">
        <v>148</v>
      </c>
      <c r="C274" t="s">
        <v>12</v>
      </c>
      <c r="D274">
        <v>8.1190366457046803</v>
      </c>
      <c r="E274" t="s">
        <v>162</v>
      </c>
      <c r="F274">
        <v>46299</v>
      </c>
      <c r="G274" t="s">
        <v>149</v>
      </c>
      <c r="H274">
        <v>0.31621962330293707</v>
      </c>
      <c r="I274">
        <v>0.31621962330293707</v>
      </c>
      <c r="J274">
        <v>0</v>
      </c>
      <c r="K274">
        <v>0</v>
      </c>
      <c r="L274">
        <v>0</v>
      </c>
      <c r="M274" t="s">
        <v>120</v>
      </c>
      <c r="N274" t="s">
        <v>120</v>
      </c>
      <c r="O274">
        <v>37.610000000000007</v>
      </c>
    </row>
    <row r="275" spans="1:15" x14ac:dyDescent="0.25">
      <c r="A275" s="1">
        <v>46300</v>
      </c>
      <c r="B275" t="s">
        <v>148</v>
      </c>
      <c r="C275" t="s">
        <v>11</v>
      </c>
      <c r="D275">
        <v>4.4391855041263009</v>
      </c>
      <c r="E275" t="s">
        <v>162</v>
      </c>
      <c r="F275">
        <v>46300</v>
      </c>
      <c r="G275" t="s">
        <v>149</v>
      </c>
      <c r="H275">
        <v>9.6732003922801457E-2</v>
      </c>
      <c r="I275">
        <v>9.6732003922801457E-2</v>
      </c>
      <c r="J275">
        <v>0</v>
      </c>
      <c r="K275">
        <v>0</v>
      </c>
      <c r="L275">
        <v>0</v>
      </c>
      <c r="M275" t="s">
        <v>125</v>
      </c>
      <c r="N275" t="s">
        <v>125</v>
      </c>
      <c r="O275">
        <v>29.417999999999999</v>
      </c>
    </row>
    <row r="276" spans="1:15" x14ac:dyDescent="0.25">
      <c r="A276" s="1">
        <v>46300</v>
      </c>
      <c r="B276" t="s">
        <v>148</v>
      </c>
      <c r="C276" t="s">
        <v>12</v>
      </c>
      <c r="D276">
        <v>8.177446981285291</v>
      </c>
      <c r="E276" t="s">
        <v>162</v>
      </c>
      <c r="F276">
        <v>46300</v>
      </c>
      <c r="G276" t="s">
        <v>149</v>
      </c>
      <c r="H276">
        <v>0.33158746633063108</v>
      </c>
      <c r="I276">
        <v>0.33158746633063108</v>
      </c>
      <c r="J276">
        <v>0</v>
      </c>
      <c r="K276">
        <v>0</v>
      </c>
      <c r="L276">
        <v>0</v>
      </c>
      <c r="M276" t="s">
        <v>125</v>
      </c>
      <c r="N276" t="s">
        <v>125</v>
      </c>
      <c r="O276">
        <v>28.36</v>
      </c>
    </row>
    <row r="277" spans="1:15" x14ac:dyDescent="0.25">
      <c r="A277" s="1">
        <v>46300</v>
      </c>
      <c r="B277" t="s">
        <v>148</v>
      </c>
      <c r="C277" t="s">
        <v>10</v>
      </c>
      <c r="D277">
        <v>10.864322417993314</v>
      </c>
      <c r="E277" t="s">
        <v>162</v>
      </c>
      <c r="F277">
        <v>46300</v>
      </c>
      <c r="G277" t="s">
        <v>149</v>
      </c>
      <c r="H277">
        <v>8.0823711561078371E-2</v>
      </c>
      <c r="I277">
        <v>8.0823711561078371E-2</v>
      </c>
      <c r="J277">
        <v>0</v>
      </c>
      <c r="K277">
        <v>0</v>
      </c>
      <c r="L277">
        <v>0</v>
      </c>
      <c r="M277" t="s">
        <v>125</v>
      </c>
      <c r="N277" t="s">
        <v>125</v>
      </c>
      <c r="O277">
        <v>27.57</v>
      </c>
    </row>
    <row r="278" spans="1:15" x14ac:dyDescent="0.25">
      <c r="A278" s="1">
        <v>46301</v>
      </c>
      <c r="B278" t="s">
        <v>148</v>
      </c>
      <c r="C278" t="s">
        <v>12</v>
      </c>
      <c r="D278">
        <v>9.0536020149944267</v>
      </c>
      <c r="E278" t="s">
        <v>162</v>
      </c>
      <c r="F278">
        <v>46301</v>
      </c>
      <c r="G278" t="s">
        <v>149</v>
      </c>
      <c r="H278">
        <v>8.614502823189607E-2</v>
      </c>
      <c r="I278">
        <v>8.614502823189607E-2</v>
      </c>
      <c r="J278">
        <v>0</v>
      </c>
      <c r="K278">
        <v>0</v>
      </c>
      <c r="L278">
        <v>0</v>
      </c>
      <c r="M278" t="s">
        <v>126</v>
      </c>
      <c r="N278" t="s">
        <v>126</v>
      </c>
      <c r="O278">
        <v>28.36</v>
      </c>
    </row>
    <row r="279" spans="1:15" x14ac:dyDescent="0.25">
      <c r="A279" s="1">
        <v>46301</v>
      </c>
      <c r="B279" t="s">
        <v>148</v>
      </c>
      <c r="C279" t="s">
        <v>11</v>
      </c>
      <c r="D279">
        <v>4.4391855041263009</v>
      </c>
      <c r="E279" t="s">
        <v>162</v>
      </c>
      <c r="F279">
        <v>46301</v>
      </c>
      <c r="G279" t="s">
        <v>149</v>
      </c>
      <c r="H279">
        <v>0.10343513308824637</v>
      </c>
      <c r="I279">
        <v>0.10343513308824637</v>
      </c>
      <c r="J279">
        <v>0</v>
      </c>
      <c r="K279">
        <v>0</v>
      </c>
      <c r="L279">
        <v>0</v>
      </c>
      <c r="M279" t="s">
        <v>126</v>
      </c>
      <c r="N279" t="s">
        <v>126</v>
      </c>
      <c r="O279">
        <v>29.417999999999999</v>
      </c>
    </row>
    <row r="280" spans="1:15" x14ac:dyDescent="0.25">
      <c r="A280" s="1">
        <v>46301</v>
      </c>
      <c r="B280" t="s">
        <v>148</v>
      </c>
      <c r="C280" t="s">
        <v>10</v>
      </c>
      <c r="D280">
        <v>10.864322417993314</v>
      </c>
      <c r="E280" t="s">
        <v>162</v>
      </c>
      <c r="F280">
        <v>46301</v>
      </c>
      <c r="G280" t="s">
        <v>149</v>
      </c>
      <c r="H280">
        <v>1.990915861655207E-2</v>
      </c>
      <c r="I280">
        <v>1.990915861655207E-2</v>
      </c>
      <c r="J280">
        <v>0</v>
      </c>
      <c r="K280">
        <v>0</v>
      </c>
      <c r="L280">
        <v>0</v>
      </c>
      <c r="M280" t="s">
        <v>126</v>
      </c>
      <c r="N280" t="s">
        <v>126</v>
      </c>
      <c r="O280">
        <v>27.57</v>
      </c>
    </row>
    <row r="281" spans="1:15" x14ac:dyDescent="0.25">
      <c r="A281" s="1">
        <v>46302</v>
      </c>
      <c r="B281" t="s">
        <v>148</v>
      </c>
      <c r="C281" t="s">
        <v>12</v>
      </c>
      <c r="D281">
        <v>8.0022159745434642</v>
      </c>
      <c r="E281" t="s">
        <v>162</v>
      </c>
      <c r="F281">
        <v>46302</v>
      </c>
      <c r="G281" t="s">
        <v>149</v>
      </c>
      <c r="H281">
        <v>0.35483113459178361</v>
      </c>
      <c r="I281">
        <v>0.35483113459178361</v>
      </c>
      <c r="J281">
        <v>0</v>
      </c>
      <c r="K281">
        <v>0</v>
      </c>
      <c r="L281">
        <v>0</v>
      </c>
      <c r="M281" t="s">
        <v>127</v>
      </c>
      <c r="N281" t="s">
        <v>127</v>
      </c>
      <c r="O281">
        <v>28.36</v>
      </c>
    </row>
    <row r="282" spans="1:15" x14ac:dyDescent="0.25">
      <c r="A282" s="1">
        <v>46302</v>
      </c>
      <c r="B282" t="s">
        <v>148</v>
      </c>
      <c r="C282" t="s">
        <v>10</v>
      </c>
      <c r="D282">
        <v>9.929757048703566</v>
      </c>
      <c r="E282" t="s">
        <v>162</v>
      </c>
      <c r="F282">
        <v>46302</v>
      </c>
      <c r="G282" t="s">
        <v>149</v>
      </c>
      <c r="H282">
        <v>0.19990366126741099</v>
      </c>
      <c r="I282">
        <v>0.19990366126741099</v>
      </c>
      <c r="J282">
        <v>0</v>
      </c>
      <c r="K282">
        <v>0</v>
      </c>
      <c r="L282">
        <v>0</v>
      </c>
      <c r="M282" t="s">
        <v>127</v>
      </c>
      <c r="N282" t="s">
        <v>127</v>
      </c>
      <c r="O282">
        <v>27.57</v>
      </c>
    </row>
    <row r="283" spans="1:15" x14ac:dyDescent="0.25">
      <c r="A283" s="1">
        <v>46302</v>
      </c>
      <c r="B283" t="s">
        <v>148</v>
      </c>
      <c r="C283" t="s">
        <v>11</v>
      </c>
      <c r="D283">
        <v>4.4391855041263009</v>
      </c>
      <c r="E283" t="s">
        <v>162</v>
      </c>
      <c r="F283">
        <v>46302</v>
      </c>
      <c r="G283" t="s">
        <v>149</v>
      </c>
      <c r="H283">
        <v>9.6732003922801457E-2</v>
      </c>
      <c r="I283">
        <v>9.6732003922801457E-2</v>
      </c>
      <c r="J283">
        <v>0</v>
      </c>
      <c r="K283">
        <v>0</v>
      </c>
      <c r="L283">
        <v>0</v>
      </c>
      <c r="M283" t="s">
        <v>127</v>
      </c>
      <c r="N283" t="s">
        <v>127</v>
      </c>
      <c r="O283">
        <v>29.417999999999999</v>
      </c>
    </row>
    <row r="284" spans="1:15" x14ac:dyDescent="0.25">
      <c r="A284" s="1">
        <v>46303</v>
      </c>
      <c r="B284" t="s">
        <v>148</v>
      </c>
      <c r="C284" t="s">
        <v>12</v>
      </c>
      <c r="D284">
        <v>7.9438056389628544</v>
      </c>
      <c r="E284" t="s">
        <v>162</v>
      </c>
      <c r="F284">
        <v>46303</v>
      </c>
      <c r="G284" t="s">
        <v>149</v>
      </c>
      <c r="H284">
        <v>0.45220631705917591</v>
      </c>
      <c r="I284">
        <v>0.45220631705917591</v>
      </c>
      <c r="J284">
        <v>0</v>
      </c>
      <c r="K284">
        <v>0</v>
      </c>
      <c r="L284">
        <v>0</v>
      </c>
      <c r="M284" t="s">
        <v>128</v>
      </c>
      <c r="N284" t="s">
        <v>128</v>
      </c>
      <c r="O284">
        <v>28.36</v>
      </c>
    </row>
    <row r="285" spans="1:15" x14ac:dyDescent="0.25">
      <c r="A285" s="1">
        <v>46303</v>
      </c>
      <c r="B285" t="s">
        <v>148</v>
      </c>
      <c r="C285" t="s">
        <v>11</v>
      </c>
      <c r="D285">
        <v>4.4391855041263009</v>
      </c>
      <c r="E285" t="s">
        <v>162</v>
      </c>
      <c r="F285">
        <v>46303</v>
      </c>
      <c r="G285" t="s">
        <v>149</v>
      </c>
      <c r="H285">
        <v>0.1232339508935183</v>
      </c>
      <c r="I285">
        <v>0.1232339508935183</v>
      </c>
      <c r="J285">
        <v>0</v>
      </c>
      <c r="K285">
        <v>0</v>
      </c>
      <c r="L285">
        <v>0</v>
      </c>
      <c r="M285" t="s">
        <v>128</v>
      </c>
      <c r="N285" t="s">
        <v>128</v>
      </c>
      <c r="O285">
        <v>29.417999999999999</v>
      </c>
    </row>
    <row r="286" spans="1:15" x14ac:dyDescent="0.25">
      <c r="A286" s="1">
        <v>46303</v>
      </c>
      <c r="B286" t="s">
        <v>148</v>
      </c>
      <c r="C286" t="s">
        <v>10</v>
      </c>
      <c r="D286">
        <v>10.864322417993314</v>
      </c>
      <c r="E286" t="s">
        <v>162</v>
      </c>
      <c r="F286">
        <v>46303</v>
      </c>
      <c r="G286" t="s">
        <v>149</v>
      </c>
      <c r="H286">
        <v>9.6728441833155099E-2</v>
      </c>
      <c r="I286">
        <v>9.6728441833155099E-2</v>
      </c>
      <c r="J286">
        <v>0</v>
      </c>
      <c r="K286">
        <v>0</v>
      </c>
      <c r="L286">
        <v>0</v>
      </c>
      <c r="M286" t="s">
        <v>128</v>
      </c>
      <c r="N286" t="s">
        <v>128</v>
      </c>
      <c r="O286">
        <v>27.57</v>
      </c>
    </row>
    <row r="287" spans="1:15" x14ac:dyDescent="0.25">
      <c r="A287" s="1">
        <v>46304</v>
      </c>
      <c r="B287" t="s">
        <v>148</v>
      </c>
      <c r="C287" t="s">
        <v>10</v>
      </c>
      <c r="D287">
        <v>9.929757048703566</v>
      </c>
      <c r="E287" t="s">
        <v>162</v>
      </c>
      <c r="F287">
        <v>46304</v>
      </c>
      <c r="G287" t="s">
        <v>149</v>
      </c>
      <c r="H287">
        <v>0.11109047298622543</v>
      </c>
      <c r="I287">
        <v>0.11109047298622543</v>
      </c>
      <c r="J287">
        <v>0</v>
      </c>
      <c r="K287">
        <v>0</v>
      </c>
      <c r="L287">
        <v>0</v>
      </c>
      <c r="M287" t="s">
        <v>129</v>
      </c>
      <c r="N287" t="s">
        <v>129</v>
      </c>
      <c r="O287">
        <v>27.57</v>
      </c>
    </row>
    <row r="288" spans="1:15" x14ac:dyDescent="0.25">
      <c r="A288" s="1">
        <v>46304</v>
      </c>
      <c r="B288" t="s">
        <v>148</v>
      </c>
      <c r="C288" t="s">
        <v>11</v>
      </c>
      <c r="D288">
        <v>4.4391855041263009</v>
      </c>
      <c r="E288" t="s">
        <v>162</v>
      </c>
      <c r="F288">
        <v>46304</v>
      </c>
      <c r="G288" t="s">
        <v>149</v>
      </c>
      <c r="H288">
        <v>0.1232339508935183</v>
      </c>
      <c r="I288">
        <v>0.1232339508935183</v>
      </c>
      <c r="J288">
        <v>0</v>
      </c>
      <c r="K288">
        <v>0</v>
      </c>
      <c r="L288">
        <v>0</v>
      </c>
      <c r="M288" t="s">
        <v>129</v>
      </c>
      <c r="N288" t="s">
        <v>129</v>
      </c>
      <c r="O288">
        <v>29.417999999999999</v>
      </c>
    </row>
    <row r="289" spans="1:15" x14ac:dyDescent="0.25">
      <c r="A289" s="1">
        <v>46304</v>
      </c>
      <c r="B289" t="s">
        <v>148</v>
      </c>
      <c r="C289" t="s">
        <v>12</v>
      </c>
      <c r="D289">
        <v>8.9951916794138196</v>
      </c>
      <c r="E289" t="s">
        <v>162</v>
      </c>
      <c r="F289">
        <v>46304</v>
      </c>
      <c r="G289" t="s">
        <v>149</v>
      </c>
      <c r="H289">
        <v>0.27633718999490986</v>
      </c>
      <c r="I289">
        <v>0.27633718999490986</v>
      </c>
      <c r="J289">
        <v>0</v>
      </c>
      <c r="K289">
        <v>0</v>
      </c>
      <c r="L289">
        <v>0</v>
      </c>
      <c r="M289" t="s">
        <v>129</v>
      </c>
      <c r="N289" t="s">
        <v>129</v>
      </c>
      <c r="O289">
        <v>28.36</v>
      </c>
    </row>
    <row r="290" spans="1:15" x14ac:dyDescent="0.25">
      <c r="A290" s="1">
        <v>46305</v>
      </c>
      <c r="B290" t="s">
        <v>148</v>
      </c>
      <c r="C290" t="s">
        <v>10</v>
      </c>
      <c r="D290">
        <v>9.929757048703566</v>
      </c>
      <c r="E290" t="s">
        <v>162</v>
      </c>
      <c r="F290">
        <v>46305</v>
      </c>
      <c r="G290" t="s">
        <v>149</v>
      </c>
      <c r="H290">
        <v>0.28880941149573736</v>
      </c>
      <c r="I290">
        <v>0.28880941149573736</v>
      </c>
      <c r="J290">
        <v>0</v>
      </c>
      <c r="K290">
        <v>0</v>
      </c>
      <c r="L290">
        <v>0</v>
      </c>
      <c r="M290" t="s">
        <v>119</v>
      </c>
      <c r="N290" t="s">
        <v>119</v>
      </c>
      <c r="O290">
        <v>37.600000000000009</v>
      </c>
    </row>
    <row r="291" spans="1:15" x14ac:dyDescent="0.25">
      <c r="A291" s="1">
        <v>46305</v>
      </c>
      <c r="B291" t="s">
        <v>148</v>
      </c>
      <c r="C291" t="s">
        <v>11</v>
      </c>
      <c r="D291">
        <v>4.3223648329650821</v>
      </c>
      <c r="E291" t="s">
        <v>162</v>
      </c>
      <c r="F291">
        <v>46305</v>
      </c>
      <c r="G291" t="s">
        <v>149</v>
      </c>
      <c r="H291">
        <v>0.15359162524199177</v>
      </c>
      <c r="I291">
        <v>0.15359162524199177</v>
      </c>
      <c r="J291">
        <v>0</v>
      </c>
      <c r="K291">
        <v>0</v>
      </c>
      <c r="L291">
        <v>0</v>
      </c>
      <c r="M291" t="s">
        <v>119</v>
      </c>
      <c r="N291" t="s">
        <v>119</v>
      </c>
      <c r="O291">
        <v>32.272000000000013</v>
      </c>
    </row>
    <row r="292" spans="1:15" x14ac:dyDescent="0.25">
      <c r="A292" s="1">
        <v>46305</v>
      </c>
      <c r="B292" t="s">
        <v>148</v>
      </c>
      <c r="C292" t="s">
        <v>12</v>
      </c>
      <c r="D292">
        <v>8.8783710082525999</v>
      </c>
      <c r="E292" t="s">
        <v>162</v>
      </c>
      <c r="F292">
        <v>46305</v>
      </c>
      <c r="G292" t="s">
        <v>149</v>
      </c>
      <c r="H292">
        <v>0.24219767105523338</v>
      </c>
      <c r="I292">
        <v>0.24219767105523338</v>
      </c>
      <c r="J292">
        <v>0</v>
      </c>
      <c r="K292">
        <v>0</v>
      </c>
      <c r="L292">
        <v>0</v>
      </c>
      <c r="M292" t="s">
        <v>119</v>
      </c>
      <c r="N292" t="s">
        <v>119</v>
      </c>
      <c r="O292">
        <v>33.160000000000011</v>
      </c>
    </row>
    <row r="293" spans="1:15" x14ac:dyDescent="0.25">
      <c r="A293" s="1">
        <v>46306</v>
      </c>
      <c r="B293" t="s">
        <v>148</v>
      </c>
      <c r="C293" t="s">
        <v>11</v>
      </c>
      <c r="D293">
        <v>4.4391855041263009</v>
      </c>
      <c r="E293" t="s">
        <v>162</v>
      </c>
      <c r="F293">
        <v>46306</v>
      </c>
      <c r="G293" t="s">
        <v>149</v>
      </c>
      <c r="H293">
        <v>0.1232339508935183</v>
      </c>
      <c r="I293">
        <v>0.1232339508935183</v>
      </c>
      <c r="J293">
        <v>0</v>
      </c>
      <c r="K293">
        <v>0</v>
      </c>
      <c r="L293">
        <v>0</v>
      </c>
      <c r="M293" t="s">
        <v>120</v>
      </c>
      <c r="N293" t="s">
        <v>120</v>
      </c>
      <c r="O293">
        <v>36.574000000000012</v>
      </c>
    </row>
    <row r="294" spans="1:15" x14ac:dyDescent="0.25">
      <c r="A294" s="1">
        <v>46306</v>
      </c>
      <c r="B294" t="s">
        <v>148</v>
      </c>
      <c r="C294" t="s">
        <v>12</v>
      </c>
      <c r="D294">
        <v>8.9367813438332107</v>
      </c>
      <c r="E294" t="s">
        <v>162</v>
      </c>
      <c r="F294">
        <v>46306</v>
      </c>
      <c r="G294" t="s">
        <v>149</v>
      </c>
      <c r="H294">
        <v>0.30442581185541062</v>
      </c>
      <c r="I294">
        <v>0.30442581185541062</v>
      </c>
      <c r="J294">
        <v>0</v>
      </c>
      <c r="K294">
        <v>0</v>
      </c>
      <c r="L294">
        <v>0</v>
      </c>
      <c r="M294" t="s">
        <v>120</v>
      </c>
      <c r="N294" t="s">
        <v>120</v>
      </c>
      <c r="O294">
        <v>37.610000000000007</v>
      </c>
    </row>
    <row r="295" spans="1:15" x14ac:dyDescent="0.25">
      <c r="A295" s="1">
        <v>46306</v>
      </c>
      <c r="B295" t="s">
        <v>148</v>
      </c>
      <c r="C295" t="s">
        <v>10</v>
      </c>
      <c r="D295">
        <v>9.929757048703566</v>
      </c>
      <c r="E295" t="s">
        <v>162</v>
      </c>
      <c r="F295">
        <v>46306</v>
      </c>
      <c r="G295" t="s">
        <v>149</v>
      </c>
      <c r="H295">
        <v>9.961279154081959E-2</v>
      </c>
      <c r="I295">
        <v>9.961279154081959E-2</v>
      </c>
      <c r="J295">
        <v>0</v>
      </c>
      <c r="K295">
        <v>0</v>
      </c>
      <c r="L295">
        <v>0</v>
      </c>
      <c r="M295" t="s">
        <v>120</v>
      </c>
      <c r="N295" t="s">
        <v>120</v>
      </c>
      <c r="O295">
        <v>42.790000000000006</v>
      </c>
    </row>
    <row r="296" spans="1:15" x14ac:dyDescent="0.25">
      <c r="A296" s="1">
        <v>46307</v>
      </c>
      <c r="B296" t="s">
        <v>148</v>
      </c>
      <c r="C296" t="s">
        <v>12</v>
      </c>
      <c r="D296">
        <v>8.177446981285291</v>
      </c>
      <c r="E296" t="s">
        <v>162</v>
      </c>
      <c r="F296">
        <v>46307</v>
      </c>
      <c r="G296" t="s">
        <v>149</v>
      </c>
      <c r="H296">
        <v>0.23368998409438313</v>
      </c>
      <c r="I296">
        <v>0.23368998409438313</v>
      </c>
      <c r="J296">
        <v>0</v>
      </c>
      <c r="K296">
        <v>0</v>
      </c>
      <c r="L296">
        <v>0</v>
      </c>
      <c r="M296" t="s">
        <v>125</v>
      </c>
      <c r="N296" t="s">
        <v>125</v>
      </c>
      <c r="O296">
        <v>28.36</v>
      </c>
    </row>
    <row r="297" spans="1:15" x14ac:dyDescent="0.25">
      <c r="A297" s="1">
        <v>46307</v>
      </c>
      <c r="B297" t="s">
        <v>148</v>
      </c>
      <c r="C297" t="s">
        <v>11</v>
      </c>
      <c r="D297">
        <v>4.4391855041263009</v>
      </c>
      <c r="E297" t="s">
        <v>162</v>
      </c>
      <c r="F297">
        <v>46307</v>
      </c>
      <c r="G297" t="s">
        <v>149</v>
      </c>
      <c r="H297">
        <v>9.6732003922801457E-2</v>
      </c>
      <c r="I297">
        <v>9.6732003922801457E-2</v>
      </c>
      <c r="J297">
        <v>0</v>
      </c>
      <c r="K297">
        <v>0</v>
      </c>
      <c r="L297">
        <v>0</v>
      </c>
      <c r="M297" t="s">
        <v>125</v>
      </c>
      <c r="N297" t="s">
        <v>125</v>
      </c>
      <c r="O297">
        <v>29.417999999999999</v>
      </c>
    </row>
    <row r="298" spans="1:15" x14ac:dyDescent="0.25">
      <c r="A298" s="1">
        <v>46307</v>
      </c>
      <c r="B298" t="s">
        <v>148</v>
      </c>
      <c r="C298" t="s">
        <v>10</v>
      </c>
      <c r="D298">
        <v>10.864322417993314</v>
      </c>
      <c r="E298" t="s">
        <v>162</v>
      </c>
      <c r="F298">
        <v>46307</v>
      </c>
      <c r="G298" t="s">
        <v>149</v>
      </c>
      <c r="H298">
        <v>1.069061903154922E-2</v>
      </c>
      <c r="I298">
        <v>1.069061903154922E-2</v>
      </c>
      <c r="J298">
        <v>0</v>
      </c>
      <c r="K298">
        <v>0</v>
      </c>
      <c r="L298">
        <v>0</v>
      </c>
      <c r="M298" t="s">
        <v>125</v>
      </c>
      <c r="N298" t="s">
        <v>125</v>
      </c>
      <c r="O298">
        <v>27.57</v>
      </c>
    </row>
    <row r="299" spans="1:15" x14ac:dyDescent="0.25">
      <c r="A299" s="1">
        <v>46308</v>
      </c>
      <c r="B299" t="s">
        <v>148</v>
      </c>
      <c r="C299" t="s">
        <v>10</v>
      </c>
      <c r="D299">
        <v>10.864322417993314</v>
      </c>
      <c r="E299" t="s">
        <v>162</v>
      </c>
      <c r="F299">
        <v>46308</v>
      </c>
      <c r="G299" t="s">
        <v>149</v>
      </c>
      <c r="H299">
        <v>9.1610164272194261E-2</v>
      </c>
      <c r="I299">
        <v>9.1610164272194261E-2</v>
      </c>
      <c r="J299">
        <v>0</v>
      </c>
      <c r="K299">
        <v>0</v>
      </c>
      <c r="L299">
        <v>0</v>
      </c>
      <c r="M299" t="s">
        <v>126</v>
      </c>
      <c r="N299" t="s">
        <v>126</v>
      </c>
      <c r="O299">
        <v>27.57</v>
      </c>
    </row>
    <row r="300" spans="1:15" x14ac:dyDescent="0.25">
      <c r="A300" s="1">
        <v>46308</v>
      </c>
      <c r="B300" t="s">
        <v>148</v>
      </c>
      <c r="C300" t="s">
        <v>11</v>
      </c>
      <c r="D300">
        <v>4.4391855041263009</v>
      </c>
      <c r="E300" t="s">
        <v>162</v>
      </c>
      <c r="F300">
        <v>46308</v>
      </c>
      <c r="G300" t="s">
        <v>149</v>
      </c>
      <c r="H300">
        <v>9.6732003922801457E-2</v>
      </c>
      <c r="I300">
        <v>9.6732003922801457E-2</v>
      </c>
      <c r="J300">
        <v>0</v>
      </c>
      <c r="K300">
        <v>0</v>
      </c>
      <c r="L300">
        <v>0</v>
      </c>
      <c r="M300" t="s">
        <v>126</v>
      </c>
      <c r="N300" t="s">
        <v>126</v>
      </c>
      <c r="O300">
        <v>29.417999999999999</v>
      </c>
    </row>
    <row r="301" spans="1:15" x14ac:dyDescent="0.25">
      <c r="A301" s="1">
        <v>46308</v>
      </c>
      <c r="B301" t="s">
        <v>148</v>
      </c>
      <c r="C301" t="s">
        <v>12</v>
      </c>
      <c r="D301">
        <v>8.1190366457046821</v>
      </c>
      <c r="E301" t="s">
        <v>162</v>
      </c>
      <c r="F301">
        <v>46308</v>
      </c>
      <c r="G301" t="s">
        <v>149</v>
      </c>
      <c r="H301">
        <v>0.24975398555822981</v>
      </c>
      <c r="I301">
        <v>0.24975398555822981</v>
      </c>
      <c r="J301">
        <v>0</v>
      </c>
      <c r="K301">
        <v>0</v>
      </c>
      <c r="L301">
        <v>0</v>
      </c>
      <c r="M301" t="s">
        <v>126</v>
      </c>
      <c r="N301" t="s">
        <v>126</v>
      </c>
      <c r="O301">
        <v>28.36</v>
      </c>
    </row>
    <row r="302" spans="1:15" x14ac:dyDescent="0.25">
      <c r="A302" s="1">
        <v>46309</v>
      </c>
      <c r="B302" t="s">
        <v>148</v>
      </c>
      <c r="C302" t="s">
        <v>11</v>
      </c>
      <c r="D302">
        <v>4.4391855041263009</v>
      </c>
      <c r="E302" t="s">
        <v>162</v>
      </c>
      <c r="F302">
        <v>46309</v>
      </c>
      <c r="G302" t="s">
        <v>149</v>
      </c>
      <c r="H302">
        <v>9.6732003922801457E-2</v>
      </c>
      <c r="I302">
        <v>9.6732003922801457E-2</v>
      </c>
      <c r="J302">
        <v>0</v>
      </c>
      <c r="K302">
        <v>0</v>
      </c>
      <c r="L302">
        <v>0</v>
      </c>
      <c r="M302" t="s">
        <v>127</v>
      </c>
      <c r="N302" t="s">
        <v>127</v>
      </c>
      <c r="O302">
        <v>29.417999999999999</v>
      </c>
    </row>
    <row r="303" spans="1:15" x14ac:dyDescent="0.25">
      <c r="A303" s="1">
        <v>46309</v>
      </c>
      <c r="B303" t="s">
        <v>148</v>
      </c>
      <c r="C303" t="s">
        <v>12</v>
      </c>
      <c r="D303">
        <v>8.0022159745434642</v>
      </c>
      <c r="E303" t="s">
        <v>162</v>
      </c>
      <c r="F303">
        <v>46309</v>
      </c>
      <c r="G303" t="s">
        <v>149</v>
      </c>
      <c r="H303">
        <v>0.25289475667351047</v>
      </c>
      <c r="I303">
        <v>0.25289475667351047</v>
      </c>
      <c r="J303">
        <v>0</v>
      </c>
      <c r="K303">
        <v>0</v>
      </c>
      <c r="L303">
        <v>0</v>
      </c>
      <c r="M303" t="s">
        <v>127</v>
      </c>
      <c r="N303" t="s">
        <v>127</v>
      </c>
      <c r="O303">
        <v>28.36</v>
      </c>
    </row>
    <row r="304" spans="1:15" x14ac:dyDescent="0.25">
      <c r="A304" s="1">
        <v>46309</v>
      </c>
      <c r="B304" t="s">
        <v>148</v>
      </c>
      <c r="C304" t="s">
        <v>10</v>
      </c>
      <c r="D304">
        <v>9.929757048703566</v>
      </c>
      <c r="E304" t="s">
        <v>162</v>
      </c>
      <c r="F304">
        <v>46309</v>
      </c>
      <c r="G304" t="s">
        <v>149</v>
      </c>
      <c r="H304">
        <v>0.10581444199922441</v>
      </c>
      <c r="I304">
        <v>0.10581444199922441</v>
      </c>
      <c r="J304">
        <v>0</v>
      </c>
      <c r="K304">
        <v>0</v>
      </c>
      <c r="L304">
        <v>0</v>
      </c>
      <c r="M304" t="s">
        <v>127</v>
      </c>
      <c r="N304" t="s">
        <v>127</v>
      </c>
      <c r="O304">
        <v>27.57</v>
      </c>
    </row>
    <row r="305" spans="1:15" x14ac:dyDescent="0.25">
      <c r="A305" s="1">
        <v>46310</v>
      </c>
      <c r="B305" t="s">
        <v>148</v>
      </c>
      <c r="C305" t="s">
        <v>10</v>
      </c>
      <c r="D305">
        <v>10.922732753573923</v>
      </c>
      <c r="E305" t="s">
        <v>162</v>
      </c>
      <c r="F305">
        <v>46310</v>
      </c>
      <c r="G305" t="s">
        <v>149</v>
      </c>
      <c r="H305">
        <v>9.6543521520869646E-2</v>
      </c>
      <c r="I305">
        <v>9.6543521520869646E-2</v>
      </c>
      <c r="J305">
        <v>0</v>
      </c>
      <c r="K305">
        <v>0</v>
      </c>
      <c r="L305">
        <v>0</v>
      </c>
      <c r="M305" t="s">
        <v>128</v>
      </c>
      <c r="N305" t="s">
        <v>128</v>
      </c>
      <c r="O305">
        <v>27.57</v>
      </c>
    </row>
    <row r="306" spans="1:15" x14ac:dyDescent="0.25">
      <c r="A306" s="1">
        <v>46310</v>
      </c>
      <c r="B306" t="s">
        <v>148</v>
      </c>
      <c r="C306" t="s">
        <v>11</v>
      </c>
      <c r="D306">
        <v>4.4391855041263009</v>
      </c>
      <c r="E306" t="s">
        <v>162</v>
      </c>
      <c r="F306">
        <v>46310</v>
      </c>
      <c r="G306" t="s">
        <v>149</v>
      </c>
      <c r="H306">
        <v>0.11653082172807316</v>
      </c>
      <c r="I306">
        <v>0.11653082172807316</v>
      </c>
      <c r="J306">
        <v>0</v>
      </c>
      <c r="K306">
        <v>0</v>
      </c>
      <c r="L306">
        <v>0</v>
      </c>
      <c r="M306" t="s">
        <v>128</v>
      </c>
      <c r="N306" t="s">
        <v>128</v>
      </c>
      <c r="O306">
        <v>29.417999999999999</v>
      </c>
    </row>
    <row r="307" spans="1:15" x14ac:dyDescent="0.25">
      <c r="A307" s="1">
        <v>46310</v>
      </c>
      <c r="B307" t="s">
        <v>148</v>
      </c>
      <c r="C307" t="s">
        <v>12</v>
      </c>
      <c r="D307">
        <v>8.8783710082525999</v>
      </c>
      <c r="E307" t="s">
        <v>162</v>
      </c>
      <c r="F307">
        <v>46310</v>
      </c>
      <c r="G307" t="s">
        <v>149</v>
      </c>
      <c r="H307">
        <v>0.21827086443958188</v>
      </c>
      <c r="I307">
        <v>0.21827086443958188</v>
      </c>
      <c r="J307">
        <v>0</v>
      </c>
      <c r="K307">
        <v>0</v>
      </c>
      <c r="L307">
        <v>0</v>
      </c>
      <c r="M307" t="s">
        <v>128</v>
      </c>
      <c r="N307" t="s">
        <v>128</v>
      </c>
      <c r="O307">
        <v>28.36</v>
      </c>
    </row>
    <row r="308" spans="1:15" x14ac:dyDescent="0.25">
      <c r="A308" s="1">
        <v>46311</v>
      </c>
      <c r="B308" t="s">
        <v>148</v>
      </c>
      <c r="C308" t="s">
        <v>11</v>
      </c>
      <c r="D308">
        <v>4.4391855041263009</v>
      </c>
      <c r="E308" t="s">
        <v>162</v>
      </c>
      <c r="F308">
        <v>46311</v>
      </c>
      <c r="G308" t="s">
        <v>149</v>
      </c>
      <c r="H308">
        <v>0.12337198186732401</v>
      </c>
      <c r="I308">
        <v>0.12337198186732401</v>
      </c>
      <c r="J308">
        <v>0</v>
      </c>
      <c r="K308">
        <v>0</v>
      </c>
      <c r="L308">
        <v>0</v>
      </c>
      <c r="M308" t="s">
        <v>129</v>
      </c>
      <c r="N308" t="s">
        <v>129</v>
      </c>
      <c r="O308">
        <v>29.417999999999999</v>
      </c>
    </row>
    <row r="309" spans="1:15" x14ac:dyDescent="0.25">
      <c r="A309" s="1">
        <v>46311</v>
      </c>
      <c r="B309" t="s">
        <v>148</v>
      </c>
      <c r="C309" t="s">
        <v>10</v>
      </c>
      <c r="D309">
        <v>9.929757048703566</v>
      </c>
      <c r="E309" t="s">
        <v>162</v>
      </c>
      <c r="F309">
        <v>46311</v>
      </c>
      <c r="G309" t="s">
        <v>149</v>
      </c>
      <c r="H309">
        <v>2.8478935163444463E-2</v>
      </c>
      <c r="I309">
        <v>2.8478935163444463E-2</v>
      </c>
      <c r="J309">
        <v>0</v>
      </c>
      <c r="K309">
        <v>0</v>
      </c>
      <c r="L309">
        <v>0</v>
      </c>
      <c r="M309" t="s">
        <v>129</v>
      </c>
      <c r="N309" t="s">
        <v>129</v>
      </c>
      <c r="O309">
        <v>27.57</v>
      </c>
    </row>
    <row r="310" spans="1:15" x14ac:dyDescent="0.25">
      <c r="A310" s="1">
        <v>46311</v>
      </c>
      <c r="B310" t="s">
        <v>148</v>
      </c>
      <c r="C310" t="s">
        <v>12</v>
      </c>
      <c r="D310">
        <v>8.9367813438332107</v>
      </c>
      <c r="E310" t="s">
        <v>162</v>
      </c>
      <c r="F310">
        <v>46311</v>
      </c>
      <c r="G310" t="s">
        <v>149</v>
      </c>
      <c r="H310">
        <v>0.19456849348084848</v>
      </c>
      <c r="I310">
        <v>0.19456849348084848</v>
      </c>
      <c r="J310">
        <v>0</v>
      </c>
      <c r="K310">
        <v>0</v>
      </c>
      <c r="L310">
        <v>0</v>
      </c>
      <c r="M310" t="s">
        <v>129</v>
      </c>
      <c r="N310" t="s">
        <v>129</v>
      </c>
      <c r="O310">
        <v>28.36</v>
      </c>
    </row>
    <row r="311" spans="1:15" x14ac:dyDescent="0.25">
      <c r="A311" s="1">
        <v>46312</v>
      </c>
      <c r="B311" t="s">
        <v>148</v>
      </c>
      <c r="C311" t="s">
        <v>10</v>
      </c>
      <c r="D311">
        <v>9.929757048703566</v>
      </c>
      <c r="E311" t="s">
        <v>162</v>
      </c>
      <c r="F311">
        <v>46312</v>
      </c>
      <c r="G311" t="s">
        <v>149</v>
      </c>
      <c r="H311">
        <v>0.11733840441820065</v>
      </c>
      <c r="I311">
        <v>0.11733840441820065</v>
      </c>
      <c r="J311">
        <v>0</v>
      </c>
      <c r="K311">
        <v>0</v>
      </c>
      <c r="L311">
        <v>0</v>
      </c>
      <c r="M311" t="s">
        <v>119</v>
      </c>
      <c r="N311" t="s">
        <v>119</v>
      </c>
      <c r="O311">
        <v>37.600000000000009</v>
      </c>
    </row>
    <row r="312" spans="1:15" x14ac:dyDescent="0.25">
      <c r="A312" s="1">
        <v>46312</v>
      </c>
      <c r="B312" t="s">
        <v>148</v>
      </c>
      <c r="C312" t="s">
        <v>11</v>
      </c>
      <c r="D312">
        <v>4.4391855041263009</v>
      </c>
      <c r="E312" t="s">
        <v>162</v>
      </c>
      <c r="F312">
        <v>46312</v>
      </c>
      <c r="G312" t="s">
        <v>149</v>
      </c>
      <c r="H312">
        <v>0.11671371276836595</v>
      </c>
      <c r="I312">
        <v>0.11671371276836595</v>
      </c>
      <c r="J312">
        <v>0</v>
      </c>
      <c r="K312">
        <v>0</v>
      </c>
      <c r="L312">
        <v>0</v>
      </c>
      <c r="M312" t="s">
        <v>119</v>
      </c>
      <c r="N312" t="s">
        <v>119</v>
      </c>
      <c r="O312">
        <v>32.272000000000013</v>
      </c>
    </row>
    <row r="313" spans="1:15" x14ac:dyDescent="0.25">
      <c r="A313" s="1">
        <v>46312</v>
      </c>
      <c r="B313" t="s">
        <v>148</v>
      </c>
      <c r="C313" t="s">
        <v>12</v>
      </c>
      <c r="D313">
        <v>8.0606263101240732</v>
      </c>
      <c r="E313" t="s">
        <v>162</v>
      </c>
      <c r="F313">
        <v>46312</v>
      </c>
      <c r="G313" t="s">
        <v>149</v>
      </c>
      <c r="H313">
        <v>0.32716756308680917</v>
      </c>
      <c r="I313">
        <v>0.32716756308680917</v>
      </c>
      <c r="J313">
        <v>0</v>
      </c>
      <c r="K313">
        <v>0</v>
      </c>
      <c r="L313">
        <v>0</v>
      </c>
      <c r="M313" t="s">
        <v>119</v>
      </c>
      <c r="N313" t="s">
        <v>119</v>
      </c>
      <c r="O313">
        <v>33.160000000000011</v>
      </c>
    </row>
    <row r="314" spans="1:15" x14ac:dyDescent="0.25">
      <c r="A314" s="1">
        <v>46313</v>
      </c>
      <c r="B314" t="s">
        <v>148</v>
      </c>
      <c r="C314" t="s">
        <v>10</v>
      </c>
      <c r="D314">
        <v>9.929757048703566</v>
      </c>
      <c r="E314" t="s">
        <v>162</v>
      </c>
      <c r="F314">
        <v>46313</v>
      </c>
      <c r="G314" t="s">
        <v>149</v>
      </c>
      <c r="H314">
        <v>2.8478935163444463E-2</v>
      </c>
      <c r="I314">
        <v>2.8478935163444463E-2</v>
      </c>
      <c r="J314">
        <v>0</v>
      </c>
      <c r="K314">
        <v>0</v>
      </c>
      <c r="L314">
        <v>0</v>
      </c>
      <c r="M314" t="s">
        <v>120</v>
      </c>
      <c r="N314" t="s">
        <v>120</v>
      </c>
      <c r="O314">
        <v>42.790000000000006</v>
      </c>
    </row>
    <row r="315" spans="1:15" x14ac:dyDescent="0.25">
      <c r="A315" s="1">
        <v>46313</v>
      </c>
      <c r="B315" t="s">
        <v>148</v>
      </c>
      <c r="C315" t="s">
        <v>11</v>
      </c>
      <c r="D315">
        <v>4.4391855041263009</v>
      </c>
      <c r="E315" t="s">
        <v>162</v>
      </c>
      <c r="F315">
        <v>46313</v>
      </c>
      <c r="G315" t="s">
        <v>149</v>
      </c>
      <c r="H315">
        <v>0.10987255262911511</v>
      </c>
      <c r="I315">
        <v>0.10987255262911511</v>
      </c>
      <c r="J315">
        <v>0</v>
      </c>
      <c r="K315">
        <v>0</v>
      </c>
      <c r="L315">
        <v>0</v>
      </c>
      <c r="M315" t="s">
        <v>120</v>
      </c>
      <c r="N315" t="s">
        <v>120</v>
      </c>
      <c r="O315">
        <v>36.574000000000012</v>
      </c>
    </row>
    <row r="316" spans="1:15" x14ac:dyDescent="0.25">
      <c r="A316" s="1">
        <v>46313</v>
      </c>
      <c r="B316" t="s">
        <v>148</v>
      </c>
      <c r="C316" t="s">
        <v>12</v>
      </c>
      <c r="D316">
        <v>8.1190366457046803</v>
      </c>
      <c r="E316" t="s">
        <v>162</v>
      </c>
      <c r="F316">
        <v>46313</v>
      </c>
      <c r="G316" t="s">
        <v>149</v>
      </c>
      <c r="H316">
        <v>0.29147389704246685</v>
      </c>
      <c r="I316">
        <v>0.29147389704246685</v>
      </c>
      <c r="J316">
        <v>0</v>
      </c>
      <c r="K316">
        <v>0</v>
      </c>
      <c r="L316">
        <v>0</v>
      </c>
      <c r="M316" t="s">
        <v>120</v>
      </c>
      <c r="N316" t="s">
        <v>120</v>
      </c>
      <c r="O316">
        <v>37.610000000000007</v>
      </c>
    </row>
    <row r="317" spans="1:15" x14ac:dyDescent="0.25">
      <c r="A317" s="1">
        <v>46314</v>
      </c>
      <c r="B317" t="s">
        <v>148</v>
      </c>
      <c r="C317" t="s">
        <v>12</v>
      </c>
      <c r="D317">
        <v>8.177446981285291</v>
      </c>
      <c r="E317" t="s">
        <v>162</v>
      </c>
      <c r="F317">
        <v>46314</v>
      </c>
      <c r="G317" t="s">
        <v>149</v>
      </c>
      <c r="H317">
        <v>0.24483130203544867</v>
      </c>
      <c r="I317">
        <v>0.24483130203544867</v>
      </c>
      <c r="J317">
        <v>0</v>
      </c>
      <c r="K317">
        <v>0</v>
      </c>
      <c r="L317">
        <v>0</v>
      </c>
      <c r="M317" t="s">
        <v>125</v>
      </c>
      <c r="N317" t="s">
        <v>125</v>
      </c>
      <c r="O317">
        <v>28.36</v>
      </c>
    </row>
    <row r="318" spans="1:15" x14ac:dyDescent="0.25">
      <c r="A318" s="1">
        <v>46314</v>
      </c>
      <c r="B318" t="s">
        <v>148</v>
      </c>
      <c r="C318" t="s">
        <v>10</v>
      </c>
      <c r="D318">
        <v>10.864322417993314</v>
      </c>
      <c r="E318" t="s">
        <v>162</v>
      </c>
      <c r="F318">
        <v>46314</v>
      </c>
      <c r="G318" t="s">
        <v>149</v>
      </c>
      <c r="H318">
        <v>9.1610164272194705E-2</v>
      </c>
      <c r="I318">
        <v>9.1610164272194705E-2</v>
      </c>
      <c r="J318">
        <v>0</v>
      </c>
      <c r="K318">
        <v>0</v>
      </c>
      <c r="L318">
        <v>0</v>
      </c>
      <c r="M318" t="s">
        <v>125</v>
      </c>
      <c r="N318" t="s">
        <v>125</v>
      </c>
      <c r="O318">
        <v>27.57</v>
      </c>
    </row>
    <row r="319" spans="1:15" x14ac:dyDescent="0.25">
      <c r="A319" s="1">
        <v>46314</v>
      </c>
      <c r="B319" t="s">
        <v>148</v>
      </c>
      <c r="C319" t="s">
        <v>11</v>
      </c>
      <c r="D319">
        <v>4.4391855041263009</v>
      </c>
      <c r="E319" t="s">
        <v>162</v>
      </c>
      <c r="F319">
        <v>46314</v>
      </c>
      <c r="G319" t="s">
        <v>149</v>
      </c>
      <c r="H319">
        <v>0.10343513308824637</v>
      </c>
      <c r="I319">
        <v>0.10343513308824637</v>
      </c>
      <c r="J319">
        <v>0</v>
      </c>
      <c r="K319">
        <v>0</v>
      </c>
      <c r="L319">
        <v>0</v>
      </c>
      <c r="M319" t="s">
        <v>125</v>
      </c>
      <c r="N319" t="s">
        <v>125</v>
      </c>
      <c r="O319">
        <v>29.417999999999999</v>
      </c>
    </row>
    <row r="320" spans="1:15" x14ac:dyDescent="0.25">
      <c r="A320" s="1">
        <v>46315</v>
      </c>
      <c r="B320" t="s">
        <v>148</v>
      </c>
      <c r="C320" t="s">
        <v>10</v>
      </c>
      <c r="D320">
        <v>10.864322417993314</v>
      </c>
      <c r="E320" t="s">
        <v>162</v>
      </c>
      <c r="F320">
        <v>46315</v>
      </c>
      <c r="G320" t="s">
        <v>149</v>
      </c>
      <c r="H320">
        <v>0.10104302291760137</v>
      </c>
      <c r="I320">
        <v>0.10104302291760137</v>
      </c>
      <c r="J320">
        <v>0</v>
      </c>
      <c r="K320">
        <v>0</v>
      </c>
      <c r="L320">
        <v>0</v>
      </c>
      <c r="M320" t="s">
        <v>126</v>
      </c>
      <c r="N320" t="s">
        <v>126</v>
      </c>
      <c r="O320">
        <v>27.57</v>
      </c>
    </row>
    <row r="321" spans="1:15" x14ac:dyDescent="0.25">
      <c r="A321" s="1">
        <v>46315</v>
      </c>
      <c r="B321" t="s">
        <v>148</v>
      </c>
      <c r="C321" t="s">
        <v>11</v>
      </c>
      <c r="D321">
        <v>4.4391855041263009</v>
      </c>
      <c r="E321" t="s">
        <v>162</v>
      </c>
      <c r="F321">
        <v>46315</v>
      </c>
      <c r="G321" t="s">
        <v>149</v>
      </c>
      <c r="H321">
        <v>9.6732003922801457E-2</v>
      </c>
      <c r="I321">
        <v>9.6732003922801457E-2</v>
      </c>
      <c r="J321">
        <v>0</v>
      </c>
      <c r="K321">
        <v>0</v>
      </c>
      <c r="L321">
        <v>0</v>
      </c>
      <c r="M321" t="s">
        <v>126</v>
      </c>
      <c r="N321" t="s">
        <v>126</v>
      </c>
      <c r="O321">
        <v>29.417999999999999</v>
      </c>
    </row>
    <row r="322" spans="1:15" x14ac:dyDescent="0.25">
      <c r="A322" s="1">
        <v>46315</v>
      </c>
      <c r="B322" t="s">
        <v>148</v>
      </c>
      <c r="C322" t="s">
        <v>12</v>
      </c>
      <c r="D322">
        <v>9.0536020149944285</v>
      </c>
      <c r="E322" t="s">
        <v>162</v>
      </c>
      <c r="F322">
        <v>46315</v>
      </c>
      <c r="G322" t="s">
        <v>149</v>
      </c>
      <c r="H322">
        <v>9.5621032688146812E-2</v>
      </c>
      <c r="I322">
        <v>9.5621032688146812E-2</v>
      </c>
      <c r="J322">
        <v>0</v>
      </c>
      <c r="K322">
        <v>0</v>
      </c>
      <c r="L322">
        <v>0</v>
      </c>
      <c r="M322" t="s">
        <v>126</v>
      </c>
      <c r="N322" t="s">
        <v>126</v>
      </c>
      <c r="O322">
        <v>28.36</v>
      </c>
    </row>
    <row r="323" spans="1:15" x14ac:dyDescent="0.25">
      <c r="A323" s="1">
        <v>46316</v>
      </c>
      <c r="B323" t="s">
        <v>148</v>
      </c>
      <c r="C323" t="s">
        <v>12</v>
      </c>
      <c r="D323">
        <v>8.0022159745434642</v>
      </c>
      <c r="E323" t="s">
        <v>162</v>
      </c>
      <c r="F323">
        <v>46316</v>
      </c>
      <c r="G323" t="s">
        <v>149</v>
      </c>
      <c r="H323">
        <v>0.14357875928340724</v>
      </c>
      <c r="I323">
        <v>0.14357875928340724</v>
      </c>
      <c r="J323">
        <v>0</v>
      </c>
      <c r="K323">
        <v>0</v>
      </c>
      <c r="L323">
        <v>0</v>
      </c>
      <c r="M323" t="s">
        <v>127</v>
      </c>
      <c r="N323" t="s">
        <v>127</v>
      </c>
      <c r="O323">
        <v>28.36</v>
      </c>
    </row>
    <row r="324" spans="1:15" x14ac:dyDescent="0.25">
      <c r="A324" s="1">
        <v>46316</v>
      </c>
      <c r="B324" t="s">
        <v>148</v>
      </c>
      <c r="C324" t="s">
        <v>11</v>
      </c>
      <c r="D324">
        <v>4.4391855041263009</v>
      </c>
      <c r="E324" t="s">
        <v>162</v>
      </c>
      <c r="F324">
        <v>46316</v>
      </c>
      <c r="G324" t="s">
        <v>149</v>
      </c>
      <c r="H324">
        <v>8.3325745591911637E-2</v>
      </c>
      <c r="I324">
        <v>8.3325745591911637E-2</v>
      </c>
      <c r="J324">
        <v>0</v>
      </c>
      <c r="K324">
        <v>0</v>
      </c>
      <c r="L324">
        <v>0</v>
      </c>
      <c r="M324" t="s">
        <v>127</v>
      </c>
      <c r="N324" t="s">
        <v>127</v>
      </c>
      <c r="O324">
        <v>29.417999999999999</v>
      </c>
    </row>
    <row r="325" spans="1:15" x14ac:dyDescent="0.25">
      <c r="A325" s="1">
        <v>46316</v>
      </c>
      <c r="B325" t="s">
        <v>148</v>
      </c>
      <c r="C325" t="s">
        <v>10</v>
      </c>
      <c r="D325">
        <v>9.929757048703566</v>
      </c>
      <c r="E325" t="s">
        <v>162</v>
      </c>
      <c r="F325">
        <v>46316</v>
      </c>
      <c r="G325" t="s">
        <v>149</v>
      </c>
      <c r="H325">
        <v>9.919626277868776E-2</v>
      </c>
      <c r="I325">
        <v>9.919626277868776E-2</v>
      </c>
      <c r="J325">
        <v>0</v>
      </c>
      <c r="K325">
        <v>0</v>
      </c>
      <c r="L325">
        <v>0</v>
      </c>
      <c r="M325" t="s">
        <v>127</v>
      </c>
      <c r="N325" t="s">
        <v>127</v>
      </c>
      <c r="O325">
        <v>27.57</v>
      </c>
    </row>
    <row r="326" spans="1:15" x14ac:dyDescent="0.25">
      <c r="A326" s="1">
        <v>46317</v>
      </c>
      <c r="B326" t="s">
        <v>148</v>
      </c>
      <c r="C326" t="s">
        <v>12</v>
      </c>
      <c r="D326">
        <v>7.9438056389628544</v>
      </c>
      <c r="E326" t="s">
        <v>162</v>
      </c>
      <c r="F326">
        <v>46317</v>
      </c>
      <c r="G326" t="s">
        <v>149</v>
      </c>
      <c r="H326">
        <v>0.23381797302486307</v>
      </c>
      <c r="I326">
        <v>0.23381797302486307</v>
      </c>
      <c r="J326">
        <v>0</v>
      </c>
      <c r="K326">
        <v>0</v>
      </c>
      <c r="L326">
        <v>0</v>
      </c>
      <c r="M326" t="s">
        <v>128</v>
      </c>
      <c r="N326" t="s">
        <v>128</v>
      </c>
      <c r="O326">
        <v>28.36</v>
      </c>
    </row>
    <row r="327" spans="1:15" x14ac:dyDescent="0.25">
      <c r="A327" s="1">
        <v>46317</v>
      </c>
      <c r="B327" t="s">
        <v>148</v>
      </c>
      <c r="C327" t="s">
        <v>11</v>
      </c>
      <c r="D327">
        <v>4.4391855041263009</v>
      </c>
      <c r="E327" t="s">
        <v>162</v>
      </c>
      <c r="F327">
        <v>46317</v>
      </c>
      <c r="G327" t="s">
        <v>149</v>
      </c>
      <c r="H327">
        <v>0.1232339508935183</v>
      </c>
      <c r="I327">
        <v>0.1232339508935183</v>
      </c>
      <c r="J327">
        <v>0</v>
      </c>
      <c r="K327">
        <v>0</v>
      </c>
      <c r="L327">
        <v>0</v>
      </c>
      <c r="M327" t="s">
        <v>128</v>
      </c>
      <c r="N327" t="s">
        <v>128</v>
      </c>
      <c r="O327">
        <v>29.417999999999999</v>
      </c>
    </row>
    <row r="328" spans="1:15" x14ac:dyDescent="0.25">
      <c r="A328" s="1">
        <v>46317</v>
      </c>
      <c r="B328" t="s">
        <v>148</v>
      </c>
      <c r="C328" t="s">
        <v>10</v>
      </c>
      <c r="D328">
        <v>10.864322417993314</v>
      </c>
      <c r="E328" t="s">
        <v>162</v>
      </c>
      <c r="F328">
        <v>46317</v>
      </c>
      <c r="G328" t="s">
        <v>149</v>
      </c>
      <c r="H328">
        <v>0</v>
      </c>
      <c r="I328">
        <v>0</v>
      </c>
      <c r="J328">
        <v>0.65177646211096241</v>
      </c>
      <c r="K328">
        <v>0.65177646211096241</v>
      </c>
      <c r="L328">
        <v>10.212545955882351</v>
      </c>
      <c r="M328" t="s">
        <v>128</v>
      </c>
      <c r="N328" t="s">
        <v>128</v>
      </c>
      <c r="O328">
        <v>27.57</v>
      </c>
    </row>
    <row r="329" spans="1:15" x14ac:dyDescent="0.25">
      <c r="A329" s="1">
        <v>46318</v>
      </c>
      <c r="B329" t="s">
        <v>148</v>
      </c>
      <c r="C329" t="s">
        <v>10</v>
      </c>
      <c r="D329">
        <v>9.9297570487035678</v>
      </c>
      <c r="E329" t="s">
        <v>162</v>
      </c>
      <c r="F329">
        <v>46318</v>
      </c>
      <c r="G329" t="s">
        <v>149</v>
      </c>
      <c r="H329">
        <v>2.8478935163444907E-2</v>
      </c>
      <c r="I329">
        <v>2.8478935163444907E-2</v>
      </c>
      <c r="J329">
        <v>0</v>
      </c>
      <c r="K329">
        <v>0</v>
      </c>
      <c r="L329">
        <v>0</v>
      </c>
      <c r="M329" t="s">
        <v>129</v>
      </c>
      <c r="N329" t="s">
        <v>129</v>
      </c>
      <c r="O329">
        <v>27.57</v>
      </c>
    </row>
    <row r="330" spans="1:15" x14ac:dyDescent="0.25">
      <c r="A330" s="1">
        <v>46318</v>
      </c>
      <c r="B330" t="s">
        <v>148</v>
      </c>
      <c r="C330" t="s">
        <v>11</v>
      </c>
      <c r="D330">
        <v>4.4391855041263009</v>
      </c>
      <c r="E330" t="s">
        <v>162</v>
      </c>
      <c r="F330">
        <v>46318</v>
      </c>
      <c r="G330" t="s">
        <v>149</v>
      </c>
      <c r="H330">
        <v>0.1232339508935183</v>
      </c>
      <c r="I330">
        <v>0.1232339508935183</v>
      </c>
      <c r="J330">
        <v>0</v>
      </c>
      <c r="K330">
        <v>0</v>
      </c>
      <c r="L330">
        <v>0</v>
      </c>
      <c r="M330" t="s">
        <v>129</v>
      </c>
      <c r="N330" t="s">
        <v>129</v>
      </c>
      <c r="O330">
        <v>29.417999999999999</v>
      </c>
    </row>
    <row r="331" spans="1:15" x14ac:dyDescent="0.25">
      <c r="A331" s="1">
        <v>46318</v>
      </c>
      <c r="B331" t="s">
        <v>148</v>
      </c>
      <c r="C331" t="s">
        <v>12</v>
      </c>
      <c r="D331">
        <v>8.9951916794138196</v>
      </c>
      <c r="E331" t="s">
        <v>162</v>
      </c>
      <c r="F331">
        <v>46318</v>
      </c>
      <c r="G331" t="s">
        <v>149</v>
      </c>
      <c r="H331">
        <v>0.1035017957744595</v>
      </c>
      <c r="I331">
        <v>0.1035017957744595</v>
      </c>
      <c r="J331">
        <v>0</v>
      </c>
      <c r="K331">
        <v>0</v>
      </c>
      <c r="L331">
        <v>0</v>
      </c>
      <c r="M331" t="s">
        <v>129</v>
      </c>
      <c r="N331" t="s">
        <v>129</v>
      </c>
      <c r="O331">
        <v>28.36</v>
      </c>
    </row>
    <row r="332" spans="1:15" x14ac:dyDescent="0.25">
      <c r="A332" s="1">
        <v>46319</v>
      </c>
      <c r="B332" t="s">
        <v>148</v>
      </c>
      <c r="C332" t="s">
        <v>12</v>
      </c>
      <c r="D332">
        <v>8.8783710082525999</v>
      </c>
      <c r="E332" t="s">
        <v>162</v>
      </c>
      <c r="F332">
        <v>46319</v>
      </c>
      <c r="G332" t="s">
        <v>149</v>
      </c>
      <c r="H332">
        <v>0.1706501784765746</v>
      </c>
      <c r="I332">
        <v>0.1706501784765746</v>
      </c>
      <c r="J332">
        <v>0</v>
      </c>
      <c r="K332">
        <v>0</v>
      </c>
      <c r="L332">
        <v>0</v>
      </c>
      <c r="M332" t="s">
        <v>119</v>
      </c>
      <c r="N332" t="s">
        <v>119</v>
      </c>
      <c r="O332">
        <v>33.160000000000011</v>
      </c>
    </row>
    <row r="333" spans="1:15" x14ac:dyDescent="0.25">
      <c r="A333" s="1">
        <v>46319</v>
      </c>
      <c r="B333" t="s">
        <v>148</v>
      </c>
      <c r="C333" t="s">
        <v>11</v>
      </c>
      <c r="D333">
        <v>4.3223648329650821</v>
      </c>
      <c r="E333" t="s">
        <v>162</v>
      </c>
      <c r="F333">
        <v>46319</v>
      </c>
      <c r="G333" t="s">
        <v>149</v>
      </c>
      <c r="H333">
        <v>0.14670733042342676</v>
      </c>
      <c r="I333">
        <v>0.14670733042342676</v>
      </c>
      <c r="J333">
        <v>0</v>
      </c>
      <c r="K333">
        <v>0</v>
      </c>
      <c r="L333">
        <v>0</v>
      </c>
      <c r="M333" t="s">
        <v>119</v>
      </c>
      <c r="N333" t="s">
        <v>119</v>
      </c>
      <c r="O333">
        <v>32.272000000000013</v>
      </c>
    </row>
    <row r="334" spans="1:15" x14ac:dyDescent="0.25">
      <c r="A334" s="1">
        <v>46319</v>
      </c>
      <c r="B334" t="s">
        <v>148</v>
      </c>
      <c r="C334" t="s">
        <v>10</v>
      </c>
      <c r="D334">
        <v>9.929757048703566</v>
      </c>
      <c r="E334" t="s">
        <v>162</v>
      </c>
      <c r="F334">
        <v>46319</v>
      </c>
      <c r="G334" t="s">
        <v>149</v>
      </c>
      <c r="H334">
        <v>2.8478935163444463E-2</v>
      </c>
      <c r="I334">
        <v>2.8478935163444463E-2</v>
      </c>
      <c r="J334">
        <v>0</v>
      </c>
      <c r="K334">
        <v>0</v>
      </c>
      <c r="L334">
        <v>0</v>
      </c>
      <c r="M334" t="s">
        <v>119</v>
      </c>
      <c r="N334" t="s">
        <v>119</v>
      </c>
      <c r="O334">
        <v>37.600000000000009</v>
      </c>
    </row>
    <row r="335" spans="1:15" x14ac:dyDescent="0.25">
      <c r="A335" s="1">
        <v>46320</v>
      </c>
      <c r="B335" t="s">
        <v>148</v>
      </c>
      <c r="C335" t="s">
        <v>12</v>
      </c>
      <c r="D335">
        <v>8.9367813438332107</v>
      </c>
      <c r="E335" t="s">
        <v>162</v>
      </c>
      <c r="F335">
        <v>46320</v>
      </c>
      <c r="G335" t="s">
        <v>149</v>
      </c>
      <c r="H335">
        <v>0.19463705788613739</v>
      </c>
      <c r="I335">
        <v>0.19463705788613739</v>
      </c>
      <c r="J335">
        <v>0</v>
      </c>
      <c r="K335">
        <v>0</v>
      </c>
      <c r="L335">
        <v>0</v>
      </c>
      <c r="M335" t="s">
        <v>120</v>
      </c>
      <c r="N335" t="s">
        <v>120</v>
      </c>
      <c r="O335">
        <v>37.610000000000007</v>
      </c>
    </row>
    <row r="336" spans="1:15" x14ac:dyDescent="0.25">
      <c r="A336" s="1">
        <v>46320</v>
      </c>
      <c r="B336" t="s">
        <v>148</v>
      </c>
      <c r="C336" t="s">
        <v>11</v>
      </c>
      <c r="D336">
        <v>4.4391855041263009</v>
      </c>
      <c r="E336" t="s">
        <v>162</v>
      </c>
      <c r="F336">
        <v>46320</v>
      </c>
      <c r="G336" t="s">
        <v>149</v>
      </c>
      <c r="H336">
        <v>0.1232339508935183</v>
      </c>
      <c r="I336">
        <v>0.1232339508935183</v>
      </c>
      <c r="J336">
        <v>0</v>
      </c>
      <c r="K336">
        <v>0</v>
      </c>
      <c r="L336">
        <v>0</v>
      </c>
      <c r="M336" t="s">
        <v>120</v>
      </c>
      <c r="N336" t="s">
        <v>120</v>
      </c>
      <c r="O336">
        <v>36.574000000000012</v>
      </c>
    </row>
    <row r="337" spans="1:15" x14ac:dyDescent="0.25">
      <c r="A337" s="1">
        <v>46320</v>
      </c>
      <c r="B337" t="s">
        <v>148</v>
      </c>
      <c r="C337" t="s">
        <v>10</v>
      </c>
      <c r="D337">
        <v>9.929757048703566</v>
      </c>
      <c r="E337" t="s">
        <v>162</v>
      </c>
      <c r="F337">
        <v>46320</v>
      </c>
      <c r="G337" t="s">
        <v>149</v>
      </c>
      <c r="H337">
        <v>2.8478935163444463E-2</v>
      </c>
      <c r="I337">
        <v>2.8478935163444463E-2</v>
      </c>
      <c r="J337">
        <v>0</v>
      </c>
      <c r="K337">
        <v>0</v>
      </c>
      <c r="L337">
        <v>0</v>
      </c>
      <c r="M337" t="s">
        <v>120</v>
      </c>
      <c r="N337" t="s">
        <v>120</v>
      </c>
      <c r="O337">
        <v>42.790000000000006</v>
      </c>
    </row>
    <row r="338" spans="1:15" x14ac:dyDescent="0.25">
      <c r="A338" s="1">
        <v>46321</v>
      </c>
      <c r="B338" t="s">
        <v>148</v>
      </c>
      <c r="C338" t="s">
        <v>12</v>
      </c>
      <c r="D338">
        <v>8.177446981285291</v>
      </c>
      <c r="E338" t="s">
        <v>162</v>
      </c>
      <c r="F338">
        <v>46321</v>
      </c>
      <c r="G338" t="s">
        <v>149</v>
      </c>
      <c r="H338">
        <v>0.12764749128095954</v>
      </c>
      <c r="I338">
        <v>0.12764749128095954</v>
      </c>
      <c r="J338">
        <v>0</v>
      </c>
      <c r="K338">
        <v>0</v>
      </c>
      <c r="L338">
        <v>0</v>
      </c>
      <c r="M338" t="s">
        <v>125</v>
      </c>
      <c r="N338" t="s">
        <v>125</v>
      </c>
      <c r="O338">
        <v>28.36</v>
      </c>
    </row>
    <row r="339" spans="1:15" x14ac:dyDescent="0.25">
      <c r="A339" s="1">
        <v>46321</v>
      </c>
      <c r="B339" t="s">
        <v>148</v>
      </c>
      <c r="C339" t="s">
        <v>10</v>
      </c>
      <c r="D339">
        <v>10.864322417993314</v>
      </c>
      <c r="E339" t="s">
        <v>162</v>
      </c>
      <c r="F339">
        <v>46321</v>
      </c>
      <c r="G339" t="s">
        <v>149</v>
      </c>
      <c r="H339">
        <v>0</v>
      </c>
      <c r="I339">
        <v>0</v>
      </c>
      <c r="J339">
        <v>1.5791968052482181</v>
      </c>
      <c r="K339">
        <v>1.5791968052482181</v>
      </c>
      <c r="L339">
        <v>9.2851256127450963</v>
      </c>
      <c r="M339" t="s">
        <v>125</v>
      </c>
      <c r="N339" t="s">
        <v>125</v>
      </c>
      <c r="O339">
        <v>27.57</v>
      </c>
    </row>
    <row r="340" spans="1:15" x14ac:dyDescent="0.25">
      <c r="A340" s="1">
        <v>46321</v>
      </c>
      <c r="B340" t="s">
        <v>148</v>
      </c>
      <c r="C340" t="s">
        <v>11</v>
      </c>
      <c r="D340">
        <v>4.4391855041263009</v>
      </c>
      <c r="E340" t="s">
        <v>162</v>
      </c>
      <c r="F340">
        <v>46321</v>
      </c>
      <c r="G340" t="s">
        <v>149</v>
      </c>
      <c r="H340">
        <v>0</v>
      </c>
      <c r="I340">
        <v>0</v>
      </c>
      <c r="J340">
        <v>0.390901190400811</v>
      </c>
      <c r="K340">
        <v>0.390901190400811</v>
      </c>
      <c r="L340">
        <v>4.0482843137254898</v>
      </c>
      <c r="M340" t="s">
        <v>125</v>
      </c>
      <c r="N340" t="s">
        <v>125</v>
      </c>
      <c r="O340">
        <v>29.417999999999999</v>
      </c>
    </row>
    <row r="341" spans="1:15" x14ac:dyDescent="0.25">
      <c r="A341" s="1">
        <v>46293</v>
      </c>
      <c r="B341" t="s">
        <v>97</v>
      </c>
      <c r="C341" t="s">
        <v>11</v>
      </c>
      <c r="D341">
        <v>0</v>
      </c>
      <c r="E341" t="s">
        <v>162</v>
      </c>
      <c r="F341">
        <v>46293</v>
      </c>
      <c r="G341" t="s">
        <v>149</v>
      </c>
      <c r="H341">
        <v>0</v>
      </c>
      <c r="I341">
        <v>0</v>
      </c>
      <c r="J341">
        <v>0</v>
      </c>
      <c r="K341">
        <v>0</v>
      </c>
      <c r="L341">
        <v>0</v>
      </c>
      <c r="M341" t="s">
        <v>125</v>
      </c>
    </row>
    <row r="342" spans="1:15" x14ac:dyDescent="0.25">
      <c r="A342" s="1">
        <v>46293</v>
      </c>
      <c r="B342" t="s">
        <v>97</v>
      </c>
      <c r="C342" t="s">
        <v>12</v>
      </c>
      <c r="D342">
        <v>1.4293352706784377</v>
      </c>
      <c r="E342" t="s">
        <v>162</v>
      </c>
      <c r="F342">
        <v>46293</v>
      </c>
      <c r="G342" t="s">
        <v>149</v>
      </c>
      <c r="H342">
        <v>0</v>
      </c>
      <c r="I342">
        <v>0</v>
      </c>
      <c r="J342">
        <v>0.38435257171650022</v>
      </c>
      <c r="K342">
        <v>0.38435257171650022</v>
      </c>
      <c r="L342">
        <v>1.0449826989619375</v>
      </c>
      <c r="M342" t="s">
        <v>125</v>
      </c>
    </row>
    <row r="343" spans="1:15" x14ac:dyDescent="0.25">
      <c r="A343" s="1">
        <v>46293</v>
      </c>
      <c r="B343" t="s">
        <v>97</v>
      </c>
      <c r="C343" t="s">
        <v>10</v>
      </c>
      <c r="D343">
        <v>0.93456536928974754</v>
      </c>
      <c r="E343" t="s">
        <v>162</v>
      </c>
      <c r="F343">
        <v>46293</v>
      </c>
      <c r="G343" t="s">
        <v>149</v>
      </c>
      <c r="H343">
        <v>0.88826372166356338</v>
      </c>
      <c r="I343">
        <v>0.88826372166356338</v>
      </c>
      <c r="J343">
        <v>0</v>
      </c>
      <c r="K343">
        <v>0</v>
      </c>
      <c r="L343">
        <v>0</v>
      </c>
      <c r="M343" t="s">
        <v>125</v>
      </c>
    </row>
    <row r="344" spans="1:15" x14ac:dyDescent="0.25">
      <c r="A344" s="1">
        <v>46294</v>
      </c>
      <c r="B344" t="s">
        <v>97</v>
      </c>
      <c r="C344" t="s">
        <v>11</v>
      </c>
      <c r="D344">
        <v>0</v>
      </c>
      <c r="E344" t="s">
        <v>162</v>
      </c>
      <c r="F344">
        <v>46294</v>
      </c>
      <c r="G344" t="s">
        <v>149</v>
      </c>
      <c r="H344">
        <v>0</v>
      </c>
      <c r="I344">
        <v>0</v>
      </c>
      <c r="J344">
        <v>0</v>
      </c>
      <c r="K344">
        <v>0</v>
      </c>
      <c r="L344">
        <v>0</v>
      </c>
      <c r="M344" t="s">
        <v>126</v>
      </c>
    </row>
    <row r="345" spans="1:15" x14ac:dyDescent="0.25">
      <c r="A345" s="1">
        <v>46294</v>
      </c>
      <c r="B345" t="s">
        <v>97</v>
      </c>
      <c r="C345" t="s">
        <v>12</v>
      </c>
      <c r="D345">
        <v>1.4293352706784377</v>
      </c>
      <c r="E345" t="s">
        <v>162</v>
      </c>
      <c r="F345">
        <v>46294</v>
      </c>
      <c r="G345" t="s">
        <v>149</v>
      </c>
      <c r="H345">
        <v>0</v>
      </c>
      <c r="I345">
        <v>0</v>
      </c>
      <c r="J345">
        <v>0.49507921531511595</v>
      </c>
      <c r="K345">
        <v>0.49507921531511595</v>
      </c>
      <c r="L345">
        <v>0.93425605536332168</v>
      </c>
      <c r="M345" t="s">
        <v>126</v>
      </c>
    </row>
    <row r="346" spans="1:15" x14ac:dyDescent="0.25">
      <c r="A346" s="1">
        <v>46294</v>
      </c>
      <c r="B346" t="s">
        <v>97</v>
      </c>
      <c r="C346" t="s">
        <v>10</v>
      </c>
      <c r="D346">
        <v>0.93456536928974754</v>
      </c>
      <c r="E346" t="s">
        <v>162</v>
      </c>
      <c r="F346">
        <v>46294</v>
      </c>
      <c r="G346" t="s">
        <v>149</v>
      </c>
      <c r="H346">
        <v>0</v>
      </c>
      <c r="I346">
        <v>0</v>
      </c>
      <c r="J346">
        <v>5.221242811327706E-2</v>
      </c>
      <c r="K346">
        <v>5.221242811327706E-2</v>
      </c>
      <c r="L346">
        <v>0.88235294117647045</v>
      </c>
      <c r="M346" t="s">
        <v>126</v>
      </c>
    </row>
    <row r="347" spans="1:15" x14ac:dyDescent="0.25">
      <c r="A347" s="1">
        <v>46295</v>
      </c>
      <c r="B347" t="s">
        <v>97</v>
      </c>
      <c r="C347" t="s">
        <v>10</v>
      </c>
      <c r="D347">
        <v>1.8691307385794953</v>
      </c>
      <c r="E347" t="s">
        <v>162</v>
      </c>
      <c r="F347">
        <v>46295</v>
      </c>
      <c r="G347" t="s">
        <v>149</v>
      </c>
      <c r="H347">
        <v>0</v>
      </c>
      <c r="I347">
        <v>0</v>
      </c>
      <c r="J347">
        <v>0.10442485622655413</v>
      </c>
      <c r="K347">
        <v>0.10442485622655413</v>
      </c>
      <c r="L347">
        <v>1.7647058823529411</v>
      </c>
      <c r="M347" t="s">
        <v>127</v>
      </c>
    </row>
    <row r="348" spans="1:15" x14ac:dyDescent="0.25">
      <c r="A348" s="1">
        <v>46295</v>
      </c>
      <c r="B348" t="s">
        <v>97</v>
      </c>
      <c r="C348" t="s">
        <v>11</v>
      </c>
      <c r="D348">
        <v>0</v>
      </c>
      <c r="E348" t="s">
        <v>162</v>
      </c>
      <c r="F348">
        <v>46295</v>
      </c>
      <c r="G348" t="s">
        <v>149</v>
      </c>
      <c r="H348">
        <v>0</v>
      </c>
      <c r="I348">
        <v>0</v>
      </c>
      <c r="J348">
        <v>0</v>
      </c>
      <c r="K348">
        <v>0</v>
      </c>
      <c r="L348">
        <v>0</v>
      </c>
      <c r="M348" t="s">
        <v>127</v>
      </c>
    </row>
    <row r="349" spans="1:15" x14ac:dyDescent="0.25">
      <c r="A349" s="1">
        <v>46295</v>
      </c>
      <c r="B349" t="s">
        <v>97</v>
      </c>
      <c r="C349" t="s">
        <v>12</v>
      </c>
      <c r="D349">
        <v>1.5942585711413342</v>
      </c>
      <c r="E349" t="s">
        <v>162</v>
      </c>
      <c r="F349">
        <v>46295</v>
      </c>
      <c r="G349" t="s">
        <v>149</v>
      </c>
      <c r="H349">
        <v>0</v>
      </c>
      <c r="I349">
        <v>0</v>
      </c>
      <c r="J349">
        <v>0.54927587217939666</v>
      </c>
      <c r="K349">
        <v>0.54927587217939666</v>
      </c>
      <c r="L349">
        <v>1.0449826989619375</v>
      </c>
      <c r="M349" t="s">
        <v>127</v>
      </c>
    </row>
    <row r="350" spans="1:15" x14ac:dyDescent="0.25">
      <c r="A350" s="1">
        <v>46296</v>
      </c>
      <c r="B350" t="s">
        <v>97</v>
      </c>
      <c r="C350" t="s">
        <v>12</v>
      </c>
      <c r="D350">
        <v>0.65969320185158642</v>
      </c>
      <c r="E350" t="s">
        <v>162</v>
      </c>
      <c r="F350">
        <v>46296</v>
      </c>
      <c r="G350" t="s">
        <v>149</v>
      </c>
      <c r="H350">
        <v>0</v>
      </c>
      <c r="I350">
        <v>0</v>
      </c>
      <c r="J350">
        <v>0.54896655825297058</v>
      </c>
      <c r="K350">
        <v>0.54896655825297058</v>
      </c>
      <c r="L350">
        <v>0.11072664359861592</v>
      </c>
      <c r="M350" t="s">
        <v>128</v>
      </c>
    </row>
    <row r="351" spans="1:15" x14ac:dyDescent="0.25">
      <c r="A351" s="1">
        <v>46296</v>
      </c>
      <c r="B351" t="s">
        <v>97</v>
      </c>
      <c r="C351" t="s">
        <v>11</v>
      </c>
      <c r="D351">
        <v>0</v>
      </c>
      <c r="E351" t="s">
        <v>162</v>
      </c>
      <c r="F351">
        <v>46296</v>
      </c>
      <c r="G351" t="s">
        <v>149</v>
      </c>
      <c r="H351">
        <v>0</v>
      </c>
      <c r="I351">
        <v>0</v>
      </c>
      <c r="J351">
        <v>0</v>
      </c>
      <c r="K351">
        <v>0</v>
      </c>
      <c r="L351">
        <v>0</v>
      </c>
      <c r="M351" t="s">
        <v>128</v>
      </c>
    </row>
    <row r="352" spans="1:15" x14ac:dyDescent="0.25">
      <c r="A352" s="1">
        <v>46296</v>
      </c>
      <c r="B352" t="s">
        <v>97</v>
      </c>
      <c r="C352" t="s">
        <v>10</v>
      </c>
      <c r="D352">
        <v>0.93456536928974754</v>
      </c>
      <c r="E352" t="s">
        <v>162</v>
      </c>
      <c r="F352">
        <v>46296</v>
      </c>
      <c r="G352" t="s">
        <v>149</v>
      </c>
      <c r="H352">
        <v>0</v>
      </c>
      <c r="I352">
        <v>0</v>
      </c>
      <c r="J352">
        <v>5.221242811327706E-2</v>
      </c>
      <c r="K352">
        <v>5.221242811327706E-2</v>
      </c>
      <c r="L352">
        <v>0.88235294117647045</v>
      </c>
      <c r="M352" t="s">
        <v>128</v>
      </c>
    </row>
    <row r="353" spans="1:13" x14ac:dyDescent="0.25">
      <c r="A353" s="1">
        <v>46297</v>
      </c>
      <c r="B353" t="s">
        <v>97</v>
      </c>
      <c r="C353" t="s">
        <v>10</v>
      </c>
      <c r="D353">
        <v>1.8691307385794953</v>
      </c>
      <c r="E353" t="s">
        <v>162</v>
      </c>
      <c r="F353">
        <v>46297</v>
      </c>
      <c r="G353" t="s">
        <v>149</v>
      </c>
      <c r="H353">
        <v>0</v>
      </c>
      <c r="I353">
        <v>0</v>
      </c>
      <c r="J353">
        <v>1.8691307385794953</v>
      </c>
      <c r="K353">
        <v>1.8691307385794953</v>
      </c>
      <c r="L353">
        <v>0</v>
      </c>
      <c r="M353" t="s">
        <v>129</v>
      </c>
    </row>
    <row r="354" spans="1:13" x14ac:dyDescent="0.25">
      <c r="A354" s="1">
        <v>46297</v>
      </c>
      <c r="B354" t="s">
        <v>97</v>
      </c>
      <c r="C354" t="s">
        <v>11</v>
      </c>
      <c r="D354">
        <v>0</v>
      </c>
      <c r="E354" t="s">
        <v>162</v>
      </c>
      <c r="F354">
        <v>46297</v>
      </c>
      <c r="G354" t="s">
        <v>149</v>
      </c>
      <c r="H354">
        <v>0</v>
      </c>
      <c r="I354">
        <v>0</v>
      </c>
      <c r="J354">
        <v>0</v>
      </c>
      <c r="K354">
        <v>0</v>
      </c>
      <c r="L354">
        <v>0</v>
      </c>
      <c r="M354" t="s">
        <v>129</v>
      </c>
    </row>
    <row r="355" spans="1:13" x14ac:dyDescent="0.25">
      <c r="A355" s="1">
        <v>46297</v>
      </c>
      <c r="B355" t="s">
        <v>97</v>
      </c>
      <c r="C355" t="s">
        <v>12</v>
      </c>
      <c r="D355">
        <v>0.65969320185158642</v>
      </c>
      <c r="E355" t="s">
        <v>162</v>
      </c>
      <c r="F355">
        <v>46297</v>
      </c>
      <c r="G355" t="s">
        <v>149</v>
      </c>
      <c r="H355">
        <v>0</v>
      </c>
      <c r="I355">
        <v>0</v>
      </c>
      <c r="J355">
        <v>0.65969320185158642</v>
      </c>
      <c r="K355">
        <v>0.65969320185158642</v>
      </c>
      <c r="L355">
        <v>0</v>
      </c>
      <c r="M355" t="s">
        <v>129</v>
      </c>
    </row>
    <row r="356" spans="1:13" x14ac:dyDescent="0.25">
      <c r="A356" s="1">
        <v>46298</v>
      </c>
      <c r="B356" t="s">
        <v>97</v>
      </c>
      <c r="C356" t="s">
        <v>11</v>
      </c>
      <c r="D356">
        <v>0</v>
      </c>
      <c r="E356" t="s">
        <v>162</v>
      </c>
      <c r="F356">
        <v>46298</v>
      </c>
      <c r="G356" t="s">
        <v>149</v>
      </c>
      <c r="H356">
        <v>0</v>
      </c>
      <c r="I356">
        <v>0</v>
      </c>
      <c r="J356">
        <v>0</v>
      </c>
      <c r="K356">
        <v>0</v>
      </c>
      <c r="L356">
        <v>0</v>
      </c>
      <c r="M356" t="s">
        <v>119</v>
      </c>
    </row>
    <row r="357" spans="1:13" x14ac:dyDescent="0.25">
      <c r="A357" s="1">
        <v>46298</v>
      </c>
      <c r="B357" t="s">
        <v>97</v>
      </c>
      <c r="C357" t="s">
        <v>10</v>
      </c>
      <c r="D357">
        <v>1.8691307385794953</v>
      </c>
      <c r="E357" t="s">
        <v>162</v>
      </c>
      <c r="F357">
        <v>46298</v>
      </c>
      <c r="G357" t="s">
        <v>149</v>
      </c>
      <c r="H357">
        <v>0</v>
      </c>
      <c r="I357">
        <v>0</v>
      </c>
      <c r="J357">
        <v>0.98677779740302485</v>
      </c>
      <c r="K357">
        <v>0.98677779740302485</v>
      </c>
      <c r="L357">
        <v>0.88235294117647045</v>
      </c>
      <c r="M357" t="s">
        <v>119</v>
      </c>
    </row>
    <row r="358" spans="1:13" x14ac:dyDescent="0.25">
      <c r="A358" s="1">
        <v>46298</v>
      </c>
      <c r="B358" t="s">
        <v>97</v>
      </c>
      <c r="C358" t="s">
        <v>12</v>
      </c>
      <c r="D358">
        <v>1.4293352706784377</v>
      </c>
      <c r="E358" t="s">
        <v>162</v>
      </c>
      <c r="F358">
        <v>46298</v>
      </c>
      <c r="G358" t="s">
        <v>149</v>
      </c>
      <c r="H358">
        <v>0</v>
      </c>
      <c r="I358">
        <v>0</v>
      </c>
      <c r="J358">
        <v>0.49507921531511595</v>
      </c>
      <c r="K358">
        <v>0.49507921531511595</v>
      </c>
      <c r="L358">
        <v>0.93425605536332168</v>
      </c>
      <c r="M358" t="s">
        <v>119</v>
      </c>
    </row>
    <row r="359" spans="1:13" x14ac:dyDescent="0.25">
      <c r="A359" s="1">
        <v>46299</v>
      </c>
      <c r="B359" t="s">
        <v>97</v>
      </c>
      <c r="C359" t="s">
        <v>10</v>
      </c>
      <c r="D359">
        <v>1.8691307385794953</v>
      </c>
      <c r="E359" t="s">
        <v>162</v>
      </c>
      <c r="F359">
        <v>46299</v>
      </c>
      <c r="G359" t="s">
        <v>149</v>
      </c>
      <c r="H359">
        <v>0</v>
      </c>
      <c r="I359">
        <v>0</v>
      </c>
      <c r="J359">
        <v>0.98677779740302485</v>
      </c>
      <c r="K359">
        <v>0.98677779740302485</v>
      </c>
      <c r="L359">
        <v>0.88235294117647045</v>
      </c>
      <c r="M359" t="s">
        <v>120</v>
      </c>
    </row>
    <row r="360" spans="1:13" x14ac:dyDescent="0.25">
      <c r="A360" s="1">
        <v>46299</v>
      </c>
      <c r="B360" t="s">
        <v>97</v>
      </c>
      <c r="C360" t="s">
        <v>12</v>
      </c>
      <c r="D360">
        <v>1.4293352706784377</v>
      </c>
      <c r="E360" t="s">
        <v>162</v>
      </c>
      <c r="F360">
        <v>46299</v>
      </c>
      <c r="G360" t="s">
        <v>149</v>
      </c>
      <c r="H360">
        <v>0</v>
      </c>
      <c r="I360">
        <v>0</v>
      </c>
      <c r="J360">
        <v>0.49507921531511595</v>
      </c>
      <c r="K360">
        <v>0.49507921531511595</v>
      </c>
      <c r="L360">
        <v>0.93425605536332168</v>
      </c>
      <c r="M360" t="s">
        <v>120</v>
      </c>
    </row>
    <row r="361" spans="1:13" x14ac:dyDescent="0.25">
      <c r="A361" s="1">
        <v>46299</v>
      </c>
      <c r="B361" t="s">
        <v>97</v>
      </c>
      <c r="C361" t="s">
        <v>11</v>
      </c>
      <c r="D361">
        <v>0</v>
      </c>
      <c r="E361" t="s">
        <v>162</v>
      </c>
      <c r="F361">
        <v>46299</v>
      </c>
      <c r="G361" t="s">
        <v>149</v>
      </c>
      <c r="H361">
        <v>0</v>
      </c>
      <c r="I361">
        <v>0</v>
      </c>
      <c r="J361">
        <v>0</v>
      </c>
      <c r="K361">
        <v>0</v>
      </c>
      <c r="L361">
        <v>0</v>
      </c>
      <c r="M361" t="s">
        <v>120</v>
      </c>
    </row>
    <row r="362" spans="1:13" x14ac:dyDescent="0.25">
      <c r="A362" s="1">
        <v>46300</v>
      </c>
      <c r="B362" t="s">
        <v>97</v>
      </c>
      <c r="C362" t="s">
        <v>11</v>
      </c>
      <c r="D362">
        <v>0</v>
      </c>
      <c r="E362" t="s">
        <v>162</v>
      </c>
      <c r="F362">
        <v>46300</v>
      </c>
      <c r="G362" t="s">
        <v>149</v>
      </c>
      <c r="H362">
        <v>0</v>
      </c>
      <c r="I362">
        <v>0</v>
      </c>
      <c r="J362">
        <v>0</v>
      </c>
      <c r="K362">
        <v>0</v>
      </c>
      <c r="L362">
        <v>0</v>
      </c>
      <c r="M362" t="s">
        <v>125</v>
      </c>
    </row>
    <row r="363" spans="1:13" x14ac:dyDescent="0.25">
      <c r="A363" s="1">
        <v>46300</v>
      </c>
      <c r="B363" t="s">
        <v>97</v>
      </c>
      <c r="C363" t="s">
        <v>10</v>
      </c>
      <c r="D363">
        <v>0.93456536928974754</v>
      </c>
      <c r="E363" t="s">
        <v>162</v>
      </c>
      <c r="F363">
        <v>46300</v>
      </c>
      <c r="G363" t="s">
        <v>149</v>
      </c>
      <c r="H363">
        <v>0</v>
      </c>
      <c r="I363">
        <v>0</v>
      </c>
      <c r="J363">
        <v>5.221242811327706E-2</v>
      </c>
      <c r="K363">
        <v>5.221242811327706E-2</v>
      </c>
      <c r="L363">
        <v>0.88235294117647045</v>
      </c>
      <c r="M363" t="s">
        <v>125</v>
      </c>
    </row>
    <row r="364" spans="1:13" x14ac:dyDescent="0.25">
      <c r="A364" s="1">
        <v>46300</v>
      </c>
      <c r="B364" t="s">
        <v>97</v>
      </c>
      <c r="C364" t="s">
        <v>12</v>
      </c>
      <c r="D364">
        <v>1.4293352706784377</v>
      </c>
      <c r="E364" t="s">
        <v>162</v>
      </c>
      <c r="F364">
        <v>46300</v>
      </c>
      <c r="G364" t="s">
        <v>149</v>
      </c>
      <c r="H364">
        <v>0</v>
      </c>
      <c r="I364">
        <v>0</v>
      </c>
      <c r="J364">
        <v>0.49507921531511595</v>
      </c>
      <c r="K364">
        <v>0.49507921531511595</v>
      </c>
      <c r="L364">
        <v>0.93425605536332168</v>
      </c>
      <c r="M364" t="s">
        <v>125</v>
      </c>
    </row>
    <row r="365" spans="1:13" x14ac:dyDescent="0.25">
      <c r="A365" s="1">
        <v>46301</v>
      </c>
      <c r="B365" t="s">
        <v>97</v>
      </c>
      <c r="C365" t="s">
        <v>12</v>
      </c>
      <c r="D365">
        <v>1.4293352706784377</v>
      </c>
      <c r="E365" t="s">
        <v>162</v>
      </c>
      <c r="F365">
        <v>46301</v>
      </c>
      <c r="G365" t="s">
        <v>149</v>
      </c>
      <c r="H365">
        <v>0</v>
      </c>
      <c r="I365">
        <v>0</v>
      </c>
      <c r="J365">
        <v>0.49507921531511595</v>
      </c>
      <c r="K365">
        <v>0.49507921531511595</v>
      </c>
      <c r="L365">
        <v>0.93425605536332168</v>
      </c>
      <c r="M365" t="s">
        <v>126</v>
      </c>
    </row>
    <row r="366" spans="1:13" x14ac:dyDescent="0.25">
      <c r="A366" s="1">
        <v>46301</v>
      </c>
      <c r="B366" t="s">
        <v>97</v>
      </c>
      <c r="C366" t="s">
        <v>11</v>
      </c>
      <c r="D366">
        <v>0</v>
      </c>
      <c r="E366" t="s">
        <v>162</v>
      </c>
      <c r="F366">
        <v>46301</v>
      </c>
      <c r="G366" t="s">
        <v>149</v>
      </c>
      <c r="H366">
        <v>0</v>
      </c>
      <c r="I366">
        <v>0</v>
      </c>
      <c r="J366">
        <v>0</v>
      </c>
      <c r="K366">
        <v>0</v>
      </c>
      <c r="L366">
        <v>0</v>
      </c>
      <c r="M366" t="s">
        <v>126</v>
      </c>
    </row>
    <row r="367" spans="1:13" x14ac:dyDescent="0.25">
      <c r="A367" s="1">
        <v>46301</v>
      </c>
      <c r="B367" t="s">
        <v>97</v>
      </c>
      <c r="C367" t="s">
        <v>10</v>
      </c>
      <c r="D367">
        <v>0.93456536928974754</v>
      </c>
      <c r="E367" t="s">
        <v>162</v>
      </c>
      <c r="F367">
        <v>46301</v>
      </c>
      <c r="G367" t="s">
        <v>149</v>
      </c>
      <c r="H367">
        <v>0</v>
      </c>
      <c r="I367">
        <v>0</v>
      </c>
      <c r="J367">
        <v>5.221242811327706E-2</v>
      </c>
      <c r="K367">
        <v>5.221242811327706E-2</v>
      </c>
      <c r="L367">
        <v>0.88235294117647045</v>
      </c>
      <c r="M367" t="s">
        <v>126</v>
      </c>
    </row>
    <row r="368" spans="1:13" x14ac:dyDescent="0.25">
      <c r="A368" s="1">
        <v>46302</v>
      </c>
      <c r="B368" t="s">
        <v>97</v>
      </c>
      <c r="C368" t="s">
        <v>12</v>
      </c>
      <c r="D368">
        <v>1.5942585711413342</v>
      </c>
      <c r="E368" t="s">
        <v>162</v>
      </c>
      <c r="F368">
        <v>46302</v>
      </c>
      <c r="G368" t="s">
        <v>149</v>
      </c>
      <c r="H368">
        <v>0</v>
      </c>
      <c r="I368">
        <v>0</v>
      </c>
      <c r="J368">
        <v>0.66000251577801239</v>
      </c>
      <c r="K368">
        <v>0.66000251577801239</v>
      </c>
      <c r="L368">
        <v>0.93425605536332179</v>
      </c>
      <c r="M368" t="s">
        <v>127</v>
      </c>
    </row>
    <row r="369" spans="1:13" x14ac:dyDescent="0.25">
      <c r="A369" s="1">
        <v>46302</v>
      </c>
      <c r="B369" t="s">
        <v>97</v>
      </c>
      <c r="C369" t="s">
        <v>11</v>
      </c>
      <c r="D369">
        <v>0</v>
      </c>
      <c r="E369" t="s">
        <v>162</v>
      </c>
      <c r="F369">
        <v>46302</v>
      </c>
      <c r="G369" t="s">
        <v>149</v>
      </c>
      <c r="H369">
        <v>0</v>
      </c>
      <c r="I369">
        <v>0</v>
      </c>
      <c r="J369">
        <v>0</v>
      </c>
      <c r="K369">
        <v>0</v>
      </c>
      <c r="L369">
        <v>0</v>
      </c>
      <c r="M369" t="s">
        <v>127</v>
      </c>
    </row>
    <row r="370" spans="1:13" x14ac:dyDescent="0.25">
      <c r="A370" s="1">
        <v>46302</v>
      </c>
      <c r="B370" t="s">
        <v>97</v>
      </c>
      <c r="C370" t="s">
        <v>10</v>
      </c>
      <c r="D370">
        <v>1.635489396257058</v>
      </c>
      <c r="E370" t="s">
        <v>162</v>
      </c>
      <c r="F370">
        <v>46302</v>
      </c>
      <c r="G370" t="s">
        <v>149</v>
      </c>
      <c r="H370">
        <v>0</v>
      </c>
      <c r="I370">
        <v>0</v>
      </c>
      <c r="J370">
        <v>3.1364550805874315E-3</v>
      </c>
      <c r="K370">
        <v>3.1364550805874315E-3</v>
      </c>
      <c r="L370">
        <v>1.6323529411764706</v>
      </c>
      <c r="M370" t="s">
        <v>127</v>
      </c>
    </row>
    <row r="371" spans="1:13" x14ac:dyDescent="0.25">
      <c r="A371" s="1">
        <v>46303</v>
      </c>
      <c r="B371" t="s">
        <v>97</v>
      </c>
      <c r="C371" t="s">
        <v>12</v>
      </c>
      <c r="D371">
        <v>0.65969320185158642</v>
      </c>
      <c r="E371" t="s">
        <v>162</v>
      </c>
      <c r="F371">
        <v>46303</v>
      </c>
      <c r="G371" t="s">
        <v>149</v>
      </c>
      <c r="H371">
        <v>0</v>
      </c>
      <c r="I371">
        <v>0</v>
      </c>
      <c r="J371">
        <v>0.54896655825297058</v>
      </c>
      <c r="K371">
        <v>0.54896655825297058</v>
      </c>
      <c r="L371">
        <v>0.11072664359861592</v>
      </c>
      <c r="M371" t="s">
        <v>128</v>
      </c>
    </row>
    <row r="372" spans="1:13" x14ac:dyDescent="0.25">
      <c r="A372" s="1">
        <v>46303</v>
      </c>
      <c r="B372" t="s">
        <v>97</v>
      </c>
      <c r="C372" t="s">
        <v>11</v>
      </c>
      <c r="D372">
        <v>0</v>
      </c>
      <c r="E372" t="s">
        <v>162</v>
      </c>
      <c r="F372">
        <v>46303</v>
      </c>
      <c r="G372" t="s">
        <v>149</v>
      </c>
      <c r="H372">
        <v>0</v>
      </c>
      <c r="I372">
        <v>0</v>
      </c>
      <c r="J372">
        <v>0</v>
      </c>
      <c r="K372">
        <v>0</v>
      </c>
      <c r="L372">
        <v>0</v>
      </c>
      <c r="M372" t="s">
        <v>128</v>
      </c>
    </row>
    <row r="373" spans="1:13" x14ac:dyDescent="0.25">
      <c r="A373" s="1">
        <v>46303</v>
      </c>
      <c r="B373" t="s">
        <v>97</v>
      </c>
      <c r="C373" t="s">
        <v>10</v>
      </c>
      <c r="D373">
        <v>0.93456536928974754</v>
      </c>
      <c r="E373" t="s">
        <v>162</v>
      </c>
      <c r="F373">
        <v>46303</v>
      </c>
      <c r="G373" t="s">
        <v>149</v>
      </c>
      <c r="H373">
        <v>0</v>
      </c>
      <c r="I373">
        <v>0</v>
      </c>
      <c r="J373">
        <v>5.221242811327706E-2</v>
      </c>
      <c r="K373">
        <v>5.221242811327706E-2</v>
      </c>
      <c r="L373">
        <v>0.88235294117647045</v>
      </c>
      <c r="M373" t="s">
        <v>128</v>
      </c>
    </row>
    <row r="374" spans="1:13" x14ac:dyDescent="0.25">
      <c r="A374" s="1">
        <v>46304</v>
      </c>
      <c r="B374" t="s">
        <v>97</v>
      </c>
      <c r="C374" t="s">
        <v>12</v>
      </c>
      <c r="D374">
        <v>0.65969320185158642</v>
      </c>
      <c r="E374" t="s">
        <v>162</v>
      </c>
      <c r="F374">
        <v>46304</v>
      </c>
      <c r="G374" t="s">
        <v>149</v>
      </c>
      <c r="H374">
        <v>0</v>
      </c>
      <c r="I374">
        <v>0</v>
      </c>
      <c r="J374">
        <v>0.43823991465435458</v>
      </c>
      <c r="K374">
        <v>0.43823991465435458</v>
      </c>
      <c r="L374">
        <v>0.22145328719723184</v>
      </c>
      <c r="M374" t="s">
        <v>129</v>
      </c>
    </row>
    <row r="375" spans="1:13" x14ac:dyDescent="0.25">
      <c r="A375" s="1">
        <v>46304</v>
      </c>
      <c r="B375" t="s">
        <v>97</v>
      </c>
      <c r="C375" t="s">
        <v>10</v>
      </c>
      <c r="D375">
        <v>1.8691307385794953</v>
      </c>
      <c r="E375" t="s">
        <v>162</v>
      </c>
      <c r="F375">
        <v>46304</v>
      </c>
      <c r="G375" t="s">
        <v>149</v>
      </c>
      <c r="H375">
        <v>0</v>
      </c>
      <c r="I375">
        <v>0</v>
      </c>
      <c r="J375">
        <v>0.10442485622655434</v>
      </c>
      <c r="K375">
        <v>0.10442485622655434</v>
      </c>
      <c r="L375">
        <v>1.7647058823529409</v>
      </c>
      <c r="M375" t="s">
        <v>129</v>
      </c>
    </row>
    <row r="376" spans="1:13" x14ac:dyDescent="0.25">
      <c r="A376" s="1">
        <v>46304</v>
      </c>
      <c r="B376" t="s">
        <v>97</v>
      </c>
      <c r="C376" t="s">
        <v>11</v>
      </c>
      <c r="D376">
        <v>0</v>
      </c>
      <c r="E376" t="s">
        <v>162</v>
      </c>
      <c r="F376">
        <v>46304</v>
      </c>
      <c r="G376" t="s">
        <v>149</v>
      </c>
      <c r="H376">
        <v>0</v>
      </c>
      <c r="I376">
        <v>0</v>
      </c>
      <c r="J376">
        <v>0</v>
      </c>
      <c r="K376">
        <v>0</v>
      </c>
      <c r="L376">
        <v>0</v>
      </c>
      <c r="M376" t="s">
        <v>129</v>
      </c>
    </row>
    <row r="377" spans="1:13" x14ac:dyDescent="0.25">
      <c r="A377" s="1">
        <v>46305</v>
      </c>
      <c r="B377" t="s">
        <v>97</v>
      </c>
      <c r="C377" t="s">
        <v>10</v>
      </c>
      <c r="D377">
        <v>1.8691307385794953</v>
      </c>
      <c r="E377" t="s">
        <v>162</v>
      </c>
      <c r="F377">
        <v>46305</v>
      </c>
      <c r="G377" t="s">
        <v>149</v>
      </c>
      <c r="H377">
        <v>0</v>
      </c>
      <c r="I377">
        <v>0</v>
      </c>
      <c r="J377">
        <v>1.8691307385794953</v>
      </c>
      <c r="K377">
        <v>1.8691307385794953</v>
      </c>
      <c r="L377">
        <v>0</v>
      </c>
      <c r="M377" t="s">
        <v>119</v>
      </c>
    </row>
    <row r="378" spans="1:13" x14ac:dyDescent="0.25">
      <c r="A378" s="1">
        <v>46305</v>
      </c>
      <c r="B378" t="s">
        <v>97</v>
      </c>
      <c r="C378" t="s">
        <v>11</v>
      </c>
      <c r="D378">
        <v>0</v>
      </c>
      <c r="E378" t="s">
        <v>162</v>
      </c>
      <c r="F378">
        <v>46305</v>
      </c>
      <c r="G378" t="s">
        <v>149</v>
      </c>
      <c r="H378">
        <v>0</v>
      </c>
      <c r="I378">
        <v>0</v>
      </c>
      <c r="J378">
        <v>0</v>
      </c>
      <c r="K378">
        <v>0</v>
      </c>
      <c r="L378">
        <v>0</v>
      </c>
      <c r="M378" t="s">
        <v>119</v>
      </c>
    </row>
    <row r="379" spans="1:13" x14ac:dyDescent="0.25">
      <c r="A379" s="1">
        <v>46305</v>
      </c>
      <c r="B379" t="s">
        <v>97</v>
      </c>
      <c r="C379" t="s">
        <v>12</v>
      </c>
      <c r="D379">
        <v>0.65969320185158642</v>
      </c>
      <c r="E379" t="s">
        <v>162</v>
      </c>
      <c r="F379">
        <v>46305</v>
      </c>
      <c r="G379" t="s">
        <v>149</v>
      </c>
      <c r="H379">
        <v>7.001610894268584E-2</v>
      </c>
      <c r="I379">
        <v>7.001610894268584E-2</v>
      </c>
      <c r="J379">
        <v>0</v>
      </c>
      <c r="K379">
        <v>0</v>
      </c>
      <c r="L379">
        <v>0</v>
      </c>
      <c r="M379" t="s">
        <v>119</v>
      </c>
    </row>
    <row r="380" spans="1:13" x14ac:dyDescent="0.25">
      <c r="A380" s="1">
        <v>46306</v>
      </c>
      <c r="B380" t="s">
        <v>97</v>
      </c>
      <c r="C380" t="s">
        <v>11</v>
      </c>
      <c r="D380">
        <v>0</v>
      </c>
      <c r="E380" t="s">
        <v>162</v>
      </c>
      <c r="F380">
        <v>46306</v>
      </c>
      <c r="G380" t="s">
        <v>149</v>
      </c>
      <c r="H380">
        <v>0</v>
      </c>
      <c r="I380">
        <v>0</v>
      </c>
      <c r="J380">
        <v>0</v>
      </c>
      <c r="K380">
        <v>0</v>
      </c>
      <c r="L380">
        <v>0</v>
      </c>
      <c r="M380" t="s">
        <v>120</v>
      </c>
    </row>
    <row r="381" spans="1:13" x14ac:dyDescent="0.25">
      <c r="A381" s="1">
        <v>46306</v>
      </c>
      <c r="B381" t="s">
        <v>97</v>
      </c>
      <c r="C381" t="s">
        <v>10</v>
      </c>
      <c r="D381">
        <v>1.8691307385794953</v>
      </c>
      <c r="E381" t="s">
        <v>162</v>
      </c>
      <c r="F381">
        <v>46306</v>
      </c>
      <c r="G381" t="s">
        <v>149</v>
      </c>
      <c r="H381">
        <v>0</v>
      </c>
      <c r="I381">
        <v>0</v>
      </c>
      <c r="J381">
        <v>0.98677779740302485</v>
      </c>
      <c r="K381">
        <v>0.98677779740302485</v>
      </c>
      <c r="L381">
        <v>0.88235294117647045</v>
      </c>
      <c r="M381" t="s">
        <v>120</v>
      </c>
    </row>
    <row r="382" spans="1:13" x14ac:dyDescent="0.25">
      <c r="A382" s="1">
        <v>46306</v>
      </c>
      <c r="B382" t="s">
        <v>97</v>
      </c>
      <c r="C382" t="s">
        <v>12</v>
      </c>
      <c r="D382">
        <v>0.65969320185158642</v>
      </c>
      <c r="E382" t="s">
        <v>162</v>
      </c>
      <c r="F382">
        <v>46306</v>
      </c>
      <c r="G382" t="s">
        <v>149</v>
      </c>
      <c r="H382">
        <v>0</v>
      </c>
      <c r="I382">
        <v>0</v>
      </c>
      <c r="J382">
        <v>0.54896655825297058</v>
      </c>
      <c r="K382">
        <v>0.54896655825297058</v>
      </c>
      <c r="L382">
        <v>0.11072664359861592</v>
      </c>
      <c r="M382" t="s">
        <v>120</v>
      </c>
    </row>
    <row r="383" spans="1:13" x14ac:dyDescent="0.25">
      <c r="A383" s="1">
        <v>46307</v>
      </c>
      <c r="B383" t="s">
        <v>97</v>
      </c>
      <c r="C383" t="s">
        <v>11</v>
      </c>
      <c r="D383">
        <v>0</v>
      </c>
      <c r="E383" t="s">
        <v>162</v>
      </c>
      <c r="F383">
        <v>46307</v>
      </c>
      <c r="G383" t="s">
        <v>149</v>
      </c>
      <c r="H383">
        <v>0</v>
      </c>
      <c r="I383">
        <v>0</v>
      </c>
      <c r="J383">
        <v>0</v>
      </c>
      <c r="K383">
        <v>0</v>
      </c>
      <c r="L383">
        <v>0</v>
      </c>
      <c r="M383" t="s">
        <v>125</v>
      </c>
    </row>
    <row r="384" spans="1:13" x14ac:dyDescent="0.25">
      <c r="A384" s="1">
        <v>46307</v>
      </c>
      <c r="B384" t="s">
        <v>97</v>
      </c>
      <c r="C384" t="s">
        <v>12</v>
      </c>
      <c r="D384">
        <v>1.4293352706784377</v>
      </c>
      <c r="E384" t="s">
        <v>162</v>
      </c>
      <c r="F384">
        <v>46307</v>
      </c>
      <c r="G384" t="s">
        <v>149</v>
      </c>
      <c r="H384">
        <v>0</v>
      </c>
      <c r="I384">
        <v>0</v>
      </c>
      <c r="J384">
        <v>0.38435257171650022</v>
      </c>
      <c r="K384">
        <v>0.38435257171650022</v>
      </c>
      <c r="L384">
        <v>1.0449826989619375</v>
      </c>
      <c r="M384" t="s">
        <v>125</v>
      </c>
    </row>
    <row r="385" spans="1:13" x14ac:dyDescent="0.25">
      <c r="A385" s="1">
        <v>46307</v>
      </c>
      <c r="B385" t="s">
        <v>97</v>
      </c>
      <c r="C385" t="s">
        <v>10</v>
      </c>
      <c r="D385">
        <v>0.93456536928974754</v>
      </c>
      <c r="E385" t="s">
        <v>162</v>
      </c>
      <c r="F385">
        <v>46307</v>
      </c>
      <c r="G385" t="s">
        <v>149</v>
      </c>
      <c r="H385">
        <v>0.88826372166356315</v>
      </c>
      <c r="I385">
        <v>0.88826372166356315</v>
      </c>
      <c r="J385">
        <v>0</v>
      </c>
      <c r="K385">
        <v>0</v>
      </c>
      <c r="L385">
        <v>0</v>
      </c>
      <c r="M385" t="s">
        <v>125</v>
      </c>
    </row>
    <row r="386" spans="1:13" x14ac:dyDescent="0.25">
      <c r="A386" s="1">
        <v>46308</v>
      </c>
      <c r="B386" t="s">
        <v>97</v>
      </c>
      <c r="C386" t="s">
        <v>11</v>
      </c>
      <c r="D386">
        <v>0</v>
      </c>
      <c r="E386" t="s">
        <v>162</v>
      </c>
      <c r="F386">
        <v>46308</v>
      </c>
      <c r="G386" t="s">
        <v>149</v>
      </c>
      <c r="H386">
        <v>0</v>
      </c>
      <c r="I386">
        <v>0</v>
      </c>
      <c r="J386">
        <v>0</v>
      </c>
      <c r="K386">
        <v>0</v>
      </c>
      <c r="L386">
        <v>0</v>
      </c>
      <c r="M386" t="s">
        <v>126</v>
      </c>
    </row>
    <row r="387" spans="1:13" x14ac:dyDescent="0.25">
      <c r="A387" s="1">
        <v>46308</v>
      </c>
      <c r="B387" t="s">
        <v>97</v>
      </c>
      <c r="C387" t="s">
        <v>12</v>
      </c>
      <c r="D387">
        <v>1.4293352706784377</v>
      </c>
      <c r="E387" t="s">
        <v>162</v>
      </c>
      <c r="F387">
        <v>46308</v>
      </c>
      <c r="G387" t="s">
        <v>149</v>
      </c>
      <c r="H387">
        <v>0</v>
      </c>
      <c r="I387">
        <v>0</v>
      </c>
      <c r="J387">
        <v>0.49507921531511595</v>
      </c>
      <c r="K387">
        <v>0.49507921531511595</v>
      </c>
      <c r="L387">
        <v>0.93425605536332168</v>
      </c>
      <c r="M387" t="s">
        <v>126</v>
      </c>
    </row>
    <row r="388" spans="1:13" x14ac:dyDescent="0.25">
      <c r="A388" s="1">
        <v>46308</v>
      </c>
      <c r="B388" t="s">
        <v>97</v>
      </c>
      <c r="C388" t="s">
        <v>10</v>
      </c>
      <c r="D388">
        <v>0.93456536928974754</v>
      </c>
      <c r="E388" t="s">
        <v>162</v>
      </c>
      <c r="F388">
        <v>46308</v>
      </c>
      <c r="G388" t="s">
        <v>149</v>
      </c>
      <c r="H388">
        <v>0</v>
      </c>
      <c r="I388">
        <v>0</v>
      </c>
      <c r="J388">
        <v>5.221242811327706E-2</v>
      </c>
      <c r="K388">
        <v>5.221242811327706E-2</v>
      </c>
      <c r="L388">
        <v>0.88235294117647045</v>
      </c>
      <c r="M388" t="s">
        <v>126</v>
      </c>
    </row>
    <row r="389" spans="1:13" x14ac:dyDescent="0.25">
      <c r="A389" s="1">
        <v>46309</v>
      </c>
      <c r="B389" t="s">
        <v>97</v>
      </c>
      <c r="C389" t="s">
        <v>12</v>
      </c>
      <c r="D389">
        <v>1.5942585711413342</v>
      </c>
      <c r="E389" t="s">
        <v>162</v>
      </c>
      <c r="F389">
        <v>46309</v>
      </c>
      <c r="G389" t="s">
        <v>149</v>
      </c>
      <c r="H389">
        <v>0</v>
      </c>
      <c r="I389">
        <v>0</v>
      </c>
      <c r="J389">
        <v>0.54927587217939666</v>
      </c>
      <c r="K389">
        <v>0.54927587217939666</v>
      </c>
      <c r="L389">
        <v>1.0449826989619375</v>
      </c>
      <c r="M389" t="s">
        <v>127</v>
      </c>
    </row>
    <row r="390" spans="1:13" x14ac:dyDescent="0.25">
      <c r="A390" s="1">
        <v>46309</v>
      </c>
      <c r="B390" t="s">
        <v>97</v>
      </c>
      <c r="C390" t="s">
        <v>11</v>
      </c>
      <c r="D390">
        <v>0</v>
      </c>
      <c r="E390" t="s">
        <v>162</v>
      </c>
      <c r="F390">
        <v>46309</v>
      </c>
      <c r="G390" t="s">
        <v>149</v>
      </c>
      <c r="H390">
        <v>0</v>
      </c>
      <c r="I390">
        <v>0</v>
      </c>
      <c r="J390">
        <v>0</v>
      </c>
      <c r="K390">
        <v>0</v>
      </c>
      <c r="L390">
        <v>0</v>
      </c>
      <c r="M390" t="s">
        <v>127</v>
      </c>
    </row>
    <row r="391" spans="1:13" x14ac:dyDescent="0.25">
      <c r="A391" s="1">
        <v>46309</v>
      </c>
      <c r="B391" t="s">
        <v>97</v>
      </c>
      <c r="C391" t="s">
        <v>10</v>
      </c>
      <c r="D391">
        <v>1.8691307385794953</v>
      </c>
      <c r="E391" t="s">
        <v>162</v>
      </c>
      <c r="F391">
        <v>46309</v>
      </c>
      <c r="G391" t="s">
        <v>149</v>
      </c>
      <c r="H391">
        <v>0</v>
      </c>
      <c r="I391">
        <v>0</v>
      </c>
      <c r="J391">
        <v>0.10442485622655434</v>
      </c>
      <c r="K391">
        <v>0.10442485622655434</v>
      </c>
      <c r="L391">
        <v>1.7647058823529409</v>
      </c>
      <c r="M391" t="s">
        <v>127</v>
      </c>
    </row>
    <row r="392" spans="1:13" x14ac:dyDescent="0.25">
      <c r="A392" s="1">
        <v>46310</v>
      </c>
      <c r="B392" t="s">
        <v>97</v>
      </c>
      <c r="C392" t="s">
        <v>10</v>
      </c>
      <c r="D392">
        <v>0.93456536928974754</v>
      </c>
      <c r="E392" t="s">
        <v>162</v>
      </c>
      <c r="F392">
        <v>46310</v>
      </c>
      <c r="G392" t="s">
        <v>149</v>
      </c>
      <c r="H392">
        <v>0</v>
      </c>
      <c r="I392">
        <v>0</v>
      </c>
      <c r="J392">
        <v>0.93456536928974754</v>
      </c>
      <c r="K392">
        <v>0.93456536928974754</v>
      </c>
      <c r="L392">
        <v>0</v>
      </c>
      <c r="M392" t="s">
        <v>128</v>
      </c>
    </row>
    <row r="393" spans="1:13" x14ac:dyDescent="0.25">
      <c r="A393" s="1">
        <v>46310</v>
      </c>
      <c r="B393" t="s">
        <v>97</v>
      </c>
      <c r="C393" t="s">
        <v>11</v>
      </c>
      <c r="D393">
        <v>0</v>
      </c>
      <c r="E393" t="s">
        <v>162</v>
      </c>
      <c r="F393">
        <v>46310</v>
      </c>
      <c r="G393" t="s">
        <v>149</v>
      </c>
      <c r="H393">
        <v>0</v>
      </c>
      <c r="I393">
        <v>0</v>
      </c>
      <c r="J393">
        <v>0</v>
      </c>
      <c r="K393">
        <v>0</v>
      </c>
      <c r="L393">
        <v>0</v>
      </c>
      <c r="M393" t="s">
        <v>128</v>
      </c>
    </row>
    <row r="394" spans="1:13" x14ac:dyDescent="0.25">
      <c r="A394" s="1">
        <v>46310</v>
      </c>
      <c r="B394" t="s">
        <v>97</v>
      </c>
      <c r="C394" t="s">
        <v>12</v>
      </c>
      <c r="D394">
        <v>0.65969320185158642</v>
      </c>
      <c r="E394" t="s">
        <v>162</v>
      </c>
      <c r="F394">
        <v>46310</v>
      </c>
      <c r="G394" t="s">
        <v>149</v>
      </c>
      <c r="H394">
        <v>0</v>
      </c>
      <c r="I394">
        <v>0</v>
      </c>
      <c r="J394">
        <v>0.65969320185158642</v>
      </c>
      <c r="K394">
        <v>0.65969320185158642</v>
      </c>
      <c r="L394">
        <v>0</v>
      </c>
      <c r="M394" t="s">
        <v>128</v>
      </c>
    </row>
    <row r="395" spans="1:13" x14ac:dyDescent="0.25">
      <c r="A395" s="1">
        <v>46311</v>
      </c>
      <c r="B395" t="s">
        <v>97</v>
      </c>
      <c r="C395" t="s">
        <v>11</v>
      </c>
      <c r="D395">
        <v>0</v>
      </c>
      <c r="E395" t="s">
        <v>162</v>
      </c>
      <c r="F395">
        <v>46311</v>
      </c>
      <c r="G395" t="s">
        <v>149</v>
      </c>
      <c r="H395">
        <v>0</v>
      </c>
      <c r="I395">
        <v>0</v>
      </c>
      <c r="J395">
        <v>0</v>
      </c>
      <c r="K395">
        <v>0</v>
      </c>
      <c r="L395">
        <v>0</v>
      </c>
      <c r="M395" t="s">
        <v>129</v>
      </c>
    </row>
    <row r="396" spans="1:13" x14ac:dyDescent="0.25">
      <c r="A396" s="1">
        <v>46311</v>
      </c>
      <c r="B396" t="s">
        <v>97</v>
      </c>
      <c r="C396" t="s">
        <v>12</v>
      </c>
      <c r="D396">
        <v>0.65969320185158642</v>
      </c>
      <c r="E396" t="s">
        <v>162</v>
      </c>
      <c r="F396">
        <v>46311</v>
      </c>
      <c r="G396" t="s">
        <v>149</v>
      </c>
      <c r="H396">
        <v>0</v>
      </c>
      <c r="I396">
        <v>0</v>
      </c>
      <c r="J396">
        <v>0.43823991465435458</v>
      </c>
      <c r="K396">
        <v>0.43823991465435458</v>
      </c>
      <c r="L396">
        <v>0.22145328719723184</v>
      </c>
      <c r="M396" t="s">
        <v>129</v>
      </c>
    </row>
    <row r="397" spans="1:13" x14ac:dyDescent="0.25">
      <c r="A397" s="1">
        <v>46311</v>
      </c>
      <c r="B397" t="s">
        <v>97</v>
      </c>
      <c r="C397" t="s">
        <v>10</v>
      </c>
      <c r="D397">
        <v>1.8691307385794953</v>
      </c>
      <c r="E397" t="s">
        <v>162</v>
      </c>
      <c r="F397">
        <v>46311</v>
      </c>
      <c r="G397" t="s">
        <v>149</v>
      </c>
      <c r="H397">
        <v>0</v>
      </c>
      <c r="I397">
        <v>0</v>
      </c>
      <c r="J397">
        <v>0.10442485622655434</v>
      </c>
      <c r="K397">
        <v>0.10442485622655434</v>
      </c>
      <c r="L397">
        <v>1.7647058823529409</v>
      </c>
      <c r="M397" t="s">
        <v>129</v>
      </c>
    </row>
    <row r="398" spans="1:13" x14ac:dyDescent="0.25">
      <c r="A398" s="1">
        <v>46312</v>
      </c>
      <c r="B398" t="s">
        <v>97</v>
      </c>
      <c r="C398" t="s">
        <v>10</v>
      </c>
      <c r="D398">
        <v>1.8691307385794953</v>
      </c>
      <c r="E398" t="s">
        <v>162</v>
      </c>
      <c r="F398">
        <v>46312</v>
      </c>
      <c r="G398" t="s">
        <v>149</v>
      </c>
      <c r="H398">
        <v>0</v>
      </c>
      <c r="I398">
        <v>0</v>
      </c>
      <c r="J398">
        <v>0.98677779740302485</v>
      </c>
      <c r="K398">
        <v>0.98677779740302485</v>
      </c>
      <c r="L398">
        <v>0.88235294117647045</v>
      </c>
      <c r="M398" t="s">
        <v>119</v>
      </c>
    </row>
    <row r="399" spans="1:13" x14ac:dyDescent="0.25">
      <c r="A399" s="1">
        <v>46312</v>
      </c>
      <c r="B399" t="s">
        <v>97</v>
      </c>
      <c r="C399" t="s">
        <v>11</v>
      </c>
      <c r="D399">
        <v>0</v>
      </c>
      <c r="E399" t="s">
        <v>162</v>
      </c>
      <c r="F399">
        <v>46312</v>
      </c>
      <c r="G399" t="s">
        <v>149</v>
      </c>
      <c r="H399">
        <v>0</v>
      </c>
      <c r="I399">
        <v>0</v>
      </c>
      <c r="J399">
        <v>0</v>
      </c>
      <c r="K399">
        <v>0</v>
      </c>
      <c r="L399">
        <v>0</v>
      </c>
      <c r="M399" t="s">
        <v>119</v>
      </c>
    </row>
    <row r="400" spans="1:13" x14ac:dyDescent="0.25">
      <c r="A400" s="1">
        <v>46312</v>
      </c>
      <c r="B400" t="s">
        <v>97</v>
      </c>
      <c r="C400" t="s">
        <v>12</v>
      </c>
      <c r="D400">
        <v>1.4293352706784377</v>
      </c>
      <c r="E400" t="s">
        <v>162</v>
      </c>
      <c r="F400">
        <v>46312</v>
      </c>
      <c r="G400" t="s">
        <v>149</v>
      </c>
      <c r="H400">
        <v>0</v>
      </c>
      <c r="I400">
        <v>0</v>
      </c>
      <c r="J400">
        <v>1.3186086270798218</v>
      </c>
      <c r="K400">
        <v>1.3186086270798218</v>
      </c>
      <c r="L400">
        <v>0.11072664359861592</v>
      </c>
      <c r="M400" t="s">
        <v>119</v>
      </c>
    </row>
    <row r="401" spans="1:13" x14ac:dyDescent="0.25">
      <c r="A401" s="1">
        <v>46313</v>
      </c>
      <c r="B401" t="s">
        <v>97</v>
      </c>
      <c r="C401" t="s">
        <v>11</v>
      </c>
      <c r="D401">
        <v>0</v>
      </c>
      <c r="E401" t="s">
        <v>162</v>
      </c>
      <c r="F401">
        <v>46313</v>
      </c>
      <c r="G401" t="s">
        <v>149</v>
      </c>
      <c r="H401">
        <v>0</v>
      </c>
      <c r="I401">
        <v>0</v>
      </c>
      <c r="J401">
        <v>0</v>
      </c>
      <c r="K401">
        <v>0</v>
      </c>
      <c r="L401">
        <v>0</v>
      </c>
      <c r="M401" t="s">
        <v>120</v>
      </c>
    </row>
    <row r="402" spans="1:13" x14ac:dyDescent="0.25">
      <c r="A402" s="1">
        <v>46313</v>
      </c>
      <c r="B402" t="s">
        <v>97</v>
      </c>
      <c r="C402" t="s">
        <v>12</v>
      </c>
      <c r="D402">
        <v>1.4293352706784377</v>
      </c>
      <c r="E402" t="s">
        <v>162</v>
      </c>
      <c r="F402">
        <v>46313</v>
      </c>
      <c r="G402" t="s">
        <v>149</v>
      </c>
      <c r="H402">
        <v>0</v>
      </c>
      <c r="I402">
        <v>0</v>
      </c>
      <c r="J402">
        <v>1.2078819834812058</v>
      </c>
      <c r="K402">
        <v>1.2078819834812058</v>
      </c>
      <c r="L402">
        <v>0.22145328719723184</v>
      </c>
      <c r="M402" t="s">
        <v>120</v>
      </c>
    </row>
    <row r="403" spans="1:13" x14ac:dyDescent="0.25">
      <c r="A403" s="1">
        <v>46313</v>
      </c>
      <c r="B403" t="s">
        <v>97</v>
      </c>
      <c r="C403" t="s">
        <v>10</v>
      </c>
      <c r="D403">
        <v>1.8691307385794953</v>
      </c>
      <c r="E403" t="s">
        <v>162</v>
      </c>
      <c r="F403">
        <v>46313</v>
      </c>
      <c r="G403" t="s">
        <v>149</v>
      </c>
      <c r="H403">
        <v>0</v>
      </c>
      <c r="I403">
        <v>0</v>
      </c>
      <c r="J403">
        <v>0.10442485622655434</v>
      </c>
      <c r="K403">
        <v>0.10442485622655434</v>
      </c>
      <c r="L403">
        <v>1.7647058823529409</v>
      </c>
      <c r="M403" t="s">
        <v>120</v>
      </c>
    </row>
    <row r="404" spans="1:13" x14ac:dyDescent="0.25">
      <c r="A404" s="1">
        <v>46314</v>
      </c>
      <c r="B404" t="s">
        <v>97</v>
      </c>
      <c r="C404" t="s">
        <v>10</v>
      </c>
      <c r="D404">
        <v>0.93456536928974754</v>
      </c>
      <c r="E404" t="s">
        <v>162</v>
      </c>
      <c r="F404">
        <v>46314</v>
      </c>
      <c r="G404" t="s">
        <v>149</v>
      </c>
      <c r="H404">
        <v>0</v>
      </c>
      <c r="I404">
        <v>0</v>
      </c>
      <c r="J404">
        <v>5.2212428113276955E-2</v>
      </c>
      <c r="K404">
        <v>5.2212428113276955E-2</v>
      </c>
      <c r="L404">
        <v>0.88235294117647056</v>
      </c>
      <c r="M404" t="s">
        <v>125</v>
      </c>
    </row>
    <row r="405" spans="1:13" x14ac:dyDescent="0.25">
      <c r="A405" s="1">
        <v>46314</v>
      </c>
      <c r="B405" t="s">
        <v>97</v>
      </c>
      <c r="C405" t="s">
        <v>11</v>
      </c>
      <c r="D405">
        <v>0</v>
      </c>
      <c r="E405" t="s">
        <v>162</v>
      </c>
      <c r="F405">
        <v>46314</v>
      </c>
      <c r="G405" t="s">
        <v>149</v>
      </c>
      <c r="H405">
        <v>0</v>
      </c>
      <c r="I405">
        <v>0</v>
      </c>
      <c r="J405">
        <v>0</v>
      </c>
      <c r="K405">
        <v>0</v>
      </c>
      <c r="L405">
        <v>0</v>
      </c>
      <c r="M405" t="s">
        <v>125</v>
      </c>
    </row>
    <row r="406" spans="1:13" x14ac:dyDescent="0.25">
      <c r="A406" s="1">
        <v>46314</v>
      </c>
      <c r="B406" t="s">
        <v>97</v>
      </c>
      <c r="C406" t="s">
        <v>12</v>
      </c>
      <c r="D406">
        <v>1.4293352706784377</v>
      </c>
      <c r="E406" t="s">
        <v>162</v>
      </c>
      <c r="F406">
        <v>46314</v>
      </c>
      <c r="G406" t="s">
        <v>149</v>
      </c>
      <c r="H406">
        <v>0</v>
      </c>
      <c r="I406">
        <v>0</v>
      </c>
      <c r="J406">
        <v>0.49507921531511595</v>
      </c>
      <c r="K406">
        <v>0.49507921531511595</v>
      </c>
      <c r="L406">
        <v>0.93425605536332168</v>
      </c>
      <c r="M406" t="s">
        <v>125</v>
      </c>
    </row>
    <row r="407" spans="1:13" x14ac:dyDescent="0.25">
      <c r="A407" s="1">
        <v>46315</v>
      </c>
      <c r="B407" t="s">
        <v>97</v>
      </c>
      <c r="C407" t="s">
        <v>10</v>
      </c>
      <c r="D407">
        <v>0.93456536928974754</v>
      </c>
      <c r="E407" t="s">
        <v>162</v>
      </c>
      <c r="F407">
        <v>46315</v>
      </c>
      <c r="G407" t="s">
        <v>149</v>
      </c>
      <c r="H407">
        <v>0</v>
      </c>
      <c r="I407">
        <v>0</v>
      </c>
      <c r="J407">
        <v>0.93456536928974754</v>
      </c>
      <c r="K407">
        <v>0.93456536928974754</v>
      </c>
      <c r="L407">
        <v>0</v>
      </c>
      <c r="M407" t="s">
        <v>126</v>
      </c>
    </row>
    <row r="408" spans="1:13" x14ac:dyDescent="0.25">
      <c r="A408" s="1">
        <v>46315</v>
      </c>
      <c r="B408" t="s">
        <v>97</v>
      </c>
      <c r="C408" t="s">
        <v>11</v>
      </c>
      <c r="D408">
        <v>0</v>
      </c>
      <c r="E408" t="s">
        <v>162</v>
      </c>
      <c r="F408">
        <v>46315</v>
      </c>
      <c r="G408" t="s">
        <v>149</v>
      </c>
      <c r="H408">
        <v>0</v>
      </c>
      <c r="I408">
        <v>0</v>
      </c>
      <c r="J408">
        <v>0</v>
      </c>
      <c r="K408">
        <v>0</v>
      </c>
      <c r="L408">
        <v>0</v>
      </c>
      <c r="M408" t="s">
        <v>126</v>
      </c>
    </row>
    <row r="409" spans="1:13" x14ac:dyDescent="0.25">
      <c r="A409" s="1">
        <v>46315</v>
      </c>
      <c r="B409" t="s">
        <v>97</v>
      </c>
      <c r="C409" t="s">
        <v>12</v>
      </c>
      <c r="D409">
        <v>1.4293352706784377</v>
      </c>
      <c r="E409" t="s">
        <v>162</v>
      </c>
      <c r="F409">
        <v>46315</v>
      </c>
      <c r="G409" t="s">
        <v>149</v>
      </c>
      <c r="H409">
        <v>0</v>
      </c>
      <c r="I409">
        <v>0</v>
      </c>
      <c r="J409">
        <v>0.60580585891373173</v>
      </c>
      <c r="K409">
        <v>0.60580585891373173</v>
      </c>
      <c r="L409">
        <v>0.82352941176470595</v>
      </c>
      <c r="M409" t="s">
        <v>126</v>
      </c>
    </row>
    <row r="410" spans="1:13" x14ac:dyDescent="0.25">
      <c r="A410" s="1">
        <v>46316</v>
      </c>
      <c r="B410" t="s">
        <v>97</v>
      </c>
      <c r="C410" t="s">
        <v>11</v>
      </c>
      <c r="D410">
        <v>0</v>
      </c>
      <c r="E410" t="s">
        <v>162</v>
      </c>
      <c r="F410">
        <v>46316</v>
      </c>
      <c r="G410" t="s">
        <v>149</v>
      </c>
      <c r="H410">
        <v>0</v>
      </c>
      <c r="I410">
        <v>0</v>
      </c>
      <c r="J410">
        <v>0</v>
      </c>
      <c r="K410">
        <v>0</v>
      </c>
      <c r="L410">
        <v>0</v>
      </c>
      <c r="M410" t="s">
        <v>127</v>
      </c>
    </row>
    <row r="411" spans="1:13" x14ac:dyDescent="0.25">
      <c r="A411" s="1">
        <v>46316</v>
      </c>
      <c r="B411" t="s">
        <v>97</v>
      </c>
      <c r="C411" t="s">
        <v>12</v>
      </c>
      <c r="D411">
        <v>1.5942585711413342</v>
      </c>
      <c r="E411" t="s">
        <v>162</v>
      </c>
      <c r="F411">
        <v>46316</v>
      </c>
      <c r="G411" t="s">
        <v>149</v>
      </c>
      <c r="H411">
        <v>0</v>
      </c>
      <c r="I411">
        <v>0</v>
      </c>
      <c r="J411">
        <v>0.66000251577801239</v>
      </c>
      <c r="K411">
        <v>0.66000251577801239</v>
      </c>
      <c r="L411">
        <v>0.93425605536332179</v>
      </c>
      <c r="M411" t="s">
        <v>127</v>
      </c>
    </row>
    <row r="412" spans="1:13" x14ac:dyDescent="0.25">
      <c r="A412" s="1">
        <v>46316</v>
      </c>
      <c r="B412" t="s">
        <v>97</v>
      </c>
      <c r="C412" t="s">
        <v>10</v>
      </c>
      <c r="D412">
        <v>1.635489396257058</v>
      </c>
      <c r="E412" t="s">
        <v>162</v>
      </c>
      <c r="F412">
        <v>46316</v>
      </c>
      <c r="G412" t="s">
        <v>149</v>
      </c>
      <c r="H412">
        <v>0</v>
      </c>
      <c r="I412">
        <v>0</v>
      </c>
      <c r="J412">
        <v>3.1364550805874315E-3</v>
      </c>
      <c r="K412">
        <v>3.1364550805874315E-3</v>
      </c>
      <c r="L412">
        <v>1.6323529411764706</v>
      </c>
      <c r="M412" t="s">
        <v>127</v>
      </c>
    </row>
    <row r="413" spans="1:13" x14ac:dyDescent="0.25">
      <c r="A413" s="1">
        <v>46317</v>
      </c>
      <c r="B413" t="s">
        <v>97</v>
      </c>
      <c r="C413" t="s">
        <v>12</v>
      </c>
      <c r="D413">
        <v>0.65969320185158642</v>
      </c>
      <c r="E413" t="s">
        <v>162</v>
      </c>
      <c r="F413">
        <v>46317</v>
      </c>
      <c r="G413" t="s">
        <v>149</v>
      </c>
      <c r="H413">
        <v>0</v>
      </c>
      <c r="I413">
        <v>0</v>
      </c>
      <c r="J413">
        <v>0.43823991465435458</v>
      </c>
      <c r="K413">
        <v>0.43823991465435458</v>
      </c>
      <c r="L413">
        <v>0.22145328719723184</v>
      </c>
      <c r="M413" t="s">
        <v>128</v>
      </c>
    </row>
    <row r="414" spans="1:13" x14ac:dyDescent="0.25">
      <c r="A414" s="1">
        <v>46317</v>
      </c>
      <c r="B414" t="s">
        <v>97</v>
      </c>
      <c r="C414" t="s">
        <v>11</v>
      </c>
      <c r="D414">
        <v>0</v>
      </c>
      <c r="E414" t="s">
        <v>162</v>
      </c>
      <c r="F414">
        <v>46317</v>
      </c>
      <c r="G414" t="s">
        <v>149</v>
      </c>
      <c r="H414">
        <v>0</v>
      </c>
      <c r="I414">
        <v>0</v>
      </c>
      <c r="J414">
        <v>0</v>
      </c>
      <c r="K414">
        <v>0</v>
      </c>
      <c r="L414">
        <v>0</v>
      </c>
      <c r="M414" t="s">
        <v>128</v>
      </c>
    </row>
    <row r="415" spans="1:13" x14ac:dyDescent="0.25">
      <c r="A415" s="1">
        <v>46317</v>
      </c>
      <c r="B415" t="s">
        <v>97</v>
      </c>
      <c r="C415" t="s">
        <v>10</v>
      </c>
      <c r="D415">
        <v>0.93456536928974754</v>
      </c>
      <c r="E415" t="s">
        <v>162</v>
      </c>
      <c r="F415">
        <v>46317</v>
      </c>
      <c r="G415" t="s">
        <v>149</v>
      </c>
      <c r="H415">
        <v>0.88826372166356315</v>
      </c>
      <c r="I415">
        <v>0.88826372166356315</v>
      </c>
      <c r="J415">
        <v>0</v>
      </c>
      <c r="K415">
        <v>0</v>
      </c>
      <c r="L415">
        <v>0</v>
      </c>
      <c r="M415" t="s">
        <v>128</v>
      </c>
    </row>
    <row r="416" spans="1:13" x14ac:dyDescent="0.25">
      <c r="A416" s="1">
        <v>46318</v>
      </c>
      <c r="B416" t="s">
        <v>97</v>
      </c>
      <c r="C416" t="s">
        <v>10</v>
      </c>
      <c r="D416">
        <v>1.8691307385794953</v>
      </c>
      <c r="E416" t="s">
        <v>162</v>
      </c>
      <c r="F416">
        <v>46318</v>
      </c>
      <c r="G416" t="s">
        <v>149</v>
      </c>
      <c r="H416">
        <v>0</v>
      </c>
      <c r="I416">
        <v>0</v>
      </c>
      <c r="J416">
        <v>0.10442485622655413</v>
      </c>
      <c r="K416">
        <v>0.10442485622655413</v>
      </c>
      <c r="L416">
        <v>1.7647058823529411</v>
      </c>
      <c r="M416" t="s">
        <v>129</v>
      </c>
    </row>
    <row r="417" spans="1:13" x14ac:dyDescent="0.25">
      <c r="A417" s="1">
        <v>46318</v>
      </c>
      <c r="B417" t="s">
        <v>97</v>
      </c>
      <c r="C417" t="s">
        <v>11</v>
      </c>
      <c r="D417">
        <v>0</v>
      </c>
      <c r="E417" t="s">
        <v>162</v>
      </c>
      <c r="F417">
        <v>46318</v>
      </c>
      <c r="G417" t="s">
        <v>149</v>
      </c>
      <c r="H417">
        <v>0</v>
      </c>
      <c r="I417">
        <v>0</v>
      </c>
      <c r="J417">
        <v>0</v>
      </c>
      <c r="K417">
        <v>0</v>
      </c>
      <c r="L417">
        <v>0</v>
      </c>
      <c r="M417" t="s">
        <v>129</v>
      </c>
    </row>
    <row r="418" spans="1:13" x14ac:dyDescent="0.25">
      <c r="A418" s="1">
        <v>46318</v>
      </c>
      <c r="B418" t="s">
        <v>97</v>
      </c>
      <c r="C418" t="s">
        <v>12</v>
      </c>
      <c r="D418">
        <v>0.65969320185158642</v>
      </c>
      <c r="E418" t="s">
        <v>162</v>
      </c>
      <c r="F418">
        <v>46318</v>
      </c>
      <c r="G418" t="s">
        <v>149</v>
      </c>
      <c r="H418">
        <v>0.40570743723843061</v>
      </c>
      <c r="I418">
        <v>0.40570743723843061</v>
      </c>
      <c r="J418">
        <v>0</v>
      </c>
      <c r="K418">
        <v>0</v>
      </c>
      <c r="L418">
        <v>0</v>
      </c>
      <c r="M418" t="s">
        <v>129</v>
      </c>
    </row>
    <row r="419" spans="1:13" x14ac:dyDescent="0.25">
      <c r="A419" s="1">
        <v>46319</v>
      </c>
      <c r="B419" t="s">
        <v>97</v>
      </c>
      <c r="C419" t="s">
        <v>12</v>
      </c>
      <c r="D419">
        <v>0.65969320185158642</v>
      </c>
      <c r="E419" t="s">
        <v>162</v>
      </c>
      <c r="F419">
        <v>46319</v>
      </c>
      <c r="G419" t="s">
        <v>149</v>
      </c>
      <c r="H419">
        <v>0</v>
      </c>
      <c r="I419">
        <v>0</v>
      </c>
      <c r="J419">
        <v>0.43823991465435458</v>
      </c>
      <c r="K419">
        <v>0.43823991465435458</v>
      </c>
      <c r="L419">
        <v>0.22145328719723184</v>
      </c>
      <c r="M419" t="s">
        <v>119</v>
      </c>
    </row>
    <row r="420" spans="1:13" x14ac:dyDescent="0.25">
      <c r="A420" s="1">
        <v>46319</v>
      </c>
      <c r="B420" t="s">
        <v>97</v>
      </c>
      <c r="C420" t="s">
        <v>11</v>
      </c>
      <c r="D420">
        <v>0</v>
      </c>
      <c r="E420" t="s">
        <v>162</v>
      </c>
      <c r="F420">
        <v>46319</v>
      </c>
      <c r="G420" t="s">
        <v>149</v>
      </c>
      <c r="H420">
        <v>0</v>
      </c>
      <c r="I420">
        <v>0</v>
      </c>
      <c r="J420">
        <v>0</v>
      </c>
      <c r="K420">
        <v>0</v>
      </c>
      <c r="L420">
        <v>0</v>
      </c>
      <c r="M420" t="s">
        <v>119</v>
      </c>
    </row>
    <row r="421" spans="1:13" x14ac:dyDescent="0.25">
      <c r="A421" s="1">
        <v>46319</v>
      </c>
      <c r="B421" t="s">
        <v>97</v>
      </c>
      <c r="C421" t="s">
        <v>10</v>
      </c>
      <c r="D421">
        <v>1.8691307385794953</v>
      </c>
      <c r="E421" t="s">
        <v>162</v>
      </c>
      <c r="F421">
        <v>46319</v>
      </c>
      <c r="G421" t="s">
        <v>149</v>
      </c>
      <c r="H421">
        <v>0</v>
      </c>
      <c r="I421">
        <v>0</v>
      </c>
      <c r="J421">
        <v>0.10442485622655434</v>
      </c>
      <c r="K421">
        <v>0.10442485622655434</v>
      </c>
      <c r="L421">
        <v>1.7647058823529409</v>
      </c>
      <c r="M421" t="s">
        <v>119</v>
      </c>
    </row>
    <row r="422" spans="1:13" x14ac:dyDescent="0.25">
      <c r="A422" s="1">
        <v>46320</v>
      </c>
      <c r="B422" t="s">
        <v>97</v>
      </c>
      <c r="C422" t="s">
        <v>12</v>
      </c>
      <c r="D422">
        <v>0.65969320185158642</v>
      </c>
      <c r="E422" t="s">
        <v>162</v>
      </c>
      <c r="F422">
        <v>46320</v>
      </c>
      <c r="G422" t="s">
        <v>149</v>
      </c>
      <c r="H422">
        <v>0</v>
      </c>
      <c r="I422">
        <v>0</v>
      </c>
      <c r="J422">
        <v>0.43823991465435458</v>
      </c>
      <c r="K422">
        <v>0.43823991465435458</v>
      </c>
      <c r="L422">
        <v>0.22145328719723184</v>
      </c>
      <c r="M422" t="s">
        <v>120</v>
      </c>
    </row>
    <row r="423" spans="1:13" x14ac:dyDescent="0.25">
      <c r="A423" s="1">
        <v>46320</v>
      </c>
      <c r="B423" t="s">
        <v>97</v>
      </c>
      <c r="C423" t="s">
        <v>10</v>
      </c>
      <c r="D423">
        <v>1.8691307385794953</v>
      </c>
      <c r="E423" t="s">
        <v>162</v>
      </c>
      <c r="F423">
        <v>46320</v>
      </c>
      <c r="G423" t="s">
        <v>149</v>
      </c>
      <c r="H423">
        <v>0</v>
      </c>
      <c r="I423">
        <v>0</v>
      </c>
      <c r="J423">
        <v>0.10442485622655434</v>
      </c>
      <c r="K423">
        <v>0.10442485622655434</v>
      </c>
      <c r="L423">
        <v>1.7647058823529409</v>
      </c>
      <c r="M423" t="s">
        <v>120</v>
      </c>
    </row>
    <row r="424" spans="1:13" x14ac:dyDescent="0.25">
      <c r="A424" s="1">
        <v>46320</v>
      </c>
      <c r="B424" t="s">
        <v>97</v>
      </c>
      <c r="C424" t="s">
        <v>11</v>
      </c>
      <c r="D424">
        <v>0</v>
      </c>
      <c r="E424" t="s">
        <v>162</v>
      </c>
      <c r="F424">
        <v>46320</v>
      </c>
      <c r="G424" t="s">
        <v>149</v>
      </c>
      <c r="H424">
        <v>0</v>
      </c>
      <c r="I424">
        <v>0</v>
      </c>
      <c r="J424">
        <v>0</v>
      </c>
      <c r="K424">
        <v>0</v>
      </c>
      <c r="L424">
        <v>0</v>
      </c>
      <c r="M424" t="s">
        <v>120</v>
      </c>
    </row>
    <row r="425" spans="1:13" x14ac:dyDescent="0.25">
      <c r="A425" s="1">
        <v>46321</v>
      </c>
      <c r="B425" t="s">
        <v>97</v>
      </c>
      <c r="C425" t="s">
        <v>10</v>
      </c>
      <c r="D425">
        <v>0.93456536928974754</v>
      </c>
      <c r="E425" t="s">
        <v>162</v>
      </c>
      <c r="F425">
        <v>46321</v>
      </c>
      <c r="G425" t="s">
        <v>149</v>
      </c>
      <c r="H425">
        <v>0</v>
      </c>
      <c r="I425">
        <v>0</v>
      </c>
      <c r="J425">
        <v>5.221242811327706E-2</v>
      </c>
      <c r="K425">
        <v>5.221242811327706E-2</v>
      </c>
      <c r="L425">
        <v>0.88235294117647045</v>
      </c>
      <c r="M425" t="s">
        <v>125</v>
      </c>
    </row>
    <row r="426" spans="1:13" x14ac:dyDescent="0.25">
      <c r="A426" s="1">
        <v>46321</v>
      </c>
      <c r="B426" t="s">
        <v>97</v>
      </c>
      <c r="C426" t="s">
        <v>11</v>
      </c>
      <c r="D426">
        <v>0</v>
      </c>
      <c r="E426" t="s">
        <v>162</v>
      </c>
      <c r="F426">
        <v>46321</v>
      </c>
      <c r="G426" t="s">
        <v>149</v>
      </c>
      <c r="H426">
        <v>0</v>
      </c>
      <c r="I426">
        <v>0</v>
      </c>
      <c r="J426">
        <v>0</v>
      </c>
      <c r="K426">
        <v>0</v>
      </c>
      <c r="L426">
        <v>0</v>
      </c>
      <c r="M426" t="s">
        <v>125</v>
      </c>
    </row>
    <row r="427" spans="1:13" x14ac:dyDescent="0.25">
      <c r="A427" s="1">
        <v>46321</v>
      </c>
      <c r="B427" t="s">
        <v>97</v>
      </c>
      <c r="C427" t="s">
        <v>12</v>
      </c>
      <c r="D427">
        <v>1.4293352706784377</v>
      </c>
      <c r="E427" t="s">
        <v>162</v>
      </c>
      <c r="F427">
        <v>46321</v>
      </c>
      <c r="G427" t="s">
        <v>149</v>
      </c>
      <c r="H427">
        <v>0</v>
      </c>
      <c r="I427">
        <v>0</v>
      </c>
      <c r="J427">
        <v>0.49507921531511595</v>
      </c>
      <c r="K427">
        <v>0.49507921531511595</v>
      </c>
      <c r="L427">
        <v>0.93425605536332168</v>
      </c>
      <c r="M427" t="s">
        <v>125</v>
      </c>
    </row>
    <row r="428" spans="1:13" x14ac:dyDescent="0.25">
      <c r="A428" s="1">
        <v>46293</v>
      </c>
      <c r="B428" t="s">
        <v>13</v>
      </c>
      <c r="C428" t="s">
        <v>12</v>
      </c>
      <c r="D428">
        <v>2.4372947976878616</v>
      </c>
      <c r="E428" t="s">
        <v>162</v>
      </c>
      <c r="F428">
        <v>46293</v>
      </c>
      <c r="G428" t="s">
        <v>149</v>
      </c>
      <c r="H428">
        <v>0</v>
      </c>
      <c r="I428">
        <v>0</v>
      </c>
      <c r="J428">
        <v>0.49900183344333982</v>
      </c>
      <c r="K428">
        <v>0.49900183344333982</v>
      </c>
      <c r="L428">
        <v>1.9382929642445217</v>
      </c>
      <c r="M428" t="s">
        <v>125</v>
      </c>
    </row>
    <row r="429" spans="1:13" x14ac:dyDescent="0.25">
      <c r="A429" s="1">
        <v>46293</v>
      </c>
      <c r="B429" t="s">
        <v>13</v>
      </c>
      <c r="C429" t="s">
        <v>11</v>
      </c>
      <c r="D429">
        <v>2.7622674373795766</v>
      </c>
      <c r="E429" t="s">
        <v>162</v>
      </c>
      <c r="F429">
        <v>46293</v>
      </c>
      <c r="G429" t="s">
        <v>149</v>
      </c>
      <c r="H429">
        <v>0</v>
      </c>
      <c r="I429">
        <v>0</v>
      </c>
      <c r="J429">
        <v>0.75442430012467476</v>
      </c>
      <c r="K429">
        <v>0.75442430012467476</v>
      </c>
      <c r="L429">
        <v>2.0078431372549019</v>
      </c>
      <c r="M429" t="s">
        <v>125</v>
      </c>
    </row>
    <row r="430" spans="1:13" x14ac:dyDescent="0.25">
      <c r="A430" s="1">
        <v>46293</v>
      </c>
      <c r="B430" t="s">
        <v>13</v>
      </c>
      <c r="C430" t="s">
        <v>10</v>
      </c>
      <c r="D430">
        <v>2.589625722543353</v>
      </c>
      <c r="E430" t="s">
        <v>162</v>
      </c>
      <c r="F430">
        <v>46293</v>
      </c>
      <c r="G430" t="s">
        <v>149</v>
      </c>
      <c r="H430">
        <v>0</v>
      </c>
      <c r="I430">
        <v>0</v>
      </c>
      <c r="J430">
        <v>1.7042090558766863</v>
      </c>
      <c r="K430">
        <v>1.7042090558766863</v>
      </c>
      <c r="L430">
        <v>0.88541666666666674</v>
      </c>
      <c r="M430" t="s">
        <v>125</v>
      </c>
    </row>
    <row r="431" spans="1:13" x14ac:dyDescent="0.25">
      <c r="A431" s="1">
        <v>46294</v>
      </c>
      <c r="B431" t="s">
        <v>13</v>
      </c>
      <c r="C431" t="s">
        <v>10</v>
      </c>
      <c r="D431">
        <v>3.7321076589595386</v>
      </c>
      <c r="E431" t="s">
        <v>162</v>
      </c>
      <c r="F431">
        <v>46294</v>
      </c>
      <c r="G431" t="s">
        <v>149</v>
      </c>
      <c r="H431">
        <v>0</v>
      </c>
      <c r="I431">
        <v>0</v>
      </c>
      <c r="J431">
        <v>1.725980207979146</v>
      </c>
      <c r="K431">
        <v>1.725980207979146</v>
      </c>
      <c r="L431">
        <v>2.0061274509803924</v>
      </c>
      <c r="M431" t="s">
        <v>126</v>
      </c>
    </row>
    <row r="432" spans="1:13" x14ac:dyDescent="0.25">
      <c r="A432" s="1">
        <v>46294</v>
      </c>
      <c r="B432" t="s">
        <v>13</v>
      </c>
      <c r="C432" t="s">
        <v>11</v>
      </c>
      <c r="D432">
        <v>2.7622674373795766</v>
      </c>
      <c r="E432" t="s">
        <v>162</v>
      </c>
      <c r="F432">
        <v>46294</v>
      </c>
      <c r="G432" t="s">
        <v>149</v>
      </c>
      <c r="H432">
        <v>0</v>
      </c>
      <c r="I432">
        <v>0</v>
      </c>
      <c r="J432">
        <v>0.75442430012467476</v>
      </c>
      <c r="K432">
        <v>0.75442430012467476</v>
      </c>
      <c r="L432">
        <v>2.0078431372549019</v>
      </c>
      <c r="M432" t="s">
        <v>126</v>
      </c>
    </row>
    <row r="433" spans="1:13" x14ac:dyDescent="0.25">
      <c r="A433" s="1">
        <v>46294</v>
      </c>
      <c r="B433" t="s">
        <v>13</v>
      </c>
      <c r="C433" t="s">
        <v>12</v>
      </c>
      <c r="D433">
        <v>2.4372947976878616</v>
      </c>
      <c r="E433" t="s">
        <v>162</v>
      </c>
      <c r="F433">
        <v>46294</v>
      </c>
      <c r="G433" t="s">
        <v>149</v>
      </c>
      <c r="H433">
        <v>0</v>
      </c>
      <c r="I433">
        <v>0</v>
      </c>
      <c r="J433">
        <v>0.3323351667766733</v>
      </c>
      <c r="K433">
        <v>0.3323351667766733</v>
      </c>
      <c r="L433">
        <v>2.1049596309111882</v>
      </c>
      <c r="M433" t="s">
        <v>126</v>
      </c>
    </row>
    <row r="434" spans="1:13" x14ac:dyDescent="0.25">
      <c r="A434" s="1">
        <v>46295</v>
      </c>
      <c r="B434" t="s">
        <v>13</v>
      </c>
      <c r="C434" t="s">
        <v>10</v>
      </c>
      <c r="D434">
        <v>2.5134602601156071</v>
      </c>
      <c r="E434" t="s">
        <v>162</v>
      </c>
      <c r="F434">
        <v>46295</v>
      </c>
      <c r="G434" t="s">
        <v>149</v>
      </c>
      <c r="H434">
        <v>7.9969644791150651E-2</v>
      </c>
      <c r="I434">
        <v>7.9969644791150651E-2</v>
      </c>
      <c r="J434">
        <v>0</v>
      </c>
      <c r="K434">
        <v>0</v>
      </c>
      <c r="L434">
        <v>0</v>
      </c>
      <c r="M434" t="s">
        <v>127</v>
      </c>
    </row>
    <row r="435" spans="1:13" x14ac:dyDescent="0.25">
      <c r="A435" s="1">
        <v>46295</v>
      </c>
      <c r="B435" t="s">
        <v>13</v>
      </c>
      <c r="C435" t="s">
        <v>11</v>
      </c>
      <c r="D435">
        <v>2.7622674373795766</v>
      </c>
      <c r="E435" t="s">
        <v>162</v>
      </c>
      <c r="F435">
        <v>46295</v>
      </c>
      <c r="G435" t="s">
        <v>149</v>
      </c>
      <c r="H435">
        <v>0</v>
      </c>
      <c r="I435">
        <v>0</v>
      </c>
      <c r="J435">
        <v>0.75442430012467476</v>
      </c>
      <c r="K435">
        <v>0.75442430012467476</v>
      </c>
      <c r="L435">
        <v>2.0078431372549019</v>
      </c>
      <c r="M435" t="s">
        <v>127</v>
      </c>
    </row>
    <row r="436" spans="1:13" x14ac:dyDescent="0.25">
      <c r="A436" s="1">
        <v>46295</v>
      </c>
      <c r="B436" t="s">
        <v>13</v>
      </c>
      <c r="C436" t="s">
        <v>12</v>
      </c>
      <c r="D436">
        <v>2.4372947976878616</v>
      </c>
      <c r="E436" t="s">
        <v>162</v>
      </c>
      <c r="F436">
        <v>46295</v>
      </c>
      <c r="G436" t="s">
        <v>149</v>
      </c>
      <c r="H436">
        <v>4.0953870561999395E-4</v>
      </c>
      <c r="I436">
        <v>4.0953870561999395E-4</v>
      </c>
      <c r="J436">
        <v>0</v>
      </c>
      <c r="K436">
        <v>0</v>
      </c>
      <c r="L436">
        <v>0</v>
      </c>
      <c r="M436" t="s">
        <v>127</v>
      </c>
    </row>
    <row r="437" spans="1:13" x14ac:dyDescent="0.25">
      <c r="A437" s="1">
        <v>46296</v>
      </c>
      <c r="B437" t="s">
        <v>13</v>
      </c>
      <c r="C437" t="s">
        <v>12</v>
      </c>
      <c r="D437">
        <v>2.4372947976878616</v>
      </c>
      <c r="E437" t="s">
        <v>162</v>
      </c>
      <c r="F437">
        <v>46296</v>
      </c>
      <c r="G437" t="s">
        <v>149</v>
      </c>
      <c r="H437">
        <v>0</v>
      </c>
      <c r="I437">
        <v>0</v>
      </c>
      <c r="J437">
        <v>0.55494185651139127</v>
      </c>
      <c r="K437">
        <v>0.55494185651139127</v>
      </c>
      <c r="L437">
        <v>1.8823529411764703</v>
      </c>
      <c r="M437" t="s">
        <v>128</v>
      </c>
    </row>
    <row r="438" spans="1:13" x14ac:dyDescent="0.25">
      <c r="A438" s="1">
        <v>46296</v>
      </c>
      <c r="B438" t="s">
        <v>13</v>
      </c>
      <c r="C438" t="s">
        <v>11</v>
      </c>
      <c r="D438">
        <v>2.7622674373795766</v>
      </c>
      <c r="E438" t="s">
        <v>162</v>
      </c>
      <c r="F438">
        <v>46296</v>
      </c>
      <c r="G438" t="s">
        <v>149</v>
      </c>
      <c r="H438">
        <v>0</v>
      </c>
      <c r="I438">
        <v>0</v>
      </c>
      <c r="J438">
        <v>0.75442430012467476</v>
      </c>
      <c r="K438">
        <v>0.75442430012467476</v>
      </c>
      <c r="L438">
        <v>2.0078431372549019</v>
      </c>
      <c r="M438" t="s">
        <v>128</v>
      </c>
    </row>
    <row r="439" spans="1:13" x14ac:dyDescent="0.25">
      <c r="A439" s="1">
        <v>46296</v>
      </c>
      <c r="B439" t="s">
        <v>13</v>
      </c>
      <c r="C439" t="s">
        <v>10</v>
      </c>
      <c r="D439">
        <v>3.8844385838150295</v>
      </c>
      <c r="E439" t="s">
        <v>162</v>
      </c>
      <c r="F439">
        <v>46296</v>
      </c>
      <c r="G439" t="s">
        <v>149</v>
      </c>
      <c r="H439">
        <v>0</v>
      </c>
      <c r="I439">
        <v>0</v>
      </c>
      <c r="J439">
        <v>2.7667915249915001</v>
      </c>
      <c r="K439">
        <v>2.7667915249915001</v>
      </c>
      <c r="L439">
        <v>1.1176470588235294</v>
      </c>
      <c r="M439" t="s">
        <v>128</v>
      </c>
    </row>
    <row r="440" spans="1:13" x14ac:dyDescent="0.25">
      <c r="A440" s="1">
        <v>46297</v>
      </c>
      <c r="B440" t="s">
        <v>13</v>
      </c>
      <c r="C440" t="s">
        <v>10</v>
      </c>
      <c r="D440">
        <v>3.8082731213872831</v>
      </c>
      <c r="E440" t="s">
        <v>162</v>
      </c>
      <c r="F440">
        <v>46297</v>
      </c>
      <c r="G440" t="s">
        <v>149</v>
      </c>
      <c r="H440">
        <v>0</v>
      </c>
      <c r="I440">
        <v>0</v>
      </c>
      <c r="J440">
        <v>1.8021456704068906</v>
      </c>
      <c r="K440">
        <v>1.8021456704068906</v>
      </c>
      <c r="L440">
        <v>2.0061274509803924</v>
      </c>
      <c r="M440" t="s">
        <v>129</v>
      </c>
    </row>
    <row r="441" spans="1:13" x14ac:dyDescent="0.25">
      <c r="A441" s="1">
        <v>46297</v>
      </c>
      <c r="B441" t="s">
        <v>13</v>
      </c>
      <c r="C441" t="s">
        <v>11</v>
      </c>
      <c r="D441">
        <v>2.7622674373795766</v>
      </c>
      <c r="E441" t="s">
        <v>162</v>
      </c>
      <c r="F441">
        <v>46297</v>
      </c>
      <c r="G441" t="s">
        <v>149</v>
      </c>
      <c r="H441">
        <v>0</v>
      </c>
      <c r="I441">
        <v>0</v>
      </c>
      <c r="J441">
        <v>0.75442430012467476</v>
      </c>
      <c r="K441">
        <v>0.75442430012467476</v>
      </c>
      <c r="L441">
        <v>2.0078431372549019</v>
      </c>
      <c r="M441" t="s">
        <v>129</v>
      </c>
    </row>
    <row r="442" spans="1:13" x14ac:dyDescent="0.25">
      <c r="A442" s="1">
        <v>46297</v>
      </c>
      <c r="B442" t="s">
        <v>13</v>
      </c>
      <c r="C442" t="s">
        <v>12</v>
      </c>
      <c r="D442">
        <v>2.4372947976878616</v>
      </c>
      <c r="E442" t="s">
        <v>162</v>
      </c>
      <c r="F442">
        <v>46297</v>
      </c>
      <c r="G442" t="s">
        <v>149</v>
      </c>
      <c r="H442">
        <v>0</v>
      </c>
      <c r="I442">
        <v>0</v>
      </c>
      <c r="J442">
        <v>0.3323351667766733</v>
      </c>
      <c r="K442">
        <v>0.3323351667766733</v>
      </c>
      <c r="L442">
        <v>2.1049596309111882</v>
      </c>
      <c r="M442" t="s">
        <v>129</v>
      </c>
    </row>
    <row r="443" spans="1:13" x14ac:dyDescent="0.25">
      <c r="A443" s="1">
        <v>46298</v>
      </c>
      <c r="B443" t="s">
        <v>13</v>
      </c>
      <c r="C443" t="s">
        <v>10</v>
      </c>
      <c r="D443">
        <v>0</v>
      </c>
      <c r="E443" t="s">
        <v>162</v>
      </c>
      <c r="F443">
        <v>46298</v>
      </c>
      <c r="G443" t="s">
        <v>149</v>
      </c>
      <c r="H443">
        <v>0</v>
      </c>
      <c r="I443">
        <v>0</v>
      </c>
      <c r="J443">
        <v>0</v>
      </c>
      <c r="K443">
        <v>0</v>
      </c>
      <c r="L443">
        <v>0</v>
      </c>
      <c r="M443" t="s">
        <v>119</v>
      </c>
    </row>
    <row r="444" spans="1:13" x14ac:dyDescent="0.25">
      <c r="A444" s="1">
        <v>46298</v>
      </c>
      <c r="B444" t="s">
        <v>13</v>
      </c>
      <c r="C444" t="s">
        <v>11</v>
      </c>
      <c r="D444">
        <v>2.7622674373795766</v>
      </c>
      <c r="E444" t="s">
        <v>162</v>
      </c>
      <c r="F444">
        <v>46298</v>
      </c>
      <c r="G444" t="s">
        <v>149</v>
      </c>
      <c r="H444">
        <v>0</v>
      </c>
      <c r="I444">
        <v>0</v>
      </c>
      <c r="J444">
        <v>0.75442430012467476</v>
      </c>
      <c r="K444">
        <v>0.75442430012467476</v>
      </c>
      <c r="L444">
        <v>2.0078431372549019</v>
      </c>
      <c r="M444" t="s">
        <v>119</v>
      </c>
    </row>
    <row r="445" spans="1:13" x14ac:dyDescent="0.25">
      <c r="A445" s="1">
        <v>46298</v>
      </c>
      <c r="B445" t="s">
        <v>13</v>
      </c>
      <c r="C445" t="s">
        <v>12</v>
      </c>
      <c r="D445">
        <v>2.4372947976878616</v>
      </c>
      <c r="E445" t="s">
        <v>162</v>
      </c>
      <c r="F445">
        <v>46298</v>
      </c>
      <c r="G445" t="s">
        <v>149</v>
      </c>
      <c r="H445">
        <v>0</v>
      </c>
      <c r="I445">
        <v>0</v>
      </c>
      <c r="J445">
        <v>0.4442152129127751</v>
      </c>
      <c r="K445">
        <v>0.4442152129127751</v>
      </c>
      <c r="L445">
        <v>1.9930795847750864</v>
      </c>
      <c r="M445" t="s">
        <v>119</v>
      </c>
    </row>
    <row r="446" spans="1:13" x14ac:dyDescent="0.25">
      <c r="A446" s="1">
        <v>46299</v>
      </c>
      <c r="B446" t="s">
        <v>13</v>
      </c>
      <c r="C446" t="s">
        <v>10</v>
      </c>
      <c r="D446">
        <v>0</v>
      </c>
      <c r="E446" t="s">
        <v>162</v>
      </c>
      <c r="F446">
        <v>46299</v>
      </c>
      <c r="G446" t="s">
        <v>149</v>
      </c>
      <c r="H446">
        <v>0</v>
      </c>
      <c r="I446">
        <v>0</v>
      </c>
      <c r="J446">
        <v>0</v>
      </c>
      <c r="K446">
        <v>0</v>
      </c>
      <c r="L446">
        <v>0</v>
      </c>
      <c r="M446" t="s">
        <v>120</v>
      </c>
    </row>
    <row r="447" spans="1:13" x14ac:dyDescent="0.25">
      <c r="A447" s="1">
        <v>46299</v>
      </c>
      <c r="B447" t="s">
        <v>13</v>
      </c>
      <c r="C447" t="s">
        <v>12</v>
      </c>
      <c r="D447">
        <v>2.4372947976878616</v>
      </c>
      <c r="E447" t="s">
        <v>162</v>
      </c>
      <c r="F447">
        <v>46299</v>
      </c>
      <c r="G447" t="s">
        <v>149</v>
      </c>
      <c r="H447">
        <v>0</v>
      </c>
      <c r="I447">
        <v>0</v>
      </c>
      <c r="J447">
        <v>0.4442152129127751</v>
      </c>
      <c r="K447">
        <v>0.4442152129127751</v>
      </c>
      <c r="L447">
        <v>1.9930795847750864</v>
      </c>
      <c r="M447" t="s">
        <v>120</v>
      </c>
    </row>
    <row r="448" spans="1:13" x14ac:dyDescent="0.25">
      <c r="A448" s="1">
        <v>46299</v>
      </c>
      <c r="B448" t="s">
        <v>13</v>
      </c>
      <c r="C448" t="s">
        <v>11</v>
      </c>
      <c r="D448">
        <v>2.7622674373795766</v>
      </c>
      <c r="E448" t="s">
        <v>162</v>
      </c>
      <c r="F448">
        <v>46299</v>
      </c>
      <c r="G448" t="s">
        <v>149</v>
      </c>
      <c r="H448">
        <v>0</v>
      </c>
      <c r="I448">
        <v>0</v>
      </c>
      <c r="J448">
        <v>0.75442430012467476</v>
      </c>
      <c r="K448">
        <v>0.75442430012467476</v>
      </c>
      <c r="L448">
        <v>2.0078431372549019</v>
      </c>
      <c r="M448" t="s">
        <v>120</v>
      </c>
    </row>
    <row r="449" spans="1:13" x14ac:dyDescent="0.25">
      <c r="A449" s="1">
        <v>46300</v>
      </c>
      <c r="B449" t="s">
        <v>13</v>
      </c>
      <c r="C449" t="s">
        <v>11</v>
      </c>
      <c r="D449">
        <v>2.7622674373795766</v>
      </c>
      <c r="E449" t="s">
        <v>162</v>
      </c>
      <c r="F449">
        <v>46300</v>
      </c>
      <c r="G449" t="s">
        <v>149</v>
      </c>
      <c r="H449">
        <v>0</v>
      </c>
      <c r="I449">
        <v>0</v>
      </c>
      <c r="J449">
        <v>0.75420643520092756</v>
      </c>
      <c r="K449">
        <v>0.75420643520092756</v>
      </c>
      <c r="L449">
        <v>2.0080610021786489</v>
      </c>
      <c r="M449" t="s">
        <v>125</v>
      </c>
    </row>
    <row r="450" spans="1:13" x14ac:dyDescent="0.25">
      <c r="A450" s="1">
        <v>46300</v>
      </c>
      <c r="B450" t="s">
        <v>13</v>
      </c>
      <c r="C450" t="s">
        <v>10</v>
      </c>
      <c r="D450">
        <v>2.5134602601156071</v>
      </c>
      <c r="E450" t="s">
        <v>162</v>
      </c>
      <c r="F450">
        <v>46300</v>
      </c>
      <c r="G450" t="s">
        <v>149</v>
      </c>
      <c r="H450">
        <v>0</v>
      </c>
      <c r="I450">
        <v>0</v>
      </c>
      <c r="J450">
        <v>0.51346026011560708</v>
      </c>
      <c r="K450">
        <v>0.51346026011560708</v>
      </c>
      <c r="L450">
        <v>2</v>
      </c>
      <c r="M450" t="s">
        <v>125</v>
      </c>
    </row>
    <row r="451" spans="1:13" x14ac:dyDescent="0.25">
      <c r="A451" s="1">
        <v>46300</v>
      </c>
      <c r="B451" t="s">
        <v>13</v>
      </c>
      <c r="C451" t="s">
        <v>12</v>
      </c>
      <c r="D451">
        <v>2.5089799387963283</v>
      </c>
      <c r="E451" t="s">
        <v>162</v>
      </c>
      <c r="F451">
        <v>46300</v>
      </c>
      <c r="G451" t="s">
        <v>149</v>
      </c>
      <c r="H451">
        <v>0</v>
      </c>
      <c r="I451">
        <v>0</v>
      </c>
      <c r="J451">
        <v>0.45726905836572479</v>
      </c>
      <c r="K451">
        <v>0.45726905836572479</v>
      </c>
      <c r="L451">
        <v>2.0517108804306035</v>
      </c>
      <c r="M451" t="s">
        <v>125</v>
      </c>
    </row>
    <row r="452" spans="1:13" x14ac:dyDescent="0.25">
      <c r="A452" s="1">
        <v>46301</v>
      </c>
      <c r="B452" t="s">
        <v>13</v>
      </c>
      <c r="C452" t="s">
        <v>12</v>
      </c>
      <c r="D452">
        <v>2.4372947976878616</v>
      </c>
      <c r="E452" t="s">
        <v>162</v>
      </c>
      <c r="F452">
        <v>46301</v>
      </c>
      <c r="G452" t="s">
        <v>149</v>
      </c>
      <c r="H452">
        <v>0</v>
      </c>
      <c r="I452">
        <v>0</v>
      </c>
      <c r="J452">
        <v>0.38827518984472448</v>
      </c>
      <c r="K452">
        <v>0.38827518984472448</v>
      </c>
      <c r="L452">
        <v>2.0490196078431371</v>
      </c>
      <c r="M452" t="s">
        <v>126</v>
      </c>
    </row>
    <row r="453" spans="1:13" x14ac:dyDescent="0.25">
      <c r="A453" s="1">
        <v>46301</v>
      </c>
      <c r="B453" t="s">
        <v>13</v>
      </c>
      <c r="C453" t="s">
        <v>11</v>
      </c>
      <c r="D453">
        <v>2.7622674373795766</v>
      </c>
      <c r="E453" t="s">
        <v>162</v>
      </c>
      <c r="F453">
        <v>46301</v>
      </c>
      <c r="G453" t="s">
        <v>149</v>
      </c>
      <c r="H453">
        <v>0</v>
      </c>
      <c r="I453">
        <v>0</v>
      </c>
      <c r="J453">
        <v>0.75442430012467476</v>
      </c>
      <c r="K453">
        <v>0.75442430012467476</v>
      </c>
      <c r="L453">
        <v>2.0078431372549019</v>
      </c>
      <c r="M453" t="s">
        <v>126</v>
      </c>
    </row>
    <row r="454" spans="1:13" x14ac:dyDescent="0.25">
      <c r="A454" s="1">
        <v>46301</v>
      </c>
      <c r="B454" t="s">
        <v>13</v>
      </c>
      <c r="C454" t="s">
        <v>10</v>
      </c>
      <c r="D454">
        <v>3.8082731213872831</v>
      </c>
      <c r="E454" t="s">
        <v>162</v>
      </c>
      <c r="F454">
        <v>46301</v>
      </c>
      <c r="G454" t="s">
        <v>149</v>
      </c>
      <c r="H454">
        <v>0</v>
      </c>
      <c r="I454">
        <v>0</v>
      </c>
      <c r="J454">
        <v>1.8052093958970874</v>
      </c>
      <c r="K454">
        <v>1.8052093958970874</v>
      </c>
      <c r="L454">
        <v>2.003063725490196</v>
      </c>
      <c r="M454" t="s">
        <v>126</v>
      </c>
    </row>
    <row r="455" spans="1:13" x14ac:dyDescent="0.25">
      <c r="A455" s="1">
        <v>46302</v>
      </c>
      <c r="B455" t="s">
        <v>13</v>
      </c>
      <c r="C455" t="s">
        <v>12</v>
      </c>
      <c r="D455">
        <v>2.4372947976878616</v>
      </c>
      <c r="E455" t="s">
        <v>162</v>
      </c>
      <c r="F455">
        <v>46302</v>
      </c>
      <c r="G455" t="s">
        <v>149</v>
      </c>
      <c r="H455">
        <v>0</v>
      </c>
      <c r="I455">
        <v>0</v>
      </c>
      <c r="J455">
        <v>0.49900183344333982</v>
      </c>
      <c r="K455">
        <v>0.49900183344333982</v>
      </c>
      <c r="L455">
        <v>1.9382929642445217</v>
      </c>
      <c r="M455" t="s">
        <v>127</v>
      </c>
    </row>
    <row r="456" spans="1:13" x14ac:dyDescent="0.25">
      <c r="A456" s="1">
        <v>46302</v>
      </c>
      <c r="B456" t="s">
        <v>13</v>
      </c>
      <c r="C456" t="s">
        <v>11</v>
      </c>
      <c r="D456">
        <v>2.7622674373795766</v>
      </c>
      <c r="E456" t="s">
        <v>162</v>
      </c>
      <c r="F456">
        <v>46302</v>
      </c>
      <c r="G456" t="s">
        <v>149</v>
      </c>
      <c r="H456">
        <v>0</v>
      </c>
      <c r="I456">
        <v>0</v>
      </c>
      <c r="J456">
        <v>0.75442430012467476</v>
      </c>
      <c r="K456">
        <v>0.75442430012467476</v>
      </c>
      <c r="L456">
        <v>2.0078431372549019</v>
      </c>
      <c r="M456" t="s">
        <v>127</v>
      </c>
    </row>
    <row r="457" spans="1:13" x14ac:dyDescent="0.25">
      <c r="A457" s="1">
        <v>46302</v>
      </c>
      <c r="B457" t="s">
        <v>13</v>
      </c>
      <c r="C457" t="s">
        <v>10</v>
      </c>
      <c r="D457">
        <v>3.8844385838150295</v>
      </c>
      <c r="E457" t="s">
        <v>162</v>
      </c>
      <c r="F457">
        <v>46302</v>
      </c>
      <c r="G457" t="s">
        <v>149</v>
      </c>
      <c r="H457">
        <v>0</v>
      </c>
      <c r="I457">
        <v>0</v>
      </c>
      <c r="J457">
        <v>2.7637277995013037</v>
      </c>
      <c r="K457">
        <v>2.7637277995013037</v>
      </c>
      <c r="L457">
        <v>1.1207107843137254</v>
      </c>
      <c r="M457" t="s">
        <v>127</v>
      </c>
    </row>
    <row r="458" spans="1:13" x14ac:dyDescent="0.25">
      <c r="A458" s="1">
        <v>46303</v>
      </c>
      <c r="B458" t="s">
        <v>13</v>
      </c>
      <c r="C458" t="s">
        <v>12</v>
      </c>
      <c r="D458">
        <v>2.4372947976878616</v>
      </c>
      <c r="E458" t="s">
        <v>162</v>
      </c>
      <c r="F458">
        <v>46303</v>
      </c>
      <c r="G458" t="s">
        <v>149</v>
      </c>
      <c r="H458">
        <v>0</v>
      </c>
      <c r="I458">
        <v>0</v>
      </c>
      <c r="J458">
        <v>0.3323351667766733</v>
      </c>
      <c r="K458">
        <v>0.3323351667766733</v>
      </c>
      <c r="L458">
        <v>2.1049596309111882</v>
      </c>
      <c r="M458" t="s">
        <v>128</v>
      </c>
    </row>
    <row r="459" spans="1:13" x14ac:dyDescent="0.25">
      <c r="A459" s="1">
        <v>46303</v>
      </c>
      <c r="B459" t="s">
        <v>13</v>
      </c>
      <c r="C459" t="s">
        <v>11</v>
      </c>
      <c r="D459">
        <v>2.7622674373795766</v>
      </c>
      <c r="E459" t="s">
        <v>162</v>
      </c>
      <c r="F459">
        <v>46303</v>
      </c>
      <c r="G459" t="s">
        <v>149</v>
      </c>
      <c r="H459">
        <v>0</v>
      </c>
      <c r="I459">
        <v>0</v>
      </c>
      <c r="J459">
        <v>0.75442430012467476</v>
      </c>
      <c r="K459">
        <v>0.75442430012467476</v>
      </c>
      <c r="L459">
        <v>2.0078431372549019</v>
      </c>
      <c r="M459" t="s">
        <v>128</v>
      </c>
    </row>
    <row r="460" spans="1:13" x14ac:dyDescent="0.25">
      <c r="A460" s="1">
        <v>46303</v>
      </c>
      <c r="B460" t="s">
        <v>13</v>
      </c>
      <c r="C460" t="s">
        <v>10</v>
      </c>
      <c r="D460">
        <v>2.5134602601156071</v>
      </c>
      <c r="E460" t="s">
        <v>162</v>
      </c>
      <c r="F460">
        <v>46303</v>
      </c>
      <c r="G460" t="s">
        <v>149</v>
      </c>
      <c r="H460">
        <v>0</v>
      </c>
      <c r="I460">
        <v>0</v>
      </c>
      <c r="J460">
        <v>0.50733280913521461</v>
      </c>
      <c r="K460">
        <v>0.50733280913521461</v>
      </c>
      <c r="L460">
        <v>2.0061274509803924</v>
      </c>
      <c r="M460" t="s">
        <v>128</v>
      </c>
    </row>
    <row r="461" spans="1:13" x14ac:dyDescent="0.25">
      <c r="A461" s="1">
        <v>46304</v>
      </c>
      <c r="B461" t="s">
        <v>13</v>
      </c>
      <c r="C461" t="s">
        <v>10</v>
      </c>
      <c r="D461">
        <v>3.7321076589595386</v>
      </c>
      <c r="E461" t="s">
        <v>162</v>
      </c>
      <c r="F461">
        <v>46304</v>
      </c>
      <c r="G461" t="s">
        <v>149</v>
      </c>
      <c r="H461">
        <v>0</v>
      </c>
      <c r="I461">
        <v>0</v>
      </c>
      <c r="J461">
        <v>1.7290439334693428</v>
      </c>
      <c r="K461">
        <v>1.7290439334693428</v>
      </c>
      <c r="L461">
        <v>2.003063725490196</v>
      </c>
      <c r="M461" t="s">
        <v>129</v>
      </c>
    </row>
    <row r="462" spans="1:13" x14ac:dyDescent="0.25">
      <c r="A462" s="1">
        <v>46304</v>
      </c>
      <c r="B462" t="s">
        <v>13</v>
      </c>
      <c r="C462" t="s">
        <v>11</v>
      </c>
      <c r="D462">
        <v>2.7622674373795766</v>
      </c>
      <c r="E462" t="s">
        <v>162</v>
      </c>
      <c r="F462">
        <v>46304</v>
      </c>
      <c r="G462" t="s">
        <v>149</v>
      </c>
      <c r="H462">
        <v>0</v>
      </c>
      <c r="I462">
        <v>0</v>
      </c>
      <c r="J462">
        <v>0.75442430012467476</v>
      </c>
      <c r="K462">
        <v>0.75442430012467476</v>
      </c>
      <c r="L462">
        <v>2.0078431372549019</v>
      </c>
      <c r="M462" t="s">
        <v>129</v>
      </c>
    </row>
    <row r="463" spans="1:13" x14ac:dyDescent="0.25">
      <c r="A463" s="1">
        <v>46304</v>
      </c>
      <c r="B463" t="s">
        <v>13</v>
      </c>
      <c r="C463" t="s">
        <v>12</v>
      </c>
      <c r="D463">
        <v>2.4372947976878616</v>
      </c>
      <c r="E463" t="s">
        <v>162</v>
      </c>
      <c r="F463">
        <v>46304</v>
      </c>
      <c r="G463" t="s">
        <v>149</v>
      </c>
      <c r="H463">
        <v>0</v>
      </c>
      <c r="I463">
        <v>0</v>
      </c>
      <c r="J463">
        <v>0.38827518984472448</v>
      </c>
      <c r="K463">
        <v>0.38827518984472448</v>
      </c>
      <c r="L463">
        <v>2.0490196078431371</v>
      </c>
      <c r="M463" t="s">
        <v>129</v>
      </c>
    </row>
    <row r="464" spans="1:13" x14ac:dyDescent="0.25">
      <c r="A464" s="1">
        <v>46305</v>
      </c>
      <c r="B464" t="s">
        <v>13</v>
      </c>
      <c r="C464" t="s">
        <v>12</v>
      </c>
      <c r="D464">
        <v>2.4372947976878616</v>
      </c>
      <c r="E464" t="s">
        <v>162</v>
      </c>
      <c r="F464">
        <v>46305</v>
      </c>
      <c r="G464" t="s">
        <v>149</v>
      </c>
      <c r="H464">
        <v>0</v>
      </c>
      <c r="I464">
        <v>0</v>
      </c>
      <c r="J464">
        <v>0.66566850011000633</v>
      </c>
      <c r="K464">
        <v>0.66566850011000633</v>
      </c>
      <c r="L464">
        <v>1.7716262975778554</v>
      </c>
      <c r="M464" t="s">
        <v>119</v>
      </c>
    </row>
    <row r="465" spans="1:13" x14ac:dyDescent="0.25">
      <c r="A465" s="1">
        <v>46305</v>
      </c>
      <c r="B465" t="s">
        <v>13</v>
      </c>
      <c r="C465" t="s">
        <v>10</v>
      </c>
      <c r="D465">
        <v>0</v>
      </c>
      <c r="E465" t="s">
        <v>162</v>
      </c>
      <c r="F465">
        <v>46305</v>
      </c>
      <c r="G465" t="s">
        <v>149</v>
      </c>
      <c r="H465">
        <v>0</v>
      </c>
      <c r="I465">
        <v>0</v>
      </c>
      <c r="J465">
        <v>0</v>
      </c>
      <c r="K465">
        <v>0</v>
      </c>
      <c r="L465">
        <v>0</v>
      </c>
      <c r="M465" t="s">
        <v>119</v>
      </c>
    </row>
    <row r="466" spans="1:13" x14ac:dyDescent="0.25">
      <c r="A466" s="1">
        <v>46305</v>
      </c>
      <c r="B466" t="s">
        <v>13</v>
      </c>
      <c r="C466" t="s">
        <v>11</v>
      </c>
      <c r="D466">
        <v>2.5997811175337189</v>
      </c>
      <c r="E466" t="s">
        <v>162</v>
      </c>
      <c r="F466">
        <v>46305</v>
      </c>
      <c r="G466" t="s">
        <v>149</v>
      </c>
      <c r="H466">
        <v>0</v>
      </c>
      <c r="I466">
        <v>0</v>
      </c>
      <c r="J466">
        <v>0.59193798027881706</v>
      </c>
      <c r="K466">
        <v>0.59193798027881706</v>
      </c>
      <c r="L466">
        <v>2.0078431372549019</v>
      </c>
      <c r="M466" t="s">
        <v>119</v>
      </c>
    </row>
    <row r="467" spans="1:13" x14ac:dyDescent="0.25">
      <c r="A467" s="1">
        <v>46306</v>
      </c>
      <c r="B467" t="s">
        <v>13</v>
      </c>
      <c r="C467" t="s">
        <v>12</v>
      </c>
      <c r="D467">
        <v>2.4372947976878616</v>
      </c>
      <c r="E467" t="s">
        <v>162</v>
      </c>
      <c r="F467">
        <v>46306</v>
      </c>
      <c r="G467" t="s">
        <v>149</v>
      </c>
      <c r="H467">
        <v>0</v>
      </c>
      <c r="I467">
        <v>0</v>
      </c>
      <c r="J467">
        <v>0.66566850011000689</v>
      </c>
      <c r="K467">
        <v>0.66566850011000689</v>
      </c>
      <c r="L467">
        <v>1.7716262975778547</v>
      </c>
      <c r="M467" t="s">
        <v>120</v>
      </c>
    </row>
    <row r="468" spans="1:13" x14ac:dyDescent="0.25">
      <c r="A468" s="1">
        <v>46306</v>
      </c>
      <c r="B468" t="s">
        <v>13</v>
      </c>
      <c r="C468" t="s">
        <v>11</v>
      </c>
      <c r="D468">
        <v>2.7622674373795766</v>
      </c>
      <c r="E468" t="s">
        <v>162</v>
      </c>
      <c r="F468">
        <v>46306</v>
      </c>
      <c r="G468" t="s">
        <v>149</v>
      </c>
      <c r="H468">
        <v>0</v>
      </c>
      <c r="I468">
        <v>0</v>
      </c>
      <c r="J468">
        <v>0.75442430012467476</v>
      </c>
      <c r="K468">
        <v>0.75442430012467476</v>
      </c>
      <c r="L468">
        <v>2.0078431372549019</v>
      </c>
      <c r="M468" t="s">
        <v>120</v>
      </c>
    </row>
    <row r="469" spans="1:13" x14ac:dyDescent="0.25">
      <c r="A469" s="1">
        <v>46306</v>
      </c>
      <c r="B469" t="s">
        <v>13</v>
      </c>
      <c r="C469" t="s">
        <v>10</v>
      </c>
      <c r="D469">
        <v>0</v>
      </c>
      <c r="E469" t="s">
        <v>162</v>
      </c>
      <c r="F469">
        <v>46306</v>
      </c>
      <c r="G469" t="s">
        <v>149</v>
      </c>
      <c r="H469">
        <v>0</v>
      </c>
      <c r="I469">
        <v>0</v>
      </c>
      <c r="J469">
        <v>0</v>
      </c>
      <c r="K469">
        <v>0</v>
      </c>
      <c r="L469">
        <v>0</v>
      </c>
      <c r="M469" t="s">
        <v>120</v>
      </c>
    </row>
    <row r="470" spans="1:13" x14ac:dyDescent="0.25">
      <c r="A470" s="1">
        <v>46307</v>
      </c>
      <c r="B470" t="s">
        <v>13</v>
      </c>
      <c r="C470" t="s">
        <v>12</v>
      </c>
      <c r="D470">
        <v>2.4372947976878616</v>
      </c>
      <c r="E470" t="s">
        <v>162</v>
      </c>
      <c r="F470">
        <v>46307</v>
      </c>
      <c r="G470" t="s">
        <v>149</v>
      </c>
      <c r="H470">
        <v>0</v>
      </c>
      <c r="I470">
        <v>0</v>
      </c>
      <c r="J470">
        <v>0.38827518984472448</v>
      </c>
      <c r="K470">
        <v>0.38827518984472448</v>
      </c>
      <c r="L470">
        <v>2.0490196078431371</v>
      </c>
      <c r="M470" t="s">
        <v>125</v>
      </c>
    </row>
    <row r="471" spans="1:13" x14ac:dyDescent="0.25">
      <c r="A471" s="1">
        <v>46307</v>
      </c>
      <c r="B471" t="s">
        <v>13</v>
      </c>
      <c r="C471" t="s">
        <v>10</v>
      </c>
      <c r="D471">
        <v>2.589625722543353</v>
      </c>
      <c r="E471" t="s">
        <v>162</v>
      </c>
      <c r="F471">
        <v>46307</v>
      </c>
      <c r="G471" t="s">
        <v>149</v>
      </c>
      <c r="H471">
        <v>0</v>
      </c>
      <c r="I471">
        <v>0</v>
      </c>
      <c r="J471">
        <v>0.58656199705315692</v>
      </c>
      <c r="K471">
        <v>0.58656199705315692</v>
      </c>
      <c r="L471">
        <v>2.003063725490196</v>
      </c>
      <c r="M471" t="s">
        <v>125</v>
      </c>
    </row>
    <row r="472" spans="1:13" x14ac:dyDescent="0.25">
      <c r="A472" s="1">
        <v>46307</v>
      </c>
      <c r="B472" t="s">
        <v>13</v>
      </c>
      <c r="C472" t="s">
        <v>11</v>
      </c>
      <c r="D472">
        <v>2.7622674373795766</v>
      </c>
      <c r="E472" t="s">
        <v>162</v>
      </c>
      <c r="F472">
        <v>46307</v>
      </c>
      <c r="G472" t="s">
        <v>149</v>
      </c>
      <c r="H472">
        <v>0</v>
      </c>
      <c r="I472">
        <v>0</v>
      </c>
      <c r="J472">
        <v>0.75442430012467476</v>
      </c>
      <c r="K472">
        <v>0.75442430012467476</v>
      </c>
      <c r="L472">
        <v>2.0078431372549019</v>
      </c>
      <c r="M472" t="s">
        <v>125</v>
      </c>
    </row>
    <row r="473" spans="1:13" x14ac:dyDescent="0.25">
      <c r="A473" s="1">
        <v>46308</v>
      </c>
      <c r="B473" t="s">
        <v>13</v>
      </c>
      <c r="C473" t="s">
        <v>10</v>
      </c>
      <c r="D473">
        <v>3.7321076589595386</v>
      </c>
      <c r="E473" t="s">
        <v>162</v>
      </c>
      <c r="F473">
        <v>46308</v>
      </c>
      <c r="G473" t="s">
        <v>149</v>
      </c>
      <c r="H473">
        <v>0</v>
      </c>
      <c r="I473">
        <v>0</v>
      </c>
      <c r="J473">
        <v>1.7290439334693428</v>
      </c>
      <c r="K473">
        <v>1.7290439334693428</v>
      </c>
      <c r="L473">
        <v>2.003063725490196</v>
      </c>
      <c r="M473" t="s">
        <v>126</v>
      </c>
    </row>
    <row r="474" spans="1:13" x14ac:dyDescent="0.25">
      <c r="A474" s="1">
        <v>46308</v>
      </c>
      <c r="B474" t="s">
        <v>13</v>
      </c>
      <c r="C474" t="s">
        <v>11</v>
      </c>
      <c r="D474">
        <v>2.7622674373795766</v>
      </c>
      <c r="E474" t="s">
        <v>162</v>
      </c>
      <c r="F474">
        <v>46308</v>
      </c>
      <c r="G474" t="s">
        <v>149</v>
      </c>
      <c r="H474">
        <v>0</v>
      </c>
      <c r="I474">
        <v>0</v>
      </c>
      <c r="J474">
        <v>0.75442430012467476</v>
      </c>
      <c r="K474">
        <v>0.75442430012467476</v>
      </c>
      <c r="L474">
        <v>2.0078431372549019</v>
      </c>
      <c r="M474" t="s">
        <v>126</v>
      </c>
    </row>
    <row r="475" spans="1:13" x14ac:dyDescent="0.25">
      <c r="A475" s="1">
        <v>46308</v>
      </c>
      <c r="B475" t="s">
        <v>13</v>
      </c>
      <c r="C475" t="s">
        <v>12</v>
      </c>
      <c r="D475">
        <v>2.4372947976878616</v>
      </c>
      <c r="E475" t="s">
        <v>162</v>
      </c>
      <c r="F475">
        <v>46308</v>
      </c>
      <c r="G475" t="s">
        <v>149</v>
      </c>
      <c r="H475">
        <v>0</v>
      </c>
      <c r="I475">
        <v>0</v>
      </c>
      <c r="J475">
        <v>0.38827518984472448</v>
      </c>
      <c r="K475">
        <v>0.38827518984472448</v>
      </c>
      <c r="L475">
        <v>2.0490196078431371</v>
      </c>
      <c r="M475" t="s">
        <v>126</v>
      </c>
    </row>
    <row r="476" spans="1:13" x14ac:dyDescent="0.25">
      <c r="A476" s="1">
        <v>46309</v>
      </c>
      <c r="B476" t="s">
        <v>13</v>
      </c>
      <c r="C476" t="s">
        <v>11</v>
      </c>
      <c r="D476">
        <v>2.7622674373795766</v>
      </c>
      <c r="E476" t="s">
        <v>162</v>
      </c>
      <c r="F476">
        <v>46309</v>
      </c>
      <c r="G476" t="s">
        <v>149</v>
      </c>
      <c r="H476">
        <v>0</v>
      </c>
      <c r="I476">
        <v>0</v>
      </c>
      <c r="J476">
        <v>0.75442430012467476</v>
      </c>
      <c r="K476">
        <v>0.75442430012467476</v>
      </c>
      <c r="L476">
        <v>2.0078431372549019</v>
      </c>
      <c r="M476" t="s">
        <v>127</v>
      </c>
    </row>
    <row r="477" spans="1:13" x14ac:dyDescent="0.25">
      <c r="A477" s="1">
        <v>46309</v>
      </c>
      <c r="B477" t="s">
        <v>13</v>
      </c>
      <c r="C477" t="s">
        <v>12</v>
      </c>
      <c r="D477">
        <v>2.4372947976878616</v>
      </c>
      <c r="E477" t="s">
        <v>162</v>
      </c>
      <c r="F477">
        <v>46309</v>
      </c>
      <c r="G477" t="s">
        <v>149</v>
      </c>
      <c r="H477">
        <v>0</v>
      </c>
      <c r="I477">
        <v>0</v>
      </c>
      <c r="J477">
        <v>0.38827518984472448</v>
      </c>
      <c r="K477">
        <v>0.38827518984472448</v>
      </c>
      <c r="L477">
        <v>2.0490196078431371</v>
      </c>
      <c r="M477" t="s">
        <v>127</v>
      </c>
    </row>
    <row r="478" spans="1:13" x14ac:dyDescent="0.25">
      <c r="A478" s="1">
        <v>46309</v>
      </c>
      <c r="B478" t="s">
        <v>13</v>
      </c>
      <c r="C478" t="s">
        <v>10</v>
      </c>
      <c r="D478">
        <v>2.5134602601156071</v>
      </c>
      <c r="E478" t="s">
        <v>162</v>
      </c>
      <c r="F478">
        <v>46309</v>
      </c>
      <c r="G478" t="s">
        <v>149</v>
      </c>
      <c r="H478">
        <v>0</v>
      </c>
      <c r="I478">
        <v>0</v>
      </c>
      <c r="J478">
        <v>0.51039653462541112</v>
      </c>
      <c r="K478">
        <v>0.51039653462541112</v>
      </c>
      <c r="L478">
        <v>2.003063725490196</v>
      </c>
      <c r="M478" t="s">
        <v>127</v>
      </c>
    </row>
    <row r="479" spans="1:13" x14ac:dyDescent="0.25">
      <c r="A479" s="1">
        <v>46310</v>
      </c>
      <c r="B479" t="s">
        <v>13</v>
      </c>
      <c r="C479" t="s">
        <v>10</v>
      </c>
      <c r="D479">
        <v>3.8844385838150295</v>
      </c>
      <c r="E479" t="s">
        <v>162</v>
      </c>
      <c r="F479">
        <v>46310</v>
      </c>
      <c r="G479" t="s">
        <v>149</v>
      </c>
      <c r="H479">
        <v>0</v>
      </c>
      <c r="I479">
        <v>0</v>
      </c>
      <c r="J479">
        <v>1.8783111328346369</v>
      </c>
      <c r="K479">
        <v>1.8783111328346369</v>
      </c>
      <c r="L479">
        <v>2.0061274509803924</v>
      </c>
      <c r="M479" t="s">
        <v>128</v>
      </c>
    </row>
    <row r="480" spans="1:13" x14ac:dyDescent="0.25">
      <c r="A480" s="1">
        <v>46310</v>
      </c>
      <c r="B480" t="s">
        <v>13</v>
      </c>
      <c r="C480" t="s">
        <v>11</v>
      </c>
      <c r="D480">
        <v>2.7622674373795766</v>
      </c>
      <c r="E480" t="s">
        <v>162</v>
      </c>
      <c r="F480">
        <v>46310</v>
      </c>
      <c r="G480" t="s">
        <v>149</v>
      </c>
      <c r="H480">
        <v>0</v>
      </c>
      <c r="I480">
        <v>0</v>
      </c>
      <c r="J480">
        <v>0.75442430012467476</v>
      </c>
      <c r="K480">
        <v>0.75442430012467476</v>
      </c>
      <c r="L480">
        <v>2.0078431372549019</v>
      </c>
      <c r="M480" t="s">
        <v>128</v>
      </c>
    </row>
    <row r="481" spans="1:13" x14ac:dyDescent="0.25">
      <c r="A481" s="1">
        <v>46310</v>
      </c>
      <c r="B481" t="s">
        <v>13</v>
      </c>
      <c r="C481" t="s">
        <v>12</v>
      </c>
      <c r="D481">
        <v>2.4372947976878616</v>
      </c>
      <c r="E481" t="s">
        <v>162</v>
      </c>
      <c r="F481">
        <v>46310</v>
      </c>
      <c r="G481" t="s">
        <v>149</v>
      </c>
      <c r="H481">
        <v>0</v>
      </c>
      <c r="I481">
        <v>0</v>
      </c>
      <c r="J481">
        <v>0.3323351667766733</v>
      </c>
      <c r="K481">
        <v>0.3323351667766733</v>
      </c>
      <c r="L481">
        <v>2.1049596309111882</v>
      </c>
      <c r="M481" t="s">
        <v>128</v>
      </c>
    </row>
    <row r="482" spans="1:13" x14ac:dyDescent="0.25">
      <c r="A482" s="1">
        <v>46311</v>
      </c>
      <c r="B482" t="s">
        <v>13</v>
      </c>
      <c r="C482" t="s">
        <v>11</v>
      </c>
      <c r="D482">
        <v>2.7622674373795766</v>
      </c>
      <c r="E482" t="s">
        <v>162</v>
      </c>
      <c r="F482">
        <v>46311</v>
      </c>
      <c r="G482" t="s">
        <v>149</v>
      </c>
      <c r="H482">
        <v>0</v>
      </c>
      <c r="I482">
        <v>0</v>
      </c>
      <c r="J482">
        <v>0.75442430012467476</v>
      </c>
      <c r="K482">
        <v>0.75442430012467476</v>
      </c>
      <c r="L482">
        <v>2.0078431372549019</v>
      </c>
      <c r="M482" t="s">
        <v>129</v>
      </c>
    </row>
    <row r="483" spans="1:13" x14ac:dyDescent="0.25">
      <c r="A483" s="1">
        <v>46311</v>
      </c>
      <c r="B483" t="s">
        <v>13</v>
      </c>
      <c r="C483" t="s">
        <v>12</v>
      </c>
      <c r="D483">
        <v>2.4372947976878616</v>
      </c>
      <c r="E483" t="s">
        <v>162</v>
      </c>
      <c r="F483">
        <v>46311</v>
      </c>
      <c r="G483" t="s">
        <v>149</v>
      </c>
      <c r="H483">
        <v>0</v>
      </c>
      <c r="I483">
        <v>0</v>
      </c>
      <c r="J483">
        <v>0.3323351667766733</v>
      </c>
      <c r="K483">
        <v>0.3323351667766733</v>
      </c>
      <c r="L483">
        <v>2.1049596309111882</v>
      </c>
      <c r="M483" t="s">
        <v>129</v>
      </c>
    </row>
    <row r="484" spans="1:13" x14ac:dyDescent="0.25">
      <c r="A484" s="1">
        <v>46311</v>
      </c>
      <c r="B484" t="s">
        <v>13</v>
      </c>
      <c r="C484" t="s">
        <v>10</v>
      </c>
      <c r="D484">
        <v>3.8082731213872831</v>
      </c>
      <c r="E484" t="s">
        <v>162</v>
      </c>
      <c r="F484">
        <v>46311</v>
      </c>
      <c r="G484" t="s">
        <v>149</v>
      </c>
      <c r="H484">
        <v>0</v>
      </c>
      <c r="I484">
        <v>0</v>
      </c>
      <c r="J484">
        <v>1.8021456704068906</v>
      </c>
      <c r="K484">
        <v>1.8021456704068906</v>
      </c>
      <c r="L484">
        <v>2.0061274509803924</v>
      </c>
      <c r="M484" t="s">
        <v>129</v>
      </c>
    </row>
    <row r="485" spans="1:13" x14ac:dyDescent="0.25">
      <c r="A485" s="1">
        <v>46312</v>
      </c>
      <c r="B485" t="s">
        <v>13</v>
      </c>
      <c r="C485" t="s">
        <v>10</v>
      </c>
      <c r="D485">
        <v>0</v>
      </c>
      <c r="E485" t="s">
        <v>162</v>
      </c>
      <c r="F485">
        <v>46312</v>
      </c>
      <c r="G485" t="s">
        <v>149</v>
      </c>
      <c r="H485">
        <v>0</v>
      </c>
      <c r="I485">
        <v>0</v>
      </c>
      <c r="J485">
        <v>0</v>
      </c>
      <c r="K485">
        <v>0</v>
      </c>
      <c r="L485">
        <v>0</v>
      </c>
      <c r="M485" t="s">
        <v>119</v>
      </c>
    </row>
    <row r="486" spans="1:13" x14ac:dyDescent="0.25">
      <c r="A486" s="1">
        <v>46312</v>
      </c>
      <c r="B486" t="s">
        <v>13</v>
      </c>
      <c r="C486" t="s">
        <v>11</v>
      </c>
      <c r="D486">
        <v>2.7622674373795766</v>
      </c>
      <c r="E486" t="s">
        <v>162</v>
      </c>
      <c r="F486">
        <v>46312</v>
      </c>
      <c r="G486" t="s">
        <v>149</v>
      </c>
      <c r="H486">
        <v>0</v>
      </c>
      <c r="I486">
        <v>0</v>
      </c>
      <c r="J486">
        <v>0.75442430012467476</v>
      </c>
      <c r="K486">
        <v>0.75442430012467476</v>
      </c>
      <c r="L486">
        <v>2.0078431372549019</v>
      </c>
      <c r="M486" t="s">
        <v>119</v>
      </c>
    </row>
    <row r="487" spans="1:13" x14ac:dyDescent="0.25">
      <c r="A487" s="1">
        <v>46312</v>
      </c>
      <c r="B487" t="s">
        <v>13</v>
      </c>
      <c r="C487" t="s">
        <v>12</v>
      </c>
      <c r="D487">
        <v>2.4372947976878616</v>
      </c>
      <c r="E487" t="s">
        <v>162</v>
      </c>
      <c r="F487">
        <v>46312</v>
      </c>
      <c r="G487" t="s">
        <v>149</v>
      </c>
      <c r="H487">
        <v>0</v>
      </c>
      <c r="I487">
        <v>0</v>
      </c>
      <c r="J487">
        <v>0.55494185651139127</v>
      </c>
      <c r="K487">
        <v>0.55494185651139127</v>
      </c>
      <c r="L487">
        <v>1.8823529411764703</v>
      </c>
      <c r="M487" t="s">
        <v>119</v>
      </c>
    </row>
    <row r="488" spans="1:13" x14ac:dyDescent="0.25">
      <c r="A488" s="1">
        <v>46313</v>
      </c>
      <c r="B488" t="s">
        <v>13</v>
      </c>
      <c r="C488" t="s">
        <v>10</v>
      </c>
      <c r="D488">
        <v>0</v>
      </c>
      <c r="E488" t="s">
        <v>162</v>
      </c>
      <c r="F488">
        <v>46313</v>
      </c>
      <c r="G488" t="s">
        <v>149</v>
      </c>
      <c r="H488">
        <v>0</v>
      </c>
      <c r="I488">
        <v>0</v>
      </c>
      <c r="J488">
        <v>0</v>
      </c>
      <c r="K488">
        <v>0</v>
      </c>
      <c r="L488">
        <v>0</v>
      </c>
      <c r="M488" t="s">
        <v>120</v>
      </c>
    </row>
    <row r="489" spans="1:13" x14ac:dyDescent="0.25">
      <c r="A489" s="1">
        <v>46313</v>
      </c>
      <c r="B489" t="s">
        <v>13</v>
      </c>
      <c r="C489" t="s">
        <v>12</v>
      </c>
      <c r="D489">
        <v>2.4372947976878616</v>
      </c>
      <c r="E489" t="s">
        <v>162</v>
      </c>
      <c r="F489">
        <v>46313</v>
      </c>
      <c r="G489" t="s">
        <v>149</v>
      </c>
      <c r="H489">
        <v>0</v>
      </c>
      <c r="I489">
        <v>0</v>
      </c>
      <c r="J489">
        <v>0.55494185651139127</v>
      </c>
      <c r="K489">
        <v>0.55494185651139127</v>
      </c>
      <c r="L489">
        <v>1.8823529411764703</v>
      </c>
      <c r="M489" t="s">
        <v>120</v>
      </c>
    </row>
    <row r="490" spans="1:13" x14ac:dyDescent="0.25">
      <c r="A490" s="1">
        <v>46313</v>
      </c>
      <c r="B490" t="s">
        <v>13</v>
      </c>
      <c r="C490" t="s">
        <v>11</v>
      </c>
      <c r="D490">
        <v>2.7622674373795766</v>
      </c>
      <c r="E490" t="s">
        <v>162</v>
      </c>
      <c r="F490">
        <v>46313</v>
      </c>
      <c r="G490" t="s">
        <v>149</v>
      </c>
      <c r="H490">
        <v>0</v>
      </c>
      <c r="I490">
        <v>0</v>
      </c>
      <c r="J490">
        <v>0.75442430012467476</v>
      </c>
      <c r="K490">
        <v>0.75442430012467476</v>
      </c>
      <c r="L490">
        <v>2.0078431372549019</v>
      </c>
      <c r="M490" t="s">
        <v>120</v>
      </c>
    </row>
    <row r="491" spans="1:13" x14ac:dyDescent="0.25">
      <c r="A491" s="1">
        <v>46314</v>
      </c>
      <c r="B491" t="s">
        <v>13</v>
      </c>
      <c r="C491" t="s">
        <v>10</v>
      </c>
      <c r="D491">
        <v>2.5134602601156071</v>
      </c>
      <c r="E491" t="s">
        <v>162</v>
      </c>
      <c r="F491">
        <v>46314</v>
      </c>
      <c r="G491" t="s">
        <v>149</v>
      </c>
      <c r="H491">
        <v>2.2990331087927807E-2</v>
      </c>
      <c r="I491">
        <v>2.2990331087927807E-2</v>
      </c>
      <c r="J491">
        <v>0</v>
      </c>
      <c r="K491">
        <v>0</v>
      </c>
      <c r="L491">
        <v>0</v>
      </c>
      <c r="M491" t="s">
        <v>125</v>
      </c>
    </row>
    <row r="492" spans="1:13" x14ac:dyDescent="0.25">
      <c r="A492" s="1">
        <v>46314</v>
      </c>
      <c r="B492" t="s">
        <v>13</v>
      </c>
      <c r="C492" t="s">
        <v>11</v>
      </c>
      <c r="D492">
        <v>2.7622674373795766</v>
      </c>
      <c r="E492" t="s">
        <v>162</v>
      </c>
      <c r="F492">
        <v>46314</v>
      </c>
      <c r="G492" t="s">
        <v>149</v>
      </c>
      <c r="H492">
        <v>0</v>
      </c>
      <c r="I492">
        <v>0</v>
      </c>
      <c r="J492">
        <v>0.75442430012467476</v>
      </c>
      <c r="K492">
        <v>0.75442430012467476</v>
      </c>
      <c r="L492">
        <v>2.0078431372549019</v>
      </c>
      <c r="M492" t="s">
        <v>125</v>
      </c>
    </row>
    <row r="493" spans="1:13" x14ac:dyDescent="0.25">
      <c r="A493" s="1">
        <v>46314</v>
      </c>
      <c r="B493" t="s">
        <v>13</v>
      </c>
      <c r="C493" t="s">
        <v>12</v>
      </c>
      <c r="D493">
        <v>2.5089799387963283</v>
      </c>
      <c r="E493" t="s">
        <v>162</v>
      </c>
      <c r="F493">
        <v>46314</v>
      </c>
      <c r="G493" t="s">
        <v>149</v>
      </c>
      <c r="H493">
        <v>0</v>
      </c>
      <c r="I493">
        <v>0</v>
      </c>
      <c r="J493">
        <v>0.40648439512431406</v>
      </c>
      <c r="K493">
        <v>0.40648439512431406</v>
      </c>
      <c r="L493">
        <v>2.1024955436720143</v>
      </c>
      <c r="M493" t="s">
        <v>125</v>
      </c>
    </row>
    <row r="494" spans="1:13" x14ac:dyDescent="0.25">
      <c r="A494" s="1">
        <v>46315</v>
      </c>
      <c r="B494" t="s">
        <v>13</v>
      </c>
      <c r="C494" t="s">
        <v>10</v>
      </c>
      <c r="D494">
        <v>3.8082731213872831</v>
      </c>
      <c r="E494" t="s">
        <v>162</v>
      </c>
      <c r="F494">
        <v>46315</v>
      </c>
      <c r="G494" t="s">
        <v>149</v>
      </c>
      <c r="H494">
        <v>0</v>
      </c>
      <c r="I494">
        <v>0</v>
      </c>
      <c r="J494">
        <v>1.8082731213872831</v>
      </c>
      <c r="K494">
        <v>1.8082731213872831</v>
      </c>
      <c r="L494">
        <v>2</v>
      </c>
      <c r="M494" t="s">
        <v>126</v>
      </c>
    </row>
    <row r="495" spans="1:13" x14ac:dyDescent="0.25">
      <c r="A495" s="1">
        <v>46315</v>
      </c>
      <c r="B495" t="s">
        <v>13</v>
      </c>
      <c r="C495" t="s">
        <v>11</v>
      </c>
      <c r="D495">
        <v>2.7622674373795766</v>
      </c>
      <c r="E495" t="s">
        <v>162</v>
      </c>
      <c r="F495">
        <v>46315</v>
      </c>
      <c r="G495" t="s">
        <v>149</v>
      </c>
      <c r="H495">
        <v>0</v>
      </c>
      <c r="I495">
        <v>0</v>
      </c>
      <c r="J495">
        <v>0.75442430012467476</v>
      </c>
      <c r="K495">
        <v>0.75442430012467476</v>
      </c>
      <c r="L495">
        <v>2.0078431372549019</v>
      </c>
      <c r="M495" t="s">
        <v>126</v>
      </c>
    </row>
    <row r="496" spans="1:13" x14ac:dyDescent="0.25">
      <c r="A496" s="1">
        <v>46315</v>
      </c>
      <c r="B496" t="s">
        <v>13</v>
      </c>
      <c r="C496" t="s">
        <v>12</v>
      </c>
      <c r="D496">
        <v>2.4372947976878616</v>
      </c>
      <c r="E496" t="s">
        <v>162</v>
      </c>
      <c r="F496">
        <v>46315</v>
      </c>
      <c r="G496" t="s">
        <v>149</v>
      </c>
      <c r="H496">
        <v>0</v>
      </c>
      <c r="I496">
        <v>0</v>
      </c>
      <c r="J496">
        <v>0.4442152129127751</v>
      </c>
      <c r="K496">
        <v>0.4442152129127751</v>
      </c>
      <c r="L496">
        <v>1.9930795847750864</v>
      </c>
      <c r="M496" t="s">
        <v>126</v>
      </c>
    </row>
    <row r="497" spans="1:13" x14ac:dyDescent="0.25">
      <c r="A497" s="1">
        <v>46316</v>
      </c>
      <c r="B497" t="s">
        <v>13</v>
      </c>
      <c r="C497" t="s">
        <v>12</v>
      </c>
      <c r="D497">
        <v>2.4372947976878616</v>
      </c>
      <c r="E497" t="s">
        <v>162</v>
      </c>
      <c r="F497">
        <v>46316</v>
      </c>
      <c r="G497" t="s">
        <v>149</v>
      </c>
      <c r="H497">
        <v>0</v>
      </c>
      <c r="I497">
        <v>0</v>
      </c>
      <c r="J497">
        <v>0.38827518984472448</v>
      </c>
      <c r="K497">
        <v>0.38827518984472448</v>
      </c>
      <c r="L497">
        <v>2.0490196078431371</v>
      </c>
      <c r="M497" t="s">
        <v>127</v>
      </c>
    </row>
    <row r="498" spans="1:13" x14ac:dyDescent="0.25">
      <c r="A498" s="1">
        <v>46316</v>
      </c>
      <c r="B498" t="s">
        <v>13</v>
      </c>
      <c r="C498" t="s">
        <v>10</v>
      </c>
      <c r="D498">
        <v>3.8844385838150295</v>
      </c>
      <c r="E498" t="s">
        <v>162</v>
      </c>
      <c r="F498">
        <v>46316</v>
      </c>
      <c r="G498" t="s">
        <v>149</v>
      </c>
      <c r="H498">
        <v>0</v>
      </c>
      <c r="I498">
        <v>0</v>
      </c>
      <c r="J498">
        <v>1.8813748583248335</v>
      </c>
      <c r="K498">
        <v>1.8813748583248335</v>
      </c>
      <c r="L498">
        <v>2.003063725490196</v>
      </c>
      <c r="M498" t="s">
        <v>127</v>
      </c>
    </row>
    <row r="499" spans="1:13" x14ac:dyDescent="0.25">
      <c r="A499" s="1">
        <v>46316</v>
      </c>
      <c r="B499" t="s">
        <v>13</v>
      </c>
      <c r="C499" t="s">
        <v>11</v>
      </c>
      <c r="D499">
        <v>2.7622674373795766</v>
      </c>
      <c r="E499" t="s">
        <v>162</v>
      </c>
      <c r="F499">
        <v>46316</v>
      </c>
      <c r="G499" t="s">
        <v>149</v>
      </c>
      <c r="H499">
        <v>0</v>
      </c>
      <c r="I499">
        <v>0</v>
      </c>
      <c r="J499">
        <v>0.75442430012467476</v>
      </c>
      <c r="K499">
        <v>0.75442430012467476</v>
      </c>
      <c r="L499">
        <v>2.0078431372549019</v>
      </c>
      <c r="M499" t="s">
        <v>127</v>
      </c>
    </row>
    <row r="500" spans="1:13" x14ac:dyDescent="0.25">
      <c r="A500" s="1">
        <v>46317</v>
      </c>
      <c r="B500" t="s">
        <v>13</v>
      </c>
      <c r="C500" t="s">
        <v>12</v>
      </c>
      <c r="D500">
        <v>2.4372947976878616</v>
      </c>
      <c r="E500" t="s">
        <v>162</v>
      </c>
      <c r="F500">
        <v>46317</v>
      </c>
      <c r="G500" t="s">
        <v>149</v>
      </c>
      <c r="H500">
        <v>0</v>
      </c>
      <c r="I500">
        <v>0</v>
      </c>
      <c r="J500">
        <v>0.3323351667766733</v>
      </c>
      <c r="K500">
        <v>0.3323351667766733</v>
      </c>
      <c r="L500">
        <v>2.1049596309111882</v>
      </c>
      <c r="M500" t="s">
        <v>128</v>
      </c>
    </row>
    <row r="501" spans="1:13" x14ac:dyDescent="0.25">
      <c r="A501" s="1">
        <v>46317</v>
      </c>
      <c r="B501" t="s">
        <v>13</v>
      </c>
      <c r="C501" t="s">
        <v>10</v>
      </c>
      <c r="D501">
        <v>2.5134602601156071</v>
      </c>
      <c r="E501" t="s">
        <v>162</v>
      </c>
      <c r="F501">
        <v>46317</v>
      </c>
      <c r="G501" t="s">
        <v>149</v>
      </c>
      <c r="H501">
        <v>0</v>
      </c>
      <c r="I501">
        <v>0</v>
      </c>
      <c r="J501">
        <v>0.50733280913521461</v>
      </c>
      <c r="K501">
        <v>0.50733280913521461</v>
      </c>
      <c r="L501">
        <v>2.0061274509803924</v>
      </c>
      <c r="M501" t="s">
        <v>128</v>
      </c>
    </row>
    <row r="502" spans="1:13" x14ac:dyDescent="0.25">
      <c r="A502" s="1">
        <v>46317</v>
      </c>
      <c r="B502" t="s">
        <v>13</v>
      </c>
      <c r="C502" t="s">
        <v>11</v>
      </c>
      <c r="D502">
        <v>2.7622674373795766</v>
      </c>
      <c r="E502" t="s">
        <v>162</v>
      </c>
      <c r="F502">
        <v>46317</v>
      </c>
      <c r="G502" t="s">
        <v>149</v>
      </c>
      <c r="H502">
        <v>0</v>
      </c>
      <c r="I502">
        <v>0</v>
      </c>
      <c r="J502">
        <v>0.75442430012467476</v>
      </c>
      <c r="K502">
        <v>0.75442430012467476</v>
      </c>
      <c r="L502">
        <v>2.0078431372549019</v>
      </c>
      <c r="M502" t="s">
        <v>128</v>
      </c>
    </row>
    <row r="503" spans="1:13" x14ac:dyDescent="0.25">
      <c r="A503" s="1">
        <v>46318</v>
      </c>
      <c r="B503" t="s">
        <v>13</v>
      </c>
      <c r="C503" t="s">
        <v>10</v>
      </c>
      <c r="D503">
        <v>3.7321076589595377</v>
      </c>
      <c r="E503" t="s">
        <v>162</v>
      </c>
      <c r="F503">
        <v>46318</v>
      </c>
      <c r="G503" t="s">
        <v>149</v>
      </c>
      <c r="H503">
        <v>0</v>
      </c>
      <c r="I503">
        <v>0</v>
      </c>
      <c r="J503">
        <v>1.104043933469341</v>
      </c>
      <c r="K503">
        <v>1.104043933469341</v>
      </c>
      <c r="L503">
        <v>2.6280637254901964</v>
      </c>
      <c r="M503" t="s">
        <v>129</v>
      </c>
    </row>
    <row r="504" spans="1:13" x14ac:dyDescent="0.25">
      <c r="A504" s="1">
        <v>46318</v>
      </c>
      <c r="B504" t="s">
        <v>13</v>
      </c>
      <c r="C504" t="s">
        <v>11</v>
      </c>
      <c r="D504">
        <v>2.7622674373795766</v>
      </c>
      <c r="E504" t="s">
        <v>162</v>
      </c>
      <c r="F504">
        <v>46318</v>
      </c>
      <c r="G504" t="s">
        <v>149</v>
      </c>
      <c r="H504">
        <v>0</v>
      </c>
      <c r="I504">
        <v>0</v>
      </c>
      <c r="J504">
        <v>0.75442430012467476</v>
      </c>
      <c r="K504">
        <v>0.75442430012467476</v>
      </c>
      <c r="L504">
        <v>2.0078431372549019</v>
      </c>
      <c r="M504" t="s">
        <v>129</v>
      </c>
    </row>
    <row r="505" spans="1:13" x14ac:dyDescent="0.25">
      <c r="A505" s="1">
        <v>46318</v>
      </c>
      <c r="B505" t="s">
        <v>13</v>
      </c>
      <c r="C505" t="s">
        <v>12</v>
      </c>
      <c r="D505">
        <v>2.4372947976878616</v>
      </c>
      <c r="E505" t="s">
        <v>162</v>
      </c>
      <c r="F505">
        <v>46318</v>
      </c>
      <c r="G505" t="s">
        <v>149</v>
      </c>
      <c r="H505">
        <v>0</v>
      </c>
      <c r="I505">
        <v>0</v>
      </c>
      <c r="J505">
        <v>0.38827518984472448</v>
      </c>
      <c r="K505">
        <v>0.38827518984472448</v>
      </c>
      <c r="L505">
        <v>2.0490196078431371</v>
      </c>
      <c r="M505" t="s">
        <v>129</v>
      </c>
    </row>
    <row r="506" spans="1:13" x14ac:dyDescent="0.25">
      <c r="A506" s="1">
        <v>46319</v>
      </c>
      <c r="B506" t="s">
        <v>13</v>
      </c>
      <c r="C506" t="s">
        <v>12</v>
      </c>
      <c r="D506">
        <v>2.4372947976878616</v>
      </c>
      <c r="E506" t="s">
        <v>162</v>
      </c>
      <c r="F506">
        <v>46319</v>
      </c>
      <c r="G506" t="s">
        <v>149</v>
      </c>
      <c r="H506">
        <v>0</v>
      </c>
      <c r="I506">
        <v>0</v>
      </c>
      <c r="J506">
        <v>0.55494185651139127</v>
      </c>
      <c r="K506">
        <v>0.55494185651139127</v>
      </c>
      <c r="L506">
        <v>1.8823529411764703</v>
      </c>
      <c r="M506" t="s">
        <v>119</v>
      </c>
    </row>
    <row r="507" spans="1:13" x14ac:dyDescent="0.25">
      <c r="A507" s="1">
        <v>46319</v>
      </c>
      <c r="B507" t="s">
        <v>13</v>
      </c>
      <c r="C507" t="s">
        <v>11</v>
      </c>
      <c r="D507">
        <v>2.5997811175337189</v>
      </c>
      <c r="E507" t="s">
        <v>162</v>
      </c>
      <c r="F507">
        <v>46319</v>
      </c>
      <c r="G507" t="s">
        <v>149</v>
      </c>
      <c r="H507">
        <v>0</v>
      </c>
      <c r="I507">
        <v>0</v>
      </c>
      <c r="J507">
        <v>0.59193798027881706</v>
      </c>
      <c r="K507">
        <v>0.59193798027881706</v>
      </c>
      <c r="L507">
        <v>2.0078431372549019</v>
      </c>
      <c r="M507" t="s">
        <v>119</v>
      </c>
    </row>
    <row r="508" spans="1:13" x14ac:dyDescent="0.25">
      <c r="A508" s="1">
        <v>46319</v>
      </c>
      <c r="B508" t="s">
        <v>13</v>
      </c>
      <c r="C508" t="s">
        <v>10</v>
      </c>
      <c r="D508">
        <v>0</v>
      </c>
      <c r="E508" t="s">
        <v>162</v>
      </c>
      <c r="F508">
        <v>46319</v>
      </c>
      <c r="G508" t="s">
        <v>149</v>
      </c>
      <c r="H508">
        <v>0</v>
      </c>
      <c r="I508">
        <v>0</v>
      </c>
      <c r="J508">
        <v>0</v>
      </c>
      <c r="K508">
        <v>0</v>
      </c>
      <c r="L508">
        <v>0</v>
      </c>
      <c r="M508" t="s">
        <v>119</v>
      </c>
    </row>
    <row r="509" spans="1:13" x14ac:dyDescent="0.25">
      <c r="A509" s="1">
        <v>46320</v>
      </c>
      <c r="B509" t="s">
        <v>13</v>
      </c>
      <c r="C509" t="s">
        <v>12</v>
      </c>
      <c r="D509">
        <v>2.4372947976878616</v>
      </c>
      <c r="E509" t="s">
        <v>162</v>
      </c>
      <c r="F509">
        <v>46320</v>
      </c>
      <c r="G509" t="s">
        <v>149</v>
      </c>
      <c r="H509">
        <v>0</v>
      </c>
      <c r="I509">
        <v>0</v>
      </c>
      <c r="J509">
        <v>0.55494185651139127</v>
      </c>
      <c r="K509">
        <v>0.55494185651139127</v>
      </c>
      <c r="L509">
        <v>1.8823529411764703</v>
      </c>
      <c r="M509" t="s">
        <v>120</v>
      </c>
    </row>
    <row r="510" spans="1:13" x14ac:dyDescent="0.25">
      <c r="A510" s="1">
        <v>46320</v>
      </c>
      <c r="B510" t="s">
        <v>13</v>
      </c>
      <c r="C510" t="s">
        <v>11</v>
      </c>
      <c r="D510">
        <v>2.7622674373795766</v>
      </c>
      <c r="E510" t="s">
        <v>162</v>
      </c>
      <c r="F510">
        <v>46320</v>
      </c>
      <c r="G510" t="s">
        <v>149</v>
      </c>
      <c r="H510">
        <v>0</v>
      </c>
      <c r="I510">
        <v>0</v>
      </c>
      <c r="J510">
        <v>0.75442430012467476</v>
      </c>
      <c r="K510">
        <v>0.75442430012467476</v>
      </c>
      <c r="L510">
        <v>2.0078431372549019</v>
      </c>
      <c r="M510" t="s">
        <v>120</v>
      </c>
    </row>
    <row r="511" spans="1:13" x14ac:dyDescent="0.25">
      <c r="A511" s="1">
        <v>46320</v>
      </c>
      <c r="B511" t="s">
        <v>13</v>
      </c>
      <c r="C511" t="s">
        <v>10</v>
      </c>
      <c r="D511">
        <v>0</v>
      </c>
      <c r="E511" t="s">
        <v>162</v>
      </c>
      <c r="F511">
        <v>46320</v>
      </c>
      <c r="G511" t="s">
        <v>149</v>
      </c>
      <c r="H511">
        <v>0</v>
      </c>
      <c r="I511">
        <v>0</v>
      </c>
      <c r="J511">
        <v>0</v>
      </c>
      <c r="K511">
        <v>0</v>
      </c>
      <c r="L511">
        <v>0</v>
      </c>
      <c r="M511" t="s">
        <v>120</v>
      </c>
    </row>
    <row r="512" spans="1:13" x14ac:dyDescent="0.25">
      <c r="A512" s="1">
        <v>46321</v>
      </c>
      <c r="B512" t="s">
        <v>13</v>
      </c>
      <c r="C512" t="s">
        <v>10</v>
      </c>
      <c r="D512">
        <v>2.589625722543353</v>
      </c>
      <c r="E512" t="s">
        <v>162</v>
      </c>
      <c r="F512">
        <v>46321</v>
      </c>
      <c r="G512" t="s">
        <v>149</v>
      </c>
      <c r="H512">
        <v>0</v>
      </c>
      <c r="I512">
        <v>0</v>
      </c>
      <c r="J512">
        <v>0.58349827156296064</v>
      </c>
      <c r="K512">
        <v>0.58349827156296064</v>
      </c>
      <c r="L512">
        <v>2.0061274509803924</v>
      </c>
      <c r="M512" t="s">
        <v>125</v>
      </c>
    </row>
    <row r="513" spans="1:15" x14ac:dyDescent="0.25">
      <c r="A513" s="1">
        <v>46321</v>
      </c>
      <c r="B513" t="s">
        <v>13</v>
      </c>
      <c r="C513" t="s">
        <v>11</v>
      </c>
      <c r="D513">
        <v>2.7622674373795766</v>
      </c>
      <c r="E513" t="s">
        <v>162</v>
      </c>
      <c r="F513">
        <v>46321</v>
      </c>
      <c r="G513" t="s">
        <v>149</v>
      </c>
      <c r="H513">
        <v>0</v>
      </c>
      <c r="I513">
        <v>0</v>
      </c>
      <c r="J513">
        <v>0.75442430012467476</v>
      </c>
      <c r="K513">
        <v>0.75442430012467476</v>
      </c>
      <c r="L513">
        <v>2.0078431372549019</v>
      </c>
      <c r="M513" t="s">
        <v>125</v>
      </c>
    </row>
    <row r="514" spans="1:15" x14ac:dyDescent="0.25">
      <c r="A514" s="1">
        <v>46321</v>
      </c>
      <c r="B514" t="s">
        <v>13</v>
      </c>
      <c r="C514" t="s">
        <v>12</v>
      </c>
      <c r="D514">
        <v>2.4372947976878616</v>
      </c>
      <c r="E514" t="s">
        <v>162</v>
      </c>
      <c r="F514">
        <v>46321</v>
      </c>
      <c r="G514" t="s">
        <v>149</v>
      </c>
      <c r="H514">
        <v>0</v>
      </c>
      <c r="I514">
        <v>0</v>
      </c>
      <c r="J514">
        <v>0.3323351667766733</v>
      </c>
      <c r="K514">
        <v>0.3323351667766733</v>
      </c>
      <c r="L514">
        <v>2.1049596309111882</v>
      </c>
      <c r="M514" t="s">
        <v>125</v>
      </c>
    </row>
    <row r="515" spans="1:15" x14ac:dyDescent="0.25">
      <c r="A515" s="1">
        <v>46293</v>
      </c>
      <c r="B515" t="s">
        <v>148</v>
      </c>
      <c r="C515" t="s">
        <v>12</v>
      </c>
      <c r="D515">
        <v>7.313366681441142</v>
      </c>
      <c r="E515" t="s">
        <v>163</v>
      </c>
      <c r="F515">
        <v>46293</v>
      </c>
      <c r="G515" t="s">
        <v>149</v>
      </c>
      <c r="H515">
        <v>4.6961566558438861E-3</v>
      </c>
      <c r="I515">
        <v>4.6961566558438861E-3</v>
      </c>
      <c r="J515">
        <v>0</v>
      </c>
      <c r="K515">
        <v>0</v>
      </c>
      <c r="L515">
        <v>0</v>
      </c>
      <c r="M515" t="s">
        <v>125</v>
      </c>
      <c r="N515" t="s">
        <v>125</v>
      </c>
      <c r="O515">
        <v>28.36</v>
      </c>
    </row>
    <row r="516" spans="1:15" x14ac:dyDescent="0.25">
      <c r="A516" s="1">
        <v>46293</v>
      </c>
      <c r="B516" t="s">
        <v>148</v>
      </c>
      <c r="C516" t="s">
        <v>11</v>
      </c>
      <c r="D516">
        <v>3.5458747546381306</v>
      </c>
      <c r="E516" t="s">
        <v>163</v>
      </c>
      <c r="F516">
        <v>46293</v>
      </c>
      <c r="G516" t="s">
        <v>149</v>
      </c>
      <c r="H516">
        <v>0.11135253906249964</v>
      </c>
      <c r="I516">
        <v>0.11135253906249964</v>
      </c>
      <c r="J516">
        <v>0</v>
      </c>
      <c r="K516">
        <v>0</v>
      </c>
      <c r="L516">
        <v>0</v>
      </c>
      <c r="M516" t="s">
        <v>125</v>
      </c>
      <c r="N516" t="s">
        <v>125</v>
      </c>
      <c r="O516">
        <v>29.417999999999999</v>
      </c>
    </row>
    <row r="517" spans="1:15" x14ac:dyDescent="0.25">
      <c r="A517" s="1">
        <v>46293</v>
      </c>
      <c r="B517" t="s">
        <v>148</v>
      </c>
      <c r="C517" t="s">
        <v>10</v>
      </c>
      <c r="D517">
        <v>9.5295384030899761</v>
      </c>
      <c r="E517" t="s">
        <v>163</v>
      </c>
      <c r="F517">
        <v>46293</v>
      </c>
      <c r="G517" t="s">
        <v>149</v>
      </c>
      <c r="H517">
        <v>0</v>
      </c>
      <c r="I517">
        <v>0</v>
      </c>
      <c r="J517">
        <v>0.66010825603115419</v>
      </c>
      <c r="K517">
        <v>0.66010825603115419</v>
      </c>
      <c r="L517">
        <v>8.8694301470588215</v>
      </c>
      <c r="M517" t="s">
        <v>125</v>
      </c>
      <c r="N517" t="s">
        <v>125</v>
      </c>
      <c r="O517">
        <v>27.57</v>
      </c>
    </row>
    <row r="518" spans="1:15" x14ac:dyDescent="0.25">
      <c r="A518" s="1">
        <v>46294</v>
      </c>
      <c r="B518" t="s">
        <v>148</v>
      </c>
      <c r="C518" t="s">
        <v>10</v>
      </c>
      <c r="D518">
        <v>9.5295384030899779</v>
      </c>
      <c r="E518" t="s">
        <v>163</v>
      </c>
      <c r="F518">
        <v>46294</v>
      </c>
      <c r="G518" t="s">
        <v>149</v>
      </c>
      <c r="H518">
        <v>0</v>
      </c>
      <c r="I518">
        <v>0</v>
      </c>
      <c r="J518">
        <v>0.89904820701154753</v>
      </c>
      <c r="K518">
        <v>0.89904820701154753</v>
      </c>
      <c r="L518">
        <v>8.6304901960784299</v>
      </c>
      <c r="M518" t="s">
        <v>126</v>
      </c>
      <c r="N518" t="s">
        <v>126</v>
      </c>
      <c r="O518">
        <v>27.57</v>
      </c>
    </row>
    <row r="519" spans="1:15" x14ac:dyDescent="0.25">
      <c r="A519" s="1">
        <v>46294</v>
      </c>
      <c r="B519" t="s">
        <v>148</v>
      </c>
      <c r="C519" t="s">
        <v>11</v>
      </c>
      <c r="D519">
        <v>3.5458747546381306</v>
      </c>
      <c r="E519" t="s">
        <v>163</v>
      </c>
      <c r="F519">
        <v>46294</v>
      </c>
      <c r="G519" t="s">
        <v>149</v>
      </c>
      <c r="H519">
        <v>0</v>
      </c>
      <c r="I519">
        <v>0</v>
      </c>
      <c r="J519">
        <v>0.22234534287342508</v>
      </c>
      <c r="K519">
        <v>0.22234534287342508</v>
      </c>
      <c r="L519">
        <v>3.3235294117647056</v>
      </c>
      <c r="M519" t="s">
        <v>126</v>
      </c>
      <c r="N519" t="s">
        <v>126</v>
      </c>
      <c r="O519">
        <v>29.417999999999999</v>
      </c>
    </row>
    <row r="520" spans="1:15" x14ac:dyDescent="0.25">
      <c r="A520" s="1">
        <v>46294</v>
      </c>
      <c r="B520" t="s">
        <v>148</v>
      </c>
      <c r="C520" t="s">
        <v>12</v>
      </c>
      <c r="D520">
        <v>7.313366681441142</v>
      </c>
      <c r="E520" t="s">
        <v>163</v>
      </c>
      <c r="F520">
        <v>46294</v>
      </c>
      <c r="G520" t="s">
        <v>149</v>
      </c>
      <c r="H520">
        <v>0.1459208297258292</v>
      </c>
      <c r="I520">
        <v>0.1459208297258292</v>
      </c>
      <c r="J520">
        <v>0</v>
      </c>
      <c r="K520">
        <v>0</v>
      </c>
      <c r="L520">
        <v>0</v>
      </c>
      <c r="M520" t="s">
        <v>126</v>
      </c>
      <c r="N520" t="s">
        <v>126</v>
      </c>
      <c r="O520">
        <v>28.36</v>
      </c>
    </row>
    <row r="521" spans="1:15" x14ac:dyDescent="0.25">
      <c r="A521" s="1">
        <v>46295</v>
      </c>
      <c r="B521" t="s">
        <v>148</v>
      </c>
      <c r="C521" t="s">
        <v>10</v>
      </c>
      <c r="D521">
        <v>9.5295384030899779</v>
      </c>
      <c r="E521" t="s">
        <v>163</v>
      </c>
      <c r="F521">
        <v>46295</v>
      </c>
      <c r="G521" t="s">
        <v>149</v>
      </c>
      <c r="H521">
        <v>0</v>
      </c>
      <c r="I521">
        <v>0</v>
      </c>
      <c r="J521">
        <v>0.2775776187762562</v>
      </c>
      <c r="K521">
        <v>0.2775776187762562</v>
      </c>
      <c r="L521">
        <v>9.2519607843137219</v>
      </c>
      <c r="M521" t="s">
        <v>127</v>
      </c>
      <c r="N521" t="s">
        <v>127</v>
      </c>
      <c r="O521">
        <v>27.57</v>
      </c>
    </row>
    <row r="522" spans="1:15" x14ac:dyDescent="0.25">
      <c r="A522" s="1">
        <v>46295</v>
      </c>
      <c r="B522" t="s">
        <v>148</v>
      </c>
      <c r="C522" t="s">
        <v>11</v>
      </c>
      <c r="D522">
        <v>3.5458747546381306</v>
      </c>
      <c r="E522" t="s">
        <v>163</v>
      </c>
      <c r="F522">
        <v>46295</v>
      </c>
      <c r="G522" t="s">
        <v>149</v>
      </c>
      <c r="H522">
        <v>0</v>
      </c>
      <c r="I522">
        <v>0</v>
      </c>
      <c r="J522">
        <v>0.22234534287342508</v>
      </c>
      <c r="K522">
        <v>0.22234534287342508</v>
      </c>
      <c r="L522">
        <v>3.3235294117647056</v>
      </c>
      <c r="M522" t="s">
        <v>127</v>
      </c>
      <c r="N522" t="s">
        <v>127</v>
      </c>
      <c r="O522">
        <v>29.417999999999999</v>
      </c>
    </row>
    <row r="523" spans="1:15" x14ac:dyDescent="0.25">
      <c r="A523" s="1">
        <v>46295</v>
      </c>
      <c r="B523" t="s">
        <v>148</v>
      </c>
      <c r="C523" t="s">
        <v>12</v>
      </c>
      <c r="D523">
        <v>6.6485151649464944</v>
      </c>
      <c r="E523" t="s">
        <v>163</v>
      </c>
      <c r="F523">
        <v>46295</v>
      </c>
      <c r="G523" t="s">
        <v>149</v>
      </c>
      <c r="H523">
        <v>0.15431936507936417</v>
      </c>
      <c r="I523">
        <v>0.15431936507936417</v>
      </c>
      <c r="J523">
        <v>0</v>
      </c>
      <c r="K523">
        <v>0</v>
      </c>
      <c r="L523">
        <v>0</v>
      </c>
      <c r="M523" t="s">
        <v>127</v>
      </c>
      <c r="N523" t="s">
        <v>127</v>
      </c>
      <c r="O523">
        <v>28.36</v>
      </c>
    </row>
    <row r="524" spans="1:15" x14ac:dyDescent="0.25">
      <c r="A524" s="1">
        <v>46296</v>
      </c>
      <c r="B524" t="s">
        <v>148</v>
      </c>
      <c r="C524" t="s">
        <v>10</v>
      </c>
      <c r="D524">
        <v>9.5295384030899779</v>
      </c>
      <c r="E524" t="s">
        <v>163</v>
      </c>
      <c r="F524">
        <v>46296</v>
      </c>
      <c r="G524" t="s">
        <v>149</v>
      </c>
      <c r="H524">
        <v>6.4668850359910879E-2</v>
      </c>
      <c r="I524">
        <v>6.4668850359910879E-2</v>
      </c>
      <c r="J524">
        <v>0</v>
      </c>
      <c r="K524">
        <v>0</v>
      </c>
      <c r="L524">
        <v>0</v>
      </c>
      <c r="M524" t="s">
        <v>128</v>
      </c>
      <c r="N524" t="s">
        <v>128</v>
      </c>
      <c r="O524">
        <v>27.57</v>
      </c>
    </row>
    <row r="525" spans="1:15" x14ac:dyDescent="0.25">
      <c r="A525" s="1">
        <v>46296</v>
      </c>
      <c r="B525" t="s">
        <v>148</v>
      </c>
      <c r="C525" t="s">
        <v>12</v>
      </c>
      <c r="D525">
        <v>7.313366681441142</v>
      </c>
      <c r="E525" t="s">
        <v>163</v>
      </c>
      <c r="F525">
        <v>46296</v>
      </c>
      <c r="G525" t="s">
        <v>149</v>
      </c>
      <c r="H525">
        <v>7.0966163870851418E-2</v>
      </c>
      <c r="I525">
        <v>7.0966163870851418E-2</v>
      </c>
      <c r="J525">
        <v>0</v>
      </c>
      <c r="K525">
        <v>0</v>
      </c>
      <c r="L525">
        <v>0</v>
      </c>
      <c r="M525" t="s">
        <v>128</v>
      </c>
      <c r="N525" t="s">
        <v>128</v>
      </c>
      <c r="O525">
        <v>28.36</v>
      </c>
    </row>
    <row r="526" spans="1:15" x14ac:dyDescent="0.25">
      <c r="A526" s="1">
        <v>46296</v>
      </c>
      <c r="B526" t="s">
        <v>148</v>
      </c>
      <c r="C526" t="s">
        <v>11</v>
      </c>
      <c r="D526">
        <v>3.5458747546381306</v>
      </c>
      <c r="E526" t="s">
        <v>163</v>
      </c>
      <c r="F526">
        <v>46296</v>
      </c>
      <c r="G526" t="s">
        <v>149</v>
      </c>
      <c r="H526">
        <v>0</v>
      </c>
      <c r="I526">
        <v>0</v>
      </c>
      <c r="J526">
        <v>0.34045196052048465</v>
      </c>
      <c r="K526">
        <v>0.34045196052048465</v>
      </c>
      <c r="L526">
        <v>3.2054227941176459</v>
      </c>
      <c r="M526" t="s">
        <v>128</v>
      </c>
      <c r="N526" t="s">
        <v>128</v>
      </c>
      <c r="O526">
        <v>29.417999999999999</v>
      </c>
    </row>
    <row r="527" spans="1:15" x14ac:dyDescent="0.25">
      <c r="A527" s="1">
        <v>46297</v>
      </c>
      <c r="B527" t="s">
        <v>148</v>
      </c>
      <c r="C527" t="s">
        <v>10</v>
      </c>
      <c r="D527">
        <v>9.5295384030899779</v>
      </c>
      <c r="E527" t="s">
        <v>163</v>
      </c>
      <c r="F527">
        <v>46297</v>
      </c>
      <c r="G527" t="s">
        <v>149</v>
      </c>
      <c r="H527">
        <v>0.13599313399778468</v>
      </c>
      <c r="I527">
        <v>0.13599313399778468</v>
      </c>
      <c r="J527">
        <v>0</v>
      </c>
      <c r="K527">
        <v>0</v>
      </c>
      <c r="L527">
        <v>0</v>
      </c>
      <c r="M527" t="s">
        <v>129</v>
      </c>
      <c r="N527" t="s">
        <v>129</v>
      </c>
      <c r="O527">
        <v>27.57</v>
      </c>
    </row>
    <row r="528" spans="1:15" x14ac:dyDescent="0.25">
      <c r="A528" s="1">
        <v>46297</v>
      </c>
      <c r="B528" t="s">
        <v>148</v>
      </c>
      <c r="C528" t="s">
        <v>11</v>
      </c>
      <c r="D528">
        <v>3.5458747546381306</v>
      </c>
      <c r="E528" t="s">
        <v>163</v>
      </c>
      <c r="F528">
        <v>46297</v>
      </c>
      <c r="G528" t="s">
        <v>149</v>
      </c>
      <c r="H528">
        <v>0.36815181902985072</v>
      </c>
      <c r="I528">
        <v>0.36815181902985072</v>
      </c>
      <c r="J528">
        <v>0</v>
      </c>
      <c r="K528">
        <v>0</v>
      </c>
      <c r="L528">
        <v>0</v>
      </c>
      <c r="M528" t="s">
        <v>129</v>
      </c>
      <c r="N528" t="s">
        <v>129</v>
      </c>
      <c r="O528">
        <v>29.417999999999999</v>
      </c>
    </row>
    <row r="529" spans="1:15" x14ac:dyDescent="0.25">
      <c r="A529" s="1">
        <v>46297</v>
      </c>
      <c r="B529" t="s">
        <v>148</v>
      </c>
      <c r="C529" t="s">
        <v>12</v>
      </c>
      <c r="D529">
        <v>7.313366681441142</v>
      </c>
      <c r="E529" t="s">
        <v>163</v>
      </c>
      <c r="F529">
        <v>46297</v>
      </c>
      <c r="G529" t="s">
        <v>149</v>
      </c>
      <c r="H529">
        <v>5.5301162477654708E-2</v>
      </c>
      <c r="I529">
        <v>5.5301162477654708E-2</v>
      </c>
      <c r="J529">
        <v>0</v>
      </c>
      <c r="K529">
        <v>0</v>
      </c>
      <c r="L529">
        <v>0</v>
      </c>
      <c r="M529" t="s">
        <v>129</v>
      </c>
      <c r="N529" t="s">
        <v>129</v>
      </c>
      <c r="O529">
        <v>28.36</v>
      </c>
    </row>
    <row r="530" spans="1:15" x14ac:dyDescent="0.25">
      <c r="A530" s="1">
        <v>46298</v>
      </c>
      <c r="B530" t="s">
        <v>148</v>
      </c>
      <c r="C530" t="s">
        <v>11</v>
      </c>
      <c r="D530">
        <v>3.5458747546381306</v>
      </c>
      <c r="E530" t="s">
        <v>163</v>
      </c>
      <c r="F530">
        <v>46298</v>
      </c>
      <c r="G530" t="s">
        <v>149</v>
      </c>
      <c r="H530">
        <v>0.17770968191964265</v>
      </c>
      <c r="I530">
        <v>0.17770968191964265</v>
      </c>
      <c r="J530">
        <v>0</v>
      </c>
      <c r="K530">
        <v>0</v>
      </c>
      <c r="L530">
        <v>0</v>
      </c>
      <c r="M530" t="s">
        <v>119</v>
      </c>
      <c r="N530" t="s">
        <v>119</v>
      </c>
      <c r="O530">
        <v>32.272000000000013</v>
      </c>
    </row>
    <row r="531" spans="1:15" x14ac:dyDescent="0.25">
      <c r="A531" s="1">
        <v>46298</v>
      </c>
      <c r="B531" t="s">
        <v>148</v>
      </c>
      <c r="C531" t="s">
        <v>10</v>
      </c>
      <c r="D531">
        <v>9.5295384030899779</v>
      </c>
      <c r="E531" t="s">
        <v>163</v>
      </c>
      <c r="F531">
        <v>46298</v>
      </c>
      <c r="G531" t="s">
        <v>149</v>
      </c>
      <c r="H531">
        <v>0</v>
      </c>
      <c r="I531">
        <v>0</v>
      </c>
      <c r="J531">
        <v>5.3480731887171784E-2</v>
      </c>
      <c r="K531">
        <v>5.3480731887171784E-2</v>
      </c>
      <c r="L531">
        <v>9.4760576712028062</v>
      </c>
      <c r="M531" t="s">
        <v>119</v>
      </c>
      <c r="N531" t="s">
        <v>119</v>
      </c>
      <c r="O531">
        <v>37.600000000000009</v>
      </c>
    </row>
    <row r="532" spans="1:15" x14ac:dyDescent="0.25">
      <c r="A532" s="1">
        <v>46298</v>
      </c>
      <c r="B532" t="s">
        <v>148</v>
      </c>
      <c r="C532" t="s">
        <v>12</v>
      </c>
      <c r="D532">
        <v>7.313366681441142</v>
      </c>
      <c r="E532" t="s">
        <v>163</v>
      </c>
      <c r="F532">
        <v>46298</v>
      </c>
      <c r="G532" t="s">
        <v>149</v>
      </c>
      <c r="H532">
        <v>0.1152712865259744</v>
      </c>
      <c r="I532">
        <v>0.1152712865259744</v>
      </c>
      <c r="J532">
        <v>0</v>
      </c>
      <c r="K532">
        <v>0</v>
      </c>
      <c r="L532">
        <v>0</v>
      </c>
      <c r="M532" t="s">
        <v>119</v>
      </c>
      <c r="N532" t="s">
        <v>119</v>
      </c>
      <c r="O532">
        <v>33.160000000000011</v>
      </c>
    </row>
    <row r="533" spans="1:15" x14ac:dyDescent="0.25">
      <c r="A533" s="1">
        <v>46299</v>
      </c>
      <c r="B533" t="s">
        <v>148</v>
      </c>
      <c r="C533" t="s">
        <v>10</v>
      </c>
      <c r="D533">
        <v>8.6430697144304478</v>
      </c>
      <c r="E533" t="s">
        <v>163</v>
      </c>
      <c r="F533">
        <v>46299</v>
      </c>
      <c r="G533" t="s">
        <v>149</v>
      </c>
      <c r="H533">
        <v>0.26779818158032342</v>
      </c>
      <c r="I533">
        <v>0.26779818158032342</v>
      </c>
      <c r="J533">
        <v>0</v>
      </c>
      <c r="K533">
        <v>0</v>
      </c>
      <c r="L533">
        <v>0</v>
      </c>
      <c r="M533" t="s">
        <v>120</v>
      </c>
      <c r="N533" t="s">
        <v>120</v>
      </c>
      <c r="O533">
        <v>42.790000000000006</v>
      </c>
    </row>
    <row r="534" spans="1:15" x14ac:dyDescent="0.25">
      <c r="A534" s="1">
        <v>46299</v>
      </c>
      <c r="B534" t="s">
        <v>148</v>
      </c>
      <c r="C534" t="s">
        <v>11</v>
      </c>
      <c r="D534">
        <v>3.5458747546381306</v>
      </c>
      <c r="E534" t="s">
        <v>163</v>
      </c>
      <c r="F534">
        <v>46299</v>
      </c>
      <c r="G534" t="s">
        <v>149</v>
      </c>
      <c r="H534">
        <v>0.17783928571428564</v>
      </c>
      <c r="I534">
        <v>0.17783928571428564</v>
      </c>
      <c r="J534">
        <v>0</v>
      </c>
      <c r="K534">
        <v>0</v>
      </c>
      <c r="L534">
        <v>0</v>
      </c>
      <c r="M534" t="s">
        <v>120</v>
      </c>
      <c r="N534" t="s">
        <v>120</v>
      </c>
      <c r="O534">
        <v>36.574000000000012</v>
      </c>
    </row>
    <row r="535" spans="1:15" x14ac:dyDescent="0.25">
      <c r="A535" s="1">
        <v>46299</v>
      </c>
      <c r="B535" t="s">
        <v>148</v>
      </c>
      <c r="C535" t="s">
        <v>12</v>
      </c>
      <c r="D535">
        <v>7.313366681441142</v>
      </c>
      <c r="E535" t="s">
        <v>163</v>
      </c>
      <c r="F535">
        <v>46299</v>
      </c>
      <c r="G535" t="s">
        <v>149</v>
      </c>
      <c r="H535">
        <v>0.16955182436610938</v>
      </c>
      <c r="I535">
        <v>0.16955182436610938</v>
      </c>
      <c r="J535">
        <v>0</v>
      </c>
      <c r="K535">
        <v>0</v>
      </c>
      <c r="L535">
        <v>0</v>
      </c>
      <c r="M535" t="s">
        <v>120</v>
      </c>
      <c r="N535" t="s">
        <v>120</v>
      </c>
      <c r="O535">
        <v>37.610000000000007</v>
      </c>
    </row>
    <row r="536" spans="1:15" x14ac:dyDescent="0.25">
      <c r="A536" s="1">
        <v>46300</v>
      </c>
      <c r="B536" t="s">
        <v>148</v>
      </c>
      <c r="C536" t="s">
        <v>11</v>
      </c>
      <c r="D536">
        <v>3.5458747546381306</v>
      </c>
      <c r="E536" t="s">
        <v>163</v>
      </c>
      <c r="F536">
        <v>46300</v>
      </c>
      <c r="G536" t="s">
        <v>149</v>
      </c>
      <c r="H536">
        <v>0.17783928571428564</v>
      </c>
      <c r="I536">
        <v>0.17783928571428564</v>
      </c>
      <c r="J536">
        <v>0</v>
      </c>
      <c r="K536">
        <v>0</v>
      </c>
      <c r="L536">
        <v>0</v>
      </c>
      <c r="M536" t="s">
        <v>125</v>
      </c>
      <c r="N536" t="s">
        <v>125</v>
      </c>
      <c r="O536">
        <v>29.417999999999999</v>
      </c>
    </row>
    <row r="537" spans="1:15" x14ac:dyDescent="0.25">
      <c r="A537" s="1">
        <v>46300</v>
      </c>
      <c r="B537" t="s">
        <v>148</v>
      </c>
      <c r="C537" t="s">
        <v>10</v>
      </c>
      <c r="D537">
        <v>9.5295384030899779</v>
      </c>
      <c r="E537" t="s">
        <v>163</v>
      </c>
      <c r="F537">
        <v>46300</v>
      </c>
      <c r="G537" t="s">
        <v>149</v>
      </c>
      <c r="H537">
        <v>7.2722369878183368E-2</v>
      </c>
      <c r="I537">
        <v>7.2722369878183368E-2</v>
      </c>
      <c r="J537">
        <v>0</v>
      </c>
      <c r="K537">
        <v>0</v>
      </c>
      <c r="L537">
        <v>0</v>
      </c>
      <c r="M537" t="s">
        <v>125</v>
      </c>
      <c r="N537" t="s">
        <v>125</v>
      </c>
      <c r="O537">
        <v>27.57</v>
      </c>
    </row>
    <row r="538" spans="1:15" x14ac:dyDescent="0.25">
      <c r="A538" s="1">
        <v>46300</v>
      </c>
      <c r="B538" t="s">
        <v>148</v>
      </c>
      <c r="C538" t="s">
        <v>12</v>
      </c>
      <c r="D538">
        <v>7.313366681441142</v>
      </c>
      <c r="E538" t="s">
        <v>163</v>
      </c>
      <c r="F538">
        <v>46300</v>
      </c>
      <c r="G538" t="s">
        <v>149</v>
      </c>
      <c r="H538">
        <v>0.17606305916305875</v>
      </c>
      <c r="I538">
        <v>0.17606305916305875</v>
      </c>
      <c r="J538">
        <v>0</v>
      </c>
      <c r="K538">
        <v>0</v>
      </c>
      <c r="L538">
        <v>0</v>
      </c>
      <c r="M538" t="s">
        <v>125</v>
      </c>
      <c r="N538" t="s">
        <v>125</v>
      </c>
      <c r="O538">
        <v>28.36</v>
      </c>
    </row>
    <row r="539" spans="1:15" x14ac:dyDescent="0.25">
      <c r="A539" s="1">
        <v>46301</v>
      </c>
      <c r="B539" t="s">
        <v>148</v>
      </c>
      <c r="C539" t="s">
        <v>12</v>
      </c>
      <c r="D539">
        <v>7.313366681441142</v>
      </c>
      <c r="E539" t="s">
        <v>163</v>
      </c>
      <c r="F539">
        <v>46301</v>
      </c>
      <c r="G539" t="s">
        <v>149</v>
      </c>
      <c r="H539">
        <v>5.541370851370786E-2</v>
      </c>
      <c r="I539">
        <v>5.541370851370786E-2</v>
      </c>
      <c r="J539">
        <v>0</v>
      </c>
      <c r="K539">
        <v>0</v>
      </c>
      <c r="L539">
        <v>0</v>
      </c>
      <c r="M539" t="s">
        <v>126</v>
      </c>
      <c r="N539" t="s">
        <v>126</v>
      </c>
      <c r="O539">
        <v>28.36</v>
      </c>
    </row>
    <row r="540" spans="1:15" x14ac:dyDescent="0.25">
      <c r="A540" s="1">
        <v>46301</v>
      </c>
      <c r="B540" t="s">
        <v>148</v>
      </c>
      <c r="C540" t="s">
        <v>11</v>
      </c>
      <c r="D540">
        <v>3.5458747546381306</v>
      </c>
      <c r="E540" t="s">
        <v>163</v>
      </c>
      <c r="F540">
        <v>46301</v>
      </c>
      <c r="G540" t="s">
        <v>149</v>
      </c>
      <c r="H540">
        <v>0</v>
      </c>
      <c r="I540">
        <v>0</v>
      </c>
      <c r="J540">
        <v>0.33999240169695477</v>
      </c>
      <c r="K540">
        <v>0.33999240169695477</v>
      </c>
      <c r="L540">
        <v>3.2058823529411757</v>
      </c>
      <c r="M540" t="s">
        <v>126</v>
      </c>
      <c r="N540" t="s">
        <v>126</v>
      </c>
      <c r="O540">
        <v>29.417999999999999</v>
      </c>
    </row>
    <row r="541" spans="1:15" x14ac:dyDescent="0.25">
      <c r="A541" s="1">
        <v>46301</v>
      </c>
      <c r="B541" t="s">
        <v>148</v>
      </c>
      <c r="C541" t="s">
        <v>10</v>
      </c>
      <c r="D541">
        <v>9.5295384030899779</v>
      </c>
      <c r="E541" t="s">
        <v>163</v>
      </c>
      <c r="F541">
        <v>46301</v>
      </c>
      <c r="G541" t="s">
        <v>149</v>
      </c>
      <c r="H541">
        <v>7.2722369878183368E-2</v>
      </c>
      <c r="I541">
        <v>7.2722369878183368E-2</v>
      </c>
      <c r="J541">
        <v>0</v>
      </c>
      <c r="K541">
        <v>0</v>
      </c>
      <c r="L541">
        <v>0</v>
      </c>
      <c r="M541" t="s">
        <v>126</v>
      </c>
      <c r="N541" t="s">
        <v>126</v>
      </c>
      <c r="O541">
        <v>27.57</v>
      </c>
    </row>
    <row r="542" spans="1:15" x14ac:dyDescent="0.25">
      <c r="A542" s="1">
        <v>46302</v>
      </c>
      <c r="B542" t="s">
        <v>148</v>
      </c>
      <c r="C542" t="s">
        <v>12</v>
      </c>
      <c r="D542">
        <v>6.6485151649464944</v>
      </c>
      <c r="E542" t="s">
        <v>163</v>
      </c>
      <c r="F542">
        <v>46302</v>
      </c>
      <c r="G542" t="s">
        <v>149</v>
      </c>
      <c r="H542">
        <v>0.15431936507936439</v>
      </c>
      <c r="I542">
        <v>0.15431936507936439</v>
      </c>
      <c r="J542">
        <v>0</v>
      </c>
      <c r="K542">
        <v>0</v>
      </c>
      <c r="L542">
        <v>0</v>
      </c>
      <c r="M542" t="s">
        <v>127</v>
      </c>
      <c r="N542" t="s">
        <v>127</v>
      </c>
      <c r="O542">
        <v>28.36</v>
      </c>
    </row>
    <row r="543" spans="1:15" x14ac:dyDescent="0.25">
      <c r="A543" s="1">
        <v>46302</v>
      </c>
      <c r="B543" t="s">
        <v>148</v>
      </c>
      <c r="C543" t="s">
        <v>11</v>
      </c>
      <c r="D543">
        <v>3.5458747546381306</v>
      </c>
      <c r="E543" t="s">
        <v>163</v>
      </c>
      <c r="F543">
        <v>46302</v>
      </c>
      <c r="G543" t="s">
        <v>149</v>
      </c>
      <c r="H543">
        <v>0</v>
      </c>
      <c r="I543">
        <v>0</v>
      </c>
      <c r="J543">
        <v>1.0752865193440129</v>
      </c>
      <c r="K543">
        <v>1.0752865193440129</v>
      </c>
      <c r="L543">
        <v>2.4705882352941178</v>
      </c>
      <c r="M543" t="s">
        <v>127</v>
      </c>
      <c r="N543" t="s">
        <v>127</v>
      </c>
      <c r="O543">
        <v>29.417999999999999</v>
      </c>
    </row>
    <row r="544" spans="1:15" x14ac:dyDescent="0.25">
      <c r="A544" s="1">
        <v>46302</v>
      </c>
      <c r="B544" t="s">
        <v>148</v>
      </c>
      <c r="C544" t="s">
        <v>10</v>
      </c>
      <c r="D544">
        <v>9.5295384030899779</v>
      </c>
      <c r="E544" t="s">
        <v>163</v>
      </c>
      <c r="F544">
        <v>46302</v>
      </c>
      <c r="G544" t="s">
        <v>149</v>
      </c>
      <c r="H544">
        <v>4.9574529346621654E-2</v>
      </c>
      <c r="I544">
        <v>4.9574529346621654E-2</v>
      </c>
      <c r="J544">
        <v>0</v>
      </c>
      <c r="K544">
        <v>0</v>
      </c>
      <c r="L544">
        <v>0</v>
      </c>
      <c r="M544" t="s">
        <v>127</v>
      </c>
      <c r="N544" t="s">
        <v>127</v>
      </c>
      <c r="O544">
        <v>27.57</v>
      </c>
    </row>
    <row r="545" spans="1:15" x14ac:dyDescent="0.25">
      <c r="A545" s="1">
        <v>46303</v>
      </c>
      <c r="B545" t="s">
        <v>148</v>
      </c>
      <c r="C545" t="s">
        <v>12</v>
      </c>
      <c r="D545">
        <v>7.313366681441142</v>
      </c>
      <c r="E545" t="s">
        <v>163</v>
      </c>
      <c r="F545">
        <v>46303</v>
      </c>
      <c r="G545" t="s">
        <v>149</v>
      </c>
      <c r="H545">
        <v>0.1759505131270056</v>
      </c>
      <c r="I545">
        <v>0.1759505131270056</v>
      </c>
      <c r="J545">
        <v>0</v>
      </c>
      <c r="K545">
        <v>0</v>
      </c>
      <c r="L545">
        <v>0</v>
      </c>
      <c r="M545" t="s">
        <v>128</v>
      </c>
      <c r="N545" t="s">
        <v>128</v>
      </c>
      <c r="O545">
        <v>28.36</v>
      </c>
    </row>
    <row r="546" spans="1:15" x14ac:dyDescent="0.25">
      <c r="A546" s="1">
        <v>46303</v>
      </c>
      <c r="B546" t="s">
        <v>148</v>
      </c>
      <c r="C546" t="s">
        <v>11</v>
      </c>
      <c r="D546">
        <v>3.5458747546381306</v>
      </c>
      <c r="E546" t="s">
        <v>163</v>
      </c>
      <c r="F546">
        <v>46303</v>
      </c>
      <c r="G546" t="s">
        <v>149</v>
      </c>
      <c r="H546">
        <v>0</v>
      </c>
      <c r="I546">
        <v>0</v>
      </c>
      <c r="J546">
        <v>0.22325074234664691</v>
      </c>
      <c r="K546">
        <v>0.22325074234664691</v>
      </c>
      <c r="L546">
        <v>3.3226240122914836</v>
      </c>
      <c r="M546" t="s">
        <v>128</v>
      </c>
      <c r="N546" t="s">
        <v>128</v>
      </c>
      <c r="O546">
        <v>29.417999999999999</v>
      </c>
    </row>
    <row r="547" spans="1:15" x14ac:dyDescent="0.25">
      <c r="A547" s="1">
        <v>46303</v>
      </c>
      <c r="B547" t="s">
        <v>148</v>
      </c>
      <c r="C547" t="s">
        <v>10</v>
      </c>
      <c r="D547">
        <v>9.5295384030899779</v>
      </c>
      <c r="E547" t="s">
        <v>163</v>
      </c>
      <c r="F547">
        <v>46303</v>
      </c>
      <c r="G547" t="s">
        <v>149</v>
      </c>
      <c r="H547">
        <v>4.1858582502767971E-2</v>
      </c>
      <c r="I547">
        <v>4.1858582502767971E-2</v>
      </c>
      <c r="J547">
        <v>0</v>
      </c>
      <c r="K547">
        <v>0</v>
      </c>
      <c r="L547">
        <v>0</v>
      </c>
      <c r="M547" t="s">
        <v>128</v>
      </c>
      <c r="N547" t="s">
        <v>128</v>
      </c>
      <c r="O547">
        <v>27.57</v>
      </c>
    </row>
    <row r="548" spans="1:15" x14ac:dyDescent="0.25">
      <c r="A548" s="1">
        <v>46304</v>
      </c>
      <c r="B548" t="s">
        <v>148</v>
      </c>
      <c r="C548" t="s">
        <v>12</v>
      </c>
      <c r="D548">
        <v>7.313366681441142</v>
      </c>
      <c r="E548" t="s">
        <v>163</v>
      </c>
      <c r="F548">
        <v>46304</v>
      </c>
      <c r="G548" t="s">
        <v>149</v>
      </c>
      <c r="H548">
        <v>0.17606305916305853</v>
      </c>
      <c r="I548">
        <v>0.17606305916305853</v>
      </c>
      <c r="J548">
        <v>0</v>
      </c>
      <c r="K548">
        <v>0</v>
      </c>
      <c r="L548">
        <v>0</v>
      </c>
      <c r="M548" t="s">
        <v>129</v>
      </c>
      <c r="N548" t="s">
        <v>129</v>
      </c>
      <c r="O548">
        <v>28.36</v>
      </c>
    </row>
    <row r="549" spans="1:15" x14ac:dyDescent="0.25">
      <c r="A549" s="1">
        <v>46304</v>
      </c>
      <c r="B549" t="s">
        <v>148</v>
      </c>
      <c r="C549" t="s">
        <v>10</v>
      </c>
      <c r="D549">
        <v>9.5295384030899779</v>
      </c>
      <c r="E549" t="s">
        <v>163</v>
      </c>
      <c r="F549">
        <v>46304</v>
      </c>
      <c r="G549" t="s">
        <v>149</v>
      </c>
      <c r="H549">
        <v>5.727608076725943E-2</v>
      </c>
      <c r="I549">
        <v>5.727608076725943E-2</v>
      </c>
      <c r="J549">
        <v>0</v>
      </c>
      <c r="K549">
        <v>0</v>
      </c>
      <c r="L549">
        <v>0</v>
      </c>
      <c r="M549" t="s">
        <v>129</v>
      </c>
      <c r="N549" t="s">
        <v>129</v>
      </c>
      <c r="O549">
        <v>27.57</v>
      </c>
    </row>
    <row r="550" spans="1:15" x14ac:dyDescent="0.25">
      <c r="A550" s="1">
        <v>46304</v>
      </c>
      <c r="B550" t="s">
        <v>148</v>
      </c>
      <c r="C550" t="s">
        <v>11</v>
      </c>
      <c r="D550">
        <v>3.5458747546381306</v>
      </c>
      <c r="E550" t="s">
        <v>163</v>
      </c>
      <c r="F550">
        <v>46304</v>
      </c>
      <c r="G550" t="s">
        <v>149</v>
      </c>
      <c r="H550">
        <v>0</v>
      </c>
      <c r="I550">
        <v>0</v>
      </c>
      <c r="J550">
        <v>1.0752865193440129</v>
      </c>
      <c r="K550">
        <v>1.0752865193440129</v>
      </c>
      <c r="L550">
        <v>2.4705882352941178</v>
      </c>
      <c r="M550" t="s">
        <v>129</v>
      </c>
      <c r="N550" t="s">
        <v>129</v>
      </c>
      <c r="O550">
        <v>29.417999999999999</v>
      </c>
    </row>
    <row r="551" spans="1:15" x14ac:dyDescent="0.25">
      <c r="A551" s="1">
        <v>46305</v>
      </c>
      <c r="B551" t="s">
        <v>148</v>
      </c>
      <c r="C551" t="s">
        <v>10</v>
      </c>
      <c r="D551">
        <v>9.5295384030899779</v>
      </c>
      <c r="E551" t="s">
        <v>163</v>
      </c>
      <c r="F551">
        <v>46305</v>
      </c>
      <c r="G551" t="s">
        <v>149</v>
      </c>
      <c r="H551">
        <v>4.1858582502767971E-2</v>
      </c>
      <c r="I551">
        <v>4.1858582502767971E-2</v>
      </c>
      <c r="J551">
        <v>0</v>
      </c>
      <c r="K551">
        <v>0</v>
      </c>
      <c r="L551">
        <v>0</v>
      </c>
      <c r="M551" t="s">
        <v>119</v>
      </c>
      <c r="N551" t="s">
        <v>119</v>
      </c>
      <c r="O551">
        <v>37.600000000000009</v>
      </c>
    </row>
    <row r="552" spans="1:15" x14ac:dyDescent="0.25">
      <c r="A552" s="1">
        <v>46305</v>
      </c>
      <c r="B552" t="s">
        <v>148</v>
      </c>
      <c r="C552" t="s">
        <v>11</v>
      </c>
      <c r="D552">
        <v>3.3242575824732468</v>
      </c>
      <c r="E552" t="s">
        <v>163</v>
      </c>
      <c r="F552">
        <v>46305</v>
      </c>
      <c r="G552" t="s">
        <v>149</v>
      </c>
      <c r="H552">
        <v>0.25636190476190501</v>
      </c>
      <c r="I552">
        <v>0.25636190476190501</v>
      </c>
      <c r="J552">
        <v>0</v>
      </c>
      <c r="K552">
        <v>0</v>
      </c>
      <c r="L552">
        <v>0</v>
      </c>
      <c r="M552" t="s">
        <v>119</v>
      </c>
      <c r="N552" t="s">
        <v>119</v>
      </c>
      <c r="O552">
        <v>32.272000000000013</v>
      </c>
    </row>
    <row r="553" spans="1:15" x14ac:dyDescent="0.25">
      <c r="A553" s="1">
        <v>46305</v>
      </c>
      <c r="B553" t="s">
        <v>148</v>
      </c>
      <c r="C553" t="s">
        <v>12</v>
      </c>
      <c r="D553">
        <v>7.313366681441142</v>
      </c>
      <c r="E553" t="s">
        <v>163</v>
      </c>
      <c r="F553">
        <v>46305</v>
      </c>
      <c r="G553" t="s">
        <v>149</v>
      </c>
      <c r="H553">
        <v>0.17606305916305875</v>
      </c>
      <c r="I553">
        <v>0.17606305916305875</v>
      </c>
      <c r="J553">
        <v>0</v>
      </c>
      <c r="K553">
        <v>0</v>
      </c>
      <c r="L553">
        <v>0</v>
      </c>
      <c r="M553" t="s">
        <v>119</v>
      </c>
      <c r="N553" t="s">
        <v>119</v>
      </c>
      <c r="O553">
        <v>33.160000000000011</v>
      </c>
    </row>
    <row r="554" spans="1:15" x14ac:dyDescent="0.25">
      <c r="A554" s="1">
        <v>46306</v>
      </c>
      <c r="B554" t="s">
        <v>148</v>
      </c>
      <c r="C554" t="s">
        <v>11</v>
      </c>
      <c r="D554">
        <v>3.5458747546381306</v>
      </c>
      <c r="E554" t="s">
        <v>163</v>
      </c>
      <c r="F554">
        <v>46306</v>
      </c>
      <c r="G554" t="s">
        <v>149</v>
      </c>
      <c r="H554">
        <v>0.14466071428571414</v>
      </c>
      <c r="I554">
        <v>0.14466071428571414</v>
      </c>
      <c r="J554">
        <v>0</v>
      </c>
      <c r="K554">
        <v>0</v>
      </c>
      <c r="L554">
        <v>0</v>
      </c>
      <c r="M554" t="s">
        <v>120</v>
      </c>
      <c r="N554" t="s">
        <v>120</v>
      </c>
      <c r="O554">
        <v>36.574000000000012</v>
      </c>
    </row>
    <row r="555" spans="1:15" x14ac:dyDescent="0.25">
      <c r="A555" s="1">
        <v>46306</v>
      </c>
      <c r="B555" t="s">
        <v>148</v>
      </c>
      <c r="C555" t="s">
        <v>10</v>
      </c>
      <c r="D555">
        <v>9.5295384030899779</v>
      </c>
      <c r="E555" t="s">
        <v>163</v>
      </c>
      <c r="F555">
        <v>46306</v>
      </c>
      <c r="G555" t="s">
        <v>149</v>
      </c>
      <c r="H555">
        <v>7.2722369878183146E-2</v>
      </c>
      <c r="I555">
        <v>7.2722369878183146E-2</v>
      </c>
      <c r="J555">
        <v>0</v>
      </c>
      <c r="K555">
        <v>0</v>
      </c>
      <c r="L555">
        <v>0</v>
      </c>
      <c r="M555" t="s">
        <v>120</v>
      </c>
      <c r="N555" t="s">
        <v>120</v>
      </c>
      <c r="O555">
        <v>42.790000000000006</v>
      </c>
    </row>
    <row r="556" spans="1:15" x14ac:dyDescent="0.25">
      <c r="A556" s="1">
        <v>46306</v>
      </c>
      <c r="B556" t="s">
        <v>148</v>
      </c>
      <c r="C556" t="s">
        <v>12</v>
      </c>
      <c r="D556">
        <v>7.313366681441142</v>
      </c>
      <c r="E556" t="s">
        <v>163</v>
      </c>
      <c r="F556">
        <v>46306</v>
      </c>
      <c r="G556" t="s">
        <v>149</v>
      </c>
      <c r="H556">
        <v>5.541370851370786E-2</v>
      </c>
      <c r="I556">
        <v>5.541370851370786E-2</v>
      </c>
      <c r="J556">
        <v>0</v>
      </c>
      <c r="K556">
        <v>0</v>
      </c>
      <c r="L556">
        <v>0</v>
      </c>
      <c r="M556" t="s">
        <v>120</v>
      </c>
      <c r="N556" t="s">
        <v>120</v>
      </c>
      <c r="O556">
        <v>37.610000000000007</v>
      </c>
    </row>
    <row r="557" spans="1:15" x14ac:dyDescent="0.25">
      <c r="A557" s="1">
        <v>46307</v>
      </c>
      <c r="B557" t="s">
        <v>148</v>
      </c>
      <c r="C557" t="s">
        <v>11</v>
      </c>
      <c r="D557">
        <v>3.5458747546381306</v>
      </c>
      <c r="E557" t="s">
        <v>163</v>
      </c>
      <c r="F557">
        <v>46307</v>
      </c>
      <c r="G557" t="s">
        <v>149</v>
      </c>
      <c r="H557">
        <v>0.17783928571428564</v>
      </c>
      <c r="I557">
        <v>0.17783928571428564</v>
      </c>
      <c r="J557">
        <v>0</v>
      </c>
      <c r="K557">
        <v>0</v>
      </c>
      <c r="L557">
        <v>0</v>
      </c>
      <c r="M557" t="s">
        <v>125</v>
      </c>
      <c r="N557" t="s">
        <v>125</v>
      </c>
      <c r="O557">
        <v>29.417999999999999</v>
      </c>
    </row>
    <row r="558" spans="1:15" x14ac:dyDescent="0.25">
      <c r="A558" s="1">
        <v>46307</v>
      </c>
      <c r="B558" t="s">
        <v>148</v>
      </c>
      <c r="C558" t="s">
        <v>12</v>
      </c>
      <c r="D558">
        <v>7.313366681441142</v>
      </c>
      <c r="E558" t="s">
        <v>163</v>
      </c>
      <c r="F558">
        <v>46307</v>
      </c>
      <c r="G558" t="s">
        <v>149</v>
      </c>
      <c r="H558">
        <v>0.17606305916305853</v>
      </c>
      <c r="I558">
        <v>0.17606305916305853</v>
      </c>
      <c r="J558">
        <v>0</v>
      </c>
      <c r="K558">
        <v>0</v>
      </c>
      <c r="L558">
        <v>0</v>
      </c>
      <c r="M558" t="s">
        <v>125</v>
      </c>
      <c r="N558" t="s">
        <v>125</v>
      </c>
      <c r="O558">
        <v>28.36</v>
      </c>
    </row>
    <row r="559" spans="1:15" x14ac:dyDescent="0.25">
      <c r="A559" s="1">
        <v>46307</v>
      </c>
      <c r="B559" t="s">
        <v>148</v>
      </c>
      <c r="C559" t="s">
        <v>10</v>
      </c>
      <c r="D559">
        <v>9.5295384030899779</v>
      </c>
      <c r="E559" t="s">
        <v>163</v>
      </c>
      <c r="F559">
        <v>46307</v>
      </c>
      <c r="G559" t="s">
        <v>149</v>
      </c>
      <c r="H559">
        <v>7.2722369878183368E-2</v>
      </c>
      <c r="I559">
        <v>7.2722369878183368E-2</v>
      </c>
      <c r="J559">
        <v>0</v>
      </c>
      <c r="K559">
        <v>0</v>
      </c>
      <c r="L559">
        <v>0</v>
      </c>
      <c r="M559" t="s">
        <v>125</v>
      </c>
      <c r="N559" t="s">
        <v>125</v>
      </c>
      <c r="O559">
        <v>27.57</v>
      </c>
    </row>
    <row r="560" spans="1:15" x14ac:dyDescent="0.25">
      <c r="A560" s="1">
        <v>46308</v>
      </c>
      <c r="B560" t="s">
        <v>148</v>
      </c>
      <c r="C560" t="s">
        <v>12</v>
      </c>
      <c r="D560">
        <v>7.313366681441142</v>
      </c>
      <c r="E560" t="s">
        <v>163</v>
      </c>
      <c r="F560">
        <v>46308</v>
      </c>
      <c r="G560" t="s">
        <v>149</v>
      </c>
      <c r="H560">
        <v>0.17606305916305875</v>
      </c>
      <c r="I560">
        <v>0.17606305916305875</v>
      </c>
      <c r="J560">
        <v>0</v>
      </c>
      <c r="K560">
        <v>0</v>
      </c>
      <c r="L560">
        <v>0</v>
      </c>
      <c r="M560" t="s">
        <v>126</v>
      </c>
      <c r="N560" t="s">
        <v>126</v>
      </c>
      <c r="O560">
        <v>28.36</v>
      </c>
    </row>
    <row r="561" spans="1:15" x14ac:dyDescent="0.25">
      <c r="A561" s="1">
        <v>46308</v>
      </c>
      <c r="B561" t="s">
        <v>148</v>
      </c>
      <c r="C561" t="s">
        <v>10</v>
      </c>
      <c r="D561">
        <v>9.5295384030899779</v>
      </c>
      <c r="E561" t="s">
        <v>163</v>
      </c>
      <c r="F561">
        <v>46308</v>
      </c>
      <c r="G561" t="s">
        <v>149</v>
      </c>
      <c r="H561">
        <v>7.2722369878183368E-2</v>
      </c>
      <c r="I561">
        <v>7.2722369878183368E-2</v>
      </c>
      <c r="J561">
        <v>0</v>
      </c>
      <c r="K561">
        <v>0</v>
      </c>
      <c r="L561">
        <v>0</v>
      </c>
      <c r="M561" t="s">
        <v>126</v>
      </c>
      <c r="N561" t="s">
        <v>126</v>
      </c>
      <c r="O561">
        <v>27.57</v>
      </c>
    </row>
    <row r="562" spans="1:15" x14ac:dyDescent="0.25">
      <c r="A562" s="1">
        <v>46308</v>
      </c>
      <c r="B562" t="s">
        <v>148</v>
      </c>
      <c r="C562" t="s">
        <v>11</v>
      </c>
      <c r="D562">
        <v>3.5458747546381306</v>
      </c>
      <c r="E562" t="s">
        <v>163</v>
      </c>
      <c r="F562">
        <v>46308</v>
      </c>
      <c r="G562" t="s">
        <v>149</v>
      </c>
      <c r="H562">
        <v>0.17783928571428564</v>
      </c>
      <c r="I562">
        <v>0.17783928571428564</v>
      </c>
      <c r="J562">
        <v>0</v>
      </c>
      <c r="K562">
        <v>0</v>
      </c>
      <c r="L562">
        <v>0</v>
      </c>
      <c r="M562" t="s">
        <v>126</v>
      </c>
      <c r="N562" t="s">
        <v>126</v>
      </c>
      <c r="O562">
        <v>29.417999999999999</v>
      </c>
    </row>
    <row r="563" spans="1:15" x14ac:dyDescent="0.25">
      <c r="A563" s="1">
        <v>46309</v>
      </c>
      <c r="B563" t="s">
        <v>148</v>
      </c>
      <c r="C563" t="s">
        <v>11</v>
      </c>
      <c r="D563">
        <v>3.5458747546381306</v>
      </c>
      <c r="E563" t="s">
        <v>163</v>
      </c>
      <c r="F563">
        <v>46309</v>
      </c>
      <c r="G563" t="s">
        <v>149</v>
      </c>
      <c r="H563">
        <v>0.17783928571428564</v>
      </c>
      <c r="I563">
        <v>0.17783928571428564</v>
      </c>
      <c r="J563">
        <v>0</v>
      </c>
      <c r="K563">
        <v>0</v>
      </c>
      <c r="L563">
        <v>0</v>
      </c>
      <c r="M563" t="s">
        <v>127</v>
      </c>
      <c r="N563" t="s">
        <v>127</v>
      </c>
      <c r="O563">
        <v>29.417999999999999</v>
      </c>
    </row>
    <row r="564" spans="1:15" x14ac:dyDescent="0.25">
      <c r="A564" s="1">
        <v>46309</v>
      </c>
      <c r="B564" t="s">
        <v>148</v>
      </c>
      <c r="C564" t="s">
        <v>12</v>
      </c>
      <c r="D564">
        <v>6.6485151649464935</v>
      </c>
      <c r="E564" t="s">
        <v>163</v>
      </c>
      <c r="F564">
        <v>46309</v>
      </c>
      <c r="G564" t="s">
        <v>149</v>
      </c>
      <c r="H564">
        <v>0.18086222222222204</v>
      </c>
      <c r="I564">
        <v>0.18086222222222204</v>
      </c>
      <c r="J564">
        <v>0</v>
      </c>
      <c r="K564">
        <v>0</v>
      </c>
      <c r="L564">
        <v>0</v>
      </c>
      <c r="M564" t="s">
        <v>127</v>
      </c>
      <c r="N564" t="s">
        <v>127</v>
      </c>
      <c r="O564">
        <v>28.36</v>
      </c>
    </row>
    <row r="565" spans="1:15" x14ac:dyDescent="0.25">
      <c r="A565" s="1">
        <v>46309</v>
      </c>
      <c r="B565" t="s">
        <v>148</v>
      </c>
      <c r="C565" t="s">
        <v>10</v>
      </c>
      <c r="D565">
        <v>9.5295384030899779</v>
      </c>
      <c r="E565" t="s">
        <v>163</v>
      </c>
      <c r="F565">
        <v>46309</v>
      </c>
      <c r="G565" t="s">
        <v>149</v>
      </c>
      <c r="H565">
        <v>7.2722369878183146E-2</v>
      </c>
      <c r="I565">
        <v>7.2722369878183146E-2</v>
      </c>
      <c r="J565">
        <v>0</v>
      </c>
      <c r="K565">
        <v>0</v>
      </c>
      <c r="L565">
        <v>0</v>
      </c>
      <c r="M565" t="s">
        <v>127</v>
      </c>
      <c r="N565" t="s">
        <v>127</v>
      </c>
      <c r="O565">
        <v>27.57</v>
      </c>
    </row>
    <row r="566" spans="1:15" x14ac:dyDescent="0.25">
      <c r="A566" s="1">
        <v>46310</v>
      </c>
      <c r="B566" t="s">
        <v>148</v>
      </c>
      <c r="C566" t="s">
        <v>12</v>
      </c>
      <c r="D566">
        <v>7.313366681441142</v>
      </c>
      <c r="E566" t="s">
        <v>163</v>
      </c>
      <c r="F566">
        <v>46310</v>
      </c>
      <c r="G566" t="s">
        <v>149</v>
      </c>
      <c r="H566">
        <v>0.1760630591630592</v>
      </c>
      <c r="I566">
        <v>0.1760630591630592</v>
      </c>
      <c r="J566">
        <v>0</v>
      </c>
      <c r="K566">
        <v>0</v>
      </c>
      <c r="L566">
        <v>0</v>
      </c>
      <c r="M566" t="s">
        <v>128</v>
      </c>
      <c r="N566" t="s">
        <v>128</v>
      </c>
      <c r="O566">
        <v>28.36</v>
      </c>
    </row>
    <row r="567" spans="1:15" x14ac:dyDescent="0.25">
      <c r="A567" s="1">
        <v>46310</v>
      </c>
      <c r="B567" t="s">
        <v>148</v>
      </c>
      <c r="C567" t="s">
        <v>11</v>
      </c>
      <c r="D567">
        <v>3.5458747546381306</v>
      </c>
      <c r="E567" t="s">
        <v>163</v>
      </c>
      <c r="F567">
        <v>46310</v>
      </c>
      <c r="G567" t="s">
        <v>149</v>
      </c>
      <c r="H567">
        <v>0.17783928571428564</v>
      </c>
      <c r="I567">
        <v>0.17783928571428564</v>
      </c>
      <c r="J567">
        <v>0</v>
      </c>
      <c r="K567">
        <v>0</v>
      </c>
      <c r="L567">
        <v>0</v>
      </c>
      <c r="M567" t="s">
        <v>128</v>
      </c>
      <c r="N567" t="s">
        <v>128</v>
      </c>
      <c r="O567">
        <v>29.417999999999999</v>
      </c>
    </row>
    <row r="568" spans="1:15" x14ac:dyDescent="0.25">
      <c r="A568" s="1">
        <v>46310</v>
      </c>
      <c r="B568" t="s">
        <v>148</v>
      </c>
      <c r="C568" t="s">
        <v>10</v>
      </c>
      <c r="D568">
        <v>9.5295384030899779</v>
      </c>
      <c r="E568" t="s">
        <v>163</v>
      </c>
      <c r="F568">
        <v>46310</v>
      </c>
      <c r="G568" t="s">
        <v>149</v>
      </c>
      <c r="H568">
        <v>7.2722369878183368E-2</v>
      </c>
      <c r="I568">
        <v>7.2722369878183368E-2</v>
      </c>
      <c r="J568">
        <v>0</v>
      </c>
      <c r="K568">
        <v>0</v>
      </c>
      <c r="L568">
        <v>0</v>
      </c>
      <c r="M568" t="s">
        <v>128</v>
      </c>
      <c r="N568" t="s">
        <v>128</v>
      </c>
      <c r="O568">
        <v>27.57</v>
      </c>
    </row>
    <row r="569" spans="1:15" x14ac:dyDescent="0.25">
      <c r="A569" s="1">
        <v>46311</v>
      </c>
      <c r="B569" t="s">
        <v>148</v>
      </c>
      <c r="C569" t="s">
        <v>11</v>
      </c>
      <c r="D569">
        <v>3.5458747546381306</v>
      </c>
      <c r="E569" t="s">
        <v>163</v>
      </c>
      <c r="F569">
        <v>46311</v>
      </c>
      <c r="G569" t="s">
        <v>149</v>
      </c>
      <c r="H569">
        <v>0.17783928571428564</v>
      </c>
      <c r="I569">
        <v>0.17783928571428564</v>
      </c>
      <c r="J569">
        <v>0</v>
      </c>
      <c r="K569">
        <v>0</v>
      </c>
      <c r="L569">
        <v>0</v>
      </c>
      <c r="M569" t="s">
        <v>129</v>
      </c>
      <c r="N569" t="s">
        <v>129</v>
      </c>
      <c r="O569">
        <v>29.417999999999999</v>
      </c>
    </row>
    <row r="570" spans="1:15" x14ac:dyDescent="0.25">
      <c r="A570" s="1">
        <v>46311</v>
      </c>
      <c r="B570" t="s">
        <v>148</v>
      </c>
      <c r="C570" t="s">
        <v>12</v>
      </c>
      <c r="D570">
        <v>7.313366681441142</v>
      </c>
      <c r="E570" t="s">
        <v>163</v>
      </c>
      <c r="F570">
        <v>46311</v>
      </c>
      <c r="G570" t="s">
        <v>149</v>
      </c>
      <c r="H570">
        <v>0.17606305916305853</v>
      </c>
      <c r="I570">
        <v>0.17606305916305853</v>
      </c>
      <c r="J570">
        <v>0</v>
      </c>
      <c r="K570">
        <v>0</v>
      </c>
      <c r="L570">
        <v>0</v>
      </c>
      <c r="M570" t="s">
        <v>129</v>
      </c>
      <c r="N570" t="s">
        <v>129</v>
      </c>
      <c r="O570">
        <v>28.36</v>
      </c>
    </row>
    <row r="571" spans="1:15" x14ac:dyDescent="0.25">
      <c r="A571" s="1">
        <v>46311</v>
      </c>
      <c r="B571" t="s">
        <v>148</v>
      </c>
      <c r="C571" t="s">
        <v>10</v>
      </c>
      <c r="D571">
        <v>9.5295384030899779</v>
      </c>
      <c r="E571" t="s">
        <v>163</v>
      </c>
      <c r="F571">
        <v>46311</v>
      </c>
      <c r="G571" t="s">
        <v>149</v>
      </c>
      <c r="H571">
        <v>7.2722369878183368E-2</v>
      </c>
      <c r="I571">
        <v>7.2722369878183368E-2</v>
      </c>
      <c r="J571">
        <v>0</v>
      </c>
      <c r="K571">
        <v>0</v>
      </c>
      <c r="L571">
        <v>0</v>
      </c>
      <c r="M571" t="s">
        <v>129</v>
      </c>
      <c r="N571" t="s">
        <v>129</v>
      </c>
      <c r="O571">
        <v>27.57</v>
      </c>
    </row>
    <row r="572" spans="1:15" x14ac:dyDescent="0.25">
      <c r="A572" s="1">
        <v>46312</v>
      </c>
      <c r="B572" t="s">
        <v>148</v>
      </c>
      <c r="C572" t="s">
        <v>12</v>
      </c>
      <c r="D572">
        <v>7.313366681441142</v>
      </c>
      <c r="E572" t="s">
        <v>163</v>
      </c>
      <c r="F572">
        <v>46312</v>
      </c>
      <c r="G572" t="s">
        <v>149</v>
      </c>
      <c r="H572">
        <v>0.15193318903318875</v>
      </c>
      <c r="I572">
        <v>0.15193318903318875</v>
      </c>
      <c r="J572">
        <v>0</v>
      </c>
      <c r="K572">
        <v>0</v>
      </c>
      <c r="L572">
        <v>0</v>
      </c>
      <c r="M572" t="s">
        <v>119</v>
      </c>
      <c r="N572" t="s">
        <v>119</v>
      </c>
      <c r="O572">
        <v>33.160000000000011</v>
      </c>
    </row>
    <row r="573" spans="1:15" x14ac:dyDescent="0.25">
      <c r="A573" s="1">
        <v>46312</v>
      </c>
      <c r="B573" t="s">
        <v>148</v>
      </c>
      <c r="C573" t="s">
        <v>10</v>
      </c>
      <c r="D573">
        <v>9.5295384030899779</v>
      </c>
      <c r="E573" t="s">
        <v>163</v>
      </c>
      <c r="F573">
        <v>46312</v>
      </c>
      <c r="G573" t="s">
        <v>149</v>
      </c>
      <c r="H573">
        <v>6.5006423034329242E-2</v>
      </c>
      <c r="I573">
        <v>6.5006423034329242E-2</v>
      </c>
      <c r="J573">
        <v>0</v>
      </c>
      <c r="K573">
        <v>0</v>
      </c>
      <c r="L573">
        <v>0</v>
      </c>
      <c r="M573" t="s">
        <v>119</v>
      </c>
      <c r="N573" t="s">
        <v>119</v>
      </c>
      <c r="O573">
        <v>37.600000000000009</v>
      </c>
    </row>
    <row r="574" spans="1:15" x14ac:dyDescent="0.25">
      <c r="A574" s="1">
        <v>46312</v>
      </c>
      <c r="B574" t="s">
        <v>148</v>
      </c>
      <c r="C574" t="s">
        <v>11</v>
      </c>
      <c r="D574">
        <v>3.5458747546381306</v>
      </c>
      <c r="E574" t="s">
        <v>163</v>
      </c>
      <c r="F574">
        <v>46312</v>
      </c>
      <c r="G574" t="s">
        <v>149</v>
      </c>
      <c r="H574">
        <v>0.17783928571428564</v>
      </c>
      <c r="I574">
        <v>0.17783928571428564</v>
      </c>
      <c r="J574">
        <v>0</v>
      </c>
      <c r="K574">
        <v>0</v>
      </c>
      <c r="L574">
        <v>0</v>
      </c>
      <c r="M574" t="s">
        <v>119</v>
      </c>
      <c r="N574" t="s">
        <v>119</v>
      </c>
      <c r="O574">
        <v>32.272000000000013</v>
      </c>
    </row>
    <row r="575" spans="1:15" x14ac:dyDescent="0.25">
      <c r="A575" s="1">
        <v>46313</v>
      </c>
      <c r="B575" t="s">
        <v>148</v>
      </c>
      <c r="C575" t="s">
        <v>10</v>
      </c>
      <c r="D575">
        <v>8.6430697144304478</v>
      </c>
      <c r="E575" t="s">
        <v>163</v>
      </c>
      <c r="F575">
        <v>46313</v>
      </c>
      <c r="G575" t="s">
        <v>149</v>
      </c>
      <c r="H575">
        <v>0.13850708180708082</v>
      </c>
      <c r="I575">
        <v>0.13850708180708082</v>
      </c>
      <c r="J575">
        <v>0</v>
      </c>
      <c r="K575">
        <v>0</v>
      </c>
      <c r="L575">
        <v>0</v>
      </c>
      <c r="M575" t="s">
        <v>120</v>
      </c>
      <c r="N575" t="s">
        <v>120</v>
      </c>
      <c r="O575">
        <v>42.790000000000006</v>
      </c>
    </row>
    <row r="576" spans="1:15" x14ac:dyDescent="0.25">
      <c r="A576" s="1">
        <v>46313</v>
      </c>
      <c r="B576" t="s">
        <v>148</v>
      </c>
      <c r="C576" t="s">
        <v>11</v>
      </c>
      <c r="D576">
        <v>3.5458747546381306</v>
      </c>
      <c r="E576" t="s">
        <v>163</v>
      </c>
      <c r="F576">
        <v>46313</v>
      </c>
      <c r="G576" t="s">
        <v>149</v>
      </c>
      <c r="H576">
        <v>0.17783928571428564</v>
      </c>
      <c r="I576">
        <v>0.17783928571428564</v>
      </c>
      <c r="J576">
        <v>0</v>
      </c>
      <c r="K576">
        <v>0</v>
      </c>
      <c r="L576">
        <v>0</v>
      </c>
      <c r="M576" t="s">
        <v>120</v>
      </c>
      <c r="N576" t="s">
        <v>120</v>
      </c>
      <c r="O576">
        <v>36.574000000000012</v>
      </c>
    </row>
    <row r="577" spans="1:15" x14ac:dyDescent="0.25">
      <c r="A577" s="1">
        <v>46313</v>
      </c>
      <c r="B577" t="s">
        <v>148</v>
      </c>
      <c r="C577" t="s">
        <v>12</v>
      </c>
      <c r="D577">
        <v>7.313366681441142</v>
      </c>
      <c r="E577" t="s">
        <v>163</v>
      </c>
      <c r="F577">
        <v>46313</v>
      </c>
      <c r="G577" t="s">
        <v>149</v>
      </c>
      <c r="H577">
        <v>0.15193318903318809</v>
      </c>
      <c r="I577">
        <v>0.15193318903318809</v>
      </c>
      <c r="J577">
        <v>0</v>
      </c>
      <c r="K577">
        <v>0</v>
      </c>
      <c r="L577">
        <v>0</v>
      </c>
      <c r="M577" t="s">
        <v>120</v>
      </c>
      <c r="N577" t="s">
        <v>120</v>
      </c>
      <c r="O577">
        <v>37.610000000000007</v>
      </c>
    </row>
    <row r="578" spans="1:15" x14ac:dyDescent="0.25">
      <c r="A578" s="1">
        <v>46314</v>
      </c>
      <c r="B578" t="s">
        <v>148</v>
      </c>
      <c r="C578" t="s">
        <v>12</v>
      </c>
      <c r="D578">
        <v>7.313366681441142</v>
      </c>
      <c r="E578" t="s">
        <v>163</v>
      </c>
      <c r="F578">
        <v>46314</v>
      </c>
      <c r="G578" t="s">
        <v>149</v>
      </c>
      <c r="H578">
        <v>0.17606305916305853</v>
      </c>
      <c r="I578">
        <v>0.17606305916305853</v>
      </c>
      <c r="J578">
        <v>0</v>
      </c>
      <c r="K578">
        <v>0</v>
      </c>
      <c r="L578">
        <v>0</v>
      </c>
      <c r="M578" t="s">
        <v>125</v>
      </c>
      <c r="N578" t="s">
        <v>125</v>
      </c>
      <c r="O578">
        <v>28.36</v>
      </c>
    </row>
    <row r="579" spans="1:15" x14ac:dyDescent="0.25">
      <c r="A579" s="1">
        <v>46314</v>
      </c>
      <c r="B579" t="s">
        <v>148</v>
      </c>
      <c r="C579" t="s">
        <v>11</v>
      </c>
      <c r="D579">
        <v>3.5458747546381306</v>
      </c>
      <c r="E579" t="s">
        <v>163</v>
      </c>
      <c r="F579">
        <v>46314</v>
      </c>
      <c r="G579" t="s">
        <v>149</v>
      </c>
      <c r="H579">
        <v>0.17783928571428564</v>
      </c>
      <c r="I579">
        <v>0.17783928571428564</v>
      </c>
      <c r="J579">
        <v>0</v>
      </c>
      <c r="K579">
        <v>0</v>
      </c>
      <c r="L579">
        <v>0</v>
      </c>
      <c r="M579" t="s">
        <v>125</v>
      </c>
      <c r="N579" t="s">
        <v>125</v>
      </c>
      <c r="O579">
        <v>29.417999999999999</v>
      </c>
    </row>
    <row r="580" spans="1:15" x14ac:dyDescent="0.25">
      <c r="A580" s="1">
        <v>46314</v>
      </c>
      <c r="B580" t="s">
        <v>148</v>
      </c>
      <c r="C580" t="s">
        <v>10</v>
      </c>
      <c r="D580">
        <v>9.5295384030899779</v>
      </c>
      <c r="E580" t="s">
        <v>163</v>
      </c>
      <c r="F580">
        <v>46314</v>
      </c>
      <c r="G580" t="s">
        <v>149</v>
      </c>
      <c r="H580">
        <v>7.2722369878183368E-2</v>
      </c>
      <c r="I580">
        <v>7.2722369878183368E-2</v>
      </c>
      <c r="J580">
        <v>0</v>
      </c>
      <c r="K580">
        <v>0</v>
      </c>
      <c r="L580">
        <v>0</v>
      </c>
      <c r="M580" t="s">
        <v>125</v>
      </c>
      <c r="N580" t="s">
        <v>125</v>
      </c>
      <c r="O580">
        <v>27.57</v>
      </c>
    </row>
    <row r="581" spans="1:15" x14ac:dyDescent="0.25">
      <c r="A581" s="1">
        <v>46315</v>
      </c>
      <c r="B581" t="s">
        <v>148</v>
      </c>
      <c r="C581" t="s">
        <v>10</v>
      </c>
      <c r="D581">
        <v>9.5295384030899779</v>
      </c>
      <c r="E581" t="s">
        <v>163</v>
      </c>
      <c r="F581">
        <v>46315</v>
      </c>
      <c r="G581" t="s">
        <v>149</v>
      </c>
      <c r="H581">
        <v>7.2722369878183368E-2</v>
      </c>
      <c r="I581">
        <v>7.2722369878183368E-2</v>
      </c>
      <c r="J581">
        <v>0</v>
      </c>
      <c r="K581">
        <v>0</v>
      </c>
      <c r="L581">
        <v>0</v>
      </c>
      <c r="M581" t="s">
        <v>126</v>
      </c>
      <c r="N581" t="s">
        <v>126</v>
      </c>
      <c r="O581">
        <v>27.57</v>
      </c>
    </row>
    <row r="582" spans="1:15" x14ac:dyDescent="0.25">
      <c r="A582" s="1">
        <v>46315</v>
      </c>
      <c r="B582" t="s">
        <v>148</v>
      </c>
      <c r="C582" t="s">
        <v>11</v>
      </c>
      <c r="D582">
        <v>3.5458747546381306</v>
      </c>
      <c r="E582" t="s">
        <v>163</v>
      </c>
      <c r="F582">
        <v>46315</v>
      </c>
      <c r="G582" t="s">
        <v>149</v>
      </c>
      <c r="H582">
        <v>0.17783928571428564</v>
      </c>
      <c r="I582">
        <v>0.17783928571428564</v>
      </c>
      <c r="J582">
        <v>0</v>
      </c>
      <c r="K582">
        <v>0</v>
      </c>
      <c r="L582">
        <v>0</v>
      </c>
      <c r="M582" t="s">
        <v>126</v>
      </c>
      <c r="N582" t="s">
        <v>126</v>
      </c>
      <c r="O582">
        <v>29.417999999999999</v>
      </c>
    </row>
    <row r="583" spans="1:15" x14ac:dyDescent="0.25">
      <c r="A583" s="1">
        <v>46315</v>
      </c>
      <c r="B583" t="s">
        <v>148</v>
      </c>
      <c r="C583" t="s">
        <v>12</v>
      </c>
      <c r="D583">
        <v>7.313366681441142</v>
      </c>
      <c r="E583" t="s">
        <v>163</v>
      </c>
      <c r="F583">
        <v>46315</v>
      </c>
      <c r="G583" t="s">
        <v>149</v>
      </c>
      <c r="H583">
        <v>0.17606305916305875</v>
      </c>
      <c r="I583">
        <v>0.17606305916305875</v>
      </c>
      <c r="J583">
        <v>0</v>
      </c>
      <c r="K583">
        <v>0</v>
      </c>
      <c r="L583">
        <v>0</v>
      </c>
      <c r="M583" t="s">
        <v>126</v>
      </c>
      <c r="N583" t="s">
        <v>126</v>
      </c>
      <c r="O583">
        <v>28.36</v>
      </c>
    </row>
    <row r="584" spans="1:15" x14ac:dyDescent="0.25">
      <c r="A584" s="1">
        <v>46316</v>
      </c>
      <c r="B584" t="s">
        <v>148</v>
      </c>
      <c r="C584" t="s">
        <v>12</v>
      </c>
      <c r="D584">
        <v>6.6485151649464935</v>
      </c>
      <c r="E584" t="s">
        <v>163</v>
      </c>
      <c r="F584">
        <v>46316</v>
      </c>
      <c r="G584" t="s">
        <v>149</v>
      </c>
      <c r="H584">
        <v>4.8147936507936251E-2</v>
      </c>
      <c r="I584">
        <v>4.8147936507936251E-2</v>
      </c>
      <c r="J584">
        <v>0</v>
      </c>
      <c r="K584">
        <v>0</v>
      </c>
      <c r="L584">
        <v>0</v>
      </c>
      <c r="M584" t="s">
        <v>127</v>
      </c>
      <c r="N584" t="s">
        <v>127</v>
      </c>
      <c r="O584">
        <v>28.36</v>
      </c>
    </row>
    <row r="585" spans="1:15" x14ac:dyDescent="0.25">
      <c r="A585" s="1">
        <v>46316</v>
      </c>
      <c r="B585" t="s">
        <v>148</v>
      </c>
      <c r="C585" t="s">
        <v>11</v>
      </c>
      <c r="D585">
        <v>3.5458747546381306</v>
      </c>
      <c r="E585" t="s">
        <v>163</v>
      </c>
      <c r="F585">
        <v>46316</v>
      </c>
      <c r="G585" t="s">
        <v>149</v>
      </c>
      <c r="H585">
        <v>0.14466071428571414</v>
      </c>
      <c r="I585">
        <v>0.14466071428571414</v>
      </c>
      <c r="J585">
        <v>0</v>
      </c>
      <c r="K585">
        <v>0</v>
      </c>
      <c r="L585">
        <v>0</v>
      </c>
      <c r="M585" t="s">
        <v>127</v>
      </c>
      <c r="N585" t="s">
        <v>127</v>
      </c>
      <c r="O585">
        <v>29.417999999999999</v>
      </c>
    </row>
    <row r="586" spans="1:15" x14ac:dyDescent="0.25">
      <c r="A586" s="1">
        <v>46316</v>
      </c>
      <c r="B586" t="s">
        <v>148</v>
      </c>
      <c r="C586" t="s">
        <v>10</v>
      </c>
      <c r="D586">
        <v>9.5295384030899779</v>
      </c>
      <c r="E586" t="s">
        <v>163</v>
      </c>
      <c r="F586">
        <v>46316</v>
      </c>
      <c r="G586" t="s">
        <v>149</v>
      </c>
      <c r="H586">
        <v>7.2722369878183368E-2</v>
      </c>
      <c r="I586">
        <v>7.2722369878183368E-2</v>
      </c>
      <c r="J586">
        <v>0</v>
      </c>
      <c r="K586">
        <v>0</v>
      </c>
      <c r="L586">
        <v>0</v>
      </c>
      <c r="M586" t="s">
        <v>127</v>
      </c>
      <c r="N586" t="s">
        <v>127</v>
      </c>
      <c r="O586">
        <v>27.57</v>
      </c>
    </row>
    <row r="587" spans="1:15" x14ac:dyDescent="0.25">
      <c r="A587" s="1">
        <v>46317</v>
      </c>
      <c r="B587" t="s">
        <v>148</v>
      </c>
      <c r="C587" t="s">
        <v>10</v>
      </c>
      <c r="D587">
        <v>9.5295384030899779</v>
      </c>
      <c r="E587" t="s">
        <v>163</v>
      </c>
      <c r="F587">
        <v>46317</v>
      </c>
      <c r="G587" t="s">
        <v>149</v>
      </c>
      <c r="H587">
        <v>7.2722369878183368E-2</v>
      </c>
      <c r="I587">
        <v>7.2722369878183368E-2</v>
      </c>
      <c r="J587">
        <v>0</v>
      </c>
      <c r="K587">
        <v>0</v>
      </c>
      <c r="L587">
        <v>0</v>
      </c>
      <c r="M587" t="s">
        <v>128</v>
      </c>
      <c r="N587" t="s">
        <v>128</v>
      </c>
      <c r="O587">
        <v>27.57</v>
      </c>
    </row>
    <row r="588" spans="1:15" x14ac:dyDescent="0.25">
      <c r="A588" s="1">
        <v>46317</v>
      </c>
      <c r="B588" t="s">
        <v>148</v>
      </c>
      <c r="C588" t="s">
        <v>11</v>
      </c>
      <c r="D588">
        <v>3.5458747546381306</v>
      </c>
      <c r="E588" t="s">
        <v>163</v>
      </c>
      <c r="F588">
        <v>46317</v>
      </c>
      <c r="G588" t="s">
        <v>149</v>
      </c>
      <c r="H588">
        <v>0</v>
      </c>
      <c r="I588">
        <v>0</v>
      </c>
      <c r="J588">
        <v>0.22234534287342508</v>
      </c>
      <c r="K588">
        <v>0.22234534287342508</v>
      </c>
      <c r="L588">
        <v>3.3235294117647056</v>
      </c>
      <c r="M588" t="s">
        <v>128</v>
      </c>
      <c r="N588" t="s">
        <v>128</v>
      </c>
      <c r="O588">
        <v>29.417999999999999</v>
      </c>
    </row>
    <row r="589" spans="1:15" x14ac:dyDescent="0.25">
      <c r="A589" s="1">
        <v>46317</v>
      </c>
      <c r="B589" t="s">
        <v>148</v>
      </c>
      <c r="C589" t="s">
        <v>12</v>
      </c>
      <c r="D589">
        <v>7.313366681441142</v>
      </c>
      <c r="E589" t="s">
        <v>163</v>
      </c>
      <c r="F589">
        <v>46317</v>
      </c>
      <c r="G589" t="s">
        <v>149</v>
      </c>
      <c r="H589">
        <v>0.17606305916305898</v>
      </c>
      <c r="I589">
        <v>0.17606305916305898</v>
      </c>
      <c r="J589">
        <v>0</v>
      </c>
      <c r="K589">
        <v>0</v>
      </c>
      <c r="L589">
        <v>0</v>
      </c>
      <c r="M589" t="s">
        <v>128</v>
      </c>
      <c r="N589" t="s">
        <v>128</v>
      </c>
      <c r="O589">
        <v>28.36</v>
      </c>
    </row>
    <row r="590" spans="1:15" x14ac:dyDescent="0.25">
      <c r="A590" s="1">
        <v>46318</v>
      </c>
      <c r="B590" t="s">
        <v>148</v>
      </c>
      <c r="C590" t="s">
        <v>10</v>
      </c>
      <c r="D590">
        <v>9.5295384030899779</v>
      </c>
      <c r="E590" t="s">
        <v>163</v>
      </c>
      <c r="F590">
        <v>46318</v>
      </c>
      <c r="G590" t="s">
        <v>149</v>
      </c>
      <c r="H590">
        <v>5.7290476190475781E-2</v>
      </c>
      <c r="I590">
        <v>5.7290476190475781E-2</v>
      </c>
      <c r="J590">
        <v>0</v>
      </c>
      <c r="K590">
        <v>0</v>
      </c>
      <c r="L590">
        <v>0</v>
      </c>
      <c r="M590" t="s">
        <v>129</v>
      </c>
      <c r="N590" t="s">
        <v>129</v>
      </c>
      <c r="O590">
        <v>27.57</v>
      </c>
    </row>
    <row r="591" spans="1:15" x14ac:dyDescent="0.25">
      <c r="A591" s="1">
        <v>46318</v>
      </c>
      <c r="B591" t="s">
        <v>148</v>
      </c>
      <c r="C591" t="s">
        <v>11</v>
      </c>
      <c r="D591">
        <v>3.5458747546381306</v>
      </c>
      <c r="E591" t="s">
        <v>163</v>
      </c>
      <c r="F591">
        <v>46318</v>
      </c>
      <c r="G591" t="s">
        <v>149</v>
      </c>
      <c r="H591">
        <v>0.17783928571428564</v>
      </c>
      <c r="I591">
        <v>0.17783928571428564</v>
      </c>
      <c r="J591">
        <v>0</v>
      </c>
      <c r="K591">
        <v>0</v>
      </c>
      <c r="L591">
        <v>0</v>
      </c>
      <c r="M591" t="s">
        <v>129</v>
      </c>
      <c r="N591" t="s">
        <v>129</v>
      </c>
      <c r="O591">
        <v>29.417999999999999</v>
      </c>
    </row>
    <row r="592" spans="1:15" x14ac:dyDescent="0.25">
      <c r="A592" s="1">
        <v>46318</v>
      </c>
      <c r="B592" t="s">
        <v>148</v>
      </c>
      <c r="C592" t="s">
        <v>12</v>
      </c>
      <c r="D592">
        <v>7.313366681441142</v>
      </c>
      <c r="E592" t="s">
        <v>163</v>
      </c>
      <c r="F592">
        <v>46318</v>
      </c>
      <c r="G592" t="s">
        <v>149</v>
      </c>
      <c r="H592">
        <v>0.17606305916305875</v>
      </c>
      <c r="I592">
        <v>0.17606305916305875</v>
      </c>
      <c r="J592">
        <v>0</v>
      </c>
      <c r="K592">
        <v>0</v>
      </c>
      <c r="L592">
        <v>0</v>
      </c>
      <c r="M592" t="s">
        <v>129</v>
      </c>
      <c r="N592" t="s">
        <v>129</v>
      </c>
      <c r="O592">
        <v>28.36</v>
      </c>
    </row>
    <row r="593" spans="1:15" x14ac:dyDescent="0.25">
      <c r="A593" s="1">
        <v>46319</v>
      </c>
      <c r="B593" t="s">
        <v>148</v>
      </c>
      <c r="C593" t="s">
        <v>12</v>
      </c>
      <c r="D593">
        <v>7.313366681441142</v>
      </c>
      <c r="E593" t="s">
        <v>163</v>
      </c>
      <c r="F593">
        <v>46319</v>
      </c>
      <c r="G593" t="s">
        <v>149</v>
      </c>
      <c r="H593">
        <v>3.1283838383837859E-2</v>
      </c>
      <c r="I593">
        <v>3.1283838383837859E-2</v>
      </c>
      <c r="J593">
        <v>0</v>
      </c>
      <c r="K593">
        <v>0</v>
      </c>
      <c r="L593">
        <v>0</v>
      </c>
      <c r="M593" t="s">
        <v>119</v>
      </c>
      <c r="N593" t="s">
        <v>119</v>
      </c>
      <c r="O593">
        <v>33.160000000000011</v>
      </c>
    </row>
    <row r="594" spans="1:15" x14ac:dyDescent="0.25">
      <c r="A594" s="1">
        <v>46319</v>
      </c>
      <c r="B594" t="s">
        <v>148</v>
      </c>
      <c r="C594" t="s">
        <v>11</v>
      </c>
      <c r="D594">
        <v>3.3242575824732468</v>
      </c>
      <c r="E594" t="s">
        <v>163</v>
      </c>
      <c r="F594">
        <v>46319</v>
      </c>
      <c r="G594" t="s">
        <v>149</v>
      </c>
      <c r="H594">
        <v>0.2209714285714286</v>
      </c>
      <c r="I594">
        <v>0.2209714285714286</v>
      </c>
      <c r="J594">
        <v>0</v>
      </c>
      <c r="K594">
        <v>0</v>
      </c>
      <c r="L594">
        <v>0</v>
      </c>
      <c r="M594" t="s">
        <v>119</v>
      </c>
      <c r="N594" t="s">
        <v>119</v>
      </c>
      <c r="O594">
        <v>32.272000000000013</v>
      </c>
    </row>
    <row r="595" spans="1:15" x14ac:dyDescent="0.25">
      <c r="A595" s="1">
        <v>46319</v>
      </c>
      <c r="B595" t="s">
        <v>148</v>
      </c>
      <c r="C595" t="s">
        <v>10</v>
      </c>
      <c r="D595">
        <v>9.5295384030899779</v>
      </c>
      <c r="E595" t="s">
        <v>163</v>
      </c>
      <c r="F595">
        <v>46319</v>
      </c>
      <c r="G595" t="s">
        <v>149</v>
      </c>
      <c r="H595">
        <v>6.5006423034329242E-2</v>
      </c>
      <c r="I595">
        <v>6.5006423034329242E-2</v>
      </c>
      <c r="J595">
        <v>0</v>
      </c>
      <c r="K595">
        <v>0</v>
      </c>
      <c r="L595">
        <v>0</v>
      </c>
      <c r="M595" t="s">
        <v>119</v>
      </c>
      <c r="N595" t="s">
        <v>119</v>
      </c>
      <c r="O595">
        <v>37.600000000000009</v>
      </c>
    </row>
    <row r="596" spans="1:15" x14ac:dyDescent="0.25">
      <c r="A596" s="1">
        <v>46320</v>
      </c>
      <c r="B596" t="s">
        <v>148</v>
      </c>
      <c r="C596" t="s">
        <v>12</v>
      </c>
      <c r="D596">
        <v>7.313366681441142</v>
      </c>
      <c r="E596" t="s">
        <v>163</v>
      </c>
      <c r="F596">
        <v>46320</v>
      </c>
      <c r="G596" t="s">
        <v>149</v>
      </c>
      <c r="H596">
        <v>0.15193318903318853</v>
      </c>
      <c r="I596">
        <v>0.15193318903318853</v>
      </c>
      <c r="J596">
        <v>0</v>
      </c>
      <c r="K596">
        <v>0</v>
      </c>
      <c r="L596">
        <v>0</v>
      </c>
      <c r="M596" t="s">
        <v>120</v>
      </c>
      <c r="N596" t="s">
        <v>120</v>
      </c>
      <c r="O596">
        <v>37.610000000000007</v>
      </c>
    </row>
    <row r="597" spans="1:15" x14ac:dyDescent="0.25">
      <c r="A597" s="1">
        <v>46320</v>
      </c>
      <c r="B597" t="s">
        <v>148</v>
      </c>
      <c r="C597" t="s">
        <v>10</v>
      </c>
      <c r="D597">
        <v>9.5295384030899779</v>
      </c>
      <c r="E597" t="s">
        <v>163</v>
      </c>
      <c r="F597">
        <v>46320</v>
      </c>
      <c r="G597" t="s">
        <v>149</v>
      </c>
      <c r="H597">
        <v>6.5006423034329242E-2</v>
      </c>
      <c r="I597">
        <v>6.5006423034329242E-2</v>
      </c>
      <c r="J597">
        <v>0</v>
      </c>
      <c r="K597">
        <v>0</v>
      </c>
      <c r="L597">
        <v>0</v>
      </c>
      <c r="M597" t="s">
        <v>120</v>
      </c>
      <c r="N597" t="s">
        <v>120</v>
      </c>
      <c r="O597">
        <v>42.790000000000006</v>
      </c>
    </row>
    <row r="598" spans="1:15" x14ac:dyDescent="0.25">
      <c r="A598" s="1">
        <v>46320</v>
      </c>
      <c r="B598" t="s">
        <v>148</v>
      </c>
      <c r="C598" t="s">
        <v>11</v>
      </c>
      <c r="D598">
        <v>3.5458747546381306</v>
      </c>
      <c r="E598" t="s">
        <v>163</v>
      </c>
      <c r="F598">
        <v>46320</v>
      </c>
      <c r="G598" t="s">
        <v>149</v>
      </c>
      <c r="H598">
        <v>0.17783928571428564</v>
      </c>
      <c r="I598">
        <v>0.17783928571428564</v>
      </c>
      <c r="J598">
        <v>0</v>
      </c>
      <c r="K598">
        <v>0</v>
      </c>
      <c r="L598">
        <v>0</v>
      </c>
      <c r="M598" t="s">
        <v>120</v>
      </c>
      <c r="N598" t="s">
        <v>120</v>
      </c>
      <c r="O598">
        <v>36.574000000000012</v>
      </c>
    </row>
    <row r="599" spans="1:15" x14ac:dyDescent="0.25">
      <c r="A599" s="1">
        <v>46293</v>
      </c>
      <c r="B599" t="s">
        <v>97</v>
      </c>
      <c r="C599" t="s">
        <v>11</v>
      </c>
      <c r="D599">
        <v>0</v>
      </c>
      <c r="E599" t="s">
        <v>163</v>
      </c>
      <c r="F599">
        <v>46293</v>
      </c>
      <c r="G599" t="s">
        <v>149</v>
      </c>
      <c r="H599">
        <v>0</v>
      </c>
      <c r="I599">
        <v>0</v>
      </c>
      <c r="J599">
        <v>0</v>
      </c>
      <c r="K599">
        <v>0</v>
      </c>
      <c r="L599">
        <v>0</v>
      </c>
      <c r="M599" t="s">
        <v>125</v>
      </c>
    </row>
    <row r="600" spans="1:15" x14ac:dyDescent="0.25">
      <c r="A600" s="1">
        <v>46293</v>
      </c>
      <c r="B600" t="s">
        <v>97</v>
      </c>
      <c r="C600" t="s">
        <v>12</v>
      </c>
      <c r="D600">
        <v>0</v>
      </c>
      <c r="E600" t="s">
        <v>163</v>
      </c>
      <c r="F600">
        <v>46293</v>
      </c>
      <c r="G600" t="s">
        <v>149</v>
      </c>
      <c r="H600">
        <v>0</v>
      </c>
      <c r="I600">
        <v>0</v>
      </c>
      <c r="J600">
        <v>0</v>
      </c>
      <c r="K600">
        <v>0</v>
      </c>
      <c r="L600">
        <v>0</v>
      </c>
      <c r="M600" t="s">
        <v>125</v>
      </c>
    </row>
    <row r="601" spans="1:15" x14ac:dyDescent="0.25">
      <c r="A601" s="1">
        <v>46293</v>
      </c>
      <c r="B601" t="s">
        <v>97</v>
      </c>
      <c r="C601" t="s">
        <v>10</v>
      </c>
      <c r="D601">
        <v>0.88646868865953243</v>
      </c>
      <c r="E601" t="s">
        <v>163</v>
      </c>
      <c r="F601">
        <v>46293</v>
      </c>
      <c r="G601" t="s">
        <v>149</v>
      </c>
      <c r="H601">
        <v>0</v>
      </c>
      <c r="I601">
        <v>0</v>
      </c>
      <c r="J601">
        <v>6.2939276894826465E-2</v>
      </c>
      <c r="K601">
        <v>6.2939276894826465E-2</v>
      </c>
      <c r="L601">
        <v>0.82352941176470595</v>
      </c>
      <c r="M601" t="s">
        <v>125</v>
      </c>
    </row>
    <row r="602" spans="1:15" x14ac:dyDescent="0.25">
      <c r="A602" s="1">
        <v>46294</v>
      </c>
      <c r="B602" t="s">
        <v>97</v>
      </c>
      <c r="C602" t="s">
        <v>11</v>
      </c>
      <c r="D602">
        <v>0</v>
      </c>
      <c r="E602" t="s">
        <v>163</v>
      </c>
      <c r="F602">
        <v>46294</v>
      </c>
      <c r="G602" t="s">
        <v>149</v>
      </c>
      <c r="H602">
        <v>0</v>
      </c>
      <c r="I602">
        <v>0</v>
      </c>
      <c r="J602">
        <v>0</v>
      </c>
      <c r="K602">
        <v>0</v>
      </c>
      <c r="L602">
        <v>0</v>
      </c>
      <c r="M602" t="s">
        <v>126</v>
      </c>
    </row>
    <row r="603" spans="1:15" x14ac:dyDescent="0.25">
      <c r="A603" s="1">
        <v>46294</v>
      </c>
      <c r="B603" t="s">
        <v>97</v>
      </c>
      <c r="C603" t="s">
        <v>12</v>
      </c>
      <c r="D603">
        <v>0</v>
      </c>
      <c r="E603" t="s">
        <v>163</v>
      </c>
      <c r="F603">
        <v>46294</v>
      </c>
      <c r="G603" t="s">
        <v>149</v>
      </c>
      <c r="H603">
        <v>0</v>
      </c>
      <c r="I603">
        <v>0</v>
      </c>
      <c r="J603">
        <v>0</v>
      </c>
      <c r="K603">
        <v>0</v>
      </c>
      <c r="L603">
        <v>0</v>
      </c>
      <c r="M603" t="s">
        <v>126</v>
      </c>
    </row>
    <row r="604" spans="1:15" x14ac:dyDescent="0.25">
      <c r="A604" s="1">
        <v>46294</v>
      </c>
      <c r="B604" t="s">
        <v>97</v>
      </c>
      <c r="C604" t="s">
        <v>10</v>
      </c>
      <c r="D604">
        <v>0.88646868865953243</v>
      </c>
      <c r="E604" t="s">
        <v>163</v>
      </c>
      <c r="F604">
        <v>46294</v>
      </c>
      <c r="G604" t="s">
        <v>149</v>
      </c>
      <c r="H604">
        <v>0</v>
      </c>
      <c r="I604">
        <v>0</v>
      </c>
      <c r="J604">
        <v>6.2939276894826465E-2</v>
      </c>
      <c r="K604">
        <v>6.2939276894826465E-2</v>
      </c>
      <c r="L604">
        <v>0.82352941176470595</v>
      </c>
      <c r="M604" t="s">
        <v>126</v>
      </c>
    </row>
    <row r="605" spans="1:15" x14ac:dyDescent="0.25">
      <c r="A605" s="1">
        <v>46295</v>
      </c>
      <c r="B605" t="s">
        <v>97</v>
      </c>
      <c r="C605" t="s">
        <v>10</v>
      </c>
      <c r="D605">
        <v>2.7148103590198196</v>
      </c>
      <c r="E605" t="s">
        <v>163</v>
      </c>
      <c r="F605">
        <v>46295</v>
      </c>
      <c r="G605" t="s">
        <v>149</v>
      </c>
      <c r="H605">
        <v>0</v>
      </c>
      <c r="I605">
        <v>0</v>
      </c>
      <c r="J605">
        <v>1.0648920583662249</v>
      </c>
      <c r="K605">
        <v>1.0648920583662249</v>
      </c>
      <c r="L605">
        <v>1.6499183006535947</v>
      </c>
      <c r="M605" t="s">
        <v>127</v>
      </c>
    </row>
    <row r="606" spans="1:15" x14ac:dyDescent="0.25">
      <c r="A606" s="1">
        <v>46295</v>
      </c>
      <c r="B606" t="s">
        <v>97</v>
      </c>
      <c r="C606" t="s">
        <v>11</v>
      </c>
      <c r="D606">
        <v>0</v>
      </c>
      <c r="E606" t="s">
        <v>163</v>
      </c>
      <c r="F606">
        <v>46295</v>
      </c>
      <c r="G606" t="s">
        <v>149</v>
      </c>
      <c r="H606">
        <v>0</v>
      </c>
      <c r="I606">
        <v>0</v>
      </c>
      <c r="J606">
        <v>0</v>
      </c>
      <c r="K606">
        <v>0</v>
      </c>
      <c r="L606">
        <v>0</v>
      </c>
      <c r="M606" t="s">
        <v>127</v>
      </c>
    </row>
    <row r="607" spans="1:15" x14ac:dyDescent="0.25">
      <c r="A607" s="1">
        <v>46295</v>
      </c>
      <c r="B607" t="s">
        <v>97</v>
      </c>
      <c r="C607" t="s">
        <v>12</v>
      </c>
      <c r="D607">
        <v>0.62574260375967017</v>
      </c>
      <c r="E607" t="s">
        <v>163</v>
      </c>
      <c r="F607">
        <v>46295</v>
      </c>
      <c r="G607" t="s">
        <v>149</v>
      </c>
      <c r="H607">
        <v>0.74863359788359807</v>
      </c>
      <c r="I607">
        <v>0.74863359788359807</v>
      </c>
      <c r="J607">
        <v>0</v>
      </c>
      <c r="K607">
        <v>0</v>
      </c>
      <c r="L607">
        <v>0</v>
      </c>
      <c r="M607" t="s">
        <v>127</v>
      </c>
    </row>
    <row r="608" spans="1:15" x14ac:dyDescent="0.25">
      <c r="A608" s="1">
        <v>46296</v>
      </c>
      <c r="B608" t="s">
        <v>97</v>
      </c>
      <c r="C608" t="s">
        <v>12</v>
      </c>
      <c r="D608">
        <v>0</v>
      </c>
      <c r="E608" t="s">
        <v>163</v>
      </c>
      <c r="F608">
        <v>46296</v>
      </c>
      <c r="G608" t="s">
        <v>149</v>
      </c>
      <c r="H608">
        <v>0</v>
      </c>
      <c r="I608">
        <v>0</v>
      </c>
      <c r="J608">
        <v>0</v>
      </c>
      <c r="K608">
        <v>0</v>
      </c>
      <c r="L608">
        <v>0</v>
      </c>
      <c r="M608" t="s">
        <v>128</v>
      </c>
    </row>
    <row r="609" spans="1:13" x14ac:dyDescent="0.25">
      <c r="A609" s="1">
        <v>46296</v>
      </c>
      <c r="B609" t="s">
        <v>97</v>
      </c>
      <c r="C609" t="s">
        <v>11</v>
      </c>
      <c r="D609">
        <v>0</v>
      </c>
      <c r="E609" t="s">
        <v>163</v>
      </c>
      <c r="F609">
        <v>46296</v>
      </c>
      <c r="G609" t="s">
        <v>149</v>
      </c>
      <c r="H609">
        <v>0</v>
      </c>
      <c r="I609">
        <v>0</v>
      </c>
      <c r="J609">
        <v>0</v>
      </c>
      <c r="K609">
        <v>0</v>
      </c>
      <c r="L609">
        <v>0</v>
      </c>
      <c r="M609" t="s">
        <v>128</v>
      </c>
    </row>
    <row r="610" spans="1:13" x14ac:dyDescent="0.25">
      <c r="A610" s="1">
        <v>46296</v>
      </c>
      <c r="B610" t="s">
        <v>97</v>
      </c>
      <c r="C610" t="s">
        <v>10</v>
      </c>
      <c r="D610">
        <v>2.7148103590198196</v>
      </c>
      <c r="E610" t="s">
        <v>163</v>
      </c>
      <c r="F610">
        <v>46296</v>
      </c>
      <c r="G610" t="s">
        <v>149</v>
      </c>
      <c r="H610">
        <v>0</v>
      </c>
      <c r="I610">
        <v>0</v>
      </c>
      <c r="J610">
        <v>1.0648920583662249</v>
      </c>
      <c r="K610">
        <v>1.0648920583662249</v>
      </c>
      <c r="L610">
        <v>1.6499183006535947</v>
      </c>
      <c r="M610" t="s">
        <v>128</v>
      </c>
    </row>
    <row r="611" spans="1:13" x14ac:dyDescent="0.25">
      <c r="A611" s="1">
        <v>46297</v>
      </c>
      <c r="B611" t="s">
        <v>97</v>
      </c>
      <c r="C611" t="s">
        <v>10</v>
      </c>
      <c r="D611">
        <v>1.7729373773190653</v>
      </c>
      <c r="E611" t="s">
        <v>163</v>
      </c>
      <c r="F611">
        <v>46297</v>
      </c>
      <c r="G611" t="s">
        <v>149</v>
      </c>
      <c r="H611">
        <v>0</v>
      </c>
      <c r="I611">
        <v>0</v>
      </c>
      <c r="J611">
        <v>0.94940796555435925</v>
      </c>
      <c r="K611">
        <v>0.94940796555435925</v>
      </c>
      <c r="L611">
        <v>0.82352941176470595</v>
      </c>
      <c r="M611" t="s">
        <v>129</v>
      </c>
    </row>
    <row r="612" spans="1:13" x14ac:dyDescent="0.25">
      <c r="A612" s="1">
        <v>46297</v>
      </c>
      <c r="B612" t="s">
        <v>97</v>
      </c>
      <c r="C612" t="s">
        <v>11</v>
      </c>
      <c r="D612">
        <v>0</v>
      </c>
      <c r="E612" t="s">
        <v>163</v>
      </c>
      <c r="F612">
        <v>46297</v>
      </c>
      <c r="G612" t="s">
        <v>149</v>
      </c>
      <c r="H612">
        <v>0</v>
      </c>
      <c r="I612">
        <v>0</v>
      </c>
      <c r="J612">
        <v>0</v>
      </c>
      <c r="K612">
        <v>0</v>
      </c>
      <c r="L612">
        <v>0</v>
      </c>
      <c r="M612" t="s">
        <v>129</v>
      </c>
    </row>
    <row r="613" spans="1:13" x14ac:dyDescent="0.25">
      <c r="A613" s="1">
        <v>46297</v>
      </c>
      <c r="B613" t="s">
        <v>97</v>
      </c>
      <c r="C613" t="s">
        <v>12</v>
      </c>
      <c r="D613">
        <v>0</v>
      </c>
      <c r="E613" t="s">
        <v>163</v>
      </c>
      <c r="F613">
        <v>46297</v>
      </c>
      <c r="G613" t="s">
        <v>149</v>
      </c>
      <c r="H613">
        <v>0</v>
      </c>
      <c r="I613">
        <v>0</v>
      </c>
      <c r="J613">
        <v>0</v>
      </c>
      <c r="K613">
        <v>0</v>
      </c>
      <c r="L613">
        <v>0</v>
      </c>
      <c r="M613" t="s">
        <v>129</v>
      </c>
    </row>
    <row r="614" spans="1:13" x14ac:dyDescent="0.25">
      <c r="A614" s="1">
        <v>46298</v>
      </c>
      <c r="B614" t="s">
        <v>97</v>
      </c>
      <c r="C614" t="s">
        <v>10</v>
      </c>
      <c r="D614">
        <v>0.88646868865953243</v>
      </c>
      <c r="E614" t="s">
        <v>163</v>
      </c>
      <c r="F614">
        <v>46298</v>
      </c>
      <c r="G614" t="s">
        <v>149</v>
      </c>
      <c r="H614">
        <v>0</v>
      </c>
      <c r="I614">
        <v>0</v>
      </c>
      <c r="J614">
        <v>0.88646868865953243</v>
      </c>
      <c r="K614">
        <v>0.88646868865953243</v>
      </c>
      <c r="L614">
        <v>0</v>
      </c>
      <c r="M614" t="s">
        <v>119</v>
      </c>
    </row>
    <row r="615" spans="1:13" x14ac:dyDescent="0.25">
      <c r="A615" s="1">
        <v>46298</v>
      </c>
      <c r="B615" t="s">
        <v>97</v>
      </c>
      <c r="C615" t="s">
        <v>11</v>
      </c>
      <c r="D615">
        <v>0</v>
      </c>
      <c r="E615" t="s">
        <v>163</v>
      </c>
      <c r="F615">
        <v>46298</v>
      </c>
      <c r="G615" t="s">
        <v>149</v>
      </c>
      <c r="H615">
        <v>0</v>
      </c>
      <c r="I615">
        <v>0</v>
      </c>
      <c r="J615">
        <v>0</v>
      </c>
      <c r="K615">
        <v>0</v>
      </c>
      <c r="L615">
        <v>0</v>
      </c>
      <c r="M615" t="s">
        <v>119</v>
      </c>
    </row>
    <row r="616" spans="1:13" x14ac:dyDescent="0.25">
      <c r="A616" s="1">
        <v>46298</v>
      </c>
      <c r="B616" t="s">
        <v>97</v>
      </c>
      <c r="C616" t="s">
        <v>12</v>
      </c>
      <c r="D616">
        <v>0</v>
      </c>
      <c r="E616" t="s">
        <v>163</v>
      </c>
      <c r="F616">
        <v>46298</v>
      </c>
      <c r="G616" t="s">
        <v>149</v>
      </c>
      <c r="H616">
        <v>0</v>
      </c>
      <c r="I616">
        <v>0</v>
      </c>
      <c r="J616">
        <v>0</v>
      </c>
      <c r="K616">
        <v>0</v>
      </c>
      <c r="L616">
        <v>0</v>
      </c>
      <c r="M616" t="s">
        <v>119</v>
      </c>
    </row>
    <row r="617" spans="1:13" x14ac:dyDescent="0.25">
      <c r="A617" s="1">
        <v>46299</v>
      </c>
      <c r="B617" t="s">
        <v>97</v>
      </c>
      <c r="C617" t="s">
        <v>10</v>
      </c>
      <c r="D617">
        <v>0.88646868865953243</v>
      </c>
      <c r="E617" t="s">
        <v>163</v>
      </c>
      <c r="F617">
        <v>46299</v>
      </c>
      <c r="G617" t="s">
        <v>149</v>
      </c>
      <c r="H617">
        <v>0</v>
      </c>
      <c r="I617">
        <v>0</v>
      </c>
      <c r="J617">
        <v>0.88646868865953243</v>
      </c>
      <c r="K617">
        <v>0.88646868865953243</v>
      </c>
      <c r="L617">
        <v>0</v>
      </c>
      <c r="M617" t="s">
        <v>120</v>
      </c>
    </row>
    <row r="618" spans="1:13" x14ac:dyDescent="0.25">
      <c r="A618" s="1">
        <v>46299</v>
      </c>
      <c r="B618" t="s">
        <v>97</v>
      </c>
      <c r="C618" t="s">
        <v>12</v>
      </c>
      <c r="D618">
        <v>0</v>
      </c>
      <c r="E618" t="s">
        <v>163</v>
      </c>
      <c r="F618">
        <v>46299</v>
      </c>
      <c r="G618" t="s">
        <v>149</v>
      </c>
      <c r="H618">
        <v>0</v>
      </c>
      <c r="I618">
        <v>0</v>
      </c>
      <c r="J618">
        <v>0</v>
      </c>
      <c r="K618">
        <v>0</v>
      </c>
      <c r="L618">
        <v>0</v>
      </c>
      <c r="M618" t="s">
        <v>120</v>
      </c>
    </row>
    <row r="619" spans="1:13" x14ac:dyDescent="0.25">
      <c r="A619" s="1">
        <v>46299</v>
      </c>
      <c r="B619" t="s">
        <v>97</v>
      </c>
      <c r="C619" t="s">
        <v>11</v>
      </c>
      <c r="D619">
        <v>0</v>
      </c>
      <c r="E619" t="s">
        <v>163</v>
      </c>
      <c r="F619">
        <v>46299</v>
      </c>
      <c r="G619" t="s">
        <v>149</v>
      </c>
      <c r="H619">
        <v>0</v>
      </c>
      <c r="I619">
        <v>0</v>
      </c>
      <c r="J619">
        <v>0</v>
      </c>
      <c r="K619">
        <v>0</v>
      </c>
      <c r="L619">
        <v>0</v>
      </c>
      <c r="M619" t="s">
        <v>120</v>
      </c>
    </row>
    <row r="620" spans="1:13" x14ac:dyDescent="0.25">
      <c r="A620" s="1">
        <v>46300</v>
      </c>
      <c r="B620" t="s">
        <v>97</v>
      </c>
      <c r="C620" t="s">
        <v>11</v>
      </c>
      <c r="D620">
        <v>0</v>
      </c>
      <c r="E620" t="s">
        <v>163</v>
      </c>
      <c r="F620">
        <v>46300</v>
      </c>
      <c r="G620" t="s">
        <v>149</v>
      </c>
      <c r="H620">
        <v>0</v>
      </c>
      <c r="I620">
        <v>0</v>
      </c>
      <c r="J620">
        <v>0</v>
      </c>
      <c r="K620">
        <v>0</v>
      </c>
      <c r="L620">
        <v>0</v>
      </c>
      <c r="M620" t="s">
        <v>125</v>
      </c>
    </row>
    <row r="621" spans="1:13" x14ac:dyDescent="0.25">
      <c r="A621" s="1">
        <v>46300</v>
      </c>
      <c r="B621" t="s">
        <v>97</v>
      </c>
      <c r="C621" t="s">
        <v>10</v>
      </c>
      <c r="D621">
        <v>0</v>
      </c>
      <c r="E621" t="s">
        <v>163</v>
      </c>
      <c r="F621">
        <v>46300</v>
      </c>
      <c r="G621" t="s">
        <v>149</v>
      </c>
      <c r="H621">
        <v>0</v>
      </c>
      <c r="I621">
        <v>0</v>
      </c>
      <c r="J621">
        <v>0</v>
      </c>
      <c r="K621">
        <v>0</v>
      </c>
      <c r="L621">
        <v>0</v>
      </c>
      <c r="M621" t="s">
        <v>125</v>
      </c>
    </row>
    <row r="622" spans="1:13" x14ac:dyDescent="0.25">
      <c r="A622" s="1">
        <v>46300</v>
      </c>
      <c r="B622" t="s">
        <v>97</v>
      </c>
      <c r="C622" t="s">
        <v>12</v>
      </c>
      <c r="D622">
        <v>0</v>
      </c>
      <c r="E622" t="s">
        <v>163</v>
      </c>
      <c r="F622">
        <v>46300</v>
      </c>
      <c r="G622" t="s">
        <v>149</v>
      </c>
      <c r="H622">
        <v>0</v>
      </c>
      <c r="I622">
        <v>0</v>
      </c>
      <c r="J622">
        <v>0</v>
      </c>
      <c r="K622">
        <v>0</v>
      </c>
      <c r="L622">
        <v>0</v>
      </c>
      <c r="M622" t="s">
        <v>125</v>
      </c>
    </row>
    <row r="623" spans="1:13" x14ac:dyDescent="0.25">
      <c r="A623" s="1">
        <v>46301</v>
      </c>
      <c r="B623" t="s">
        <v>97</v>
      </c>
      <c r="C623" t="s">
        <v>12</v>
      </c>
      <c r="D623">
        <v>0</v>
      </c>
      <c r="E623" t="s">
        <v>163</v>
      </c>
      <c r="F623">
        <v>46301</v>
      </c>
      <c r="G623" t="s">
        <v>149</v>
      </c>
      <c r="H623">
        <v>0</v>
      </c>
      <c r="I623">
        <v>0</v>
      </c>
      <c r="J623">
        <v>0</v>
      </c>
      <c r="K623">
        <v>0</v>
      </c>
      <c r="L623">
        <v>0</v>
      </c>
      <c r="M623" t="s">
        <v>126</v>
      </c>
    </row>
    <row r="624" spans="1:13" x14ac:dyDescent="0.25">
      <c r="A624" s="1">
        <v>46301</v>
      </c>
      <c r="B624" t="s">
        <v>97</v>
      </c>
      <c r="C624" t="s">
        <v>11</v>
      </c>
      <c r="D624">
        <v>0</v>
      </c>
      <c r="E624" t="s">
        <v>163</v>
      </c>
      <c r="F624">
        <v>46301</v>
      </c>
      <c r="G624" t="s">
        <v>149</v>
      </c>
      <c r="H624">
        <v>0</v>
      </c>
      <c r="I624">
        <v>0</v>
      </c>
      <c r="J624">
        <v>0</v>
      </c>
      <c r="K624">
        <v>0</v>
      </c>
      <c r="L624">
        <v>0</v>
      </c>
      <c r="M624" t="s">
        <v>126</v>
      </c>
    </row>
    <row r="625" spans="1:13" x14ac:dyDescent="0.25">
      <c r="A625" s="1">
        <v>46301</v>
      </c>
      <c r="B625" t="s">
        <v>97</v>
      </c>
      <c r="C625" t="s">
        <v>10</v>
      </c>
      <c r="D625">
        <v>1.7729373773190653</v>
      </c>
      <c r="E625" t="s">
        <v>163</v>
      </c>
      <c r="F625">
        <v>46301</v>
      </c>
      <c r="G625" t="s">
        <v>149</v>
      </c>
      <c r="H625">
        <v>0</v>
      </c>
      <c r="I625">
        <v>0</v>
      </c>
      <c r="J625">
        <v>0.94940796555435925</v>
      </c>
      <c r="K625">
        <v>0.94940796555435925</v>
      </c>
      <c r="L625">
        <v>0.82352941176470595</v>
      </c>
      <c r="M625" t="s">
        <v>126</v>
      </c>
    </row>
    <row r="626" spans="1:13" x14ac:dyDescent="0.25">
      <c r="A626" s="1">
        <v>46302</v>
      </c>
      <c r="B626" t="s">
        <v>97</v>
      </c>
      <c r="C626" t="s">
        <v>12</v>
      </c>
      <c r="D626">
        <v>0.62574260375967017</v>
      </c>
      <c r="E626" t="s">
        <v>163</v>
      </c>
      <c r="F626">
        <v>46302</v>
      </c>
      <c r="G626" t="s">
        <v>149</v>
      </c>
      <c r="H626">
        <v>0</v>
      </c>
      <c r="I626">
        <v>0</v>
      </c>
      <c r="J626">
        <v>0.23743041613952412</v>
      </c>
      <c r="K626">
        <v>0.23743041613952412</v>
      </c>
      <c r="L626">
        <v>0.38831218762014608</v>
      </c>
      <c r="M626" t="s">
        <v>127</v>
      </c>
    </row>
    <row r="627" spans="1:13" x14ac:dyDescent="0.25">
      <c r="A627" s="1">
        <v>46302</v>
      </c>
      <c r="B627" t="s">
        <v>97</v>
      </c>
      <c r="C627" t="s">
        <v>11</v>
      </c>
      <c r="D627">
        <v>0</v>
      </c>
      <c r="E627" t="s">
        <v>163</v>
      </c>
      <c r="F627">
        <v>46302</v>
      </c>
      <c r="G627" t="s">
        <v>149</v>
      </c>
      <c r="H627">
        <v>0</v>
      </c>
      <c r="I627">
        <v>0</v>
      </c>
      <c r="J627">
        <v>0</v>
      </c>
      <c r="K627">
        <v>0</v>
      </c>
      <c r="L627">
        <v>0</v>
      </c>
      <c r="M627" t="s">
        <v>127</v>
      </c>
    </row>
    <row r="628" spans="1:13" x14ac:dyDescent="0.25">
      <c r="A628" s="1">
        <v>46302</v>
      </c>
      <c r="B628" t="s">
        <v>97</v>
      </c>
      <c r="C628" t="s">
        <v>10</v>
      </c>
      <c r="D628">
        <v>2.7148103590198196</v>
      </c>
      <c r="E628" t="s">
        <v>163</v>
      </c>
      <c r="F628">
        <v>46302</v>
      </c>
      <c r="G628" t="s">
        <v>149</v>
      </c>
      <c r="H628">
        <v>0</v>
      </c>
      <c r="I628">
        <v>0</v>
      </c>
      <c r="J628">
        <v>1.0648920583662249</v>
      </c>
      <c r="K628">
        <v>1.0648920583662249</v>
      </c>
      <c r="L628">
        <v>1.6499183006535947</v>
      </c>
      <c r="M628" t="s">
        <v>127</v>
      </c>
    </row>
    <row r="629" spans="1:13" x14ac:dyDescent="0.25">
      <c r="A629" s="1">
        <v>46303</v>
      </c>
      <c r="B629" t="s">
        <v>97</v>
      </c>
      <c r="C629" t="s">
        <v>12</v>
      </c>
      <c r="D629">
        <v>0</v>
      </c>
      <c r="E629" t="s">
        <v>163</v>
      </c>
      <c r="F629">
        <v>46303</v>
      </c>
      <c r="G629" t="s">
        <v>149</v>
      </c>
      <c r="H629">
        <v>0</v>
      </c>
      <c r="I629">
        <v>0</v>
      </c>
      <c r="J629">
        <v>0</v>
      </c>
      <c r="K629">
        <v>0</v>
      </c>
      <c r="L629">
        <v>0</v>
      </c>
      <c r="M629" t="s">
        <v>128</v>
      </c>
    </row>
    <row r="630" spans="1:13" x14ac:dyDescent="0.25">
      <c r="A630" s="1">
        <v>46303</v>
      </c>
      <c r="B630" t="s">
        <v>97</v>
      </c>
      <c r="C630" t="s">
        <v>11</v>
      </c>
      <c r="D630">
        <v>0</v>
      </c>
      <c r="E630" t="s">
        <v>163</v>
      </c>
      <c r="F630">
        <v>46303</v>
      </c>
      <c r="G630" t="s">
        <v>149</v>
      </c>
      <c r="H630">
        <v>0</v>
      </c>
      <c r="I630">
        <v>0</v>
      </c>
      <c r="J630">
        <v>0</v>
      </c>
      <c r="K630">
        <v>0</v>
      </c>
      <c r="L630">
        <v>0</v>
      </c>
      <c r="M630" t="s">
        <v>128</v>
      </c>
    </row>
    <row r="631" spans="1:13" x14ac:dyDescent="0.25">
      <c r="A631" s="1">
        <v>46303</v>
      </c>
      <c r="B631" t="s">
        <v>97</v>
      </c>
      <c r="C631" t="s">
        <v>10</v>
      </c>
      <c r="D631">
        <v>2.7148103590198196</v>
      </c>
      <c r="E631" t="s">
        <v>163</v>
      </c>
      <c r="F631">
        <v>46303</v>
      </c>
      <c r="G631" t="s">
        <v>149</v>
      </c>
      <c r="H631">
        <v>0</v>
      </c>
      <c r="I631">
        <v>0</v>
      </c>
      <c r="J631">
        <v>1.0648920583662249</v>
      </c>
      <c r="K631">
        <v>1.0648920583662249</v>
      </c>
      <c r="L631">
        <v>1.6499183006535947</v>
      </c>
      <c r="M631" t="s">
        <v>128</v>
      </c>
    </row>
    <row r="632" spans="1:13" x14ac:dyDescent="0.25">
      <c r="A632" s="1">
        <v>46304</v>
      </c>
      <c r="B632" t="s">
        <v>97</v>
      </c>
      <c r="C632" t="s">
        <v>10</v>
      </c>
      <c r="D632">
        <v>1.7729373773190653</v>
      </c>
      <c r="E632" t="s">
        <v>163</v>
      </c>
      <c r="F632">
        <v>46304</v>
      </c>
      <c r="G632" t="s">
        <v>149</v>
      </c>
      <c r="H632">
        <v>0</v>
      </c>
      <c r="I632">
        <v>0</v>
      </c>
      <c r="J632">
        <v>1.7729373773190653</v>
      </c>
      <c r="K632">
        <v>1.7729373773190653</v>
      </c>
      <c r="L632">
        <v>0</v>
      </c>
      <c r="M632" t="s">
        <v>129</v>
      </c>
    </row>
    <row r="633" spans="1:13" x14ac:dyDescent="0.25">
      <c r="A633" s="1">
        <v>46304</v>
      </c>
      <c r="B633" t="s">
        <v>97</v>
      </c>
      <c r="C633" t="s">
        <v>11</v>
      </c>
      <c r="D633">
        <v>0</v>
      </c>
      <c r="E633" t="s">
        <v>163</v>
      </c>
      <c r="F633">
        <v>46304</v>
      </c>
      <c r="G633" t="s">
        <v>149</v>
      </c>
      <c r="H633">
        <v>0</v>
      </c>
      <c r="I633">
        <v>0</v>
      </c>
      <c r="J633">
        <v>0</v>
      </c>
      <c r="K633">
        <v>0</v>
      </c>
      <c r="L633">
        <v>0</v>
      </c>
      <c r="M633" t="s">
        <v>129</v>
      </c>
    </row>
    <row r="634" spans="1:13" x14ac:dyDescent="0.25">
      <c r="A634" s="1">
        <v>46304</v>
      </c>
      <c r="B634" t="s">
        <v>97</v>
      </c>
      <c r="C634" t="s">
        <v>12</v>
      </c>
      <c r="D634">
        <v>0</v>
      </c>
      <c r="E634" t="s">
        <v>163</v>
      </c>
      <c r="F634">
        <v>46304</v>
      </c>
      <c r="G634" t="s">
        <v>149</v>
      </c>
      <c r="H634">
        <v>0</v>
      </c>
      <c r="I634">
        <v>0</v>
      </c>
      <c r="J634">
        <v>0</v>
      </c>
      <c r="K634">
        <v>0</v>
      </c>
      <c r="L634">
        <v>0</v>
      </c>
      <c r="M634" t="s">
        <v>129</v>
      </c>
    </row>
    <row r="635" spans="1:13" x14ac:dyDescent="0.25">
      <c r="A635" s="1">
        <v>46305</v>
      </c>
      <c r="B635" t="s">
        <v>97</v>
      </c>
      <c r="C635" t="s">
        <v>10</v>
      </c>
      <c r="D635">
        <v>0</v>
      </c>
      <c r="E635" t="s">
        <v>163</v>
      </c>
      <c r="F635">
        <v>46305</v>
      </c>
      <c r="G635" t="s">
        <v>149</v>
      </c>
      <c r="H635">
        <v>0</v>
      </c>
      <c r="I635">
        <v>0</v>
      </c>
      <c r="J635">
        <v>0</v>
      </c>
      <c r="K635">
        <v>0</v>
      </c>
      <c r="L635">
        <v>0</v>
      </c>
      <c r="M635" t="s">
        <v>119</v>
      </c>
    </row>
    <row r="636" spans="1:13" x14ac:dyDescent="0.25">
      <c r="A636" s="1">
        <v>46305</v>
      </c>
      <c r="B636" t="s">
        <v>97</v>
      </c>
      <c r="C636" t="s">
        <v>11</v>
      </c>
      <c r="D636">
        <v>0</v>
      </c>
      <c r="E636" t="s">
        <v>163</v>
      </c>
      <c r="F636">
        <v>46305</v>
      </c>
      <c r="G636" t="s">
        <v>149</v>
      </c>
      <c r="H636">
        <v>0</v>
      </c>
      <c r="I636">
        <v>0</v>
      </c>
      <c r="J636">
        <v>0</v>
      </c>
      <c r="K636">
        <v>0</v>
      </c>
      <c r="L636">
        <v>0</v>
      </c>
      <c r="M636" t="s">
        <v>119</v>
      </c>
    </row>
    <row r="637" spans="1:13" x14ac:dyDescent="0.25">
      <c r="A637" s="1">
        <v>46305</v>
      </c>
      <c r="B637" t="s">
        <v>97</v>
      </c>
      <c r="C637" t="s">
        <v>12</v>
      </c>
      <c r="D637">
        <v>0</v>
      </c>
      <c r="E637" t="s">
        <v>163</v>
      </c>
      <c r="F637">
        <v>46305</v>
      </c>
      <c r="G637" t="s">
        <v>149</v>
      </c>
      <c r="H637">
        <v>0</v>
      </c>
      <c r="I637">
        <v>0</v>
      </c>
      <c r="J637">
        <v>0</v>
      </c>
      <c r="K637">
        <v>0</v>
      </c>
      <c r="L637">
        <v>0</v>
      </c>
      <c r="M637" t="s">
        <v>119</v>
      </c>
    </row>
    <row r="638" spans="1:13" x14ac:dyDescent="0.25">
      <c r="A638" s="1">
        <v>46306</v>
      </c>
      <c r="B638" t="s">
        <v>97</v>
      </c>
      <c r="C638" t="s">
        <v>11</v>
      </c>
      <c r="D638">
        <v>0</v>
      </c>
      <c r="E638" t="s">
        <v>163</v>
      </c>
      <c r="F638">
        <v>46306</v>
      </c>
      <c r="G638" t="s">
        <v>149</v>
      </c>
      <c r="H638">
        <v>0</v>
      </c>
      <c r="I638">
        <v>0</v>
      </c>
      <c r="J638">
        <v>0</v>
      </c>
      <c r="K638">
        <v>0</v>
      </c>
      <c r="L638">
        <v>0</v>
      </c>
      <c r="M638" t="s">
        <v>120</v>
      </c>
    </row>
    <row r="639" spans="1:13" x14ac:dyDescent="0.25">
      <c r="A639" s="1">
        <v>46306</v>
      </c>
      <c r="B639" t="s">
        <v>97</v>
      </c>
      <c r="C639" t="s">
        <v>10</v>
      </c>
      <c r="D639">
        <v>0</v>
      </c>
      <c r="E639" t="s">
        <v>163</v>
      </c>
      <c r="F639">
        <v>46306</v>
      </c>
      <c r="G639" t="s">
        <v>149</v>
      </c>
      <c r="H639">
        <v>0</v>
      </c>
      <c r="I639">
        <v>0</v>
      </c>
      <c r="J639">
        <v>0</v>
      </c>
      <c r="K639">
        <v>0</v>
      </c>
      <c r="L639">
        <v>0</v>
      </c>
      <c r="M639" t="s">
        <v>120</v>
      </c>
    </row>
    <row r="640" spans="1:13" x14ac:dyDescent="0.25">
      <c r="A640" s="1">
        <v>46306</v>
      </c>
      <c r="B640" t="s">
        <v>97</v>
      </c>
      <c r="C640" t="s">
        <v>12</v>
      </c>
      <c r="D640">
        <v>0</v>
      </c>
      <c r="E640" t="s">
        <v>163</v>
      </c>
      <c r="F640">
        <v>46306</v>
      </c>
      <c r="G640" t="s">
        <v>149</v>
      </c>
      <c r="H640">
        <v>0</v>
      </c>
      <c r="I640">
        <v>0</v>
      </c>
      <c r="J640">
        <v>0</v>
      </c>
      <c r="K640">
        <v>0</v>
      </c>
      <c r="L640">
        <v>0</v>
      </c>
      <c r="M640" t="s">
        <v>120</v>
      </c>
    </row>
    <row r="641" spans="1:13" x14ac:dyDescent="0.25">
      <c r="A641" s="1">
        <v>46307</v>
      </c>
      <c r="B641" t="s">
        <v>97</v>
      </c>
      <c r="C641" t="s">
        <v>12</v>
      </c>
      <c r="D641">
        <v>0</v>
      </c>
      <c r="E641" t="s">
        <v>163</v>
      </c>
      <c r="F641">
        <v>46307</v>
      </c>
      <c r="G641" t="s">
        <v>149</v>
      </c>
      <c r="H641">
        <v>0</v>
      </c>
      <c r="I641">
        <v>0</v>
      </c>
      <c r="J641">
        <v>0</v>
      </c>
      <c r="K641">
        <v>0</v>
      </c>
      <c r="L641">
        <v>0</v>
      </c>
      <c r="M641" t="s">
        <v>125</v>
      </c>
    </row>
    <row r="642" spans="1:13" x14ac:dyDescent="0.25">
      <c r="A642" s="1">
        <v>46307</v>
      </c>
      <c r="B642" t="s">
        <v>97</v>
      </c>
      <c r="C642" t="s">
        <v>11</v>
      </c>
      <c r="D642">
        <v>0</v>
      </c>
      <c r="E642" t="s">
        <v>163</v>
      </c>
      <c r="F642">
        <v>46307</v>
      </c>
      <c r="G642" t="s">
        <v>149</v>
      </c>
      <c r="H642">
        <v>0</v>
      </c>
      <c r="I642">
        <v>0</v>
      </c>
      <c r="J642">
        <v>0</v>
      </c>
      <c r="K642">
        <v>0</v>
      </c>
      <c r="L642">
        <v>0</v>
      </c>
      <c r="M642" t="s">
        <v>125</v>
      </c>
    </row>
    <row r="643" spans="1:13" x14ac:dyDescent="0.25">
      <c r="A643" s="1">
        <v>46307</v>
      </c>
      <c r="B643" t="s">
        <v>97</v>
      </c>
      <c r="C643" t="s">
        <v>10</v>
      </c>
      <c r="D643">
        <v>0.88646868865953243</v>
      </c>
      <c r="E643" t="s">
        <v>163</v>
      </c>
      <c r="F643">
        <v>46307</v>
      </c>
      <c r="G643" t="s">
        <v>149</v>
      </c>
      <c r="H643">
        <v>0</v>
      </c>
      <c r="I643">
        <v>0</v>
      </c>
      <c r="J643">
        <v>6.2939276894826465E-2</v>
      </c>
      <c r="K643">
        <v>6.2939276894826465E-2</v>
      </c>
      <c r="L643">
        <v>0.82352941176470595</v>
      </c>
      <c r="M643" t="s">
        <v>125</v>
      </c>
    </row>
    <row r="644" spans="1:13" x14ac:dyDescent="0.25">
      <c r="A644" s="1">
        <v>46308</v>
      </c>
      <c r="B644" t="s">
        <v>97</v>
      </c>
      <c r="C644" t="s">
        <v>11</v>
      </c>
      <c r="D644">
        <v>0</v>
      </c>
      <c r="E644" t="s">
        <v>163</v>
      </c>
      <c r="F644">
        <v>46308</v>
      </c>
      <c r="G644" t="s">
        <v>149</v>
      </c>
      <c r="H644">
        <v>0</v>
      </c>
      <c r="I644">
        <v>0</v>
      </c>
      <c r="J644">
        <v>0</v>
      </c>
      <c r="K644">
        <v>0</v>
      </c>
      <c r="L644">
        <v>0</v>
      </c>
      <c r="M644" t="s">
        <v>126</v>
      </c>
    </row>
    <row r="645" spans="1:13" x14ac:dyDescent="0.25">
      <c r="A645" s="1">
        <v>46308</v>
      </c>
      <c r="B645" t="s">
        <v>97</v>
      </c>
      <c r="C645" t="s">
        <v>10</v>
      </c>
      <c r="D645">
        <v>0.88646868865953243</v>
      </c>
      <c r="E645" t="s">
        <v>163</v>
      </c>
      <c r="F645">
        <v>46308</v>
      </c>
      <c r="G645" t="s">
        <v>149</v>
      </c>
      <c r="H645">
        <v>0</v>
      </c>
      <c r="I645">
        <v>0</v>
      </c>
      <c r="J645">
        <v>6.2939276894826465E-2</v>
      </c>
      <c r="K645">
        <v>6.2939276894826465E-2</v>
      </c>
      <c r="L645">
        <v>0.82352941176470595</v>
      </c>
      <c r="M645" t="s">
        <v>126</v>
      </c>
    </row>
    <row r="646" spans="1:13" x14ac:dyDescent="0.25">
      <c r="A646" s="1">
        <v>46308</v>
      </c>
      <c r="B646" t="s">
        <v>97</v>
      </c>
      <c r="C646" t="s">
        <v>12</v>
      </c>
      <c r="D646">
        <v>0</v>
      </c>
      <c r="E646" t="s">
        <v>163</v>
      </c>
      <c r="F646">
        <v>46308</v>
      </c>
      <c r="G646" t="s">
        <v>149</v>
      </c>
      <c r="H646">
        <v>0</v>
      </c>
      <c r="I646">
        <v>0</v>
      </c>
      <c r="J646">
        <v>0</v>
      </c>
      <c r="K646">
        <v>0</v>
      </c>
      <c r="L646">
        <v>0</v>
      </c>
      <c r="M646" t="s">
        <v>126</v>
      </c>
    </row>
    <row r="647" spans="1:13" x14ac:dyDescent="0.25">
      <c r="A647" s="1">
        <v>46309</v>
      </c>
      <c r="B647" t="s">
        <v>97</v>
      </c>
      <c r="C647" t="s">
        <v>11</v>
      </c>
      <c r="D647">
        <v>0</v>
      </c>
      <c r="E647" t="s">
        <v>163</v>
      </c>
      <c r="F647">
        <v>46309</v>
      </c>
      <c r="G647" t="s">
        <v>149</v>
      </c>
      <c r="H647">
        <v>0</v>
      </c>
      <c r="I647">
        <v>0</v>
      </c>
      <c r="J647">
        <v>0</v>
      </c>
      <c r="K647">
        <v>0</v>
      </c>
      <c r="L647">
        <v>0</v>
      </c>
      <c r="M647" t="s">
        <v>127</v>
      </c>
    </row>
    <row r="648" spans="1:13" x14ac:dyDescent="0.25">
      <c r="A648" s="1">
        <v>46309</v>
      </c>
      <c r="B648" t="s">
        <v>97</v>
      </c>
      <c r="C648" t="s">
        <v>12</v>
      </c>
      <c r="D648">
        <v>0.62574260375967017</v>
      </c>
      <c r="E648" t="s">
        <v>163</v>
      </c>
      <c r="F648">
        <v>46309</v>
      </c>
      <c r="G648" t="s">
        <v>149</v>
      </c>
      <c r="H648">
        <v>1.0140621693121692</v>
      </c>
      <c r="I648">
        <v>1.0140621693121692</v>
      </c>
      <c r="J648">
        <v>0</v>
      </c>
      <c r="K648">
        <v>0</v>
      </c>
      <c r="L648">
        <v>0</v>
      </c>
      <c r="M648" t="s">
        <v>127</v>
      </c>
    </row>
    <row r="649" spans="1:13" x14ac:dyDescent="0.25">
      <c r="A649" s="1">
        <v>46309</v>
      </c>
      <c r="B649" t="s">
        <v>97</v>
      </c>
      <c r="C649" t="s">
        <v>10</v>
      </c>
      <c r="D649">
        <v>2.7148103590198196</v>
      </c>
      <c r="E649" t="s">
        <v>163</v>
      </c>
      <c r="F649">
        <v>46309</v>
      </c>
      <c r="G649" t="s">
        <v>149</v>
      </c>
      <c r="H649">
        <v>0</v>
      </c>
      <c r="I649">
        <v>0</v>
      </c>
      <c r="J649">
        <v>0.2413626466015181</v>
      </c>
      <c r="K649">
        <v>0.2413626466015181</v>
      </c>
      <c r="L649">
        <v>2.4734477124183014</v>
      </c>
      <c r="M649" t="s">
        <v>127</v>
      </c>
    </row>
    <row r="650" spans="1:13" x14ac:dyDescent="0.25">
      <c r="A650" s="1">
        <v>46310</v>
      </c>
      <c r="B650" t="s">
        <v>97</v>
      </c>
      <c r="C650" t="s">
        <v>11</v>
      </c>
      <c r="D650">
        <v>0</v>
      </c>
      <c r="E650" t="s">
        <v>163</v>
      </c>
      <c r="F650">
        <v>46310</v>
      </c>
      <c r="G650" t="s">
        <v>149</v>
      </c>
      <c r="H650">
        <v>0</v>
      </c>
      <c r="I650">
        <v>0</v>
      </c>
      <c r="J650">
        <v>0</v>
      </c>
      <c r="K650">
        <v>0</v>
      </c>
      <c r="L650">
        <v>0</v>
      </c>
      <c r="M650" t="s">
        <v>128</v>
      </c>
    </row>
    <row r="651" spans="1:13" x14ac:dyDescent="0.25">
      <c r="A651" s="1">
        <v>46310</v>
      </c>
      <c r="B651" t="s">
        <v>97</v>
      </c>
      <c r="C651" t="s">
        <v>12</v>
      </c>
      <c r="D651">
        <v>0</v>
      </c>
      <c r="E651" t="s">
        <v>163</v>
      </c>
      <c r="F651">
        <v>46310</v>
      </c>
      <c r="G651" t="s">
        <v>149</v>
      </c>
      <c r="H651">
        <v>0</v>
      </c>
      <c r="I651">
        <v>0</v>
      </c>
      <c r="J651">
        <v>0</v>
      </c>
      <c r="K651">
        <v>0</v>
      </c>
      <c r="L651">
        <v>0</v>
      </c>
      <c r="M651" t="s">
        <v>128</v>
      </c>
    </row>
    <row r="652" spans="1:13" x14ac:dyDescent="0.25">
      <c r="A652" s="1">
        <v>46310</v>
      </c>
      <c r="B652" t="s">
        <v>97</v>
      </c>
      <c r="C652" t="s">
        <v>10</v>
      </c>
      <c r="D652">
        <v>2.7148103590198196</v>
      </c>
      <c r="E652" t="s">
        <v>163</v>
      </c>
      <c r="F652">
        <v>46310</v>
      </c>
      <c r="G652" t="s">
        <v>149</v>
      </c>
      <c r="H652">
        <v>0</v>
      </c>
      <c r="I652">
        <v>0</v>
      </c>
      <c r="J652">
        <v>0.2413626466015181</v>
      </c>
      <c r="K652">
        <v>0.2413626466015181</v>
      </c>
      <c r="L652">
        <v>2.4734477124183014</v>
      </c>
      <c r="M652" t="s">
        <v>128</v>
      </c>
    </row>
    <row r="653" spans="1:13" x14ac:dyDescent="0.25">
      <c r="A653" s="1">
        <v>46311</v>
      </c>
      <c r="B653" t="s">
        <v>97</v>
      </c>
      <c r="C653" t="s">
        <v>10</v>
      </c>
      <c r="D653">
        <v>1.7729373773190653</v>
      </c>
      <c r="E653" t="s">
        <v>163</v>
      </c>
      <c r="F653">
        <v>46311</v>
      </c>
      <c r="G653" t="s">
        <v>149</v>
      </c>
      <c r="H653">
        <v>0</v>
      </c>
      <c r="I653">
        <v>0</v>
      </c>
      <c r="J653">
        <v>0.12587855378965335</v>
      </c>
      <c r="K653">
        <v>0.12587855378965335</v>
      </c>
      <c r="L653">
        <v>1.6470588235294119</v>
      </c>
      <c r="M653" t="s">
        <v>129</v>
      </c>
    </row>
    <row r="654" spans="1:13" x14ac:dyDescent="0.25">
      <c r="A654" s="1">
        <v>46311</v>
      </c>
      <c r="B654" t="s">
        <v>97</v>
      </c>
      <c r="C654" t="s">
        <v>12</v>
      </c>
      <c r="D654">
        <v>0</v>
      </c>
      <c r="E654" t="s">
        <v>163</v>
      </c>
      <c r="F654">
        <v>46311</v>
      </c>
      <c r="G654" t="s">
        <v>149</v>
      </c>
      <c r="H654">
        <v>0</v>
      </c>
      <c r="I654">
        <v>0</v>
      </c>
      <c r="J654">
        <v>0</v>
      </c>
      <c r="K654">
        <v>0</v>
      </c>
      <c r="L654">
        <v>0</v>
      </c>
      <c r="M654" t="s">
        <v>129</v>
      </c>
    </row>
    <row r="655" spans="1:13" x14ac:dyDescent="0.25">
      <c r="A655" s="1">
        <v>46311</v>
      </c>
      <c r="B655" t="s">
        <v>97</v>
      </c>
      <c r="C655" t="s">
        <v>11</v>
      </c>
      <c r="D655">
        <v>0</v>
      </c>
      <c r="E655" t="s">
        <v>163</v>
      </c>
      <c r="F655">
        <v>46311</v>
      </c>
      <c r="G655" t="s">
        <v>149</v>
      </c>
      <c r="H655">
        <v>0</v>
      </c>
      <c r="I655">
        <v>0</v>
      </c>
      <c r="J655">
        <v>0</v>
      </c>
      <c r="K655">
        <v>0</v>
      </c>
      <c r="L655">
        <v>0</v>
      </c>
      <c r="M655" t="s">
        <v>129</v>
      </c>
    </row>
    <row r="656" spans="1:13" x14ac:dyDescent="0.25">
      <c r="A656" s="1">
        <v>46312</v>
      </c>
      <c r="B656" t="s">
        <v>97</v>
      </c>
      <c r="C656" t="s">
        <v>10</v>
      </c>
      <c r="D656">
        <v>0.88646868865953243</v>
      </c>
      <c r="E656" t="s">
        <v>163</v>
      </c>
      <c r="F656">
        <v>46312</v>
      </c>
      <c r="G656" t="s">
        <v>149</v>
      </c>
      <c r="H656">
        <v>0</v>
      </c>
      <c r="I656">
        <v>0</v>
      </c>
      <c r="J656">
        <v>6.2939276894826465E-2</v>
      </c>
      <c r="K656">
        <v>6.2939276894826465E-2</v>
      </c>
      <c r="L656">
        <v>0.82352941176470595</v>
      </c>
      <c r="M656" t="s">
        <v>119</v>
      </c>
    </row>
    <row r="657" spans="1:13" x14ac:dyDescent="0.25">
      <c r="A657" s="1">
        <v>46312</v>
      </c>
      <c r="B657" t="s">
        <v>97</v>
      </c>
      <c r="C657" t="s">
        <v>11</v>
      </c>
      <c r="D657">
        <v>0</v>
      </c>
      <c r="E657" t="s">
        <v>163</v>
      </c>
      <c r="F657">
        <v>46312</v>
      </c>
      <c r="G657" t="s">
        <v>149</v>
      </c>
      <c r="H657">
        <v>0</v>
      </c>
      <c r="I657">
        <v>0</v>
      </c>
      <c r="J657">
        <v>0</v>
      </c>
      <c r="K657">
        <v>0</v>
      </c>
      <c r="L657">
        <v>0</v>
      </c>
      <c r="M657" t="s">
        <v>119</v>
      </c>
    </row>
    <row r="658" spans="1:13" x14ac:dyDescent="0.25">
      <c r="A658" s="1">
        <v>46312</v>
      </c>
      <c r="B658" t="s">
        <v>97</v>
      </c>
      <c r="C658" t="s">
        <v>12</v>
      </c>
      <c r="D658">
        <v>0</v>
      </c>
      <c r="E658" t="s">
        <v>163</v>
      </c>
      <c r="F658">
        <v>46312</v>
      </c>
      <c r="G658" t="s">
        <v>149</v>
      </c>
      <c r="H658">
        <v>0</v>
      </c>
      <c r="I658">
        <v>0</v>
      </c>
      <c r="J658">
        <v>0</v>
      </c>
      <c r="K658">
        <v>0</v>
      </c>
      <c r="L658">
        <v>0</v>
      </c>
      <c r="M658" t="s">
        <v>119</v>
      </c>
    </row>
    <row r="659" spans="1:13" x14ac:dyDescent="0.25">
      <c r="A659" s="1">
        <v>46313</v>
      </c>
      <c r="B659" t="s">
        <v>97</v>
      </c>
      <c r="C659" t="s">
        <v>10</v>
      </c>
      <c r="D659">
        <v>0.88646868865953243</v>
      </c>
      <c r="E659" t="s">
        <v>163</v>
      </c>
      <c r="F659">
        <v>46313</v>
      </c>
      <c r="G659" t="s">
        <v>149</v>
      </c>
      <c r="H659">
        <v>0</v>
      </c>
      <c r="I659">
        <v>0</v>
      </c>
      <c r="J659">
        <v>0.88646868865953243</v>
      </c>
      <c r="K659">
        <v>0.88646868865953243</v>
      </c>
      <c r="L659">
        <v>0</v>
      </c>
      <c r="M659" t="s">
        <v>120</v>
      </c>
    </row>
    <row r="660" spans="1:13" x14ac:dyDescent="0.25">
      <c r="A660" s="1">
        <v>46313</v>
      </c>
      <c r="B660" t="s">
        <v>97</v>
      </c>
      <c r="C660" t="s">
        <v>11</v>
      </c>
      <c r="D660">
        <v>0</v>
      </c>
      <c r="E660" t="s">
        <v>163</v>
      </c>
      <c r="F660">
        <v>46313</v>
      </c>
      <c r="G660" t="s">
        <v>149</v>
      </c>
      <c r="H660">
        <v>0</v>
      </c>
      <c r="I660">
        <v>0</v>
      </c>
      <c r="J660">
        <v>0</v>
      </c>
      <c r="K660">
        <v>0</v>
      </c>
      <c r="L660">
        <v>0</v>
      </c>
      <c r="M660" t="s">
        <v>120</v>
      </c>
    </row>
    <row r="661" spans="1:13" x14ac:dyDescent="0.25">
      <c r="A661" s="1">
        <v>46313</v>
      </c>
      <c r="B661" t="s">
        <v>97</v>
      </c>
      <c r="C661" t="s">
        <v>12</v>
      </c>
      <c r="D661">
        <v>0</v>
      </c>
      <c r="E661" t="s">
        <v>163</v>
      </c>
      <c r="F661">
        <v>46313</v>
      </c>
      <c r="G661" t="s">
        <v>149</v>
      </c>
      <c r="H661">
        <v>0</v>
      </c>
      <c r="I661">
        <v>0</v>
      </c>
      <c r="J661">
        <v>0</v>
      </c>
      <c r="K661">
        <v>0</v>
      </c>
      <c r="L661">
        <v>0</v>
      </c>
      <c r="M661" t="s">
        <v>120</v>
      </c>
    </row>
    <row r="662" spans="1:13" x14ac:dyDescent="0.25">
      <c r="A662" s="1">
        <v>46314</v>
      </c>
      <c r="B662" t="s">
        <v>97</v>
      </c>
      <c r="C662" t="s">
        <v>12</v>
      </c>
      <c r="D662">
        <v>0</v>
      </c>
      <c r="E662" t="s">
        <v>163</v>
      </c>
      <c r="F662">
        <v>46314</v>
      </c>
      <c r="G662" t="s">
        <v>149</v>
      </c>
      <c r="H662">
        <v>0</v>
      </c>
      <c r="I662">
        <v>0</v>
      </c>
      <c r="J662">
        <v>0</v>
      </c>
      <c r="K662">
        <v>0</v>
      </c>
      <c r="L662">
        <v>0</v>
      </c>
      <c r="M662" t="s">
        <v>125</v>
      </c>
    </row>
    <row r="663" spans="1:13" x14ac:dyDescent="0.25">
      <c r="A663" s="1">
        <v>46314</v>
      </c>
      <c r="B663" t="s">
        <v>97</v>
      </c>
      <c r="C663" t="s">
        <v>10</v>
      </c>
      <c r="D663">
        <v>0</v>
      </c>
      <c r="E663" t="s">
        <v>163</v>
      </c>
      <c r="F663">
        <v>46314</v>
      </c>
      <c r="G663" t="s">
        <v>149</v>
      </c>
      <c r="H663">
        <v>0</v>
      </c>
      <c r="I663">
        <v>0</v>
      </c>
      <c r="J663">
        <v>0</v>
      </c>
      <c r="K663">
        <v>0</v>
      </c>
      <c r="L663">
        <v>0</v>
      </c>
      <c r="M663" t="s">
        <v>125</v>
      </c>
    </row>
    <row r="664" spans="1:13" x14ac:dyDescent="0.25">
      <c r="A664" s="1">
        <v>46314</v>
      </c>
      <c r="B664" t="s">
        <v>97</v>
      </c>
      <c r="C664" t="s">
        <v>11</v>
      </c>
      <c r="D664">
        <v>0</v>
      </c>
      <c r="E664" t="s">
        <v>163</v>
      </c>
      <c r="F664">
        <v>46314</v>
      </c>
      <c r="G664" t="s">
        <v>149</v>
      </c>
      <c r="H664">
        <v>0</v>
      </c>
      <c r="I664">
        <v>0</v>
      </c>
      <c r="J664">
        <v>0</v>
      </c>
      <c r="K664">
        <v>0</v>
      </c>
      <c r="L664">
        <v>0</v>
      </c>
      <c r="M664" t="s">
        <v>125</v>
      </c>
    </row>
    <row r="665" spans="1:13" x14ac:dyDescent="0.25">
      <c r="A665" s="1">
        <v>46315</v>
      </c>
      <c r="B665" t="s">
        <v>97</v>
      </c>
      <c r="C665" t="s">
        <v>10</v>
      </c>
      <c r="D665">
        <v>1.7729373773190653</v>
      </c>
      <c r="E665" t="s">
        <v>163</v>
      </c>
      <c r="F665">
        <v>46315</v>
      </c>
      <c r="G665" t="s">
        <v>149</v>
      </c>
      <c r="H665">
        <v>0</v>
      </c>
      <c r="I665">
        <v>0</v>
      </c>
      <c r="J665">
        <v>0.12587855378965335</v>
      </c>
      <c r="K665">
        <v>0.12587855378965335</v>
      </c>
      <c r="L665">
        <v>1.6470588235294119</v>
      </c>
      <c r="M665" t="s">
        <v>126</v>
      </c>
    </row>
    <row r="666" spans="1:13" x14ac:dyDescent="0.25">
      <c r="A666" s="1">
        <v>46315</v>
      </c>
      <c r="B666" t="s">
        <v>97</v>
      </c>
      <c r="C666" t="s">
        <v>11</v>
      </c>
      <c r="D666">
        <v>0</v>
      </c>
      <c r="E666" t="s">
        <v>163</v>
      </c>
      <c r="F666">
        <v>46315</v>
      </c>
      <c r="G666" t="s">
        <v>149</v>
      </c>
      <c r="H666">
        <v>0</v>
      </c>
      <c r="I666">
        <v>0</v>
      </c>
      <c r="J666">
        <v>0</v>
      </c>
      <c r="K666">
        <v>0</v>
      </c>
      <c r="L666">
        <v>0</v>
      </c>
      <c r="M666" t="s">
        <v>126</v>
      </c>
    </row>
    <row r="667" spans="1:13" x14ac:dyDescent="0.25">
      <c r="A667" s="1">
        <v>46315</v>
      </c>
      <c r="B667" t="s">
        <v>97</v>
      </c>
      <c r="C667" t="s">
        <v>12</v>
      </c>
      <c r="D667">
        <v>0</v>
      </c>
      <c r="E667" t="s">
        <v>163</v>
      </c>
      <c r="F667">
        <v>46315</v>
      </c>
      <c r="G667" t="s">
        <v>149</v>
      </c>
      <c r="H667">
        <v>0</v>
      </c>
      <c r="I667">
        <v>0</v>
      </c>
      <c r="J667">
        <v>0</v>
      </c>
      <c r="K667">
        <v>0</v>
      </c>
      <c r="L667">
        <v>0</v>
      </c>
      <c r="M667" t="s">
        <v>126</v>
      </c>
    </row>
    <row r="668" spans="1:13" x14ac:dyDescent="0.25">
      <c r="A668" s="1">
        <v>46316</v>
      </c>
      <c r="B668" t="s">
        <v>97</v>
      </c>
      <c r="C668" t="s">
        <v>12</v>
      </c>
      <c r="D668">
        <v>0.62574260375967006</v>
      </c>
      <c r="E668" t="s">
        <v>163</v>
      </c>
      <c r="F668">
        <v>46316</v>
      </c>
      <c r="G668" t="s">
        <v>149</v>
      </c>
      <c r="H668">
        <v>1.0140621693121692</v>
      </c>
      <c r="I668">
        <v>1.0140621693121692</v>
      </c>
      <c r="J668">
        <v>0</v>
      </c>
      <c r="K668">
        <v>0</v>
      </c>
      <c r="L668">
        <v>0</v>
      </c>
      <c r="M668" t="s">
        <v>127</v>
      </c>
    </row>
    <row r="669" spans="1:13" x14ac:dyDescent="0.25">
      <c r="A669" s="1">
        <v>46316</v>
      </c>
      <c r="B669" t="s">
        <v>97</v>
      </c>
      <c r="C669" t="s">
        <v>11</v>
      </c>
      <c r="D669">
        <v>0</v>
      </c>
      <c r="E669" t="s">
        <v>163</v>
      </c>
      <c r="F669">
        <v>46316</v>
      </c>
      <c r="G669" t="s">
        <v>149</v>
      </c>
      <c r="H669">
        <v>0</v>
      </c>
      <c r="I669">
        <v>0</v>
      </c>
      <c r="J669">
        <v>0</v>
      </c>
      <c r="K669">
        <v>0</v>
      </c>
      <c r="L669">
        <v>0</v>
      </c>
      <c r="M669" t="s">
        <v>127</v>
      </c>
    </row>
    <row r="670" spans="1:13" x14ac:dyDescent="0.25">
      <c r="A670" s="1">
        <v>46316</v>
      </c>
      <c r="B670" t="s">
        <v>97</v>
      </c>
      <c r="C670" t="s">
        <v>10</v>
      </c>
      <c r="D670">
        <v>2.7148103590198196</v>
      </c>
      <c r="E670" t="s">
        <v>163</v>
      </c>
      <c r="F670">
        <v>46316</v>
      </c>
      <c r="G670" t="s">
        <v>149</v>
      </c>
      <c r="H670">
        <v>0</v>
      </c>
      <c r="I670">
        <v>0</v>
      </c>
      <c r="J670">
        <v>0.2413626466015181</v>
      </c>
      <c r="K670">
        <v>0.2413626466015181</v>
      </c>
      <c r="L670">
        <v>2.4734477124183014</v>
      </c>
      <c r="M670" t="s">
        <v>127</v>
      </c>
    </row>
    <row r="671" spans="1:13" x14ac:dyDescent="0.25">
      <c r="A671" s="1">
        <v>46317</v>
      </c>
      <c r="B671" t="s">
        <v>97</v>
      </c>
      <c r="C671" t="s">
        <v>10</v>
      </c>
      <c r="D671">
        <v>2.7148103590198196</v>
      </c>
      <c r="E671" t="s">
        <v>163</v>
      </c>
      <c r="F671">
        <v>46317</v>
      </c>
      <c r="G671" t="s">
        <v>149</v>
      </c>
      <c r="H671">
        <v>0</v>
      </c>
      <c r="I671">
        <v>0</v>
      </c>
      <c r="J671">
        <v>0.2413626466015181</v>
      </c>
      <c r="K671">
        <v>0.2413626466015181</v>
      </c>
      <c r="L671">
        <v>2.4734477124183014</v>
      </c>
      <c r="M671" t="s">
        <v>128</v>
      </c>
    </row>
    <row r="672" spans="1:13" x14ac:dyDescent="0.25">
      <c r="A672" s="1">
        <v>46317</v>
      </c>
      <c r="B672" t="s">
        <v>97</v>
      </c>
      <c r="C672" t="s">
        <v>11</v>
      </c>
      <c r="D672">
        <v>0</v>
      </c>
      <c r="E672" t="s">
        <v>163</v>
      </c>
      <c r="F672">
        <v>46317</v>
      </c>
      <c r="G672" t="s">
        <v>149</v>
      </c>
      <c r="H672">
        <v>0</v>
      </c>
      <c r="I672">
        <v>0</v>
      </c>
      <c r="J672">
        <v>0</v>
      </c>
      <c r="K672">
        <v>0</v>
      </c>
      <c r="L672">
        <v>0</v>
      </c>
      <c r="M672" t="s">
        <v>128</v>
      </c>
    </row>
    <row r="673" spans="1:13" x14ac:dyDescent="0.25">
      <c r="A673" s="1">
        <v>46317</v>
      </c>
      <c r="B673" t="s">
        <v>97</v>
      </c>
      <c r="C673" t="s">
        <v>12</v>
      </c>
      <c r="D673">
        <v>0</v>
      </c>
      <c r="E673" t="s">
        <v>163</v>
      </c>
      <c r="F673">
        <v>46317</v>
      </c>
      <c r="G673" t="s">
        <v>149</v>
      </c>
      <c r="H673">
        <v>0</v>
      </c>
      <c r="I673">
        <v>0</v>
      </c>
      <c r="J673">
        <v>0</v>
      </c>
      <c r="K673">
        <v>0</v>
      </c>
      <c r="L673">
        <v>0</v>
      </c>
      <c r="M673" t="s">
        <v>128</v>
      </c>
    </row>
    <row r="674" spans="1:13" x14ac:dyDescent="0.25">
      <c r="A674" s="1">
        <v>46318</v>
      </c>
      <c r="B674" t="s">
        <v>97</v>
      </c>
      <c r="C674" t="s">
        <v>11</v>
      </c>
      <c r="D674">
        <v>0</v>
      </c>
      <c r="E674" t="s">
        <v>163</v>
      </c>
      <c r="F674">
        <v>46318</v>
      </c>
      <c r="G674" t="s">
        <v>149</v>
      </c>
      <c r="H674">
        <v>0</v>
      </c>
      <c r="I674">
        <v>0</v>
      </c>
      <c r="J674">
        <v>0</v>
      </c>
      <c r="K674">
        <v>0</v>
      </c>
      <c r="L674">
        <v>0</v>
      </c>
      <c r="M674" t="s">
        <v>129</v>
      </c>
    </row>
    <row r="675" spans="1:13" x14ac:dyDescent="0.25">
      <c r="A675" s="1">
        <v>46318</v>
      </c>
      <c r="B675" t="s">
        <v>97</v>
      </c>
      <c r="C675" t="s">
        <v>12</v>
      </c>
      <c r="D675">
        <v>0</v>
      </c>
      <c r="E675" t="s">
        <v>163</v>
      </c>
      <c r="F675">
        <v>46318</v>
      </c>
      <c r="G675" t="s">
        <v>149</v>
      </c>
      <c r="H675">
        <v>0</v>
      </c>
      <c r="I675">
        <v>0</v>
      </c>
      <c r="J675">
        <v>0</v>
      </c>
      <c r="K675">
        <v>0</v>
      </c>
      <c r="L675">
        <v>0</v>
      </c>
      <c r="M675" t="s">
        <v>129</v>
      </c>
    </row>
    <row r="676" spans="1:13" x14ac:dyDescent="0.25">
      <c r="A676" s="1">
        <v>46318</v>
      </c>
      <c r="B676" t="s">
        <v>97</v>
      </c>
      <c r="C676" t="s">
        <v>10</v>
      </c>
      <c r="D676">
        <v>1.7729373773190653</v>
      </c>
      <c r="E676" t="s">
        <v>163</v>
      </c>
      <c r="F676">
        <v>46318</v>
      </c>
      <c r="G676" t="s">
        <v>149</v>
      </c>
      <c r="H676">
        <v>0</v>
      </c>
      <c r="I676">
        <v>0</v>
      </c>
      <c r="J676">
        <v>0.12587855378965335</v>
      </c>
      <c r="K676">
        <v>0.12587855378965335</v>
      </c>
      <c r="L676">
        <v>1.6470588235294119</v>
      </c>
      <c r="M676" t="s">
        <v>129</v>
      </c>
    </row>
    <row r="677" spans="1:13" x14ac:dyDescent="0.25">
      <c r="A677" s="1">
        <v>46319</v>
      </c>
      <c r="B677" t="s">
        <v>97</v>
      </c>
      <c r="C677" t="s">
        <v>11</v>
      </c>
      <c r="D677">
        <v>0</v>
      </c>
      <c r="E677" t="s">
        <v>163</v>
      </c>
      <c r="F677">
        <v>46319</v>
      </c>
      <c r="G677" t="s">
        <v>149</v>
      </c>
      <c r="H677">
        <v>0</v>
      </c>
      <c r="I677">
        <v>0</v>
      </c>
      <c r="J677">
        <v>0</v>
      </c>
      <c r="K677">
        <v>0</v>
      </c>
      <c r="L677">
        <v>0</v>
      </c>
      <c r="M677" t="s">
        <v>119</v>
      </c>
    </row>
    <row r="678" spans="1:13" x14ac:dyDescent="0.25">
      <c r="A678" s="1">
        <v>46319</v>
      </c>
      <c r="B678" t="s">
        <v>97</v>
      </c>
      <c r="C678" t="s">
        <v>12</v>
      </c>
      <c r="D678">
        <v>0</v>
      </c>
      <c r="E678" t="s">
        <v>163</v>
      </c>
      <c r="F678">
        <v>46319</v>
      </c>
      <c r="G678" t="s">
        <v>149</v>
      </c>
      <c r="H678">
        <v>0</v>
      </c>
      <c r="I678">
        <v>0</v>
      </c>
      <c r="J678">
        <v>0</v>
      </c>
      <c r="K678">
        <v>0</v>
      </c>
      <c r="L678">
        <v>0</v>
      </c>
      <c r="M678" t="s">
        <v>119</v>
      </c>
    </row>
    <row r="679" spans="1:13" x14ac:dyDescent="0.25">
      <c r="A679" s="1">
        <v>46319</v>
      </c>
      <c r="B679" t="s">
        <v>97</v>
      </c>
      <c r="C679" t="s">
        <v>10</v>
      </c>
      <c r="D679">
        <v>0</v>
      </c>
      <c r="E679" t="s">
        <v>163</v>
      </c>
      <c r="F679">
        <v>46319</v>
      </c>
      <c r="G679" t="s">
        <v>149</v>
      </c>
      <c r="H679">
        <v>0</v>
      </c>
      <c r="I679">
        <v>0</v>
      </c>
      <c r="J679">
        <v>0</v>
      </c>
      <c r="K679">
        <v>0</v>
      </c>
      <c r="L679">
        <v>0</v>
      </c>
      <c r="M679" t="s">
        <v>119</v>
      </c>
    </row>
    <row r="680" spans="1:13" x14ac:dyDescent="0.25">
      <c r="A680" s="1">
        <v>46320</v>
      </c>
      <c r="B680" t="s">
        <v>97</v>
      </c>
      <c r="C680" t="s">
        <v>11</v>
      </c>
      <c r="D680">
        <v>0</v>
      </c>
      <c r="E680" t="s">
        <v>163</v>
      </c>
      <c r="F680">
        <v>46320</v>
      </c>
      <c r="G680" t="s">
        <v>149</v>
      </c>
      <c r="H680">
        <v>0</v>
      </c>
      <c r="I680">
        <v>0</v>
      </c>
      <c r="J680">
        <v>0</v>
      </c>
      <c r="K680">
        <v>0</v>
      </c>
      <c r="L680">
        <v>0</v>
      </c>
      <c r="M680" t="s">
        <v>120</v>
      </c>
    </row>
    <row r="681" spans="1:13" x14ac:dyDescent="0.25">
      <c r="A681" s="1">
        <v>46320</v>
      </c>
      <c r="B681" t="s">
        <v>97</v>
      </c>
      <c r="C681" t="s">
        <v>10</v>
      </c>
      <c r="D681">
        <v>0</v>
      </c>
      <c r="E681" t="s">
        <v>163</v>
      </c>
      <c r="F681">
        <v>46320</v>
      </c>
      <c r="G681" t="s">
        <v>149</v>
      </c>
      <c r="H681">
        <v>0</v>
      </c>
      <c r="I681">
        <v>0</v>
      </c>
      <c r="J681">
        <v>0</v>
      </c>
      <c r="K681">
        <v>0</v>
      </c>
      <c r="L681">
        <v>0</v>
      </c>
      <c r="M681" t="s">
        <v>120</v>
      </c>
    </row>
    <row r="682" spans="1:13" x14ac:dyDescent="0.25">
      <c r="A682" s="1">
        <v>46320</v>
      </c>
      <c r="B682" t="s">
        <v>97</v>
      </c>
      <c r="C682" t="s">
        <v>12</v>
      </c>
      <c r="D682">
        <v>0</v>
      </c>
      <c r="E682" t="s">
        <v>163</v>
      </c>
      <c r="F682">
        <v>46320</v>
      </c>
      <c r="G682" t="s">
        <v>149</v>
      </c>
      <c r="H682">
        <v>0</v>
      </c>
      <c r="I682">
        <v>0</v>
      </c>
      <c r="J682">
        <v>0</v>
      </c>
      <c r="K682">
        <v>0</v>
      </c>
      <c r="L682">
        <v>0</v>
      </c>
      <c r="M682" t="s">
        <v>120</v>
      </c>
    </row>
    <row r="683" spans="1:13" x14ac:dyDescent="0.25">
      <c r="A683" s="1">
        <v>46293</v>
      </c>
      <c r="B683" t="s">
        <v>13</v>
      </c>
      <c r="C683" t="s">
        <v>12</v>
      </c>
      <c r="D683">
        <v>2.2207534699272973</v>
      </c>
      <c r="E683" t="s">
        <v>163</v>
      </c>
      <c r="F683">
        <v>46293</v>
      </c>
      <c r="G683" t="s">
        <v>149</v>
      </c>
      <c r="H683">
        <v>0</v>
      </c>
      <c r="I683">
        <v>0</v>
      </c>
      <c r="J683">
        <v>0.20764345918872165</v>
      </c>
      <c r="K683">
        <v>0.20764345918872165</v>
      </c>
      <c r="L683">
        <v>2.0131100107385755</v>
      </c>
      <c r="M683" t="s">
        <v>125</v>
      </c>
    </row>
    <row r="684" spans="1:13" x14ac:dyDescent="0.25">
      <c r="A684" s="1">
        <v>46293</v>
      </c>
      <c r="B684" t="s">
        <v>13</v>
      </c>
      <c r="C684" t="s">
        <v>11</v>
      </c>
      <c r="D684">
        <v>1.7977528089887642</v>
      </c>
      <c r="E684" t="s">
        <v>163</v>
      </c>
      <c r="F684">
        <v>46293</v>
      </c>
      <c r="G684" t="s">
        <v>149</v>
      </c>
      <c r="H684">
        <v>0</v>
      </c>
      <c r="I684">
        <v>0</v>
      </c>
      <c r="J684">
        <v>0.7850077109495488</v>
      </c>
      <c r="K684">
        <v>0.7850077109495488</v>
      </c>
      <c r="L684">
        <v>1.0127450980392154</v>
      </c>
      <c r="M684" t="s">
        <v>125</v>
      </c>
    </row>
    <row r="685" spans="1:13" x14ac:dyDescent="0.25">
      <c r="A685" s="1">
        <v>46293</v>
      </c>
      <c r="B685" t="s">
        <v>13</v>
      </c>
      <c r="C685" t="s">
        <v>10</v>
      </c>
      <c r="D685">
        <v>1.3483146067415732</v>
      </c>
      <c r="E685" t="s">
        <v>163</v>
      </c>
      <c r="F685">
        <v>46293</v>
      </c>
      <c r="G685" t="s">
        <v>149</v>
      </c>
      <c r="H685">
        <v>0.25814422751859345</v>
      </c>
      <c r="I685">
        <v>0.25814422751859345</v>
      </c>
      <c r="J685">
        <v>0</v>
      </c>
      <c r="K685">
        <v>0</v>
      </c>
      <c r="L685">
        <v>0</v>
      </c>
      <c r="M685" t="s">
        <v>125</v>
      </c>
    </row>
    <row r="686" spans="1:13" x14ac:dyDescent="0.25">
      <c r="A686" s="1">
        <v>46294</v>
      </c>
      <c r="B686" t="s">
        <v>13</v>
      </c>
      <c r="C686" t="s">
        <v>10</v>
      </c>
      <c r="D686">
        <v>2.6966292134831469</v>
      </c>
      <c r="E686" t="s">
        <v>163</v>
      </c>
      <c r="F686">
        <v>46294</v>
      </c>
      <c r="G686" t="s">
        <v>149</v>
      </c>
      <c r="H686">
        <v>0</v>
      </c>
      <c r="I686">
        <v>0</v>
      </c>
      <c r="J686">
        <v>0.90113288995373497</v>
      </c>
      <c r="K686">
        <v>0.90113288995373497</v>
      </c>
      <c r="L686">
        <v>1.7954963235294119</v>
      </c>
      <c r="M686" t="s">
        <v>126</v>
      </c>
    </row>
    <row r="687" spans="1:13" x14ac:dyDescent="0.25">
      <c r="A687" s="1">
        <v>46294</v>
      </c>
      <c r="B687" t="s">
        <v>13</v>
      </c>
      <c r="C687" t="s">
        <v>12</v>
      </c>
      <c r="D687">
        <v>2.2207534699272973</v>
      </c>
      <c r="E687" t="s">
        <v>163</v>
      </c>
      <c r="F687">
        <v>46294</v>
      </c>
      <c r="G687" t="s">
        <v>149</v>
      </c>
      <c r="H687">
        <v>0</v>
      </c>
      <c r="I687">
        <v>0</v>
      </c>
      <c r="J687">
        <v>0.1571721550484049</v>
      </c>
      <c r="K687">
        <v>0.1571721550484049</v>
      </c>
      <c r="L687">
        <v>2.0635813148788924</v>
      </c>
      <c r="M687" t="s">
        <v>126</v>
      </c>
    </row>
    <row r="688" spans="1:13" x14ac:dyDescent="0.25">
      <c r="A688" s="1">
        <v>46294</v>
      </c>
      <c r="B688" t="s">
        <v>13</v>
      </c>
      <c r="C688" t="s">
        <v>11</v>
      </c>
      <c r="D688">
        <v>1.7977528089887642</v>
      </c>
      <c r="E688" t="s">
        <v>163</v>
      </c>
      <c r="F688">
        <v>46294</v>
      </c>
      <c r="G688" t="s">
        <v>149</v>
      </c>
      <c r="H688">
        <v>0</v>
      </c>
      <c r="I688">
        <v>0</v>
      </c>
      <c r="J688">
        <v>0.7850077109495488</v>
      </c>
      <c r="K688">
        <v>0.7850077109495488</v>
      </c>
      <c r="L688">
        <v>1.0127450980392154</v>
      </c>
      <c r="M688" t="s">
        <v>126</v>
      </c>
    </row>
    <row r="689" spans="1:13" x14ac:dyDescent="0.25">
      <c r="A689" s="1">
        <v>46295</v>
      </c>
      <c r="B689" t="s">
        <v>13</v>
      </c>
      <c r="C689" t="s">
        <v>10</v>
      </c>
      <c r="D689">
        <v>2.6966292134831469</v>
      </c>
      <c r="E689" t="s">
        <v>163</v>
      </c>
      <c r="F689">
        <v>46295</v>
      </c>
      <c r="G689" t="s">
        <v>149</v>
      </c>
      <c r="H689">
        <v>0</v>
      </c>
      <c r="I689">
        <v>0</v>
      </c>
      <c r="J689">
        <v>0.78348583113020542</v>
      </c>
      <c r="K689">
        <v>0.78348583113020542</v>
      </c>
      <c r="L689">
        <v>1.9131433823529416</v>
      </c>
      <c r="M689" t="s">
        <v>127</v>
      </c>
    </row>
    <row r="690" spans="1:13" x14ac:dyDescent="0.25">
      <c r="A690" s="1">
        <v>46295</v>
      </c>
      <c r="B690" t="s">
        <v>13</v>
      </c>
      <c r="C690" t="s">
        <v>11</v>
      </c>
      <c r="D690">
        <v>1.7977528089887642</v>
      </c>
      <c r="E690" t="s">
        <v>163</v>
      </c>
      <c r="F690">
        <v>46295</v>
      </c>
      <c r="G690" t="s">
        <v>149</v>
      </c>
      <c r="H690">
        <v>0</v>
      </c>
      <c r="I690">
        <v>0</v>
      </c>
      <c r="J690">
        <v>1.7350077109495485</v>
      </c>
      <c r="K690">
        <v>1.7350077109495485</v>
      </c>
      <c r="L690">
        <v>6.2745098039215685E-2</v>
      </c>
      <c r="M690" t="s">
        <v>127</v>
      </c>
    </row>
    <row r="691" spans="1:13" x14ac:dyDescent="0.25">
      <c r="A691" s="1">
        <v>46295</v>
      </c>
      <c r="B691" t="s">
        <v>13</v>
      </c>
      <c r="C691" t="s">
        <v>12</v>
      </c>
      <c r="D691">
        <v>2.5380039656311961</v>
      </c>
      <c r="E691" t="s">
        <v>163</v>
      </c>
      <c r="F691">
        <v>46295</v>
      </c>
      <c r="G691" t="s">
        <v>149</v>
      </c>
      <c r="H691">
        <v>0</v>
      </c>
      <c r="I691">
        <v>0</v>
      </c>
      <c r="J691">
        <v>0.48956105905680147</v>
      </c>
      <c r="K691">
        <v>0.48956105905680147</v>
      </c>
      <c r="L691">
        <v>2.0484429065743948</v>
      </c>
      <c r="M691" t="s">
        <v>127</v>
      </c>
    </row>
    <row r="692" spans="1:13" x14ac:dyDescent="0.25">
      <c r="A692" s="1">
        <v>46296</v>
      </c>
      <c r="B692" t="s">
        <v>13</v>
      </c>
      <c r="C692" t="s">
        <v>12</v>
      </c>
      <c r="D692">
        <v>2.5380039656311961</v>
      </c>
      <c r="E692" t="s">
        <v>163</v>
      </c>
      <c r="F692">
        <v>46296</v>
      </c>
      <c r="G692" t="s">
        <v>149</v>
      </c>
      <c r="H692">
        <v>0</v>
      </c>
      <c r="I692">
        <v>0</v>
      </c>
      <c r="J692">
        <v>0.48956105905680147</v>
      </c>
      <c r="K692">
        <v>0.48956105905680147</v>
      </c>
      <c r="L692">
        <v>2.0484429065743948</v>
      </c>
      <c r="M692" t="s">
        <v>128</v>
      </c>
    </row>
    <row r="693" spans="1:13" x14ac:dyDescent="0.25">
      <c r="A693" s="1">
        <v>46296</v>
      </c>
      <c r="B693" t="s">
        <v>13</v>
      </c>
      <c r="C693" t="s">
        <v>11</v>
      </c>
      <c r="D693">
        <v>1.7977528089887642</v>
      </c>
      <c r="E693" t="s">
        <v>163</v>
      </c>
      <c r="F693">
        <v>46296</v>
      </c>
      <c r="G693" t="s">
        <v>149</v>
      </c>
      <c r="H693">
        <v>0</v>
      </c>
      <c r="I693">
        <v>0</v>
      </c>
      <c r="J693">
        <v>1.7350077109495485</v>
      </c>
      <c r="K693">
        <v>1.7350077109495485</v>
      </c>
      <c r="L693">
        <v>6.2745098039215685E-2</v>
      </c>
      <c r="M693" t="s">
        <v>128</v>
      </c>
    </row>
    <row r="694" spans="1:13" x14ac:dyDescent="0.25">
      <c r="A694" s="1">
        <v>46296</v>
      </c>
      <c r="B694" t="s">
        <v>13</v>
      </c>
      <c r="C694" t="s">
        <v>10</v>
      </c>
      <c r="D694">
        <v>2.6966292134831469</v>
      </c>
      <c r="E694" t="s">
        <v>163</v>
      </c>
      <c r="F694">
        <v>46296</v>
      </c>
      <c r="G694" t="s">
        <v>149</v>
      </c>
      <c r="H694">
        <v>0</v>
      </c>
      <c r="I694">
        <v>0</v>
      </c>
      <c r="J694">
        <v>0.93192333113020542</v>
      </c>
      <c r="K694">
        <v>0.93192333113020542</v>
      </c>
      <c r="L694">
        <v>1.7647058823529413</v>
      </c>
      <c r="M694" t="s">
        <v>128</v>
      </c>
    </row>
    <row r="695" spans="1:13" x14ac:dyDescent="0.25">
      <c r="A695" s="1">
        <v>46297</v>
      </c>
      <c r="B695" t="s">
        <v>13</v>
      </c>
      <c r="C695" t="s">
        <v>10</v>
      </c>
      <c r="D695">
        <v>2.3595505617977532</v>
      </c>
      <c r="E695" t="s">
        <v>163</v>
      </c>
      <c r="F695">
        <v>46297</v>
      </c>
      <c r="G695" t="s">
        <v>149</v>
      </c>
      <c r="H695">
        <v>0</v>
      </c>
      <c r="I695">
        <v>0</v>
      </c>
      <c r="J695">
        <v>0.66837409120951763</v>
      </c>
      <c r="K695">
        <v>0.66837409120951763</v>
      </c>
      <c r="L695">
        <v>1.6911764705882357</v>
      </c>
      <c r="M695" t="s">
        <v>129</v>
      </c>
    </row>
    <row r="696" spans="1:13" x14ac:dyDescent="0.25">
      <c r="A696" s="1">
        <v>46297</v>
      </c>
      <c r="B696" t="s">
        <v>13</v>
      </c>
      <c r="C696" t="s">
        <v>11</v>
      </c>
      <c r="D696">
        <v>1.7977528089887642</v>
      </c>
      <c r="E696" t="s">
        <v>163</v>
      </c>
      <c r="F696">
        <v>46297</v>
      </c>
      <c r="G696" t="s">
        <v>149</v>
      </c>
      <c r="H696">
        <v>0</v>
      </c>
      <c r="I696">
        <v>0</v>
      </c>
      <c r="J696">
        <v>0.7850077109495488</v>
      </c>
      <c r="K696">
        <v>0.7850077109495488</v>
      </c>
      <c r="L696">
        <v>1.0127450980392154</v>
      </c>
      <c r="M696" t="s">
        <v>129</v>
      </c>
    </row>
    <row r="697" spans="1:13" x14ac:dyDescent="0.25">
      <c r="A697" s="1">
        <v>46297</v>
      </c>
      <c r="B697" t="s">
        <v>13</v>
      </c>
      <c r="C697" t="s">
        <v>12</v>
      </c>
      <c r="D697">
        <v>2.5380039656311961</v>
      </c>
      <c r="E697" t="s">
        <v>163</v>
      </c>
      <c r="F697">
        <v>46297</v>
      </c>
      <c r="G697" t="s">
        <v>149</v>
      </c>
      <c r="H697">
        <v>0</v>
      </c>
      <c r="I697">
        <v>0</v>
      </c>
      <c r="J697">
        <v>0.51594514210178444</v>
      </c>
      <c r="K697">
        <v>0.51594514210178444</v>
      </c>
      <c r="L697">
        <v>2.0220588235294117</v>
      </c>
      <c r="M697" t="s">
        <v>129</v>
      </c>
    </row>
    <row r="698" spans="1:13" x14ac:dyDescent="0.25">
      <c r="A698" s="1">
        <v>46298</v>
      </c>
      <c r="B698" t="s">
        <v>13</v>
      </c>
      <c r="C698" t="s">
        <v>10</v>
      </c>
      <c r="D698">
        <v>1.3483146067415734</v>
      </c>
      <c r="E698" t="s">
        <v>163</v>
      </c>
      <c r="F698">
        <v>46298</v>
      </c>
      <c r="G698" t="s">
        <v>149</v>
      </c>
      <c r="H698">
        <v>0.36438036151960795</v>
      </c>
      <c r="I698">
        <v>0.36438036151960795</v>
      </c>
      <c r="J698">
        <v>0</v>
      </c>
      <c r="K698">
        <v>0</v>
      </c>
      <c r="L698">
        <v>0</v>
      </c>
      <c r="M698" t="s">
        <v>119</v>
      </c>
    </row>
    <row r="699" spans="1:13" x14ac:dyDescent="0.25">
      <c r="A699" s="1">
        <v>46298</v>
      </c>
      <c r="B699" t="s">
        <v>13</v>
      </c>
      <c r="C699" t="s">
        <v>11</v>
      </c>
      <c r="D699">
        <v>1.7977528089887642</v>
      </c>
      <c r="E699" t="s">
        <v>163</v>
      </c>
      <c r="F699">
        <v>46298</v>
      </c>
      <c r="G699" t="s">
        <v>149</v>
      </c>
      <c r="H699">
        <v>0</v>
      </c>
      <c r="I699">
        <v>0</v>
      </c>
      <c r="J699">
        <v>1.7350077109495485</v>
      </c>
      <c r="K699">
        <v>1.7350077109495485</v>
      </c>
      <c r="L699">
        <v>6.2745098039215685E-2</v>
      </c>
      <c r="M699" t="s">
        <v>119</v>
      </c>
    </row>
    <row r="700" spans="1:13" x14ac:dyDescent="0.25">
      <c r="A700" s="1">
        <v>46298</v>
      </c>
      <c r="B700" t="s">
        <v>13</v>
      </c>
      <c r="C700" t="s">
        <v>12</v>
      </c>
      <c r="D700">
        <v>2.538003965631197</v>
      </c>
      <c r="E700" t="s">
        <v>163</v>
      </c>
      <c r="F700">
        <v>46298</v>
      </c>
      <c r="G700" t="s">
        <v>149</v>
      </c>
      <c r="H700">
        <v>0</v>
      </c>
      <c r="I700">
        <v>0</v>
      </c>
      <c r="J700">
        <v>0.65565102445472612</v>
      </c>
      <c r="K700">
        <v>0.65565102445472612</v>
      </c>
      <c r="L700">
        <v>1.882352941176471</v>
      </c>
      <c r="M700" t="s">
        <v>119</v>
      </c>
    </row>
    <row r="701" spans="1:13" x14ac:dyDescent="0.25">
      <c r="A701" s="1">
        <v>46299</v>
      </c>
      <c r="B701" t="s">
        <v>13</v>
      </c>
      <c r="C701" t="s">
        <v>10</v>
      </c>
      <c r="D701">
        <v>1.3483146067415734</v>
      </c>
      <c r="E701" t="s">
        <v>163</v>
      </c>
      <c r="F701">
        <v>46299</v>
      </c>
      <c r="G701" t="s">
        <v>149</v>
      </c>
      <c r="H701">
        <v>0.25428921568627438</v>
      </c>
      <c r="I701">
        <v>0.25428921568627438</v>
      </c>
      <c r="J701">
        <v>0</v>
      </c>
      <c r="K701">
        <v>0</v>
      </c>
      <c r="L701">
        <v>0</v>
      </c>
      <c r="M701" t="s">
        <v>120</v>
      </c>
    </row>
    <row r="702" spans="1:13" x14ac:dyDescent="0.25">
      <c r="A702" s="1">
        <v>46299</v>
      </c>
      <c r="B702" t="s">
        <v>13</v>
      </c>
      <c r="C702" t="s">
        <v>11</v>
      </c>
      <c r="D702">
        <v>1.7977528089887642</v>
      </c>
      <c r="E702" t="s">
        <v>163</v>
      </c>
      <c r="F702">
        <v>46299</v>
      </c>
      <c r="G702" t="s">
        <v>149</v>
      </c>
      <c r="H702">
        <v>0</v>
      </c>
      <c r="I702">
        <v>0</v>
      </c>
      <c r="J702">
        <v>0.7850077109495488</v>
      </c>
      <c r="K702">
        <v>0.7850077109495488</v>
      </c>
      <c r="L702">
        <v>1.0127450980392154</v>
      </c>
      <c r="M702" t="s">
        <v>120</v>
      </c>
    </row>
    <row r="703" spans="1:13" x14ac:dyDescent="0.25">
      <c r="A703" s="1">
        <v>46299</v>
      </c>
      <c r="B703" t="s">
        <v>13</v>
      </c>
      <c r="C703" t="s">
        <v>12</v>
      </c>
      <c r="D703">
        <v>2.5380039656311961</v>
      </c>
      <c r="E703" t="s">
        <v>163</v>
      </c>
      <c r="F703">
        <v>46299</v>
      </c>
      <c r="G703" t="s">
        <v>149</v>
      </c>
      <c r="H703">
        <v>0</v>
      </c>
      <c r="I703">
        <v>0</v>
      </c>
      <c r="J703">
        <v>0.51594514210178444</v>
      </c>
      <c r="K703">
        <v>0.51594514210178444</v>
      </c>
      <c r="L703">
        <v>2.0220588235294117</v>
      </c>
      <c r="M703" t="s">
        <v>120</v>
      </c>
    </row>
    <row r="704" spans="1:13" x14ac:dyDescent="0.25">
      <c r="A704" s="1">
        <v>46300</v>
      </c>
      <c r="B704" t="s">
        <v>13</v>
      </c>
      <c r="C704" t="s">
        <v>11</v>
      </c>
      <c r="D704">
        <v>1.7977528089887642</v>
      </c>
      <c r="E704" t="s">
        <v>163</v>
      </c>
      <c r="F704">
        <v>46300</v>
      </c>
      <c r="G704" t="s">
        <v>149</v>
      </c>
      <c r="H704">
        <v>0</v>
      </c>
      <c r="I704">
        <v>0</v>
      </c>
      <c r="J704">
        <v>0.7850077109495488</v>
      </c>
      <c r="K704">
        <v>0.7850077109495488</v>
      </c>
      <c r="L704">
        <v>1.0127450980392154</v>
      </c>
      <c r="M704" t="s">
        <v>125</v>
      </c>
    </row>
    <row r="705" spans="1:13" x14ac:dyDescent="0.25">
      <c r="A705" s="1">
        <v>46300</v>
      </c>
      <c r="B705" t="s">
        <v>13</v>
      </c>
      <c r="C705" t="s">
        <v>12</v>
      </c>
      <c r="D705">
        <v>2.5380039656311961</v>
      </c>
      <c r="E705" t="s">
        <v>163</v>
      </c>
      <c r="F705">
        <v>46300</v>
      </c>
      <c r="G705" t="s">
        <v>149</v>
      </c>
      <c r="H705">
        <v>0</v>
      </c>
      <c r="I705">
        <v>0</v>
      </c>
      <c r="J705">
        <v>0.47442265075230372</v>
      </c>
      <c r="K705">
        <v>0.47442265075230372</v>
      </c>
      <c r="L705">
        <v>2.0635813148788924</v>
      </c>
      <c r="M705" t="s">
        <v>125</v>
      </c>
    </row>
    <row r="706" spans="1:13" x14ac:dyDescent="0.25">
      <c r="A706" s="1">
        <v>46300</v>
      </c>
      <c r="B706" t="s">
        <v>13</v>
      </c>
      <c r="C706" t="s">
        <v>10</v>
      </c>
      <c r="D706">
        <v>2.3595505617977532</v>
      </c>
      <c r="E706" t="s">
        <v>163</v>
      </c>
      <c r="F706">
        <v>46300</v>
      </c>
      <c r="G706" t="s">
        <v>149</v>
      </c>
      <c r="H706">
        <v>0</v>
      </c>
      <c r="I706">
        <v>0</v>
      </c>
      <c r="J706">
        <v>0.56405423826834145</v>
      </c>
      <c r="K706">
        <v>0.56405423826834145</v>
      </c>
      <c r="L706">
        <v>1.7954963235294119</v>
      </c>
      <c r="M706" t="s">
        <v>125</v>
      </c>
    </row>
    <row r="707" spans="1:13" x14ac:dyDescent="0.25">
      <c r="A707" s="1">
        <v>46301</v>
      </c>
      <c r="B707" t="s">
        <v>13</v>
      </c>
      <c r="C707" t="s">
        <v>12</v>
      </c>
      <c r="D707">
        <v>2.5380039656311961</v>
      </c>
      <c r="E707" t="s">
        <v>163</v>
      </c>
      <c r="F707">
        <v>46301</v>
      </c>
      <c r="G707" t="s">
        <v>149</v>
      </c>
      <c r="H707">
        <v>0</v>
      </c>
      <c r="I707">
        <v>0</v>
      </c>
      <c r="J707">
        <v>0.48956105905680147</v>
      </c>
      <c r="K707">
        <v>0.48956105905680147</v>
      </c>
      <c r="L707">
        <v>2.0484429065743948</v>
      </c>
      <c r="M707" t="s">
        <v>126</v>
      </c>
    </row>
    <row r="708" spans="1:13" x14ac:dyDescent="0.25">
      <c r="A708" s="1">
        <v>46301</v>
      </c>
      <c r="B708" t="s">
        <v>13</v>
      </c>
      <c r="C708" t="s">
        <v>11</v>
      </c>
      <c r="D708">
        <v>1.7977528089887642</v>
      </c>
      <c r="E708" t="s">
        <v>163</v>
      </c>
      <c r="F708">
        <v>46301</v>
      </c>
      <c r="G708" t="s">
        <v>149</v>
      </c>
      <c r="H708">
        <v>0</v>
      </c>
      <c r="I708">
        <v>0</v>
      </c>
      <c r="J708">
        <v>1.7350077109495485</v>
      </c>
      <c r="K708">
        <v>1.7350077109495485</v>
      </c>
      <c r="L708">
        <v>6.2745098039215685E-2</v>
      </c>
      <c r="M708" t="s">
        <v>126</v>
      </c>
    </row>
    <row r="709" spans="1:13" x14ac:dyDescent="0.25">
      <c r="A709" s="1">
        <v>46301</v>
      </c>
      <c r="B709" t="s">
        <v>13</v>
      </c>
      <c r="C709" t="s">
        <v>10</v>
      </c>
      <c r="D709">
        <v>2.3595505617977532</v>
      </c>
      <c r="E709" t="s">
        <v>163</v>
      </c>
      <c r="F709">
        <v>46301</v>
      </c>
      <c r="G709" t="s">
        <v>149</v>
      </c>
      <c r="H709">
        <v>0</v>
      </c>
      <c r="I709">
        <v>0</v>
      </c>
      <c r="J709">
        <v>0.44640717944481162</v>
      </c>
      <c r="K709">
        <v>0.44640717944481162</v>
      </c>
      <c r="L709">
        <v>1.9131433823529416</v>
      </c>
      <c r="M709" t="s">
        <v>126</v>
      </c>
    </row>
    <row r="710" spans="1:13" x14ac:dyDescent="0.25">
      <c r="A710" s="1">
        <v>46302</v>
      </c>
      <c r="B710" t="s">
        <v>13</v>
      </c>
      <c r="C710" t="s">
        <v>12</v>
      </c>
      <c r="D710">
        <v>2.5380039656311961</v>
      </c>
      <c r="E710" t="s">
        <v>163</v>
      </c>
      <c r="F710">
        <v>46302</v>
      </c>
      <c r="G710" t="s">
        <v>149</v>
      </c>
      <c r="H710">
        <v>0</v>
      </c>
      <c r="I710">
        <v>0</v>
      </c>
      <c r="J710">
        <v>0.65565102445472589</v>
      </c>
      <c r="K710">
        <v>0.65565102445472589</v>
      </c>
      <c r="L710">
        <v>1.8823529411764703</v>
      </c>
      <c r="M710" t="s">
        <v>127</v>
      </c>
    </row>
    <row r="711" spans="1:13" x14ac:dyDescent="0.25">
      <c r="A711" s="1">
        <v>46302</v>
      </c>
      <c r="B711" t="s">
        <v>13</v>
      </c>
      <c r="C711" t="s">
        <v>10</v>
      </c>
      <c r="D711">
        <v>2.6966292134831469</v>
      </c>
      <c r="E711" t="s">
        <v>163</v>
      </c>
      <c r="F711">
        <v>46302</v>
      </c>
      <c r="G711" t="s">
        <v>149</v>
      </c>
      <c r="H711">
        <v>0</v>
      </c>
      <c r="I711">
        <v>0</v>
      </c>
      <c r="J711">
        <v>1.0054527428949112</v>
      </c>
      <c r="K711">
        <v>1.0054527428949112</v>
      </c>
      <c r="L711">
        <v>1.6911764705882357</v>
      </c>
      <c r="M711" t="s">
        <v>127</v>
      </c>
    </row>
    <row r="712" spans="1:13" x14ac:dyDescent="0.25">
      <c r="A712" s="1">
        <v>46302</v>
      </c>
      <c r="B712" t="s">
        <v>13</v>
      </c>
      <c r="C712" t="s">
        <v>11</v>
      </c>
      <c r="D712">
        <v>1.7977528089887642</v>
      </c>
      <c r="E712" t="s">
        <v>163</v>
      </c>
      <c r="F712">
        <v>46302</v>
      </c>
      <c r="G712" t="s">
        <v>149</v>
      </c>
      <c r="H712">
        <v>0</v>
      </c>
      <c r="I712">
        <v>0</v>
      </c>
      <c r="J712">
        <v>1.7350077109495485</v>
      </c>
      <c r="K712">
        <v>1.7350077109495485</v>
      </c>
      <c r="L712">
        <v>6.2745098039215685E-2</v>
      </c>
      <c r="M712" t="s">
        <v>127</v>
      </c>
    </row>
    <row r="713" spans="1:13" x14ac:dyDescent="0.25">
      <c r="A713" s="1">
        <v>46303</v>
      </c>
      <c r="B713" t="s">
        <v>13</v>
      </c>
      <c r="C713" t="s">
        <v>12</v>
      </c>
      <c r="D713">
        <v>2.5380039656311961</v>
      </c>
      <c r="E713" t="s">
        <v>163</v>
      </c>
      <c r="F713">
        <v>46303</v>
      </c>
      <c r="G713" t="s">
        <v>149</v>
      </c>
      <c r="H713">
        <v>0</v>
      </c>
      <c r="I713">
        <v>0</v>
      </c>
      <c r="J713">
        <v>0.51594514210178444</v>
      </c>
      <c r="K713">
        <v>0.51594514210178444</v>
      </c>
      <c r="L713">
        <v>2.0220588235294117</v>
      </c>
      <c r="M713" t="s">
        <v>128</v>
      </c>
    </row>
    <row r="714" spans="1:13" x14ac:dyDescent="0.25">
      <c r="A714" s="1">
        <v>46303</v>
      </c>
      <c r="B714" t="s">
        <v>13</v>
      </c>
      <c r="C714" t="s">
        <v>10</v>
      </c>
      <c r="D714">
        <v>2.3595505617977532</v>
      </c>
      <c r="E714" t="s">
        <v>163</v>
      </c>
      <c r="F714">
        <v>46303</v>
      </c>
      <c r="G714" t="s">
        <v>149</v>
      </c>
      <c r="H714">
        <v>0</v>
      </c>
      <c r="I714">
        <v>0</v>
      </c>
      <c r="J714">
        <v>0.66837409120951763</v>
      </c>
      <c r="K714">
        <v>0.66837409120951763</v>
      </c>
      <c r="L714">
        <v>1.6911764705882357</v>
      </c>
      <c r="M714" t="s">
        <v>128</v>
      </c>
    </row>
    <row r="715" spans="1:13" x14ac:dyDescent="0.25">
      <c r="A715" s="1">
        <v>46303</v>
      </c>
      <c r="B715" t="s">
        <v>13</v>
      </c>
      <c r="C715" t="s">
        <v>11</v>
      </c>
      <c r="D715">
        <v>1.7977528089887642</v>
      </c>
      <c r="E715" t="s">
        <v>163</v>
      </c>
      <c r="F715">
        <v>46303</v>
      </c>
      <c r="G715" t="s">
        <v>149</v>
      </c>
      <c r="H715">
        <v>0</v>
      </c>
      <c r="I715">
        <v>0</v>
      </c>
      <c r="J715">
        <v>0.7850077109495488</v>
      </c>
      <c r="K715">
        <v>0.7850077109495488</v>
      </c>
      <c r="L715">
        <v>1.0127450980392154</v>
      </c>
      <c r="M715" t="s">
        <v>128</v>
      </c>
    </row>
    <row r="716" spans="1:13" x14ac:dyDescent="0.25">
      <c r="A716" s="1">
        <v>46304</v>
      </c>
      <c r="B716" t="s">
        <v>13</v>
      </c>
      <c r="C716" t="s">
        <v>10</v>
      </c>
      <c r="D716">
        <v>2.3595505617977532</v>
      </c>
      <c r="E716" t="s">
        <v>163</v>
      </c>
      <c r="F716">
        <v>46304</v>
      </c>
      <c r="G716" t="s">
        <v>149</v>
      </c>
      <c r="H716">
        <v>0</v>
      </c>
      <c r="I716">
        <v>0</v>
      </c>
      <c r="J716">
        <v>0.51993659120951718</v>
      </c>
      <c r="K716">
        <v>0.51993659120951718</v>
      </c>
      <c r="L716">
        <v>1.8396139705882359</v>
      </c>
      <c r="M716" t="s">
        <v>129</v>
      </c>
    </row>
    <row r="717" spans="1:13" x14ac:dyDescent="0.25">
      <c r="A717" s="1">
        <v>46304</v>
      </c>
      <c r="B717" t="s">
        <v>13</v>
      </c>
      <c r="C717" t="s">
        <v>11</v>
      </c>
      <c r="D717">
        <v>1.7977528089887642</v>
      </c>
      <c r="E717" t="s">
        <v>163</v>
      </c>
      <c r="F717">
        <v>46304</v>
      </c>
      <c r="G717" t="s">
        <v>149</v>
      </c>
      <c r="H717">
        <v>0</v>
      </c>
      <c r="I717">
        <v>0</v>
      </c>
      <c r="J717">
        <v>0.7850077109495488</v>
      </c>
      <c r="K717">
        <v>0.7850077109495488</v>
      </c>
      <c r="L717">
        <v>1.0127450980392154</v>
      </c>
      <c r="M717" t="s">
        <v>129</v>
      </c>
    </row>
    <row r="718" spans="1:13" x14ac:dyDescent="0.25">
      <c r="A718" s="1">
        <v>46304</v>
      </c>
      <c r="B718" t="s">
        <v>13</v>
      </c>
      <c r="C718" t="s">
        <v>12</v>
      </c>
      <c r="D718">
        <v>2.5380039656311961</v>
      </c>
      <c r="E718" t="s">
        <v>163</v>
      </c>
      <c r="F718">
        <v>46304</v>
      </c>
      <c r="G718" t="s">
        <v>149</v>
      </c>
      <c r="H718">
        <v>0</v>
      </c>
      <c r="I718">
        <v>0</v>
      </c>
      <c r="J718">
        <v>0.51594514210178444</v>
      </c>
      <c r="K718">
        <v>0.51594514210178444</v>
      </c>
      <c r="L718">
        <v>2.0220588235294117</v>
      </c>
      <c r="M718" t="s">
        <v>129</v>
      </c>
    </row>
    <row r="719" spans="1:13" x14ac:dyDescent="0.25">
      <c r="A719" s="1">
        <v>46305</v>
      </c>
      <c r="B719" t="s">
        <v>13</v>
      </c>
      <c r="C719" t="s">
        <v>12</v>
      </c>
      <c r="D719">
        <v>2.5380039656311961</v>
      </c>
      <c r="E719" t="s">
        <v>163</v>
      </c>
      <c r="F719">
        <v>46305</v>
      </c>
      <c r="G719" t="s">
        <v>149</v>
      </c>
      <c r="H719">
        <v>0</v>
      </c>
      <c r="I719">
        <v>0</v>
      </c>
      <c r="J719">
        <v>0.34985517670386029</v>
      </c>
      <c r="K719">
        <v>0.34985517670386029</v>
      </c>
      <c r="L719">
        <v>2.1881487889273359</v>
      </c>
      <c r="M719" t="s">
        <v>119</v>
      </c>
    </row>
    <row r="720" spans="1:13" x14ac:dyDescent="0.25">
      <c r="A720" s="1">
        <v>46305</v>
      </c>
      <c r="B720" t="s">
        <v>13</v>
      </c>
      <c r="C720" t="s">
        <v>10</v>
      </c>
      <c r="D720">
        <v>1.3483146067415734</v>
      </c>
      <c r="E720" t="s">
        <v>163</v>
      </c>
      <c r="F720">
        <v>46305</v>
      </c>
      <c r="G720" t="s">
        <v>149</v>
      </c>
      <c r="H720">
        <v>0.41891467524509785</v>
      </c>
      <c r="I720">
        <v>0.41891467524509785</v>
      </c>
      <c r="J720">
        <v>0</v>
      </c>
      <c r="K720">
        <v>0</v>
      </c>
      <c r="L720">
        <v>0</v>
      </c>
      <c r="M720" t="s">
        <v>119</v>
      </c>
    </row>
    <row r="721" spans="1:13" x14ac:dyDescent="0.25">
      <c r="A721" s="1">
        <v>46305</v>
      </c>
      <c r="B721" t="s">
        <v>13</v>
      </c>
      <c r="C721" t="s">
        <v>11</v>
      </c>
      <c r="D721">
        <v>1.7977528089887642</v>
      </c>
      <c r="E721" t="s">
        <v>163</v>
      </c>
      <c r="F721">
        <v>46305</v>
      </c>
      <c r="G721" t="s">
        <v>149</v>
      </c>
      <c r="H721">
        <v>0</v>
      </c>
      <c r="I721">
        <v>0</v>
      </c>
      <c r="J721">
        <v>0.7850077109495488</v>
      </c>
      <c r="K721">
        <v>0.7850077109495488</v>
      </c>
      <c r="L721">
        <v>1.0127450980392154</v>
      </c>
      <c r="M721" t="s">
        <v>119</v>
      </c>
    </row>
    <row r="722" spans="1:13" x14ac:dyDescent="0.25">
      <c r="A722" s="1">
        <v>46306</v>
      </c>
      <c r="B722" t="s">
        <v>13</v>
      </c>
      <c r="C722" t="s">
        <v>12</v>
      </c>
      <c r="D722">
        <v>2.5380039656311961</v>
      </c>
      <c r="E722" t="s">
        <v>163</v>
      </c>
      <c r="F722">
        <v>46306</v>
      </c>
      <c r="G722" t="s">
        <v>149</v>
      </c>
      <c r="H722">
        <v>0</v>
      </c>
      <c r="I722">
        <v>0</v>
      </c>
      <c r="J722">
        <v>0.34985517670386029</v>
      </c>
      <c r="K722">
        <v>0.34985517670386029</v>
      </c>
      <c r="L722">
        <v>2.1881487889273359</v>
      </c>
      <c r="M722" t="s">
        <v>120</v>
      </c>
    </row>
    <row r="723" spans="1:13" x14ac:dyDescent="0.25">
      <c r="A723" s="1">
        <v>46306</v>
      </c>
      <c r="B723" t="s">
        <v>13</v>
      </c>
      <c r="C723" t="s">
        <v>11</v>
      </c>
      <c r="D723">
        <v>1.7977528089887642</v>
      </c>
      <c r="E723" t="s">
        <v>163</v>
      </c>
      <c r="F723">
        <v>46306</v>
      </c>
      <c r="G723" t="s">
        <v>149</v>
      </c>
      <c r="H723">
        <v>0</v>
      </c>
      <c r="I723">
        <v>0</v>
      </c>
      <c r="J723">
        <v>0.7850077109495488</v>
      </c>
      <c r="K723">
        <v>0.7850077109495488</v>
      </c>
      <c r="L723">
        <v>1.0127450980392154</v>
      </c>
      <c r="M723" t="s">
        <v>120</v>
      </c>
    </row>
    <row r="724" spans="1:13" x14ac:dyDescent="0.25">
      <c r="A724" s="1">
        <v>46306</v>
      </c>
      <c r="B724" t="s">
        <v>13</v>
      </c>
      <c r="C724" t="s">
        <v>10</v>
      </c>
      <c r="D724">
        <v>1.3483146067415734</v>
      </c>
      <c r="E724" t="s">
        <v>163</v>
      </c>
      <c r="F724">
        <v>46306</v>
      </c>
      <c r="G724" t="s">
        <v>149</v>
      </c>
      <c r="H724">
        <v>0.41891467524509785</v>
      </c>
      <c r="I724">
        <v>0.41891467524509785</v>
      </c>
      <c r="J724">
        <v>0</v>
      </c>
      <c r="K724">
        <v>0</v>
      </c>
      <c r="L724">
        <v>0</v>
      </c>
      <c r="M724" t="s">
        <v>120</v>
      </c>
    </row>
    <row r="725" spans="1:13" x14ac:dyDescent="0.25">
      <c r="A725" s="1">
        <v>46307</v>
      </c>
      <c r="B725" t="s">
        <v>13</v>
      </c>
      <c r="C725" t="s">
        <v>12</v>
      </c>
      <c r="D725">
        <v>2.2207534699272973</v>
      </c>
      <c r="E725" t="s">
        <v>163</v>
      </c>
      <c r="F725">
        <v>46307</v>
      </c>
      <c r="G725" t="s">
        <v>149</v>
      </c>
      <c r="H725">
        <v>0</v>
      </c>
      <c r="I725">
        <v>0</v>
      </c>
      <c r="J725">
        <v>0.46296800279926975</v>
      </c>
      <c r="K725">
        <v>0.46296800279926975</v>
      </c>
      <c r="L725">
        <v>1.7577854671280275</v>
      </c>
      <c r="M725" t="s">
        <v>125</v>
      </c>
    </row>
    <row r="726" spans="1:13" x14ac:dyDescent="0.25">
      <c r="A726" s="1">
        <v>46307</v>
      </c>
      <c r="B726" t="s">
        <v>13</v>
      </c>
      <c r="C726" t="s">
        <v>10</v>
      </c>
      <c r="D726">
        <v>1.3483146067415734</v>
      </c>
      <c r="E726" t="s">
        <v>163</v>
      </c>
      <c r="F726">
        <v>46307</v>
      </c>
      <c r="G726" t="s">
        <v>149</v>
      </c>
      <c r="H726">
        <v>0</v>
      </c>
      <c r="I726">
        <v>0</v>
      </c>
      <c r="J726">
        <v>0.37634769497686749</v>
      </c>
      <c r="K726">
        <v>0.37634769497686749</v>
      </c>
      <c r="L726">
        <v>0.97196691176470595</v>
      </c>
      <c r="M726" t="s">
        <v>125</v>
      </c>
    </row>
    <row r="727" spans="1:13" x14ac:dyDescent="0.25">
      <c r="A727" s="1">
        <v>46307</v>
      </c>
      <c r="B727" t="s">
        <v>13</v>
      </c>
      <c r="C727" t="s">
        <v>11</v>
      </c>
      <c r="D727">
        <v>1.7977528089887642</v>
      </c>
      <c r="E727" t="s">
        <v>163</v>
      </c>
      <c r="F727">
        <v>46307</v>
      </c>
      <c r="G727" t="s">
        <v>149</v>
      </c>
      <c r="H727">
        <v>0</v>
      </c>
      <c r="I727">
        <v>0</v>
      </c>
      <c r="J727">
        <v>1.7350077109495485</v>
      </c>
      <c r="K727">
        <v>1.7350077109495485</v>
      </c>
      <c r="L727">
        <v>6.2745098039215685E-2</v>
      </c>
      <c r="M727" t="s">
        <v>125</v>
      </c>
    </row>
    <row r="728" spans="1:13" x14ac:dyDescent="0.25">
      <c r="A728" s="1">
        <v>46308</v>
      </c>
      <c r="B728" t="s">
        <v>13</v>
      </c>
      <c r="C728" t="s">
        <v>10</v>
      </c>
      <c r="D728">
        <v>2.6966292134831469</v>
      </c>
      <c r="E728" t="s">
        <v>163</v>
      </c>
      <c r="F728">
        <v>46308</v>
      </c>
      <c r="G728" t="s">
        <v>149</v>
      </c>
      <c r="H728">
        <v>0</v>
      </c>
      <c r="I728">
        <v>0</v>
      </c>
      <c r="J728">
        <v>1.049570389953735</v>
      </c>
      <c r="K728">
        <v>1.049570389953735</v>
      </c>
      <c r="L728">
        <v>1.6470588235294119</v>
      </c>
      <c r="M728" t="s">
        <v>126</v>
      </c>
    </row>
    <row r="729" spans="1:13" x14ac:dyDescent="0.25">
      <c r="A729" s="1">
        <v>46308</v>
      </c>
      <c r="B729" t="s">
        <v>13</v>
      </c>
      <c r="C729" t="s">
        <v>11</v>
      </c>
      <c r="D729">
        <v>1.7977528089887642</v>
      </c>
      <c r="E729" t="s">
        <v>163</v>
      </c>
      <c r="F729">
        <v>46308</v>
      </c>
      <c r="G729" t="s">
        <v>149</v>
      </c>
      <c r="H729">
        <v>0</v>
      </c>
      <c r="I729">
        <v>0</v>
      </c>
      <c r="J729">
        <v>1.7350077109495485</v>
      </c>
      <c r="K729">
        <v>1.7350077109495485</v>
      </c>
      <c r="L729">
        <v>6.2745098039215685E-2</v>
      </c>
      <c r="M729" t="s">
        <v>126</v>
      </c>
    </row>
    <row r="730" spans="1:13" x14ac:dyDescent="0.25">
      <c r="A730" s="1">
        <v>46308</v>
      </c>
      <c r="B730" t="s">
        <v>13</v>
      </c>
      <c r="C730" t="s">
        <v>12</v>
      </c>
      <c r="D730">
        <v>2.2207534699272973</v>
      </c>
      <c r="E730" t="s">
        <v>163</v>
      </c>
      <c r="F730">
        <v>46308</v>
      </c>
      <c r="G730" t="s">
        <v>149</v>
      </c>
      <c r="H730">
        <v>0</v>
      </c>
      <c r="I730">
        <v>0</v>
      </c>
      <c r="J730">
        <v>0.29687803740134572</v>
      </c>
      <c r="K730">
        <v>0.29687803740134572</v>
      </c>
      <c r="L730">
        <v>1.9238754325259515</v>
      </c>
      <c r="M730" t="s">
        <v>126</v>
      </c>
    </row>
    <row r="731" spans="1:13" x14ac:dyDescent="0.25">
      <c r="A731" s="1">
        <v>46309</v>
      </c>
      <c r="B731" t="s">
        <v>13</v>
      </c>
      <c r="C731" t="s">
        <v>12</v>
      </c>
      <c r="D731">
        <v>2.538003965631197</v>
      </c>
      <c r="E731" t="s">
        <v>163</v>
      </c>
      <c r="F731">
        <v>46309</v>
      </c>
      <c r="G731" t="s">
        <v>149</v>
      </c>
      <c r="H731">
        <v>0</v>
      </c>
      <c r="I731">
        <v>0</v>
      </c>
      <c r="J731">
        <v>0.34985517670386213</v>
      </c>
      <c r="K731">
        <v>0.34985517670386213</v>
      </c>
      <c r="L731">
        <v>2.188148788927335</v>
      </c>
      <c r="M731" t="s">
        <v>127</v>
      </c>
    </row>
    <row r="732" spans="1:13" x14ac:dyDescent="0.25">
      <c r="A732" s="1">
        <v>46309</v>
      </c>
      <c r="B732" t="s">
        <v>13</v>
      </c>
      <c r="C732" t="s">
        <v>11</v>
      </c>
      <c r="D732">
        <v>1.7977528089887642</v>
      </c>
      <c r="E732" t="s">
        <v>163</v>
      </c>
      <c r="F732">
        <v>46309</v>
      </c>
      <c r="G732" t="s">
        <v>149</v>
      </c>
      <c r="H732">
        <v>0</v>
      </c>
      <c r="I732">
        <v>0</v>
      </c>
      <c r="J732">
        <v>0.7850077109495488</v>
      </c>
      <c r="K732">
        <v>0.7850077109495488</v>
      </c>
      <c r="L732">
        <v>1.0127450980392154</v>
      </c>
      <c r="M732" t="s">
        <v>127</v>
      </c>
    </row>
    <row r="733" spans="1:13" x14ac:dyDescent="0.25">
      <c r="A733" s="1">
        <v>46309</v>
      </c>
      <c r="B733" t="s">
        <v>13</v>
      </c>
      <c r="C733" t="s">
        <v>10</v>
      </c>
      <c r="D733">
        <v>2.6966292134831469</v>
      </c>
      <c r="E733" t="s">
        <v>163</v>
      </c>
      <c r="F733">
        <v>46309</v>
      </c>
      <c r="G733" t="s">
        <v>149</v>
      </c>
      <c r="H733">
        <v>0</v>
      </c>
      <c r="I733">
        <v>0</v>
      </c>
      <c r="J733">
        <v>0.93192333113020542</v>
      </c>
      <c r="K733">
        <v>0.93192333113020542</v>
      </c>
      <c r="L733">
        <v>1.7647058823529413</v>
      </c>
      <c r="M733" t="s">
        <v>127</v>
      </c>
    </row>
    <row r="734" spans="1:13" x14ac:dyDescent="0.25">
      <c r="A734" s="1">
        <v>46310</v>
      </c>
      <c r="B734" t="s">
        <v>13</v>
      </c>
      <c r="C734" t="s">
        <v>11</v>
      </c>
      <c r="D734">
        <v>1.7977528089887642</v>
      </c>
      <c r="E734" t="s">
        <v>163</v>
      </c>
      <c r="F734">
        <v>46310</v>
      </c>
      <c r="G734" t="s">
        <v>149</v>
      </c>
      <c r="H734">
        <v>0</v>
      </c>
      <c r="I734">
        <v>0</v>
      </c>
      <c r="J734">
        <v>0.7850077109495488</v>
      </c>
      <c r="K734">
        <v>0.7850077109495488</v>
      </c>
      <c r="L734">
        <v>1.0127450980392154</v>
      </c>
      <c r="M734" t="s">
        <v>128</v>
      </c>
    </row>
    <row r="735" spans="1:13" x14ac:dyDescent="0.25">
      <c r="A735" s="1">
        <v>46310</v>
      </c>
      <c r="B735" t="s">
        <v>13</v>
      </c>
      <c r="C735" t="s">
        <v>12</v>
      </c>
      <c r="D735">
        <v>2.538003965631197</v>
      </c>
      <c r="E735" t="s">
        <v>163</v>
      </c>
      <c r="F735">
        <v>46310</v>
      </c>
      <c r="G735" t="s">
        <v>149</v>
      </c>
      <c r="H735">
        <v>0</v>
      </c>
      <c r="I735">
        <v>0</v>
      </c>
      <c r="J735">
        <v>0.34985517670386213</v>
      </c>
      <c r="K735">
        <v>0.34985517670386213</v>
      </c>
      <c r="L735">
        <v>2.188148788927335</v>
      </c>
      <c r="M735" t="s">
        <v>128</v>
      </c>
    </row>
    <row r="736" spans="1:13" x14ac:dyDescent="0.25">
      <c r="A736" s="1">
        <v>46310</v>
      </c>
      <c r="B736" t="s">
        <v>13</v>
      </c>
      <c r="C736" t="s">
        <v>10</v>
      </c>
      <c r="D736">
        <v>2.6966292134831469</v>
      </c>
      <c r="E736" t="s">
        <v>163</v>
      </c>
      <c r="F736">
        <v>46310</v>
      </c>
      <c r="G736" t="s">
        <v>149</v>
      </c>
      <c r="H736">
        <v>0</v>
      </c>
      <c r="I736">
        <v>0</v>
      </c>
      <c r="J736">
        <v>0.78348583113020542</v>
      </c>
      <c r="K736">
        <v>0.78348583113020542</v>
      </c>
      <c r="L736">
        <v>1.9131433823529416</v>
      </c>
      <c r="M736" t="s">
        <v>128</v>
      </c>
    </row>
    <row r="737" spans="1:13" x14ac:dyDescent="0.25">
      <c r="A737" s="1">
        <v>46311</v>
      </c>
      <c r="B737" t="s">
        <v>13</v>
      </c>
      <c r="C737" t="s">
        <v>11</v>
      </c>
      <c r="D737">
        <v>1.7977528089887642</v>
      </c>
      <c r="E737" t="s">
        <v>163</v>
      </c>
      <c r="F737">
        <v>46311</v>
      </c>
      <c r="G737" t="s">
        <v>149</v>
      </c>
      <c r="H737">
        <v>0</v>
      </c>
      <c r="I737">
        <v>0</v>
      </c>
      <c r="J737">
        <v>0.7850077109495488</v>
      </c>
      <c r="K737">
        <v>0.7850077109495488</v>
      </c>
      <c r="L737">
        <v>1.0127450980392154</v>
      </c>
      <c r="M737" t="s">
        <v>129</v>
      </c>
    </row>
    <row r="738" spans="1:13" x14ac:dyDescent="0.25">
      <c r="A738" s="1">
        <v>46311</v>
      </c>
      <c r="B738" t="s">
        <v>13</v>
      </c>
      <c r="C738" t="s">
        <v>10</v>
      </c>
      <c r="D738">
        <v>2.3595505617977532</v>
      </c>
      <c r="E738" t="s">
        <v>163</v>
      </c>
      <c r="F738">
        <v>46311</v>
      </c>
      <c r="G738" t="s">
        <v>149</v>
      </c>
      <c r="H738">
        <v>0</v>
      </c>
      <c r="I738">
        <v>0</v>
      </c>
      <c r="J738">
        <v>0.51993659120951718</v>
      </c>
      <c r="K738">
        <v>0.51993659120951718</v>
      </c>
      <c r="L738">
        <v>1.8396139705882359</v>
      </c>
      <c r="M738" t="s">
        <v>129</v>
      </c>
    </row>
    <row r="739" spans="1:13" x14ac:dyDescent="0.25">
      <c r="A739" s="1">
        <v>46311</v>
      </c>
      <c r="B739" t="s">
        <v>13</v>
      </c>
      <c r="C739" t="s">
        <v>12</v>
      </c>
      <c r="D739">
        <v>2.538003965631197</v>
      </c>
      <c r="E739" t="s">
        <v>163</v>
      </c>
      <c r="F739">
        <v>46311</v>
      </c>
      <c r="G739" t="s">
        <v>149</v>
      </c>
      <c r="H739">
        <v>0</v>
      </c>
      <c r="I739">
        <v>0</v>
      </c>
      <c r="J739">
        <v>0.51594514210178544</v>
      </c>
      <c r="K739">
        <v>0.51594514210178544</v>
      </c>
      <c r="L739">
        <v>2.0220588235294117</v>
      </c>
      <c r="M739" t="s">
        <v>129</v>
      </c>
    </row>
    <row r="740" spans="1:13" x14ac:dyDescent="0.25">
      <c r="A740" s="1">
        <v>46312</v>
      </c>
      <c r="B740" t="s">
        <v>13</v>
      </c>
      <c r="C740" t="s">
        <v>10</v>
      </c>
      <c r="D740">
        <v>1.3483146067415734</v>
      </c>
      <c r="E740" t="s">
        <v>163</v>
      </c>
      <c r="F740">
        <v>46312</v>
      </c>
      <c r="G740" t="s">
        <v>149</v>
      </c>
      <c r="H740">
        <v>0.41891467524509785</v>
      </c>
      <c r="I740">
        <v>0.41891467524509785</v>
      </c>
      <c r="J740">
        <v>0</v>
      </c>
      <c r="K740">
        <v>0</v>
      </c>
      <c r="L740">
        <v>0</v>
      </c>
      <c r="M740" t="s">
        <v>119</v>
      </c>
    </row>
    <row r="741" spans="1:13" x14ac:dyDescent="0.25">
      <c r="A741" s="1">
        <v>46312</v>
      </c>
      <c r="B741" t="s">
        <v>13</v>
      </c>
      <c r="C741" t="s">
        <v>11</v>
      </c>
      <c r="D741">
        <v>1.7977528089887642</v>
      </c>
      <c r="E741" t="s">
        <v>163</v>
      </c>
      <c r="F741">
        <v>46312</v>
      </c>
      <c r="G741" t="s">
        <v>149</v>
      </c>
      <c r="H741">
        <v>0</v>
      </c>
      <c r="I741">
        <v>0</v>
      </c>
      <c r="J741">
        <v>0.7850077109495488</v>
      </c>
      <c r="K741">
        <v>0.7850077109495488</v>
      </c>
      <c r="L741">
        <v>1.0127450980392154</v>
      </c>
      <c r="M741" t="s">
        <v>119</v>
      </c>
    </row>
    <row r="742" spans="1:13" x14ac:dyDescent="0.25">
      <c r="A742" s="1">
        <v>46312</v>
      </c>
      <c r="B742" t="s">
        <v>13</v>
      </c>
      <c r="C742" t="s">
        <v>12</v>
      </c>
      <c r="D742">
        <v>2.5380039656311961</v>
      </c>
      <c r="E742" t="s">
        <v>163</v>
      </c>
      <c r="F742">
        <v>46312</v>
      </c>
      <c r="G742" t="s">
        <v>149</v>
      </c>
      <c r="H742">
        <v>0</v>
      </c>
      <c r="I742">
        <v>0</v>
      </c>
      <c r="J742">
        <v>0.34985517670386029</v>
      </c>
      <c r="K742">
        <v>0.34985517670386029</v>
      </c>
      <c r="L742">
        <v>2.1881487889273359</v>
      </c>
      <c r="M742" t="s">
        <v>119</v>
      </c>
    </row>
    <row r="743" spans="1:13" x14ac:dyDescent="0.25">
      <c r="A743" s="1">
        <v>46313</v>
      </c>
      <c r="B743" t="s">
        <v>13</v>
      </c>
      <c r="C743" t="s">
        <v>10</v>
      </c>
      <c r="D743">
        <v>1.3483146067415734</v>
      </c>
      <c r="E743" t="s">
        <v>163</v>
      </c>
      <c r="F743">
        <v>46313</v>
      </c>
      <c r="G743" t="s">
        <v>149</v>
      </c>
      <c r="H743">
        <v>0.36438036151960795</v>
      </c>
      <c r="I743">
        <v>0.36438036151960795</v>
      </c>
      <c r="J743">
        <v>0</v>
      </c>
      <c r="K743">
        <v>0</v>
      </c>
      <c r="L743">
        <v>0</v>
      </c>
      <c r="M743" t="s">
        <v>120</v>
      </c>
    </row>
    <row r="744" spans="1:13" x14ac:dyDescent="0.25">
      <c r="A744" s="1">
        <v>46313</v>
      </c>
      <c r="B744" t="s">
        <v>13</v>
      </c>
      <c r="C744" t="s">
        <v>11</v>
      </c>
      <c r="D744">
        <v>1.7977528089887642</v>
      </c>
      <c r="E744" t="s">
        <v>163</v>
      </c>
      <c r="F744">
        <v>46313</v>
      </c>
      <c r="G744" t="s">
        <v>149</v>
      </c>
      <c r="H744">
        <v>0</v>
      </c>
      <c r="I744">
        <v>0</v>
      </c>
      <c r="J744">
        <v>0.7850077109495488</v>
      </c>
      <c r="K744">
        <v>0.7850077109495488</v>
      </c>
      <c r="L744">
        <v>1.0127450980392154</v>
      </c>
      <c r="M744" t="s">
        <v>120</v>
      </c>
    </row>
    <row r="745" spans="1:13" x14ac:dyDescent="0.25">
      <c r="A745" s="1">
        <v>46313</v>
      </c>
      <c r="B745" t="s">
        <v>13</v>
      </c>
      <c r="C745" t="s">
        <v>12</v>
      </c>
      <c r="D745">
        <v>2.538003965631197</v>
      </c>
      <c r="E745" t="s">
        <v>163</v>
      </c>
      <c r="F745">
        <v>46313</v>
      </c>
      <c r="G745" t="s">
        <v>149</v>
      </c>
      <c r="H745">
        <v>0</v>
      </c>
      <c r="I745">
        <v>0</v>
      </c>
      <c r="J745">
        <v>0.51594514210178544</v>
      </c>
      <c r="K745">
        <v>0.51594514210178544</v>
      </c>
      <c r="L745">
        <v>2.0220588235294117</v>
      </c>
      <c r="M745" t="s">
        <v>120</v>
      </c>
    </row>
    <row r="746" spans="1:13" x14ac:dyDescent="0.25">
      <c r="A746" s="1">
        <v>46314</v>
      </c>
      <c r="B746" t="s">
        <v>13</v>
      </c>
      <c r="C746" t="s">
        <v>10</v>
      </c>
      <c r="D746">
        <v>2.3595505617977532</v>
      </c>
      <c r="E746" t="s">
        <v>163</v>
      </c>
      <c r="F746">
        <v>46314</v>
      </c>
      <c r="G746" t="s">
        <v>149</v>
      </c>
      <c r="H746">
        <v>0</v>
      </c>
      <c r="I746">
        <v>0</v>
      </c>
      <c r="J746">
        <v>0.51993659120951718</v>
      </c>
      <c r="K746">
        <v>0.51993659120951718</v>
      </c>
      <c r="L746">
        <v>1.8396139705882359</v>
      </c>
      <c r="M746" t="s">
        <v>125</v>
      </c>
    </row>
    <row r="747" spans="1:13" x14ac:dyDescent="0.25">
      <c r="A747" s="1">
        <v>46314</v>
      </c>
      <c r="B747" t="s">
        <v>13</v>
      </c>
      <c r="C747" t="s">
        <v>11</v>
      </c>
      <c r="D747">
        <v>1.7977528089887642</v>
      </c>
      <c r="E747" t="s">
        <v>163</v>
      </c>
      <c r="F747">
        <v>46314</v>
      </c>
      <c r="G747" t="s">
        <v>149</v>
      </c>
      <c r="H747">
        <v>0</v>
      </c>
      <c r="I747">
        <v>0</v>
      </c>
      <c r="J747">
        <v>1.7350077109495485</v>
      </c>
      <c r="K747">
        <v>1.7350077109495485</v>
      </c>
      <c r="L747">
        <v>6.2745098039215685E-2</v>
      </c>
      <c r="M747" t="s">
        <v>125</v>
      </c>
    </row>
    <row r="748" spans="1:13" x14ac:dyDescent="0.25">
      <c r="A748" s="1">
        <v>46314</v>
      </c>
      <c r="B748" t="s">
        <v>13</v>
      </c>
      <c r="C748" t="s">
        <v>12</v>
      </c>
      <c r="D748">
        <v>2.538003965631197</v>
      </c>
      <c r="E748" t="s">
        <v>163</v>
      </c>
      <c r="F748">
        <v>46314</v>
      </c>
      <c r="G748" t="s">
        <v>149</v>
      </c>
      <c r="H748">
        <v>0</v>
      </c>
      <c r="I748">
        <v>0</v>
      </c>
      <c r="J748">
        <v>0.65565102445472667</v>
      </c>
      <c r="K748">
        <v>0.65565102445472667</v>
      </c>
      <c r="L748">
        <v>1.8823529411764703</v>
      </c>
      <c r="M748" t="s">
        <v>125</v>
      </c>
    </row>
    <row r="749" spans="1:13" x14ac:dyDescent="0.25">
      <c r="A749" s="1">
        <v>46315</v>
      </c>
      <c r="B749" t="s">
        <v>13</v>
      </c>
      <c r="C749" t="s">
        <v>10</v>
      </c>
      <c r="D749">
        <v>2.3595505617977532</v>
      </c>
      <c r="E749" t="s">
        <v>163</v>
      </c>
      <c r="F749">
        <v>46315</v>
      </c>
      <c r="G749" t="s">
        <v>149</v>
      </c>
      <c r="H749">
        <v>0</v>
      </c>
      <c r="I749">
        <v>0</v>
      </c>
      <c r="J749">
        <v>0.66837409120951763</v>
      </c>
      <c r="K749">
        <v>0.66837409120951763</v>
      </c>
      <c r="L749">
        <v>1.6911764705882357</v>
      </c>
      <c r="M749" t="s">
        <v>126</v>
      </c>
    </row>
    <row r="750" spans="1:13" x14ac:dyDescent="0.25">
      <c r="A750" s="1">
        <v>46315</v>
      </c>
      <c r="B750" t="s">
        <v>13</v>
      </c>
      <c r="C750" t="s">
        <v>11</v>
      </c>
      <c r="D750">
        <v>1.7977528089887642</v>
      </c>
      <c r="E750" t="s">
        <v>163</v>
      </c>
      <c r="F750">
        <v>46315</v>
      </c>
      <c r="G750" t="s">
        <v>149</v>
      </c>
      <c r="H750">
        <v>0</v>
      </c>
      <c r="I750">
        <v>0</v>
      </c>
      <c r="J750">
        <v>0.7850077109495488</v>
      </c>
      <c r="K750">
        <v>0.7850077109495488</v>
      </c>
      <c r="L750">
        <v>1.0127450980392154</v>
      </c>
      <c r="M750" t="s">
        <v>126</v>
      </c>
    </row>
    <row r="751" spans="1:13" x14ac:dyDescent="0.25">
      <c r="A751" s="1">
        <v>46315</v>
      </c>
      <c r="B751" t="s">
        <v>13</v>
      </c>
      <c r="C751" t="s">
        <v>12</v>
      </c>
      <c r="D751">
        <v>2.538003965631197</v>
      </c>
      <c r="E751" t="s">
        <v>163</v>
      </c>
      <c r="F751">
        <v>46315</v>
      </c>
      <c r="G751" t="s">
        <v>149</v>
      </c>
      <c r="H751">
        <v>0</v>
      </c>
      <c r="I751">
        <v>0</v>
      </c>
      <c r="J751">
        <v>0.51594514210178544</v>
      </c>
      <c r="K751">
        <v>0.51594514210178544</v>
      </c>
      <c r="L751">
        <v>2.0220588235294117</v>
      </c>
      <c r="M751" t="s">
        <v>126</v>
      </c>
    </row>
    <row r="752" spans="1:13" x14ac:dyDescent="0.25">
      <c r="A752" s="1">
        <v>46316</v>
      </c>
      <c r="B752" t="s">
        <v>13</v>
      </c>
      <c r="C752" t="s">
        <v>12</v>
      </c>
      <c r="D752">
        <v>2.538003965631197</v>
      </c>
      <c r="E752" t="s">
        <v>163</v>
      </c>
      <c r="F752">
        <v>46316</v>
      </c>
      <c r="G752" t="s">
        <v>149</v>
      </c>
      <c r="H752">
        <v>0</v>
      </c>
      <c r="I752">
        <v>0</v>
      </c>
      <c r="J752">
        <v>0.48956105905680303</v>
      </c>
      <c r="K752">
        <v>0.48956105905680303</v>
      </c>
      <c r="L752">
        <v>2.0484429065743939</v>
      </c>
      <c r="M752" t="s">
        <v>127</v>
      </c>
    </row>
    <row r="753" spans="1:13" x14ac:dyDescent="0.25">
      <c r="A753" s="1">
        <v>46316</v>
      </c>
      <c r="B753" t="s">
        <v>13</v>
      </c>
      <c r="C753" t="s">
        <v>11</v>
      </c>
      <c r="D753">
        <v>1.7977528089887642</v>
      </c>
      <c r="E753" t="s">
        <v>163</v>
      </c>
      <c r="F753">
        <v>46316</v>
      </c>
      <c r="G753" t="s">
        <v>149</v>
      </c>
      <c r="H753">
        <v>0</v>
      </c>
      <c r="I753">
        <v>0</v>
      </c>
      <c r="J753">
        <v>1.7350077109495485</v>
      </c>
      <c r="K753">
        <v>1.7350077109495485</v>
      </c>
      <c r="L753">
        <v>6.2745098039215685E-2</v>
      </c>
      <c r="M753" t="s">
        <v>127</v>
      </c>
    </row>
    <row r="754" spans="1:13" x14ac:dyDescent="0.25">
      <c r="A754" s="1">
        <v>46316</v>
      </c>
      <c r="B754" t="s">
        <v>13</v>
      </c>
      <c r="C754" t="s">
        <v>10</v>
      </c>
      <c r="D754">
        <v>2.6966292134831469</v>
      </c>
      <c r="E754" t="s">
        <v>163</v>
      </c>
      <c r="F754">
        <v>46316</v>
      </c>
      <c r="G754" t="s">
        <v>149</v>
      </c>
      <c r="H754">
        <v>0</v>
      </c>
      <c r="I754">
        <v>0</v>
      </c>
      <c r="J754">
        <v>0.78348583113020542</v>
      </c>
      <c r="K754">
        <v>0.78348583113020542</v>
      </c>
      <c r="L754">
        <v>1.9131433823529416</v>
      </c>
      <c r="M754" t="s">
        <v>127</v>
      </c>
    </row>
    <row r="755" spans="1:13" x14ac:dyDescent="0.25">
      <c r="A755" s="1">
        <v>46317</v>
      </c>
      <c r="B755" t="s">
        <v>13</v>
      </c>
      <c r="C755" t="s">
        <v>10</v>
      </c>
      <c r="D755">
        <v>2.3595505617977532</v>
      </c>
      <c r="E755" t="s">
        <v>163</v>
      </c>
      <c r="F755">
        <v>46317</v>
      </c>
      <c r="G755" t="s">
        <v>149</v>
      </c>
      <c r="H755">
        <v>0</v>
      </c>
      <c r="I755">
        <v>0</v>
      </c>
      <c r="J755">
        <v>0.66837409120951763</v>
      </c>
      <c r="K755">
        <v>0.66837409120951763</v>
      </c>
      <c r="L755">
        <v>1.6911764705882357</v>
      </c>
      <c r="M755" t="s">
        <v>128</v>
      </c>
    </row>
    <row r="756" spans="1:13" x14ac:dyDescent="0.25">
      <c r="A756" s="1">
        <v>46317</v>
      </c>
      <c r="B756" t="s">
        <v>13</v>
      </c>
      <c r="C756" t="s">
        <v>11</v>
      </c>
      <c r="D756">
        <v>1.7977528089887642</v>
      </c>
      <c r="E756" t="s">
        <v>163</v>
      </c>
      <c r="F756">
        <v>46317</v>
      </c>
      <c r="G756" t="s">
        <v>149</v>
      </c>
      <c r="H756">
        <v>0</v>
      </c>
      <c r="I756">
        <v>0</v>
      </c>
      <c r="J756">
        <v>0.7850077109495488</v>
      </c>
      <c r="K756">
        <v>0.7850077109495488</v>
      </c>
      <c r="L756">
        <v>1.0127450980392154</v>
      </c>
      <c r="M756" t="s">
        <v>128</v>
      </c>
    </row>
    <row r="757" spans="1:13" x14ac:dyDescent="0.25">
      <c r="A757" s="1">
        <v>46317</v>
      </c>
      <c r="B757" t="s">
        <v>13</v>
      </c>
      <c r="C757" t="s">
        <v>12</v>
      </c>
      <c r="D757">
        <v>2.538003965631197</v>
      </c>
      <c r="E757" t="s">
        <v>163</v>
      </c>
      <c r="F757">
        <v>46317</v>
      </c>
      <c r="G757" t="s">
        <v>149</v>
      </c>
      <c r="H757">
        <v>0</v>
      </c>
      <c r="I757">
        <v>0</v>
      </c>
      <c r="J757">
        <v>0.51594514210178544</v>
      </c>
      <c r="K757">
        <v>0.51594514210178544</v>
      </c>
      <c r="L757">
        <v>2.0220588235294117</v>
      </c>
      <c r="M757" t="s">
        <v>128</v>
      </c>
    </row>
    <row r="758" spans="1:13" x14ac:dyDescent="0.25">
      <c r="A758" s="1">
        <v>46318</v>
      </c>
      <c r="B758" t="s">
        <v>13</v>
      </c>
      <c r="C758" t="s">
        <v>10</v>
      </c>
      <c r="D758">
        <v>2.3595505617977532</v>
      </c>
      <c r="E758" t="s">
        <v>163</v>
      </c>
      <c r="F758">
        <v>46318</v>
      </c>
      <c r="G758" t="s">
        <v>149</v>
      </c>
      <c r="H758">
        <v>0</v>
      </c>
      <c r="I758">
        <v>0</v>
      </c>
      <c r="J758">
        <v>0.51993659120951718</v>
      </c>
      <c r="K758">
        <v>0.51993659120951718</v>
      </c>
      <c r="L758">
        <v>1.8396139705882359</v>
      </c>
      <c r="M758" t="s">
        <v>129</v>
      </c>
    </row>
    <row r="759" spans="1:13" x14ac:dyDescent="0.25">
      <c r="A759" s="1">
        <v>46318</v>
      </c>
      <c r="B759" t="s">
        <v>13</v>
      </c>
      <c r="C759" t="s">
        <v>11</v>
      </c>
      <c r="D759">
        <v>1.7977528089887642</v>
      </c>
      <c r="E759" t="s">
        <v>163</v>
      </c>
      <c r="F759">
        <v>46318</v>
      </c>
      <c r="G759" t="s">
        <v>149</v>
      </c>
      <c r="H759">
        <v>0</v>
      </c>
      <c r="I759">
        <v>0</v>
      </c>
      <c r="J759">
        <v>0.7850077109495488</v>
      </c>
      <c r="K759">
        <v>0.7850077109495488</v>
      </c>
      <c r="L759">
        <v>1.0127450980392154</v>
      </c>
      <c r="M759" t="s">
        <v>129</v>
      </c>
    </row>
    <row r="760" spans="1:13" x14ac:dyDescent="0.25">
      <c r="A760" s="1">
        <v>46318</v>
      </c>
      <c r="B760" t="s">
        <v>13</v>
      </c>
      <c r="C760" t="s">
        <v>12</v>
      </c>
      <c r="D760">
        <v>2.538003965631197</v>
      </c>
      <c r="E760" t="s">
        <v>163</v>
      </c>
      <c r="F760">
        <v>46318</v>
      </c>
      <c r="G760" t="s">
        <v>149</v>
      </c>
      <c r="H760">
        <v>0</v>
      </c>
      <c r="I760">
        <v>0</v>
      </c>
      <c r="J760">
        <v>0.51594514210178544</v>
      </c>
      <c r="K760">
        <v>0.51594514210178544</v>
      </c>
      <c r="L760">
        <v>2.0220588235294117</v>
      </c>
      <c r="M760" t="s">
        <v>129</v>
      </c>
    </row>
    <row r="761" spans="1:13" x14ac:dyDescent="0.25">
      <c r="A761" s="1">
        <v>46319</v>
      </c>
      <c r="B761" t="s">
        <v>13</v>
      </c>
      <c r="C761" t="s">
        <v>12</v>
      </c>
      <c r="D761">
        <v>2.538003965631197</v>
      </c>
      <c r="E761" t="s">
        <v>163</v>
      </c>
      <c r="F761">
        <v>46319</v>
      </c>
      <c r="G761" t="s">
        <v>149</v>
      </c>
      <c r="H761">
        <v>0</v>
      </c>
      <c r="I761">
        <v>0</v>
      </c>
      <c r="J761">
        <v>0.34985517670386213</v>
      </c>
      <c r="K761">
        <v>0.34985517670386213</v>
      </c>
      <c r="L761">
        <v>2.188148788927335</v>
      </c>
      <c r="M761" t="s">
        <v>119</v>
      </c>
    </row>
    <row r="762" spans="1:13" x14ac:dyDescent="0.25">
      <c r="A762" s="1">
        <v>46319</v>
      </c>
      <c r="B762" t="s">
        <v>13</v>
      </c>
      <c r="C762" t="s">
        <v>10</v>
      </c>
      <c r="D762">
        <v>1.3483146067415734</v>
      </c>
      <c r="E762" t="s">
        <v>163</v>
      </c>
      <c r="F762">
        <v>46319</v>
      </c>
      <c r="G762" t="s">
        <v>149</v>
      </c>
      <c r="H762">
        <v>0.41891467524509785</v>
      </c>
      <c r="I762">
        <v>0.41891467524509785</v>
      </c>
      <c r="J762">
        <v>0</v>
      </c>
      <c r="K762">
        <v>0</v>
      </c>
      <c r="L762">
        <v>0</v>
      </c>
      <c r="M762" t="s">
        <v>119</v>
      </c>
    </row>
    <row r="763" spans="1:13" x14ac:dyDescent="0.25">
      <c r="A763" s="1">
        <v>46319</v>
      </c>
      <c r="B763" t="s">
        <v>13</v>
      </c>
      <c r="C763" t="s">
        <v>11</v>
      </c>
      <c r="D763">
        <v>1.7977528089887642</v>
      </c>
      <c r="E763" t="s">
        <v>163</v>
      </c>
      <c r="F763">
        <v>46319</v>
      </c>
      <c r="G763" t="s">
        <v>149</v>
      </c>
      <c r="H763">
        <v>0</v>
      </c>
      <c r="I763">
        <v>0</v>
      </c>
      <c r="J763">
        <v>0.7850077109495488</v>
      </c>
      <c r="K763">
        <v>0.7850077109495488</v>
      </c>
      <c r="L763">
        <v>1.0127450980392154</v>
      </c>
      <c r="M763" t="s">
        <v>119</v>
      </c>
    </row>
    <row r="764" spans="1:13" x14ac:dyDescent="0.25">
      <c r="A764" s="1">
        <v>46320</v>
      </c>
      <c r="B764" t="s">
        <v>13</v>
      </c>
      <c r="C764" t="s">
        <v>11</v>
      </c>
      <c r="D764">
        <v>1.7977528089887642</v>
      </c>
      <c r="E764" t="s">
        <v>163</v>
      </c>
      <c r="F764">
        <v>46320</v>
      </c>
      <c r="G764" t="s">
        <v>149</v>
      </c>
      <c r="H764">
        <v>0</v>
      </c>
      <c r="I764">
        <v>0</v>
      </c>
      <c r="J764">
        <v>0.7850077109495488</v>
      </c>
      <c r="K764">
        <v>0.7850077109495488</v>
      </c>
      <c r="L764">
        <v>1.0127450980392154</v>
      </c>
      <c r="M764" t="s">
        <v>120</v>
      </c>
    </row>
    <row r="765" spans="1:13" x14ac:dyDescent="0.25">
      <c r="A765" s="1">
        <v>46320</v>
      </c>
      <c r="B765" t="s">
        <v>13</v>
      </c>
      <c r="C765" t="s">
        <v>12</v>
      </c>
      <c r="D765">
        <v>2.538003965631197</v>
      </c>
      <c r="E765" t="s">
        <v>163</v>
      </c>
      <c r="F765">
        <v>46320</v>
      </c>
      <c r="G765" t="s">
        <v>149</v>
      </c>
      <c r="H765">
        <v>0</v>
      </c>
      <c r="I765">
        <v>0</v>
      </c>
      <c r="J765">
        <v>0.34985517670386213</v>
      </c>
      <c r="K765">
        <v>0.34985517670386213</v>
      </c>
      <c r="L765">
        <v>2.188148788927335</v>
      </c>
      <c r="M765" t="s">
        <v>120</v>
      </c>
    </row>
    <row r="766" spans="1:13" x14ac:dyDescent="0.25">
      <c r="A766" s="1">
        <v>46320</v>
      </c>
      <c r="B766" t="s">
        <v>13</v>
      </c>
      <c r="C766" t="s">
        <v>10</v>
      </c>
      <c r="D766">
        <v>1.3483146067415734</v>
      </c>
      <c r="E766" t="s">
        <v>163</v>
      </c>
      <c r="F766">
        <v>46320</v>
      </c>
      <c r="G766" t="s">
        <v>149</v>
      </c>
      <c r="H766">
        <v>0.41891467524509785</v>
      </c>
      <c r="I766">
        <v>0.41891467524509785</v>
      </c>
      <c r="J766">
        <v>0</v>
      </c>
      <c r="K766">
        <v>0</v>
      </c>
      <c r="L766">
        <v>0</v>
      </c>
      <c r="M766" t="s">
        <v>120</v>
      </c>
    </row>
  </sheetData>
  <phoneticPr fontId="24"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6EB5D-AEED-4544-A212-AE83FDC8F042}">
  <dimension ref="A1:D4"/>
  <sheetViews>
    <sheetView workbookViewId="0">
      <selection activeCell="B2" sqref="B2:B3"/>
    </sheetView>
  </sheetViews>
  <sheetFormatPr defaultRowHeight="15" x14ac:dyDescent="0.25"/>
  <cols>
    <col min="1" max="1" width="9.5703125" bestFit="1" customWidth="1"/>
    <col min="2" max="2" width="8.5703125" bestFit="1" customWidth="1"/>
    <col min="3" max="3" width="9.5703125" bestFit="1" customWidth="1"/>
    <col min="4" max="4" width="21.5703125" customWidth="1"/>
    <col min="5" max="5" width="9.5703125" bestFit="1" customWidth="1"/>
    <col min="6" max="6" width="10.140625" bestFit="1" customWidth="1"/>
    <col min="7" max="7" width="21.5703125" bestFit="1" customWidth="1"/>
  </cols>
  <sheetData>
    <row r="1" spans="1:4" x14ac:dyDescent="0.25">
      <c r="A1" t="s">
        <v>135</v>
      </c>
      <c r="B1" t="s">
        <v>151</v>
      </c>
      <c r="D1" t="s">
        <v>152</v>
      </c>
    </row>
    <row r="2" spans="1:4" x14ac:dyDescent="0.25">
      <c r="A2" t="s">
        <v>161</v>
      </c>
      <c r="D2">
        <f>Table_CostPerDay[[#This Row],[Count]]/99/14</f>
        <v>0</v>
      </c>
    </row>
    <row r="3" spans="1:4" x14ac:dyDescent="0.25">
      <c r="A3" t="s">
        <v>162</v>
      </c>
      <c r="D3">
        <f>Table_CostPerDay[[#This Row],[Count]]/114/14</f>
        <v>0</v>
      </c>
    </row>
    <row r="4" spans="1:4" x14ac:dyDescent="0.25">
      <c r="A4" t="s">
        <v>163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60A27-B098-4B47-8455-8780C9FCCCB6}">
  <dimension ref="A1:B29"/>
  <sheetViews>
    <sheetView workbookViewId="0">
      <selection activeCell="A7" sqref="A7"/>
    </sheetView>
  </sheetViews>
  <sheetFormatPr defaultRowHeight="15" x14ac:dyDescent="0.25"/>
  <cols>
    <col min="1" max="1" width="10.7109375" bestFit="1" customWidth="1"/>
    <col min="2" max="2" width="12.85546875" bestFit="1" customWidth="1"/>
    <col min="3" max="3" width="12.140625" bestFit="1" customWidth="1"/>
  </cols>
  <sheetData>
    <row r="1" spans="1:2" x14ac:dyDescent="0.25">
      <c r="A1" t="s">
        <v>0</v>
      </c>
      <c r="B1" t="s">
        <v>146</v>
      </c>
    </row>
    <row r="2" spans="1:2" x14ac:dyDescent="0.25">
      <c r="A2" s="1">
        <v>46251</v>
      </c>
      <c r="B2">
        <v>5</v>
      </c>
    </row>
    <row r="3" spans="1:2" x14ac:dyDescent="0.25">
      <c r="A3" s="1">
        <v>46252</v>
      </c>
      <c r="B3">
        <v>5</v>
      </c>
    </row>
    <row r="4" spans="1:2" x14ac:dyDescent="0.25">
      <c r="A4" s="1">
        <v>46253</v>
      </c>
      <c r="B4">
        <v>5</v>
      </c>
    </row>
    <row r="5" spans="1:2" x14ac:dyDescent="0.25">
      <c r="A5" s="1">
        <v>46254</v>
      </c>
      <c r="B5">
        <v>5</v>
      </c>
    </row>
    <row r="6" spans="1:2" x14ac:dyDescent="0.25">
      <c r="A6" s="1">
        <v>46255</v>
      </c>
      <c r="B6">
        <v>5</v>
      </c>
    </row>
    <row r="7" spans="1:2" x14ac:dyDescent="0.25">
      <c r="A7" s="1">
        <v>46256</v>
      </c>
      <c r="B7">
        <v>5</v>
      </c>
    </row>
    <row r="8" spans="1:2" x14ac:dyDescent="0.25">
      <c r="A8" s="1">
        <v>46257</v>
      </c>
      <c r="B8">
        <v>5</v>
      </c>
    </row>
    <row r="9" spans="1:2" x14ac:dyDescent="0.25">
      <c r="A9" s="1">
        <v>46258</v>
      </c>
      <c r="B9">
        <v>5</v>
      </c>
    </row>
    <row r="10" spans="1:2" x14ac:dyDescent="0.25">
      <c r="A10" s="1">
        <v>46259</v>
      </c>
      <c r="B10">
        <v>5</v>
      </c>
    </row>
    <row r="11" spans="1:2" x14ac:dyDescent="0.25">
      <c r="A11" s="1">
        <v>46260</v>
      </c>
      <c r="B11">
        <v>5</v>
      </c>
    </row>
    <row r="12" spans="1:2" x14ac:dyDescent="0.25">
      <c r="A12" s="1">
        <v>46261</v>
      </c>
      <c r="B12">
        <v>5</v>
      </c>
    </row>
    <row r="13" spans="1:2" x14ac:dyDescent="0.25">
      <c r="A13" s="1">
        <v>46262</v>
      </c>
      <c r="B13">
        <v>5</v>
      </c>
    </row>
    <row r="14" spans="1:2" x14ac:dyDescent="0.25">
      <c r="A14" s="1">
        <v>46263</v>
      </c>
      <c r="B14">
        <v>5</v>
      </c>
    </row>
    <row r="15" spans="1:2" x14ac:dyDescent="0.25">
      <c r="A15" s="1">
        <v>46264</v>
      </c>
      <c r="B15">
        <v>5</v>
      </c>
    </row>
    <row r="16" spans="1:2" x14ac:dyDescent="0.25">
      <c r="A16" s="1">
        <v>46265</v>
      </c>
      <c r="B16">
        <v>5</v>
      </c>
    </row>
    <row r="17" spans="1:2" x14ac:dyDescent="0.25">
      <c r="A17" s="1">
        <v>46266</v>
      </c>
      <c r="B17">
        <v>5</v>
      </c>
    </row>
    <row r="18" spans="1:2" x14ac:dyDescent="0.25">
      <c r="A18" s="1">
        <v>46267</v>
      </c>
      <c r="B18">
        <v>5</v>
      </c>
    </row>
    <row r="19" spans="1:2" x14ac:dyDescent="0.25">
      <c r="A19" s="1">
        <v>46268</v>
      </c>
      <c r="B19">
        <v>5</v>
      </c>
    </row>
    <row r="20" spans="1:2" x14ac:dyDescent="0.25">
      <c r="A20" s="1">
        <v>46269</v>
      </c>
      <c r="B20">
        <v>5</v>
      </c>
    </row>
    <row r="21" spans="1:2" x14ac:dyDescent="0.25">
      <c r="A21" s="1">
        <v>46270</v>
      </c>
      <c r="B21">
        <v>5</v>
      </c>
    </row>
    <row r="22" spans="1:2" x14ac:dyDescent="0.25">
      <c r="A22" s="1">
        <v>46271</v>
      </c>
      <c r="B22">
        <v>5</v>
      </c>
    </row>
    <row r="23" spans="1:2" x14ac:dyDescent="0.25">
      <c r="A23" s="1">
        <v>46272</v>
      </c>
      <c r="B23">
        <v>5</v>
      </c>
    </row>
    <row r="24" spans="1:2" x14ac:dyDescent="0.25">
      <c r="A24" s="1">
        <v>46273</v>
      </c>
      <c r="B24">
        <v>5</v>
      </c>
    </row>
    <row r="25" spans="1:2" x14ac:dyDescent="0.25">
      <c r="A25" s="1">
        <v>46274</v>
      </c>
      <c r="B25">
        <v>5</v>
      </c>
    </row>
    <row r="26" spans="1:2" x14ac:dyDescent="0.25">
      <c r="A26" s="1">
        <v>46275</v>
      </c>
      <c r="B26">
        <v>5</v>
      </c>
    </row>
    <row r="27" spans="1:2" x14ac:dyDescent="0.25">
      <c r="A27" s="1">
        <v>46276</v>
      </c>
      <c r="B27">
        <v>5</v>
      </c>
    </row>
    <row r="28" spans="1:2" x14ac:dyDescent="0.25">
      <c r="A28" s="1">
        <v>46277</v>
      </c>
      <c r="B28">
        <v>5</v>
      </c>
    </row>
    <row r="29" spans="1:2" x14ac:dyDescent="0.25">
      <c r="A29" s="1">
        <v>46278</v>
      </c>
      <c r="B29">
        <v>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422B4-E148-444C-8DD7-D5F7FB73CC82}">
  <dimension ref="A1:C29"/>
  <sheetViews>
    <sheetView workbookViewId="0"/>
  </sheetViews>
  <sheetFormatPr defaultRowHeight="15" x14ac:dyDescent="0.25"/>
  <cols>
    <col min="1" max="1" width="10.7109375" bestFit="1" customWidth="1"/>
    <col min="2" max="2" width="9.5703125" bestFit="1" customWidth="1"/>
    <col min="3" max="3" width="12" bestFit="1" customWidth="1"/>
  </cols>
  <sheetData>
    <row r="1" spans="1:3" x14ac:dyDescent="0.25">
      <c r="A1" t="s">
        <v>0</v>
      </c>
      <c r="B1" t="s">
        <v>135</v>
      </c>
      <c r="C1" t="s">
        <v>147</v>
      </c>
    </row>
    <row r="2" spans="1:3" x14ac:dyDescent="0.25">
      <c r="A2" s="1">
        <v>45096</v>
      </c>
      <c r="B2" t="s">
        <v>136</v>
      </c>
      <c r="C2">
        <v>0</v>
      </c>
    </row>
    <row r="3" spans="1:3" x14ac:dyDescent="0.25">
      <c r="A3" s="1">
        <v>45096</v>
      </c>
      <c r="B3" t="s">
        <v>137</v>
      </c>
      <c r="C3">
        <v>88.586105045399108</v>
      </c>
    </row>
    <row r="4" spans="1:3" x14ac:dyDescent="0.25">
      <c r="A4" s="1">
        <v>45097</v>
      </c>
      <c r="B4" t="s">
        <v>136</v>
      </c>
      <c r="C4">
        <v>0</v>
      </c>
    </row>
    <row r="5" spans="1:3" x14ac:dyDescent="0.25">
      <c r="A5" s="1">
        <v>45097</v>
      </c>
      <c r="B5" t="s">
        <v>137</v>
      </c>
      <c r="C5">
        <v>0</v>
      </c>
    </row>
    <row r="6" spans="1:3" x14ac:dyDescent="0.25">
      <c r="A6" s="1">
        <v>45098</v>
      </c>
      <c r="B6" t="s">
        <v>136</v>
      </c>
      <c r="C6">
        <v>0</v>
      </c>
    </row>
    <row r="7" spans="1:3" x14ac:dyDescent="0.25">
      <c r="A7" s="1">
        <v>45098</v>
      </c>
      <c r="B7" t="s">
        <v>137</v>
      </c>
      <c r="C7">
        <v>429.95321369665459</v>
      </c>
    </row>
    <row r="8" spans="1:3" x14ac:dyDescent="0.25">
      <c r="A8" s="1">
        <v>45099</v>
      </c>
      <c r="B8" t="s">
        <v>136</v>
      </c>
      <c r="C8">
        <v>0</v>
      </c>
    </row>
    <row r="9" spans="1:3" x14ac:dyDescent="0.25">
      <c r="A9" s="1">
        <v>45099</v>
      </c>
      <c r="B9" t="s">
        <v>137</v>
      </c>
      <c r="C9">
        <v>406.20338811630847</v>
      </c>
    </row>
    <row r="10" spans="1:3" x14ac:dyDescent="0.25">
      <c r="A10" s="1">
        <v>45100</v>
      </c>
      <c r="B10" t="s">
        <v>136</v>
      </c>
      <c r="C10">
        <v>0</v>
      </c>
    </row>
    <row r="11" spans="1:3" x14ac:dyDescent="0.25">
      <c r="A11" s="1">
        <v>45100</v>
      </c>
      <c r="B11" t="s">
        <v>137</v>
      </c>
      <c r="C11">
        <v>1415.7949893818518</v>
      </c>
    </row>
    <row r="12" spans="1:3" x14ac:dyDescent="0.25">
      <c r="A12" s="1">
        <v>45101</v>
      </c>
      <c r="B12" t="s">
        <v>136</v>
      </c>
      <c r="C12">
        <v>0</v>
      </c>
    </row>
    <row r="13" spans="1:3" x14ac:dyDescent="0.25">
      <c r="A13" s="1">
        <v>45101</v>
      </c>
      <c r="B13" t="s">
        <v>137</v>
      </c>
      <c r="C13">
        <v>821.02389247983501</v>
      </c>
    </row>
    <row r="14" spans="1:3" x14ac:dyDescent="0.25">
      <c r="A14" s="1">
        <v>45102</v>
      </c>
      <c r="B14" t="s">
        <v>136</v>
      </c>
      <c r="C14">
        <v>0</v>
      </c>
    </row>
    <row r="15" spans="1:3" x14ac:dyDescent="0.25">
      <c r="A15" s="1">
        <v>45102</v>
      </c>
      <c r="B15" t="s">
        <v>137</v>
      </c>
      <c r="C15">
        <v>725.36754010695176</v>
      </c>
    </row>
    <row r="16" spans="1:3" x14ac:dyDescent="0.25">
      <c r="A16" s="1">
        <v>45103</v>
      </c>
      <c r="B16" t="s">
        <v>136</v>
      </c>
      <c r="C16">
        <v>0</v>
      </c>
    </row>
    <row r="17" spans="1:3" x14ac:dyDescent="0.25">
      <c r="A17" s="1">
        <v>45103</v>
      </c>
      <c r="B17" t="s">
        <v>137</v>
      </c>
      <c r="C17">
        <v>141.90148171376634</v>
      </c>
    </row>
    <row r="18" spans="1:3" x14ac:dyDescent="0.25">
      <c r="A18" s="1">
        <v>45104</v>
      </c>
      <c r="B18" t="s">
        <v>136</v>
      </c>
      <c r="C18">
        <v>0</v>
      </c>
    </row>
    <row r="19" spans="1:3" x14ac:dyDescent="0.25">
      <c r="A19" s="1">
        <v>45104</v>
      </c>
      <c r="B19" t="s">
        <v>137</v>
      </c>
      <c r="C19">
        <v>5.117572692793928</v>
      </c>
    </row>
    <row r="20" spans="1:3" x14ac:dyDescent="0.25">
      <c r="A20" s="1">
        <v>45105</v>
      </c>
      <c r="B20" t="s">
        <v>136</v>
      </c>
      <c r="C20">
        <v>0</v>
      </c>
    </row>
    <row r="21" spans="1:3" x14ac:dyDescent="0.25">
      <c r="A21" s="1">
        <v>45105</v>
      </c>
      <c r="B21" t="s">
        <v>137</v>
      </c>
      <c r="C21">
        <v>471.53478805907145</v>
      </c>
    </row>
    <row r="22" spans="1:3" x14ac:dyDescent="0.25">
      <c r="A22" s="1">
        <v>45106</v>
      </c>
      <c r="B22" t="s">
        <v>136</v>
      </c>
      <c r="C22">
        <v>0</v>
      </c>
    </row>
    <row r="23" spans="1:3" x14ac:dyDescent="0.25">
      <c r="A23" s="1">
        <v>45106</v>
      </c>
      <c r="B23" t="s">
        <v>137</v>
      </c>
      <c r="C23">
        <v>232.99999999999997</v>
      </c>
    </row>
    <row r="24" spans="1:3" x14ac:dyDescent="0.25">
      <c r="A24" s="1">
        <v>45107</v>
      </c>
      <c r="B24" t="s">
        <v>136</v>
      </c>
      <c r="C24">
        <v>0</v>
      </c>
    </row>
    <row r="25" spans="1:3" x14ac:dyDescent="0.25">
      <c r="A25" s="1">
        <v>45107</v>
      </c>
      <c r="B25" t="s">
        <v>137</v>
      </c>
      <c r="C25">
        <v>821.62731210987533</v>
      </c>
    </row>
    <row r="26" spans="1:3" x14ac:dyDescent="0.25">
      <c r="A26" s="1">
        <v>45108</v>
      </c>
      <c r="B26" t="s">
        <v>136</v>
      </c>
      <c r="C26">
        <v>0</v>
      </c>
    </row>
    <row r="27" spans="1:3" x14ac:dyDescent="0.25">
      <c r="A27" s="1">
        <v>45108</v>
      </c>
      <c r="B27" t="s">
        <v>137</v>
      </c>
      <c r="C27">
        <v>1278.0835687107306</v>
      </c>
    </row>
    <row r="28" spans="1:3" x14ac:dyDescent="0.25">
      <c r="A28" s="1">
        <v>45109</v>
      </c>
      <c r="B28" t="s">
        <v>136</v>
      </c>
      <c r="C28">
        <v>0</v>
      </c>
    </row>
    <row r="29" spans="1:3" x14ac:dyDescent="0.25">
      <c r="A29" s="1">
        <v>45109</v>
      </c>
      <c r="B29" t="s">
        <v>137</v>
      </c>
      <c r="C29">
        <v>2199.0133623296997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A63BE-6821-4BA2-BB44-90B2C4F0927B}">
  <dimension ref="A1:C29"/>
  <sheetViews>
    <sheetView workbookViewId="0">
      <selection activeCell="C2" sqref="C2:C29"/>
    </sheetView>
  </sheetViews>
  <sheetFormatPr defaultRowHeight="15" x14ac:dyDescent="0.25"/>
  <cols>
    <col min="1" max="1" width="10.7109375" bestFit="1" customWidth="1"/>
    <col min="2" max="2" width="9.5703125" bestFit="1" customWidth="1"/>
    <col min="3" max="3" width="12" bestFit="1" customWidth="1"/>
    <col min="4" max="4" width="6.7109375" bestFit="1" customWidth="1"/>
    <col min="5" max="6" width="12.7109375" bestFit="1" customWidth="1"/>
  </cols>
  <sheetData>
    <row r="1" spans="1:3" x14ac:dyDescent="0.25">
      <c r="A1" t="s">
        <v>0</v>
      </c>
      <c r="B1" t="s">
        <v>135</v>
      </c>
      <c r="C1" t="s">
        <v>147</v>
      </c>
    </row>
    <row r="2" spans="1:3" x14ac:dyDescent="0.25">
      <c r="A2" s="1">
        <v>45096</v>
      </c>
      <c r="B2" t="s">
        <v>136</v>
      </c>
      <c r="C2">
        <v>0</v>
      </c>
    </row>
    <row r="3" spans="1:3" x14ac:dyDescent="0.25">
      <c r="A3" s="1">
        <v>45096</v>
      </c>
      <c r="B3" t="s">
        <v>137</v>
      </c>
      <c r="C3">
        <v>88.586105045399108</v>
      </c>
    </row>
    <row r="4" spans="1:3" x14ac:dyDescent="0.25">
      <c r="A4" s="1">
        <v>45097</v>
      </c>
      <c r="B4" t="s">
        <v>136</v>
      </c>
      <c r="C4">
        <v>0</v>
      </c>
    </row>
    <row r="5" spans="1:3" x14ac:dyDescent="0.25">
      <c r="A5" s="1">
        <v>45097</v>
      </c>
      <c r="B5" t="s">
        <v>137</v>
      </c>
      <c r="C5">
        <v>0</v>
      </c>
    </row>
    <row r="6" spans="1:3" x14ac:dyDescent="0.25">
      <c r="A6" s="1">
        <v>45098</v>
      </c>
      <c r="B6" t="s">
        <v>136</v>
      </c>
      <c r="C6">
        <v>0</v>
      </c>
    </row>
    <row r="7" spans="1:3" x14ac:dyDescent="0.25">
      <c r="A7" s="1">
        <v>45098</v>
      </c>
      <c r="B7" t="s">
        <v>137</v>
      </c>
      <c r="C7">
        <v>429.95321369665459</v>
      </c>
    </row>
    <row r="8" spans="1:3" x14ac:dyDescent="0.25">
      <c r="A8" s="1">
        <v>45099</v>
      </c>
      <c r="B8" t="s">
        <v>136</v>
      </c>
      <c r="C8">
        <v>0</v>
      </c>
    </row>
    <row r="9" spans="1:3" x14ac:dyDescent="0.25">
      <c r="A9" s="1">
        <v>45099</v>
      </c>
      <c r="B9" t="s">
        <v>137</v>
      </c>
      <c r="C9">
        <v>406.20338811630847</v>
      </c>
    </row>
    <row r="10" spans="1:3" x14ac:dyDescent="0.25">
      <c r="A10" s="1">
        <v>45100</v>
      </c>
      <c r="B10" t="s">
        <v>136</v>
      </c>
      <c r="C10">
        <v>0</v>
      </c>
    </row>
    <row r="11" spans="1:3" x14ac:dyDescent="0.25">
      <c r="A11" s="1">
        <v>45100</v>
      </c>
      <c r="B11" t="s">
        <v>137</v>
      </c>
      <c r="C11">
        <v>1415.7949893818518</v>
      </c>
    </row>
    <row r="12" spans="1:3" x14ac:dyDescent="0.25">
      <c r="A12" s="1">
        <v>45101</v>
      </c>
      <c r="B12" t="s">
        <v>136</v>
      </c>
      <c r="C12">
        <v>0</v>
      </c>
    </row>
    <row r="13" spans="1:3" x14ac:dyDescent="0.25">
      <c r="A13" s="1">
        <v>45101</v>
      </c>
      <c r="B13" t="s">
        <v>137</v>
      </c>
      <c r="C13">
        <v>821.02389247983501</v>
      </c>
    </row>
    <row r="14" spans="1:3" x14ac:dyDescent="0.25">
      <c r="A14" s="1">
        <v>45102</v>
      </c>
      <c r="B14" t="s">
        <v>136</v>
      </c>
      <c r="C14">
        <v>0</v>
      </c>
    </row>
    <row r="15" spans="1:3" x14ac:dyDescent="0.25">
      <c r="A15" s="1">
        <v>45102</v>
      </c>
      <c r="B15" t="s">
        <v>137</v>
      </c>
      <c r="C15">
        <v>725.36754010695176</v>
      </c>
    </row>
    <row r="16" spans="1:3" x14ac:dyDescent="0.25">
      <c r="A16" s="1">
        <v>45103</v>
      </c>
      <c r="B16" t="s">
        <v>136</v>
      </c>
      <c r="C16">
        <v>0</v>
      </c>
    </row>
    <row r="17" spans="1:3" x14ac:dyDescent="0.25">
      <c r="A17" s="1">
        <v>45103</v>
      </c>
      <c r="B17" t="s">
        <v>137</v>
      </c>
      <c r="C17">
        <v>141.90148171376634</v>
      </c>
    </row>
    <row r="18" spans="1:3" x14ac:dyDescent="0.25">
      <c r="A18" s="1">
        <v>45104</v>
      </c>
      <c r="B18" t="s">
        <v>136</v>
      </c>
      <c r="C18">
        <v>0</v>
      </c>
    </row>
    <row r="19" spans="1:3" x14ac:dyDescent="0.25">
      <c r="A19" s="1">
        <v>45104</v>
      </c>
      <c r="B19" t="s">
        <v>137</v>
      </c>
      <c r="C19">
        <v>5.117572692793928</v>
      </c>
    </row>
    <row r="20" spans="1:3" x14ac:dyDescent="0.25">
      <c r="A20" s="1">
        <v>45105</v>
      </c>
      <c r="B20" t="s">
        <v>136</v>
      </c>
      <c r="C20">
        <v>0</v>
      </c>
    </row>
    <row r="21" spans="1:3" x14ac:dyDescent="0.25">
      <c r="A21" s="1">
        <v>45105</v>
      </c>
      <c r="B21" t="s">
        <v>137</v>
      </c>
      <c r="C21">
        <v>471.53478805907145</v>
      </c>
    </row>
    <row r="22" spans="1:3" x14ac:dyDescent="0.25">
      <c r="A22" s="1">
        <v>45106</v>
      </c>
      <c r="B22" t="s">
        <v>136</v>
      </c>
      <c r="C22">
        <v>0</v>
      </c>
    </row>
    <row r="23" spans="1:3" x14ac:dyDescent="0.25">
      <c r="A23" s="1">
        <v>45106</v>
      </c>
      <c r="B23" t="s">
        <v>137</v>
      </c>
      <c r="C23">
        <v>232.99999999999997</v>
      </c>
    </row>
    <row r="24" spans="1:3" x14ac:dyDescent="0.25">
      <c r="A24" s="1">
        <v>45107</v>
      </c>
      <c r="B24" t="s">
        <v>136</v>
      </c>
      <c r="C24">
        <v>0</v>
      </c>
    </row>
    <row r="25" spans="1:3" x14ac:dyDescent="0.25">
      <c r="A25" s="1">
        <v>45107</v>
      </c>
      <c r="B25" t="s">
        <v>137</v>
      </c>
      <c r="C25">
        <v>821.62731210987533</v>
      </c>
    </row>
    <row r="26" spans="1:3" x14ac:dyDescent="0.25">
      <c r="A26" s="1">
        <v>45108</v>
      </c>
      <c r="B26" t="s">
        <v>136</v>
      </c>
      <c r="C26">
        <v>0</v>
      </c>
    </row>
    <row r="27" spans="1:3" x14ac:dyDescent="0.25">
      <c r="A27" s="1">
        <v>45108</v>
      </c>
      <c r="B27" t="s">
        <v>137</v>
      </c>
      <c r="C27">
        <v>1278.0835687107306</v>
      </c>
    </row>
    <row r="28" spans="1:3" x14ac:dyDescent="0.25">
      <c r="A28" s="1">
        <v>45109</v>
      </c>
      <c r="B28" t="s">
        <v>136</v>
      </c>
      <c r="C28">
        <v>0</v>
      </c>
    </row>
    <row r="29" spans="1:3" x14ac:dyDescent="0.25">
      <c r="A29" s="1">
        <v>45109</v>
      </c>
      <c r="B29" t="s">
        <v>137</v>
      </c>
      <c r="C29">
        <v>2199.0133623296997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7BF65-0E0F-47BC-B0FC-20C0125E4221}">
  <dimension ref="A1:G22"/>
  <sheetViews>
    <sheetView workbookViewId="0">
      <selection sqref="A1:G5"/>
    </sheetView>
  </sheetViews>
  <sheetFormatPr defaultRowHeight="15" x14ac:dyDescent="0.25"/>
  <cols>
    <col min="1" max="1" width="10.140625" bestFit="1" customWidth="1"/>
    <col min="2" max="2" width="9.5703125" bestFit="1" customWidth="1"/>
    <col min="3" max="3" width="6.7109375" bestFit="1" customWidth="1"/>
    <col min="4" max="4" width="11.140625" bestFit="1" customWidth="1"/>
    <col min="5" max="5" width="24" bestFit="1" customWidth="1"/>
    <col min="6" max="6" width="23.7109375" bestFit="1" customWidth="1"/>
    <col min="7" max="7" width="5.7109375" customWidth="1"/>
  </cols>
  <sheetData>
    <row r="1" spans="1:7" x14ac:dyDescent="0.25">
      <c r="A1" t="s">
        <v>145</v>
      </c>
      <c r="B1" t="s">
        <v>135</v>
      </c>
      <c r="C1" t="s">
        <v>14</v>
      </c>
      <c r="D1" t="s">
        <v>134</v>
      </c>
      <c r="E1" t="s">
        <v>140</v>
      </c>
      <c r="F1" t="s">
        <v>141</v>
      </c>
      <c r="G1" t="s">
        <v>142</v>
      </c>
    </row>
    <row r="2" spans="1:7" hidden="1" x14ac:dyDescent="0.25">
      <c r="A2" t="s">
        <v>149</v>
      </c>
      <c r="B2" t="s">
        <v>161</v>
      </c>
      <c r="C2" t="s">
        <v>148</v>
      </c>
    </row>
    <row r="3" spans="1:7" hidden="1" x14ac:dyDescent="0.25">
      <c r="A3" t="s">
        <v>149</v>
      </c>
      <c r="B3" t="s">
        <v>161</v>
      </c>
      <c r="C3" t="s">
        <v>97</v>
      </c>
    </row>
    <row r="4" spans="1:7" hidden="1" x14ac:dyDescent="0.25">
      <c r="A4" t="s">
        <v>149</v>
      </c>
      <c r="B4" t="s">
        <v>161</v>
      </c>
      <c r="C4" t="s">
        <v>13</v>
      </c>
    </row>
    <row r="5" spans="1:7" hidden="1" x14ac:dyDescent="0.25">
      <c r="A5" t="s">
        <v>149</v>
      </c>
      <c r="B5" t="s">
        <v>162</v>
      </c>
      <c r="C5" t="s">
        <v>148</v>
      </c>
    </row>
    <row r="6" spans="1:7" hidden="1" x14ac:dyDescent="0.25">
      <c r="A6" t="s">
        <v>149</v>
      </c>
      <c r="B6" t="s">
        <v>162</v>
      </c>
      <c r="C6" t="s">
        <v>97</v>
      </c>
    </row>
    <row r="7" spans="1:7" hidden="1" x14ac:dyDescent="0.25">
      <c r="A7" t="s">
        <v>149</v>
      </c>
      <c r="B7" t="s">
        <v>162</v>
      </c>
      <c r="C7" t="s">
        <v>13</v>
      </c>
    </row>
    <row r="8" spans="1:7" hidden="1" x14ac:dyDescent="0.25">
      <c r="A8" t="s">
        <v>149</v>
      </c>
      <c r="B8" t="s">
        <v>163</v>
      </c>
      <c r="C8" t="s">
        <v>148</v>
      </c>
    </row>
    <row r="9" spans="1:7" hidden="1" x14ac:dyDescent="0.25">
      <c r="A9" t="s">
        <v>149</v>
      </c>
      <c r="B9" t="s">
        <v>163</v>
      </c>
      <c r="C9" t="s">
        <v>97</v>
      </c>
    </row>
    <row r="10" spans="1:7" hidden="1" x14ac:dyDescent="0.25">
      <c r="A10" t="s">
        <v>149</v>
      </c>
      <c r="B10" t="s">
        <v>163</v>
      </c>
      <c r="C10" t="s">
        <v>13</v>
      </c>
    </row>
    <row r="11" spans="1:7" x14ac:dyDescent="0.25">
      <c r="D11">
        <f>SUBTOTAL(109,Table_CostAG1_1DayShiftABSummary[RoleCost])</f>
        <v>0</v>
      </c>
    </row>
    <row r="17" spans="1:6" x14ac:dyDescent="0.25">
      <c r="A17" t="s">
        <v>14</v>
      </c>
      <c r="B17" t="s">
        <v>135</v>
      </c>
      <c r="C17" t="s">
        <v>134</v>
      </c>
      <c r="D17" t="s">
        <v>140</v>
      </c>
      <c r="E17" t="s">
        <v>141</v>
      </c>
      <c r="F17" t="s">
        <v>142</v>
      </c>
    </row>
    <row r="18" spans="1:6" x14ac:dyDescent="0.25">
      <c r="A18" t="s">
        <v>48</v>
      </c>
      <c r="B18" t="s">
        <v>136</v>
      </c>
      <c r="C18">
        <v>1847.0049558082053</v>
      </c>
      <c r="D18">
        <v>1005.099999999999</v>
      </c>
      <c r="E18">
        <v>841.90495580820641</v>
      </c>
      <c r="F18">
        <v>0</v>
      </c>
    </row>
    <row r="19" spans="1:6" x14ac:dyDescent="0.25">
      <c r="A19" t="s">
        <v>47</v>
      </c>
      <c r="B19" t="s">
        <v>136</v>
      </c>
      <c r="C19">
        <v>1392.4133411369519</v>
      </c>
      <c r="D19">
        <v>341.92885763108092</v>
      </c>
      <c r="E19">
        <v>1050.4844835058711</v>
      </c>
      <c r="F19">
        <v>0</v>
      </c>
    </row>
    <row r="20" spans="1:6" x14ac:dyDescent="0.25">
      <c r="A20" t="s">
        <v>48</v>
      </c>
      <c r="B20" t="s">
        <v>137</v>
      </c>
      <c r="C20">
        <v>5385.0384614619325</v>
      </c>
      <c r="D20">
        <v>367.6247215785163</v>
      </c>
      <c r="E20">
        <v>5017.4137398834155</v>
      </c>
      <c r="F20">
        <v>0</v>
      </c>
    </row>
    <row r="21" spans="1:6" x14ac:dyDescent="0.25">
      <c r="A21" t="s">
        <v>47</v>
      </c>
      <c r="B21" t="s">
        <v>137</v>
      </c>
      <c r="C21">
        <v>8768.0197043160479</v>
      </c>
      <c r="D21">
        <v>39.967608432665642</v>
      </c>
      <c r="E21">
        <v>8728.0520958833822</v>
      </c>
      <c r="F21">
        <v>0</v>
      </c>
    </row>
    <row r="22" spans="1:6" x14ac:dyDescent="0.25">
      <c r="C22">
        <v>17392.476462723138</v>
      </c>
    </row>
  </sheetData>
  <phoneticPr fontId="24" type="noConversion"/>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D1FF9-C632-428B-9906-AAC0EFCBF2D4}">
  <dimension ref="C1:AF71"/>
  <sheetViews>
    <sheetView workbookViewId="0">
      <selection activeCell="N40" sqref="N40"/>
    </sheetView>
  </sheetViews>
  <sheetFormatPr defaultRowHeight="15" outlineLevelCol="1" x14ac:dyDescent="0.25"/>
  <cols>
    <col min="3" max="3" width="23.7109375" customWidth="1"/>
    <col min="4" max="4" width="22.5703125" bestFit="1" customWidth="1"/>
    <col min="5" max="5" width="13.5703125" customWidth="1"/>
    <col min="6" max="6" width="6.5703125" bestFit="1" customWidth="1"/>
    <col min="7" max="7" width="11.42578125" customWidth="1"/>
    <col min="8" max="21" width="8.85546875" customWidth="1"/>
    <col min="23" max="23" width="13.85546875" customWidth="1"/>
    <col min="24" max="24" width="15.42578125" style="9" hidden="1" customWidth="1" outlineLevel="1"/>
    <col min="25" max="25" width="15.140625" style="9" hidden="1" customWidth="1" outlineLevel="1"/>
    <col min="26" max="26" width="23.7109375" style="9" hidden="1" customWidth="1" outlineLevel="1"/>
    <col min="27" max="27" width="44.5703125" style="9" hidden="1" customWidth="1" outlineLevel="1"/>
    <col min="28" max="28" width="21.42578125" style="9" hidden="1" customWidth="1" outlineLevel="1"/>
    <col min="29" max="30" width="9.140625" hidden="1" customWidth="1" outlineLevel="1"/>
    <col min="31" max="31" width="9.140625" collapsed="1"/>
  </cols>
  <sheetData>
    <row r="1" spans="3:31" x14ac:dyDescent="0.25">
      <c r="C1" s="9"/>
      <c r="D1" s="9"/>
      <c r="E1" s="9"/>
      <c r="F1" s="9"/>
      <c r="G1" s="9"/>
      <c r="H1" s="9"/>
      <c r="I1" s="9"/>
      <c r="J1" s="9"/>
      <c r="K1" s="9"/>
      <c r="L1" s="9"/>
      <c r="M1" s="9"/>
      <c r="N1" s="9"/>
      <c r="O1" s="9"/>
      <c r="P1" s="9"/>
      <c r="Q1" s="9"/>
      <c r="R1" s="9"/>
      <c r="S1" s="9"/>
      <c r="T1" s="9"/>
      <c r="U1" s="9"/>
      <c r="V1" s="9"/>
      <c r="W1" s="9"/>
      <c r="AC1" s="9"/>
      <c r="AD1" s="9"/>
      <c r="AE1" s="9"/>
    </row>
    <row r="2" spans="3:31" x14ac:dyDescent="0.25">
      <c r="C2" s="9"/>
      <c r="D2" s="9"/>
      <c r="E2" s="9"/>
      <c r="F2" s="9"/>
      <c r="G2" s="9"/>
      <c r="H2" s="9"/>
      <c r="I2" s="9"/>
      <c r="J2" s="9"/>
      <c r="K2" s="9"/>
      <c r="L2" s="9"/>
      <c r="M2" s="9"/>
      <c r="N2" s="9"/>
      <c r="O2" s="9"/>
      <c r="P2" s="9"/>
      <c r="Q2" s="9"/>
      <c r="R2" s="9"/>
      <c r="S2" s="9"/>
      <c r="T2" s="9"/>
      <c r="U2" s="9"/>
      <c r="V2" s="9"/>
      <c r="W2" s="9"/>
      <c r="AC2" s="9"/>
      <c r="AD2" s="9"/>
      <c r="AE2" s="9"/>
    </row>
    <row r="3" spans="3:31" x14ac:dyDescent="0.25">
      <c r="C3" s="9"/>
      <c r="D3" s="9"/>
      <c r="E3" s="9"/>
      <c r="F3" s="9"/>
      <c r="G3" s="9"/>
      <c r="H3" s="9"/>
      <c r="I3" s="9"/>
      <c r="J3" s="9"/>
      <c r="K3" s="9"/>
      <c r="L3" s="9"/>
      <c r="M3" s="9"/>
      <c r="N3" s="9"/>
      <c r="O3" s="9"/>
      <c r="P3" s="9"/>
      <c r="Q3" s="9"/>
      <c r="R3" s="9"/>
      <c r="S3" s="9"/>
      <c r="T3" s="9"/>
      <c r="U3" s="9"/>
      <c r="V3" s="9"/>
      <c r="W3" s="9"/>
      <c r="AC3" s="9"/>
      <c r="AD3" s="9"/>
      <c r="AE3" s="9"/>
    </row>
    <row r="4" spans="3:31" ht="23.25" x14ac:dyDescent="0.35">
      <c r="C4" s="143" t="s">
        <v>49</v>
      </c>
      <c r="D4" s="143"/>
      <c r="E4" s="143"/>
      <c r="F4" s="143"/>
      <c r="G4" s="143"/>
      <c r="H4" s="143"/>
      <c r="I4" s="143"/>
      <c r="J4" s="143"/>
      <c r="K4" s="143"/>
      <c r="L4" s="143"/>
      <c r="M4" s="143"/>
      <c r="N4" s="143"/>
      <c r="O4" s="143"/>
      <c r="P4" s="143"/>
      <c r="Q4" s="143"/>
      <c r="R4" s="143"/>
      <c r="S4" s="143"/>
      <c r="T4" s="143"/>
      <c r="U4" s="143"/>
      <c r="V4" s="9"/>
      <c r="W4" s="9"/>
      <c r="AC4" s="9"/>
      <c r="AD4" s="9"/>
      <c r="AE4" s="9"/>
    </row>
    <row r="5" spans="3:31" x14ac:dyDescent="0.25">
      <c r="C5" s="9"/>
      <c r="D5" s="9"/>
      <c r="E5" s="9"/>
      <c r="F5" s="9"/>
      <c r="G5" s="9"/>
      <c r="H5" s="9"/>
      <c r="I5" s="9"/>
      <c r="J5" s="9"/>
      <c r="K5" s="9"/>
      <c r="L5" s="9"/>
      <c r="M5" s="9"/>
      <c r="N5" s="9"/>
      <c r="O5" s="9"/>
      <c r="P5" s="9"/>
      <c r="Q5" s="9"/>
      <c r="R5" s="9"/>
      <c r="S5" s="9"/>
      <c r="T5" s="9"/>
      <c r="U5" s="9"/>
      <c r="V5" s="9"/>
      <c r="W5" s="9"/>
      <c r="AC5" s="9"/>
      <c r="AD5" s="9"/>
      <c r="AE5" s="9"/>
    </row>
    <row r="6" spans="3:31" ht="18.75" x14ac:dyDescent="0.3">
      <c r="C6" s="10" t="s">
        <v>50</v>
      </c>
      <c r="D6" s="11" t="s">
        <v>51</v>
      </c>
      <c r="E6" s="12"/>
      <c r="F6" s="13"/>
      <c r="G6" s="13"/>
      <c r="H6" s="9"/>
      <c r="I6" s="9"/>
      <c r="J6" s="9"/>
      <c r="K6" s="9"/>
      <c r="L6" s="9"/>
      <c r="M6" s="9"/>
      <c r="N6" s="9"/>
      <c r="O6" s="9"/>
      <c r="P6" s="9"/>
      <c r="Q6" s="9"/>
      <c r="R6" s="9"/>
      <c r="S6" s="9"/>
      <c r="T6" s="9"/>
      <c r="U6" s="9"/>
      <c r="V6" s="9"/>
      <c r="W6" s="13"/>
      <c r="Z6" s="14" t="s">
        <v>52</v>
      </c>
      <c r="AC6" s="9"/>
      <c r="AD6" s="9"/>
      <c r="AE6" s="9"/>
    </row>
    <row r="7" spans="3:31" ht="21" x14ac:dyDescent="0.35">
      <c r="C7" s="15" t="s">
        <v>53</v>
      </c>
      <c r="D7" s="16" t="s">
        <v>54</v>
      </c>
      <c r="E7" s="17" t="s">
        <v>55</v>
      </c>
      <c r="F7" s="18"/>
      <c r="G7" s="18"/>
      <c r="H7" s="9"/>
      <c r="I7" s="9"/>
      <c r="J7" s="9"/>
      <c r="K7" s="9"/>
      <c r="L7" s="9"/>
      <c r="M7" s="9"/>
      <c r="N7" s="9"/>
      <c r="O7" s="9"/>
      <c r="P7" s="9"/>
      <c r="Q7" s="9"/>
      <c r="R7" s="9"/>
      <c r="S7" s="9"/>
      <c r="T7" s="9"/>
      <c r="U7" s="9"/>
      <c r="V7" s="9"/>
      <c r="W7" s="18"/>
      <c r="Z7" s="14" t="s">
        <v>56</v>
      </c>
      <c r="AC7" s="9"/>
      <c r="AD7" s="9"/>
      <c r="AE7" s="9"/>
    </row>
    <row r="8" spans="3:31" ht="15.75" x14ac:dyDescent="0.25">
      <c r="C8" s="19"/>
      <c r="D8" s="9"/>
      <c r="E8" s="9"/>
      <c r="F8" s="9"/>
      <c r="G8" s="9"/>
      <c r="H8" t="s">
        <v>57</v>
      </c>
      <c r="I8" t="s">
        <v>58</v>
      </c>
      <c r="J8" t="s">
        <v>59</v>
      </c>
      <c r="K8" t="s">
        <v>60</v>
      </c>
      <c r="L8" t="s">
        <v>61</v>
      </c>
      <c r="M8" t="s">
        <v>62</v>
      </c>
      <c r="N8" t="s">
        <v>63</v>
      </c>
      <c r="O8" t="s">
        <v>64</v>
      </c>
      <c r="P8" t="s">
        <v>65</v>
      </c>
      <c r="Q8" t="s">
        <v>66</v>
      </c>
      <c r="R8" t="s">
        <v>67</v>
      </c>
      <c r="S8" t="s">
        <v>68</v>
      </c>
      <c r="T8" t="s">
        <v>69</v>
      </c>
      <c r="U8" t="s">
        <v>70</v>
      </c>
      <c r="V8" s="9"/>
      <c r="W8" s="9"/>
      <c r="Z8" s="20" t="s">
        <v>71</v>
      </c>
    </row>
    <row r="9" spans="3:31" ht="47.25" x14ac:dyDescent="0.25">
      <c r="C9" s="21" t="s">
        <v>72</v>
      </c>
      <c r="D9" s="21" t="s">
        <v>73</v>
      </c>
      <c r="E9" s="21" t="s">
        <v>74</v>
      </c>
      <c r="F9" s="21" t="s">
        <v>75</v>
      </c>
      <c r="G9" s="22" t="s">
        <v>76</v>
      </c>
      <c r="H9" s="23" t="s">
        <v>77</v>
      </c>
      <c r="I9" s="24" t="s">
        <v>78</v>
      </c>
      <c r="J9" s="24" t="s">
        <v>79</v>
      </c>
      <c r="K9" s="24" t="s">
        <v>80</v>
      </c>
      <c r="L9" s="24" t="s">
        <v>81</v>
      </c>
      <c r="M9" s="24" t="s">
        <v>82</v>
      </c>
      <c r="N9" s="24" t="s">
        <v>83</v>
      </c>
      <c r="O9" s="24" t="s">
        <v>77</v>
      </c>
      <c r="P9" s="24" t="s">
        <v>78</v>
      </c>
      <c r="Q9" s="24" t="s">
        <v>79</v>
      </c>
      <c r="R9" s="24" t="s">
        <v>80</v>
      </c>
      <c r="S9" s="24" t="s">
        <v>81</v>
      </c>
      <c r="T9" s="24" t="s">
        <v>82</v>
      </c>
      <c r="U9" s="25" t="s">
        <v>83</v>
      </c>
      <c r="V9" s="26" t="s">
        <v>84</v>
      </c>
      <c r="W9" s="21" t="s">
        <v>85</v>
      </c>
      <c r="X9" s="21" t="s">
        <v>86</v>
      </c>
      <c r="Y9" s="21" t="s">
        <v>87</v>
      </c>
      <c r="Z9" s="21" t="s">
        <v>88</v>
      </c>
      <c r="AA9" s="21" t="s">
        <v>89</v>
      </c>
      <c r="AB9" s="27"/>
      <c r="AC9" s="28"/>
      <c r="AD9" s="28"/>
      <c r="AE9" s="28"/>
    </row>
    <row r="10" spans="3:31" ht="15.75" x14ac:dyDescent="0.25">
      <c r="C10" s="29" t="s">
        <v>90</v>
      </c>
      <c r="D10" s="30" t="s">
        <v>91</v>
      </c>
      <c r="E10" s="29" t="s">
        <v>47</v>
      </c>
      <c r="F10" s="29" t="s">
        <v>12</v>
      </c>
      <c r="G10" s="31">
        <v>55.75</v>
      </c>
      <c r="H10" s="32"/>
      <c r="I10" s="32"/>
      <c r="J10" s="32">
        <v>8</v>
      </c>
      <c r="K10" s="32"/>
      <c r="L10" s="32"/>
      <c r="M10" s="32"/>
      <c r="N10" s="32"/>
      <c r="O10" s="32"/>
      <c r="P10" s="32"/>
      <c r="Q10" s="32"/>
      <c r="R10" s="32"/>
      <c r="S10" s="32"/>
      <c r="T10" s="32"/>
      <c r="U10" s="33"/>
      <c r="V10" s="34">
        <f>SUM(H10:U10)</f>
        <v>8</v>
      </c>
      <c r="W10" s="35">
        <f>ROUND(V10*G10,2)</f>
        <v>446</v>
      </c>
      <c r="X10" s="35">
        <f>W10*1.1</f>
        <v>490.6</v>
      </c>
      <c r="Y10" s="36">
        <v>3360</v>
      </c>
      <c r="Z10" s="37">
        <f>IF($Z$8="Variance to GST Excl. Inv",W10,X10)-Y10</f>
        <v>-2914</v>
      </c>
      <c r="AA10" s="38" t="s">
        <v>92</v>
      </c>
      <c r="AC10" t="s">
        <v>10</v>
      </c>
      <c r="AD10" t="s">
        <v>13</v>
      </c>
      <c r="AE10" t="s">
        <v>93</v>
      </c>
    </row>
    <row r="11" spans="3:31" ht="15.75" x14ac:dyDescent="0.25">
      <c r="C11" s="29" t="s">
        <v>94</v>
      </c>
      <c r="D11" s="30" t="s">
        <v>95</v>
      </c>
      <c r="E11" s="29" t="s">
        <v>13</v>
      </c>
      <c r="F11" s="29" t="s">
        <v>96</v>
      </c>
      <c r="G11" s="31">
        <v>95.02</v>
      </c>
      <c r="H11" s="32"/>
      <c r="I11" s="32"/>
      <c r="J11" s="32">
        <v>7.75</v>
      </c>
      <c r="K11" s="32"/>
      <c r="L11" s="32"/>
      <c r="M11" s="32"/>
      <c r="N11" s="32"/>
      <c r="O11" s="32"/>
      <c r="P11" s="32"/>
      <c r="Q11" s="32"/>
      <c r="R11" s="32"/>
      <c r="S11" s="32"/>
      <c r="T11" s="32"/>
      <c r="U11" s="33"/>
      <c r="V11" s="39">
        <f>SUM(H11:U11)</f>
        <v>7.75</v>
      </c>
      <c r="W11" s="35">
        <f t="shared" ref="W11:W29" si="0">ROUND(V11*G11,2)</f>
        <v>736.41</v>
      </c>
      <c r="X11" s="35">
        <f t="shared" ref="X11:Y29" si="1">W11*1.1</f>
        <v>810.05100000000004</v>
      </c>
      <c r="Y11" s="40">
        <v>2520</v>
      </c>
      <c r="Z11" s="37">
        <f t="shared" ref="Z11:Z29" si="2">IF($Z$8="Variance to GST Excl. Inv",W11,X11)-Y11</f>
        <v>-1783.5900000000001</v>
      </c>
      <c r="AA11" s="41"/>
      <c r="AC11" t="s">
        <v>12</v>
      </c>
      <c r="AD11" t="s">
        <v>47</v>
      </c>
      <c r="AE11" t="s">
        <v>93</v>
      </c>
    </row>
    <row r="12" spans="3:31" ht="15.75" x14ac:dyDescent="0.25">
      <c r="C12" s="29" t="s">
        <v>94</v>
      </c>
      <c r="D12" s="30" t="s">
        <v>95</v>
      </c>
      <c r="E12" s="29" t="s">
        <v>13</v>
      </c>
      <c r="F12" s="29" t="s">
        <v>96</v>
      </c>
      <c r="G12" s="31">
        <v>95.02</v>
      </c>
      <c r="H12" s="32"/>
      <c r="I12" s="32"/>
      <c r="J12" s="32"/>
      <c r="K12" s="32">
        <v>7.75</v>
      </c>
      <c r="L12" s="32"/>
      <c r="M12" s="32"/>
      <c r="N12" s="32"/>
      <c r="O12" s="32"/>
      <c r="P12" s="32"/>
      <c r="Q12" s="32"/>
      <c r="R12" s="32"/>
      <c r="S12" s="32"/>
      <c r="T12" s="32"/>
      <c r="U12" s="33"/>
      <c r="V12" s="39">
        <f t="shared" ref="V12:V29" si="3">SUM(H12:U12)</f>
        <v>7.75</v>
      </c>
      <c r="W12" s="35">
        <f t="shared" si="0"/>
        <v>736.41</v>
      </c>
      <c r="X12" s="35">
        <f t="shared" si="1"/>
        <v>810.05100000000004</v>
      </c>
      <c r="Y12" s="40">
        <v>420</v>
      </c>
      <c r="Z12" s="37">
        <f t="shared" si="2"/>
        <v>316.40999999999997</v>
      </c>
      <c r="AA12" s="41"/>
      <c r="AC12" t="s">
        <v>96</v>
      </c>
      <c r="AD12" t="s">
        <v>97</v>
      </c>
      <c r="AE12" t="s">
        <v>93</v>
      </c>
    </row>
    <row r="13" spans="3:31" ht="15.75" x14ac:dyDescent="0.25">
      <c r="C13" s="29" t="s">
        <v>90</v>
      </c>
      <c r="D13" s="30" t="s">
        <v>98</v>
      </c>
      <c r="E13" s="29" t="s">
        <v>47</v>
      </c>
      <c r="F13" s="42" t="s">
        <v>82</v>
      </c>
      <c r="G13" s="43">
        <v>73.12</v>
      </c>
      <c r="H13" s="44"/>
      <c r="I13" s="45"/>
      <c r="J13" s="45"/>
      <c r="K13" s="45"/>
      <c r="L13" s="45"/>
      <c r="M13" s="45">
        <v>7.5</v>
      </c>
      <c r="N13" s="45"/>
      <c r="O13" s="45"/>
      <c r="P13" s="45"/>
      <c r="Q13" s="45"/>
      <c r="R13" s="45"/>
      <c r="S13" s="45"/>
      <c r="T13" s="45"/>
      <c r="U13" s="46"/>
      <c r="V13" s="39">
        <f t="shared" si="3"/>
        <v>7.5</v>
      </c>
      <c r="W13" s="35">
        <f t="shared" si="0"/>
        <v>548.4</v>
      </c>
      <c r="X13" s="35">
        <f t="shared" si="1"/>
        <v>603.24</v>
      </c>
      <c r="Y13" s="40">
        <v>550</v>
      </c>
      <c r="Z13" s="37">
        <f t="shared" si="2"/>
        <v>-1.6000000000000227</v>
      </c>
      <c r="AA13" s="41" t="s">
        <v>99</v>
      </c>
      <c r="AC13" t="s">
        <v>82</v>
      </c>
      <c r="AD13" t="s">
        <v>100</v>
      </c>
      <c r="AE13" t="s">
        <v>93</v>
      </c>
    </row>
    <row r="14" spans="3:31" ht="15.75" x14ac:dyDescent="0.25">
      <c r="C14" s="29" t="s">
        <v>90</v>
      </c>
      <c r="D14" s="30" t="s">
        <v>101</v>
      </c>
      <c r="E14" s="29" t="s">
        <v>47</v>
      </c>
      <c r="F14" s="29" t="s">
        <v>10</v>
      </c>
      <c r="G14" s="43">
        <v>51.25</v>
      </c>
      <c r="H14" s="44"/>
      <c r="I14" s="45"/>
      <c r="J14" s="45"/>
      <c r="K14" s="45"/>
      <c r="L14" s="45"/>
      <c r="M14" s="45"/>
      <c r="N14" s="45"/>
      <c r="O14" s="45">
        <v>7.5</v>
      </c>
      <c r="P14" s="45"/>
      <c r="Q14" s="45"/>
      <c r="R14" s="45"/>
      <c r="S14" s="45"/>
      <c r="T14" s="45"/>
      <c r="U14" s="46"/>
      <c r="V14" s="47">
        <f t="shared" si="3"/>
        <v>7.5</v>
      </c>
      <c r="W14" s="48">
        <f t="shared" si="0"/>
        <v>384.38</v>
      </c>
      <c r="X14" s="48">
        <f t="shared" si="1"/>
        <v>422.81800000000004</v>
      </c>
      <c r="Y14" s="49">
        <f t="shared" si="1"/>
        <v>465.09980000000007</v>
      </c>
      <c r="Z14" s="50">
        <f t="shared" si="2"/>
        <v>-80.719800000000077</v>
      </c>
      <c r="AA14" s="51"/>
      <c r="AC14" t="s">
        <v>83</v>
      </c>
      <c r="AE14" t="s">
        <v>93</v>
      </c>
    </row>
    <row r="15" spans="3:31" ht="15.75" x14ac:dyDescent="0.25">
      <c r="C15" s="29" t="s">
        <v>94</v>
      </c>
      <c r="D15" s="30" t="s">
        <v>102</v>
      </c>
      <c r="E15" s="29" t="s">
        <v>13</v>
      </c>
      <c r="F15" s="29" t="s">
        <v>12</v>
      </c>
      <c r="G15" s="43">
        <v>66.48</v>
      </c>
      <c r="H15" s="44"/>
      <c r="I15" s="45"/>
      <c r="J15" s="45"/>
      <c r="K15" s="45"/>
      <c r="L15" s="45"/>
      <c r="M15" s="45"/>
      <c r="N15" s="45"/>
      <c r="O15" s="45"/>
      <c r="P15" s="45"/>
      <c r="Q15" s="45">
        <v>8</v>
      </c>
      <c r="R15" s="45"/>
      <c r="S15" s="45"/>
      <c r="T15" s="45"/>
      <c r="U15" s="46"/>
      <c r="V15" s="39">
        <f t="shared" si="3"/>
        <v>8</v>
      </c>
      <c r="W15" s="35">
        <f t="shared" si="0"/>
        <v>531.84</v>
      </c>
      <c r="X15" s="35">
        <f t="shared" si="1"/>
        <v>585.02400000000011</v>
      </c>
      <c r="Y15" s="40">
        <f t="shared" si="1"/>
        <v>643.52640000000019</v>
      </c>
      <c r="Z15" s="37">
        <f t="shared" si="2"/>
        <v>-111.68640000000016</v>
      </c>
      <c r="AA15" s="41"/>
      <c r="AC15" t="s">
        <v>103</v>
      </c>
      <c r="AE15" t="s">
        <v>93</v>
      </c>
    </row>
    <row r="16" spans="3:31" ht="15.75" x14ac:dyDescent="0.25">
      <c r="C16" s="29" t="s">
        <v>94</v>
      </c>
      <c r="D16" s="30" t="s">
        <v>104</v>
      </c>
      <c r="E16" s="29" t="s">
        <v>13</v>
      </c>
      <c r="F16" s="29" t="s">
        <v>96</v>
      </c>
      <c r="G16" s="43">
        <v>95.02</v>
      </c>
      <c r="H16" s="44"/>
      <c r="I16" s="45"/>
      <c r="J16" s="45"/>
      <c r="K16" s="45"/>
      <c r="L16" s="45"/>
      <c r="M16" s="45"/>
      <c r="N16" s="45"/>
      <c r="O16" s="45"/>
      <c r="P16" s="45"/>
      <c r="Q16" s="45">
        <v>7.75</v>
      </c>
      <c r="R16" s="45"/>
      <c r="S16" s="45"/>
      <c r="T16" s="45"/>
      <c r="U16" s="46"/>
      <c r="V16" s="39">
        <f t="shared" si="3"/>
        <v>7.75</v>
      </c>
      <c r="W16" s="35">
        <f t="shared" si="0"/>
        <v>736.41</v>
      </c>
      <c r="X16" s="35">
        <f t="shared" si="1"/>
        <v>810.05100000000004</v>
      </c>
      <c r="Y16" s="40">
        <f t="shared" si="1"/>
        <v>891.05610000000013</v>
      </c>
      <c r="Z16" s="37">
        <f t="shared" si="2"/>
        <v>-154.64610000000016</v>
      </c>
      <c r="AA16" s="41"/>
      <c r="AE16" t="s">
        <v>93</v>
      </c>
    </row>
    <row r="17" spans="3:31" ht="15.75" x14ac:dyDescent="0.25">
      <c r="C17" s="29" t="s">
        <v>94</v>
      </c>
      <c r="D17" s="30" t="s">
        <v>104</v>
      </c>
      <c r="E17" s="29" t="s">
        <v>13</v>
      </c>
      <c r="F17" s="29" t="s">
        <v>12</v>
      </c>
      <c r="G17" s="43">
        <v>93.32</v>
      </c>
      <c r="H17" s="44"/>
      <c r="I17" s="45"/>
      <c r="J17" s="45"/>
      <c r="K17" s="45"/>
      <c r="L17" s="45"/>
      <c r="M17" s="45"/>
      <c r="N17" s="45"/>
      <c r="O17" s="45"/>
      <c r="P17" s="45"/>
      <c r="Q17" s="45"/>
      <c r="R17" s="45">
        <v>8</v>
      </c>
      <c r="S17" s="45"/>
      <c r="T17" s="45"/>
      <c r="U17" s="46"/>
      <c r="V17" s="39">
        <f t="shared" si="3"/>
        <v>8</v>
      </c>
      <c r="W17" s="35">
        <f t="shared" si="0"/>
        <v>746.56</v>
      </c>
      <c r="X17" s="35">
        <f t="shared" si="1"/>
        <v>821.21600000000001</v>
      </c>
      <c r="Y17" s="40">
        <f t="shared" si="1"/>
        <v>903.33760000000007</v>
      </c>
      <c r="Z17" s="37">
        <f t="shared" si="2"/>
        <v>-156.77760000000012</v>
      </c>
      <c r="AA17" s="41"/>
      <c r="AE17" t="s">
        <v>93</v>
      </c>
    </row>
    <row r="18" spans="3:31" ht="15.75" x14ac:dyDescent="0.25">
      <c r="C18" s="29" t="s">
        <v>90</v>
      </c>
      <c r="D18" s="30" t="s">
        <v>105</v>
      </c>
      <c r="E18" s="29" t="s">
        <v>47</v>
      </c>
      <c r="F18" s="29" t="s">
        <v>96</v>
      </c>
      <c r="G18" s="43">
        <v>56.65</v>
      </c>
      <c r="H18" s="44"/>
      <c r="I18" s="45"/>
      <c r="J18" s="45"/>
      <c r="K18" s="45"/>
      <c r="L18" s="45"/>
      <c r="M18" s="45"/>
      <c r="N18" s="45"/>
      <c r="O18" s="45"/>
      <c r="P18" s="45"/>
      <c r="Q18" s="45"/>
      <c r="R18" s="45"/>
      <c r="S18" s="45">
        <v>7.5</v>
      </c>
      <c r="T18" s="45"/>
      <c r="U18" s="46"/>
      <c r="V18" s="39">
        <v>7.5</v>
      </c>
      <c r="W18" s="35">
        <f t="shared" si="0"/>
        <v>424.88</v>
      </c>
      <c r="X18" s="35"/>
      <c r="Y18" s="40"/>
      <c r="Z18" s="37"/>
      <c r="AA18" s="41"/>
      <c r="AE18" t="s">
        <v>93</v>
      </c>
    </row>
    <row r="19" spans="3:31" ht="15.75" x14ac:dyDescent="0.25">
      <c r="C19" s="29" t="s">
        <v>90</v>
      </c>
      <c r="D19" s="30" t="s">
        <v>106</v>
      </c>
      <c r="E19" s="29" t="s">
        <v>47</v>
      </c>
      <c r="F19" s="29" t="s">
        <v>96</v>
      </c>
      <c r="G19" s="43">
        <v>56.65</v>
      </c>
      <c r="H19" s="44"/>
      <c r="I19" s="45"/>
      <c r="J19" s="45"/>
      <c r="K19" s="45"/>
      <c r="L19" s="45"/>
      <c r="M19" s="45"/>
      <c r="N19" s="45"/>
      <c r="O19" s="45"/>
      <c r="P19" s="45"/>
      <c r="Q19" s="45"/>
      <c r="R19" s="45"/>
      <c r="S19" s="45">
        <v>7.5</v>
      </c>
      <c r="T19" s="45"/>
      <c r="U19" s="46"/>
      <c r="V19" s="39">
        <f t="shared" si="3"/>
        <v>7.5</v>
      </c>
      <c r="W19" s="35">
        <f t="shared" si="0"/>
        <v>424.88</v>
      </c>
      <c r="X19" s="35">
        <f t="shared" si="1"/>
        <v>467.36800000000005</v>
      </c>
      <c r="Y19" s="40">
        <f t="shared" si="1"/>
        <v>514.10480000000007</v>
      </c>
      <c r="Z19" s="37">
        <f t="shared" si="2"/>
        <v>-89.224800000000073</v>
      </c>
      <c r="AA19" s="41"/>
      <c r="AE19" t="s">
        <v>93</v>
      </c>
    </row>
    <row r="20" spans="3:31" ht="15.75" x14ac:dyDescent="0.25">
      <c r="C20" s="29" t="s">
        <v>94</v>
      </c>
      <c r="D20" s="30" t="s">
        <v>107</v>
      </c>
      <c r="E20" s="29" t="s">
        <v>13</v>
      </c>
      <c r="F20" s="29" t="s">
        <v>96</v>
      </c>
      <c r="G20" s="43">
        <v>95.02</v>
      </c>
      <c r="H20" s="44"/>
      <c r="I20" s="45"/>
      <c r="J20" s="45"/>
      <c r="K20" s="45"/>
      <c r="L20" s="45"/>
      <c r="M20" s="45"/>
      <c r="N20" s="45"/>
      <c r="O20" s="45"/>
      <c r="P20" s="45"/>
      <c r="Q20" s="45"/>
      <c r="R20" s="45"/>
      <c r="S20" s="45">
        <v>7.75</v>
      </c>
      <c r="T20" s="45"/>
      <c r="U20" s="46"/>
      <c r="V20" s="39">
        <f t="shared" si="3"/>
        <v>7.75</v>
      </c>
      <c r="W20" s="35">
        <f t="shared" si="0"/>
        <v>736.41</v>
      </c>
      <c r="X20" s="35">
        <f t="shared" si="1"/>
        <v>810.05100000000004</v>
      </c>
      <c r="Y20" s="40">
        <f t="shared" si="1"/>
        <v>891.05610000000013</v>
      </c>
      <c r="Z20" s="37">
        <f t="shared" si="2"/>
        <v>-154.64610000000016</v>
      </c>
      <c r="AA20" s="41"/>
      <c r="AE20" t="s">
        <v>93</v>
      </c>
    </row>
    <row r="21" spans="3:31" ht="15.75" x14ac:dyDescent="0.25">
      <c r="C21" s="29" t="s">
        <v>94</v>
      </c>
      <c r="D21" s="30" t="s">
        <v>104</v>
      </c>
      <c r="E21" s="29" t="s">
        <v>13</v>
      </c>
      <c r="F21" s="29" t="s">
        <v>82</v>
      </c>
      <c r="G21" s="43">
        <v>122.16</v>
      </c>
      <c r="H21" s="44"/>
      <c r="I21" s="45"/>
      <c r="J21" s="45"/>
      <c r="K21" s="45"/>
      <c r="L21" s="45"/>
      <c r="M21" s="45"/>
      <c r="N21" s="45"/>
      <c r="O21" s="45"/>
      <c r="P21" s="45"/>
      <c r="Q21" s="45"/>
      <c r="R21" s="45"/>
      <c r="S21" s="45"/>
      <c r="T21" s="45">
        <v>8</v>
      </c>
      <c r="U21" s="46"/>
      <c r="V21" s="39">
        <f t="shared" si="3"/>
        <v>8</v>
      </c>
      <c r="W21" s="35">
        <f t="shared" si="0"/>
        <v>977.28</v>
      </c>
      <c r="X21" s="35">
        <f t="shared" si="1"/>
        <v>1075.008</v>
      </c>
      <c r="Y21" s="40">
        <f t="shared" si="1"/>
        <v>1182.5088000000001</v>
      </c>
      <c r="Z21" s="37">
        <f t="shared" si="2"/>
        <v>-205.22880000000009</v>
      </c>
      <c r="AA21" s="41"/>
      <c r="AE21" t="s">
        <v>93</v>
      </c>
    </row>
    <row r="22" spans="3:31" ht="15.75" x14ac:dyDescent="0.25">
      <c r="C22" s="29" t="s">
        <v>90</v>
      </c>
      <c r="D22" s="30" t="s">
        <v>108</v>
      </c>
      <c r="E22" s="29" t="s">
        <v>47</v>
      </c>
      <c r="F22" s="29" t="s">
        <v>82</v>
      </c>
      <c r="G22" s="43">
        <v>73.12</v>
      </c>
      <c r="H22" s="44"/>
      <c r="I22" s="45"/>
      <c r="J22" s="45"/>
      <c r="K22" s="45"/>
      <c r="L22" s="45"/>
      <c r="M22" s="45"/>
      <c r="N22" s="45"/>
      <c r="O22" s="45"/>
      <c r="P22" s="45"/>
      <c r="Q22" s="45"/>
      <c r="R22" s="45"/>
      <c r="S22" s="45"/>
      <c r="T22" s="45">
        <v>7.5</v>
      </c>
      <c r="U22" s="46"/>
      <c r="V22" s="39">
        <f t="shared" si="3"/>
        <v>7.5</v>
      </c>
      <c r="W22" s="35">
        <f t="shared" si="0"/>
        <v>548.4</v>
      </c>
      <c r="X22" s="35">
        <f t="shared" si="1"/>
        <v>603.24</v>
      </c>
      <c r="Y22" s="40">
        <f t="shared" si="1"/>
        <v>663.56400000000008</v>
      </c>
      <c r="Z22" s="37">
        <f t="shared" si="2"/>
        <v>-115.1640000000001</v>
      </c>
      <c r="AA22" s="41"/>
      <c r="AE22" t="s">
        <v>93</v>
      </c>
    </row>
    <row r="23" spans="3:31" ht="15.75" x14ac:dyDescent="0.25">
      <c r="C23" s="29" t="s">
        <v>94</v>
      </c>
      <c r="D23" s="30" t="s">
        <v>95</v>
      </c>
      <c r="E23" s="29" t="s">
        <v>13</v>
      </c>
      <c r="F23" s="29" t="s">
        <v>82</v>
      </c>
      <c r="G23" s="43">
        <v>122.16</v>
      </c>
      <c r="H23" s="44"/>
      <c r="I23" s="45"/>
      <c r="J23" s="45"/>
      <c r="K23" s="45"/>
      <c r="L23" s="45"/>
      <c r="M23" s="45"/>
      <c r="N23" s="45"/>
      <c r="O23" s="45"/>
      <c r="P23" s="45"/>
      <c r="Q23" s="45"/>
      <c r="R23" s="45"/>
      <c r="S23" s="45"/>
      <c r="T23" s="45">
        <v>7.75</v>
      </c>
      <c r="U23" s="46"/>
      <c r="V23" s="39">
        <f t="shared" si="3"/>
        <v>7.75</v>
      </c>
      <c r="W23" s="35">
        <f t="shared" si="0"/>
        <v>946.74</v>
      </c>
      <c r="X23" s="35">
        <f t="shared" si="1"/>
        <v>1041.414</v>
      </c>
      <c r="Y23" s="40">
        <f t="shared" si="1"/>
        <v>1145.5554000000002</v>
      </c>
      <c r="Z23" s="37">
        <f t="shared" si="2"/>
        <v>-198.81540000000018</v>
      </c>
      <c r="AA23" s="41"/>
      <c r="AE23" t="s">
        <v>93</v>
      </c>
    </row>
    <row r="24" spans="3:31" ht="15.75" x14ac:dyDescent="0.25">
      <c r="C24" s="29" t="s">
        <v>94</v>
      </c>
      <c r="D24" s="30" t="s">
        <v>104</v>
      </c>
      <c r="E24" s="29" t="s">
        <v>13</v>
      </c>
      <c r="F24" s="29" t="s">
        <v>83</v>
      </c>
      <c r="G24" s="43">
        <v>142.53</v>
      </c>
      <c r="H24" s="44"/>
      <c r="I24" s="45"/>
      <c r="J24" s="45"/>
      <c r="K24" s="45"/>
      <c r="L24" s="45"/>
      <c r="M24" s="45"/>
      <c r="N24" s="45"/>
      <c r="O24" s="45"/>
      <c r="P24" s="45"/>
      <c r="Q24" s="45"/>
      <c r="R24" s="45"/>
      <c r="S24" s="45"/>
      <c r="T24" s="45"/>
      <c r="U24" s="46">
        <v>8</v>
      </c>
      <c r="V24" s="39">
        <f t="shared" si="3"/>
        <v>8</v>
      </c>
      <c r="W24" s="35">
        <f t="shared" si="0"/>
        <v>1140.24</v>
      </c>
      <c r="X24" s="35">
        <f t="shared" si="1"/>
        <v>1254.2640000000001</v>
      </c>
      <c r="Y24" s="40">
        <f t="shared" si="1"/>
        <v>1379.6904000000002</v>
      </c>
      <c r="Z24" s="37">
        <f t="shared" si="2"/>
        <v>-239.45040000000017</v>
      </c>
      <c r="AA24" s="41"/>
      <c r="AE24" t="s">
        <v>93</v>
      </c>
    </row>
    <row r="25" spans="3:31" ht="15.75" x14ac:dyDescent="0.25">
      <c r="C25" s="29" t="s">
        <v>90</v>
      </c>
      <c r="D25" s="30" t="s">
        <v>109</v>
      </c>
      <c r="E25" s="29" t="s">
        <v>47</v>
      </c>
      <c r="F25" s="29" t="s">
        <v>83</v>
      </c>
      <c r="G25" s="52">
        <v>84.23</v>
      </c>
      <c r="H25" s="44"/>
      <c r="I25" s="45"/>
      <c r="J25" s="45"/>
      <c r="K25" s="45"/>
      <c r="L25" s="45"/>
      <c r="M25" s="45"/>
      <c r="N25" s="45"/>
      <c r="O25" s="45"/>
      <c r="P25" s="45"/>
      <c r="Q25" s="45"/>
      <c r="R25" s="45"/>
      <c r="S25" s="45"/>
      <c r="T25" s="45"/>
      <c r="U25" s="46">
        <v>7.5</v>
      </c>
      <c r="V25" s="39">
        <f t="shared" si="3"/>
        <v>7.5</v>
      </c>
      <c r="W25" s="35">
        <f t="shared" si="0"/>
        <v>631.73</v>
      </c>
      <c r="X25" s="35">
        <f t="shared" si="1"/>
        <v>694.90300000000002</v>
      </c>
      <c r="Y25" s="40">
        <f t="shared" si="1"/>
        <v>764.39330000000007</v>
      </c>
      <c r="Z25" s="37">
        <f t="shared" si="2"/>
        <v>-132.66330000000005</v>
      </c>
      <c r="AA25" s="41"/>
      <c r="AE25" t="s">
        <v>93</v>
      </c>
    </row>
    <row r="26" spans="3:31" ht="15.75" x14ac:dyDescent="0.25">
      <c r="C26" s="29" t="s">
        <v>94</v>
      </c>
      <c r="D26" s="30" t="s">
        <v>107</v>
      </c>
      <c r="E26" s="53" t="s">
        <v>13</v>
      </c>
      <c r="F26" s="53" t="s">
        <v>83</v>
      </c>
      <c r="G26" s="31">
        <v>142.53</v>
      </c>
      <c r="H26" s="54"/>
      <c r="I26" s="32"/>
      <c r="J26" s="32"/>
      <c r="K26" s="32"/>
      <c r="L26" s="32"/>
      <c r="M26" s="32"/>
      <c r="N26" s="32"/>
      <c r="O26" s="32"/>
      <c r="P26" s="32"/>
      <c r="Q26" s="32"/>
      <c r="R26" s="32"/>
      <c r="S26" s="32"/>
      <c r="T26" s="32"/>
      <c r="U26" s="33">
        <v>7.75</v>
      </c>
      <c r="V26" s="39">
        <f t="shared" ref="V26:V28" si="4">SUM(H26:U26)</f>
        <v>7.75</v>
      </c>
      <c r="W26" s="35">
        <f t="shared" si="0"/>
        <v>1104.6099999999999</v>
      </c>
      <c r="X26" s="55"/>
      <c r="Y26" s="56"/>
      <c r="Z26" s="57"/>
      <c r="AA26" s="58"/>
    </row>
    <row r="27" spans="3:31" ht="15.75" x14ac:dyDescent="0.25">
      <c r="C27" s="29"/>
      <c r="D27" s="30"/>
      <c r="E27" s="53"/>
      <c r="F27" s="53"/>
      <c r="G27" s="31"/>
      <c r="H27" s="54"/>
      <c r="I27" s="32"/>
      <c r="J27" s="32"/>
      <c r="K27" s="32"/>
      <c r="L27" s="32"/>
      <c r="M27" s="32"/>
      <c r="N27" s="32"/>
      <c r="O27" s="32"/>
      <c r="P27" s="32"/>
      <c r="Q27" s="32"/>
      <c r="R27" s="32"/>
      <c r="S27" s="32"/>
      <c r="T27" s="32"/>
      <c r="U27" s="33"/>
      <c r="V27" s="39">
        <f t="shared" si="4"/>
        <v>0</v>
      </c>
      <c r="W27" s="35">
        <f t="shared" si="0"/>
        <v>0</v>
      </c>
      <c r="X27" s="55"/>
      <c r="Y27" s="56"/>
      <c r="Z27" s="57"/>
      <c r="AA27" s="58"/>
    </row>
    <row r="28" spans="3:31" ht="15.75" x14ac:dyDescent="0.25">
      <c r="C28" s="29"/>
      <c r="D28" s="30"/>
      <c r="E28" s="53"/>
      <c r="F28" s="53"/>
      <c r="G28" s="31"/>
      <c r="H28" s="54"/>
      <c r="I28" s="32"/>
      <c r="J28" s="32"/>
      <c r="K28" s="32"/>
      <c r="L28" s="32"/>
      <c r="M28" s="32"/>
      <c r="N28" s="32"/>
      <c r="O28" s="32"/>
      <c r="P28" s="32"/>
      <c r="Q28" s="32"/>
      <c r="R28" s="32"/>
      <c r="S28" s="32"/>
      <c r="T28" s="32"/>
      <c r="U28" s="33"/>
      <c r="V28" s="39">
        <f t="shared" si="4"/>
        <v>0</v>
      </c>
      <c r="W28" s="35">
        <f t="shared" si="0"/>
        <v>0</v>
      </c>
      <c r="X28" s="55"/>
      <c r="Y28" s="56"/>
      <c r="Z28" s="57"/>
      <c r="AA28" s="58"/>
    </row>
    <row r="29" spans="3:31" ht="15.75" x14ac:dyDescent="0.25">
      <c r="C29" s="29"/>
      <c r="D29" s="30"/>
      <c r="E29" s="59"/>
      <c r="F29" s="59"/>
      <c r="G29" s="60"/>
      <c r="H29" s="61"/>
      <c r="I29" s="62"/>
      <c r="J29" s="62"/>
      <c r="K29" s="62"/>
      <c r="L29" s="62"/>
      <c r="M29" s="62"/>
      <c r="N29" s="62"/>
      <c r="O29" s="62"/>
      <c r="P29" s="62"/>
      <c r="Q29" s="62"/>
      <c r="R29" s="62"/>
      <c r="S29" s="62"/>
      <c r="T29" s="62"/>
      <c r="U29" s="63"/>
      <c r="V29" s="64">
        <f t="shared" si="3"/>
        <v>0</v>
      </c>
      <c r="W29" s="65">
        <f t="shared" si="0"/>
        <v>0</v>
      </c>
      <c r="X29" s="65">
        <f t="shared" si="1"/>
        <v>0</v>
      </c>
      <c r="Y29" s="66">
        <f t="shared" si="1"/>
        <v>0</v>
      </c>
      <c r="Z29" s="67">
        <f t="shared" si="2"/>
        <v>0</v>
      </c>
      <c r="AA29" s="68"/>
    </row>
    <row r="30" spans="3:31" ht="16.5" thickBot="1" x14ac:dyDescent="0.3">
      <c r="C30" s="69"/>
      <c r="D30" s="70"/>
      <c r="E30" s="69"/>
      <c r="F30" s="69"/>
      <c r="G30" s="71"/>
      <c r="H30" s="72">
        <f t="shared" ref="H30:U30" si="5">SUM(H10:H29)</f>
        <v>0</v>
      </c>
      <c r="I30" s="73">
        <f t="shared" si="5"/>
        <v>0</v>
      </c>
      <c r="J30" s="73">
        <f t="shared" si="5"/>
        <v>15.75</v>
      </c>
      <c r="K30" s="73">
        <f t="shared" si="5"/>
        <v>7.75</v>
      </c>
      <c r="L30" s="73">
        <f t="shared" si="5"/>
        <v>0</v>
      </c>
      <c r="M30" s="73">
        <f t="shared" si="5"/>
        <v>7.5</v>
      </c>
      <c r="N30" s="73">
        <f t="shared" si="5"/>
        <v>0</v>
      </c>
      <c r="O30" s="73">
        <f t="shared" si="5"/>
        <v>7.5</v>
      </c>
      <c r="P30" s="73">
        <f t="shared" si="5"/>
        <v>0</v>
      </c>
      <c r="Q30" s="73">
        <f t="shared" si="5"/>
        <v>15.75</v>
      </c>
      <c r="R30" s="73">
        <f t="shared" si="5"/>
        <v>8</v>
      </c>
      <c r="S30" s="73">
        <f t="shared" si="5"/>
        <v>22.75</v>
      </c>
      <c r="T30" s="73">
        <f t="shared" si="5"/>
        <v>23.25</v>
      </c>
      <c r="U30" s="74">
        <f t="shared" si="5"/>
        <v>23.25</v>
      </c>
      <c r="V30" s="75">
        <f t="shared" ref="V30" si="6">SUM(H30:U30)</f>
        <v>131.5</v>
      </c>
      <c r="W30" s="76">
        <f>SUM(W10:W29)</f>
        <v>11801.58</v>
      </c>
      <c r="X30" s="76">
        <f>SUM(X10:X29)</f>
        <v>11299.299000000005</v>
      </c>
      <c r="Y30" s="76">
        <f>SUM(Y10:Y29)</f>
        <v>16293.8927</v>
      </c>
      <c r="Z30" s="77">
        <f>SUM(Z10:Z29)</f>
        <v>-6021.802700000002</v>
      </c>
    </row>
    <row r="31" spans="3:31" ht="16.5" thickTop="1" x14ac:dyDescent="0.25">
      <c r="C31" s="78"/>
      <c r="D31" s="79"/>
      <c r="E31" s="80"/>
      <c r="F31" s="78"/>
      <c r="G31" s="81"/>
      <c r="H31" s="82">
        <f t="shared" ref="H31:W34" si="7">SUMIFS(H$10:H$29,$E$10:$E$29,$E31)</f>
        <v>0</v>
      </c>
      <c r="I31" s="83">
        <f t="shared" si="7"/>
        <v>0</v>
      </c>
      <c r="J31" s="83">
        <f t="shared" si="7"/>
        <v>0</v>
      </c>
      <c r="K31" s="83">
        <f t="shared" si="7"/>
        <v>0</v>
      </c>
      <c r="L31" s="83">
        <f t="shared" si="7"/>
        <v>0</v>
      </c>
      <c r="M31" s="83">
        <f t="shared" si="7"/>
        <v>0</v>
      </c>
      <c r="N31" s="83">
        <f t="shared" si="7"/>
        <v>0</v>
      </c>
      <c r="O31" s="83">
        <f t="shared" si="7"/>
        <v>0</v>
      </c>
      <c r="P31" s="83">
        <f t="shared" si="7"/>
        <v>0</v>
      </c>
      <c r="Q31" s="83">
        <f t="shared" si="7"/>
        <v>0</v>
      </c>
      <c r="R31" s="83">
        <f t="shared" si="7"/>
        <v>0</v>
      </c>
      <c r="S31" s="83">
        <f t="shared" si="7"/>
        <v>0</v>
      </c>
      <c r="T31" s="83">
        <f t="shared" si="7"/>
        <v>0</v>
      </c>
      <c r="U31" s="84">
        <f t="shared" si="7"/>
        <v>0</v>
      </c>
      <c r="V31" s="85">
        <f t="shared" si="7"/>
        <v>0</v>
      </c>
      <c r="W31" s="86">
        <f t="shared" si="7"/>
        <v>0</v>
      </c>
      <c r="X31" s="86">
        <f t="shared" ref="R31:Z34" si="8">SUMIFS(X$10:X$29,$E$10:$E$29,$E31)</f>
        <v>0</v>
      </c>
      <c r="Y31" s="86">
        <f t="shared" si="8"/>
        <v>0</v>
      </c>
      <c r="Z31" s="87">
        <f t="shared" si="8"/>
        <v>0</v>
      </c>
    </row>
    <row r="32" spans="3:31" ht="15.75" x14ac:dyDescent="0.25">
      <c r="C32" s="88"/>
      <c r="D32" s="89" t="s">
        <v>110</v>
      </c>
      <c r="E32" s="90" t="s">
        <v>97</v>
      </c>
      <c r="F32" s="88"/>
      <c r="G32" s="91" t="e">
        <f t="shared" ref="G32:G34" si="9">W32/V32</f>
        <v>#DIV/0!</v>
      </c>
      <c r="H32" s="92">
        <f t="shared" si="7"/>
        <v>0</v>
      </c>
      <c r="I32" s="93">
        <f t="shared" si="7"/>
        <v>0</v>
      </c>
      <c r="J32" s="93">
        <f t="shared" si="7"/>
        <v>0</v>
      </c>
      <c r="K32" s="93">
        <f t="shared" si="7"/>
        <v>0</v>
      </c>
      <c r="L32" s="93">
        <f t="shared" si="7"/>
        <v>0</v>
      </c>
      <c r="M32" s="93">
        <f t="shared" si="7"/>
        <v>0</v>
      </c>
      <c r="N32" s="93">
        <f t="shared" si="7"/>
        <v>0</v>
      </c>
      <c r="O32" s="93">
        <f t="shared" si="7"/>
        <v>0</v>
      </c>
      <c r="P32" s="93">
        <f t="shared" si="7"/>
        <v>0</v>
      </c>
      <c r="Q32" s="93">
        <f t="shared" si="7"/>
        <v>0</v>
      </c>
      <c r="R32" s="93">
        <f t="shared" si="8"/>
        <v>0</v>
      </c>
      <c r="S32" s="93">
        <f t="shared" si="8"/>
        <v>0</v>
      </c>
      <c r="T32" s="93">
        <f t="shared" si="8"/>
        <v>0</v>
      </c>
      <c r="U32" s="94">
        <f t="shared" si="8"/>
        <v>0</v>
      </c>
      <c r="V32" s="95">
        <f t="shared" si="8"/>
        <v>0</v>
      </c>
      <c r="W32" s="96">
        <f t="shared" si="8"/>
        <v>0</v>
      </c>
      <c r="X32" s="96">
        <f t="shared" si="8"/>
        <v>0</v>
      </c>
      <c r="Y32" s="96">
        <f t="shared" si="8"/>
        <v>0</v>
      </c>
      <c r="Z32" s="97">
        <f t="shared" si="8"/>
        <v>0</v>
      </c>
    </row>
    <row r="33" spans="3:32" ht="15.75" x14ac:dyDescent="0.25">
      <c r="C33" s="88"/>
      <c r="D33" s="89" t="s">
        <v>110</v>
      </c>
      <c r="E33" s="90" t="s">
        <v>47</v>
      </c>
      <c r="F33" s="88"/>
      <c r="G33" s="91">
        <f t="shared" si="9"/>
        <v>64.314528301886796</v>
      </c>
      <c r="H33" s="92">
        <f t="shared" si="7"/>
        <v>0</v>
      </c>
      <c r="I33" s="93">
        <f t="shared" si="7"/>
        <v>0</v>
      </c>
      <c r="J33" s="93">
        <f t="shared" si="7"/>
        <v>8</v>
      </c>
      <c r="K33" s="93">
        <f t="shared" si="7"/>
        <v>0</v>
      </c>
      <c r="L33" s="93">
        <f t="shared" si="7"/>
        <v>0</v>
      </c>
      <c r="M33" s="93">
        <f t="shared" si="7"/>
        <v>7.5</v>
      </c>
      <c r="N33" s="93">
        <f t="shared" si="7"/>
        <v>0</v>
      </c>
      <c r="O33" s="93">
        <f t="shared" si="7"/>
        <v>7.5</v>
      </c>
      <c r="P33" s="93">
        <f t="shared" si="7"/>
        <v>0</v>
      </c>
      <c r="Q33" s="93">
        <f t="shared" si="7"/>
        <v>0</v>
      </c>
      <c r="R33" s="93">
        <f t="shared" si="8"/>
        <v>0</v>
      </c>
      <c r="S33" s="93">
        <f t="shared" si="8"/>
        <v>15</v>
      </c>
      <c r="T33" s="93">
        <f t="shared" si="8"/>
        <v>7.5</v>
      </c>
      <c r="U33" s="94">
        <f t="shared" si="8"/>
        <v>7.5</v>
      </c>
      <c r="V33" s="95">
        <f t="shared" si="8"/>
        <v>53</v>
      </c>
      <c r="W33" s="96">
        <f t="shared" si="8"/>
        <v>3408.67</v>
      </c>
      <c r="X33" s="96">
        <f t="shared" si="8"/>
        <v>3282.1690000000008</v>
      </c>
      <c r="Y33" s="96">
        <f t="shared" si="8"/>
        <v>6317.1619000000001</v>
      </c>
      <c r="Z33" s="97">
        <f t="shared" si="8"/>
        <v>-3333.3719000000006</v>
      </c>
    </row>
    <row r="34" spans="3:32" ht="15.75" x14ac:dyDescent="0.25">
      <c r="C34" s="98"/>
      <c r="D34" s="99" t="s">
        <v>110</v>
      </c>
      <c r="E34" s="100" t="s">
        <v>100</v>
      </c>
      <c r="F34" s="98"/>
      <c r="G34" s="101" t="e">
        <f t="shared" si="9"/>
        <v>#DIV/0!</v>
      </c>
      <c r="H34" s="102">
        <f t="shared" si="7"/>
        <v>0</v>
      </c>
      <c r="I34" s="103">
        <f t="shared" si="7"/>
        <v>0</v>
      </c>
      <c r="J34" s="103">
        <f t="shared" si="7"/>
        <v>0</v>
      </c>
      <c r="K34" s="103">
        <f t="shared" si="7"/>
        <v>0</v>
      </c>
      <c r="L34" s="103">
        <f t="shared" si="7"/>
        <v>0</v>
      </c>
      <c r="M34" s="103">
        <f t="shared" si="7"/>
        <v>0</v>
      </c>
      <c r="N34" s="103">
        <f t="shared" si="7"/>
        <v>0</v>
      </c>
      <c r="O34" s="103">
        <f t="shared" si="7"/>
        <v>0</v>
      </c>
      <c r="P34" s="103">
        <f t="shared" si="7"/>
        <v>0</v>
      </c>
      <c r="Q34" s="103">
        <f t="shared" si="7"/>
        <v>0</v>
      </c>
      <c r="R34" s="103">
        <f t="shared" si="8"/>
        <v>0</v>
      </c>
      <c r="S34" s="103">
        <f t="shared" si="8"/>
        <v>0</v>
      </c>
      <c r="T34" s="103">
        <f t="shared" si="8"/>
        <v>0</v>
      </c>
      <c r="U34" s="104">
        <f t="shared" si="8"/>
        <v>0</v>
      </c>
      <c r="V34" s="105">
        <f t="shared" si="8"/>
        <v>0</v>
      </c>
      <c r="W34" s="106">
        <f t="shared" si="8"/>
        <v>0</v>
      </c>
      <c r="X34" s="106">
        <f t="shared" si="8"/>
        <v>0</v>
      </c>
      <c r="Y34" s="106">
        <f t="shared" si="8"/>
        <v>0</v>
      </c>
      <c r="Z34" s="107">
        <f t="shared" si="8"/>
        <v>0</v>
      </c>
    </row>
    <row r="35" spans="3:32" ht="16.5" thickBot="1" x14ac:dyDescent="0.3">
      <c r="C35" s="108"/>
      <c r="D35" s="109" t="s">
        <v>110</v>
      </c>
      <c r="E35" s="108"/>
      <c r="F35" s="108"/>
      <c r="G35" s="110"/>
      <c r="H35" s="111">
        <f>SUM(H31:H34)</f>
        <v>0</v>
      </c>
      <c r="I35" s="112">
        <f t="shared" ref="I35:Z35" si="10">SUM(I31:I34)</f>
        <v>0</v>
      </c>
      <c r="J35" s="112">
        <f t="shared" si="10"/>
        <v>8</v>
      </c>
      <c r="K35" s="112">
        <f t="shared" si="10"/>
        <v>0</v>
      </c>
      <c r="L35" s="112">
        <f t="shared" si="10"/>
        <v>0</v>
      </c>
      <c r="M35" s="112">
        <f t="shared" si="10"/>
        <v>7.5</v>
      </c>
      <c r="N35" s="112">
        <f t="shared" si="10"/>
        <v>0</v>
      </c>
      <c r="O35" s="112">
        <f t="shared" si="10"/>
        <v>7.5</v>
      </c>
      <c r="P35" s="112">
        <f t="shared" si="10"/>
        <v>0</v>
      </c>
      <c r="Q35" s="112">
        <f t="shared" si="10"/>
        <v>0</v>
      </c>
      <c r="R35" s="112">
        <f t="shared" si="10"/>
        <v>0</v>
      </c>
      <c r="S35" s="112">
        <f t="shared" si="10"/>
        <v>15</v>
      </c>
      <c r="T35" s="112">
        <f t="shared" si="10"/>
        <v>7.5</v>
      </c>
      <c r="U35" s="113">
        <f t="shared" si="10"/>
        <v>7.5</v>
      </c>
      <c r="V35" s="114">
        <f t="shared" si="10"/>
        <v>53</v>
      </c>
      <c r="W35" s="115">
        <f t="shared" si="10"/>
        <v>3408.67</v>
      </c>
      <c r="X35" s="115">
        <f t="shared" si="10"/>
        <v>3282.1690000000008</v>
      </c>
      <c r="Y35" s="115">
        <f t="shared" si="10"/>
        <v>6317.1619000000001</v>
      </c>
      <c r="Z35" s="116">
        <f t="shared" si="10"/>
        <v>-3333.3719000000006</v>
      </c>
      <c r="AA35" s="117"/>
      <c r="AB35" s="117"/>
      <c r="AC35" s="118"/>
      <c r="AD35" s="118"/>
      <c r="AE35" s="118"/>
      <c r="AF35" s="118"/>
    </row>
    <row r="36" spans="3:32" ht="15.75" thickTop="1" x14ac:dyDescent="0.25">
      <c r="C36" s="9"/>
      <c r="D36" s="9"/>
      <c r="E36" s="9"/>
      <c r="F36" s="9"/>
      <c r="G36" s="9"/>
      <c r="H36" s="9"/>
      <c r="I36" s="9"/>
      <c r="J36" s="9"/>
      <c r="K36" s="9"/>
      <c r="L36" s="9"/>
      <c r="M36" s="9"/>
      <c r="N36" s="9"/>
      <c r="O36" s="9"/>
      <c r="P36" s="9"/>
      <c r="Q36" s="9"/>
      <c r="R36" s="9"/>
      <c r="S36" s="9"/>
      <c r="T36" s="9"/>
      <c r="U36" s="9"/>
      <c r="V36" s="9"/>
      <c r="W36" s="9"/>
      <c r="AC36" s="9"/>
      <c r="AD36" s="9"/>
      <c r="AE36" s="9"/>
      <c r="AF36" s="9"/>
    </row>
    <row r="37" spans="3:32" ht="15.75" x14ac:dyDescent="0.25">
      <c r="C37" s="119" t="s">
        <v>111</v>
      </c>
      <c r="D37" s="120" t="s">
        <v>112</v>
      </c>
      <c r="E37" s="121" t="s">
        <v>113</v>
      </c>
      <c r="F37" s="122" t="s">
        <v>114</v>
      </c>
      <c r="G37" s="123"/>
      <c r="H37" s="9"/>
      <c r="I37" s="9"/>
      <c r="J37" s="9"/>
      <c r="K37" s="9"/>
      <c r="L37" s="9"/>
      <c r="M37" s="9"/>
      <c r="N37" s="9"/>
      <c r="O37" s="9"/>
      <c r="P37" s="9"/>
      <c r="Q37" s="9"/>
      <c r="R37" s="9"/>
      <c r="S37" s="9"/>
      <c r="T37" s="9"/>
      <c r="U37" s="9"/>
      <c r="V37" s="9"/>
      <c r="W37" s="9"/>
      <c r="AC37" s="9"/>
      <c r="AD37" s="9"/>
      <c r="AE37" s="9"/>
      <c r="AF37" s="9"/>
    </row>
    <row r="38" spans="3:32" ht="15.75" x14ac:dyDescent="0.25">
      <c r="C38" s="124" t="s">
        <v>115</v>
      </c>
      <c r="D38" s="125"/>
      <c r="E38" s="126"/>
      <c r="F38" s="127"/>
      <c r="G38" s="128"/>
      <c r="H38" s="9"/>
      <c r="I38" s="9"/>
      <c r="J38" s="9"/>
      <c r="K38" s="9"/>
      <c r="L38" s="9"/>
      <c r="M38" s="9"/>
      <c r="N38" s="9"/>
      <c r="O38" s="9"/>
      <c r="P38" s="9"/>
      <c r="Q38" s="9"/>
      <c r="R38" s="9"/>
      <c r="S38" s="9"/>
      <c r="T38" s="9"/>
      <c r="U38" s="9"/>
      <c r="V38" s="9"/>
      <c r="W38" s="9"/>
      <c r="AC38" s="9"/>
      <c r="AD38" s="9"/>
      <c r="AE38" s="9"/>
      <c r="AF38" s="9"/>
    </row>
    <row r="39" spans="3:32" ht="15.75" x14ac:dyDescent="0.25">
      <c r="C39" s="129" t="s">
        <v>116</v>
      </c>
      <c r="D39" s="130"/>
      <c r="E39" s="131" t="s">
        <v>113</v>
      </c>
      <c r="F39" s="9"/>
      <c r="G39" s="132"/>
      <c r="H39" s="9"/>
      <c r="I39" s="9"/>
      <c r="J39" s="9"/>
      <c r="K39" s="9"/>
      <c r="L39" s="9"/>
      <c r="M39" s="9"/>
      <c r="N39" s="9"/>
      <c r="O39" s="9"/>
      <c r="P39" s="9"/>
      <c r="Q39" s="9"/>
      <c r="R39" s="9"/>
      <c r="S39" s="9"/>
      <c r="T39" s="9"/>
      <c r="U39" s="9"/>
      <c r="V39" s="9"/>
      <c r="W39" s="9"/>
      <c r="AC39" s="9"/>
      <c r="AD39" s="9"/>
      <c r="AE39" s="9"/>
      <c r="AF39" s="9"/>
    </row>
    <row r="40" spans="3:32" ht="15.75" x14ac:dyDescent="0.25">
      <c r="C40" s="133" t="s">
        <v>117</v>
      </c>
      <c r="D40" s="9"/>
      <c r="E40" s="9"/>
      <c r="F40" s="9"/>
      <c r="G40" s="132"/>
      <c r="H40" s="9"/>
      <c r="I40" s="9"/>
      <c r="J40" s="9"/>
      <c r="K40" s="9"/>
      <c r="L40" s="9"/>
      <c r="M40" s="9"/>
      <c r="N40" s="9"/>
      <c r="O40" s="9"/>
      <c r="P40" s="9"/>
      <c r="Q40" s="9"/>
      <c r="R40" s="9"/>
      <c r="S40" s="9"/>
      <c r="T40" s="9"/>
      <c r="U40" s="9"/>
      <c r="V40" s="9"/>
      <c r="W40" s="9"/>
      <c r="AC40" s="9"/>
      <c r="AD40" s="9"/>
      <c r="AE40" s="9"/>
      <c r="AF40" s="9"/>
    </row>
    <row r="41" spans="3:32" x14ac:dyDescent="0.25">
      <c r="C41" s="9"/>
      <c r="D41" s="9"/>
      <c r="E41" s="9"/>
      <c r="F41" s="9"/>
      <c r="G41" s="9"/>
      <c r="H41" s="9"/>
      <c r="I41" s="9"/>
      <c r="J41" s="9"/>
      <c r="K41" s="9"/>
      <c r="L41" s="9"/>
      <c r="M41" s="9"/>
      <c r="N41" s="9"/>
      <c r="O41" s="9"/>
      <c r="P41" s="9"/>
      <c r="Q41" s="9"/>
      <c r="R41" s="9"/>
      <c r="S41" s="9"/>
      <c r="T41" s="9"/>
      <c r="U41" s="9"/>
      <c r="V41" s="9"/>
      <c r="W41" s="9"/>
      <c r="AC41" s="9"/>
      <c r="AD41" s="9"/>
      <c r="AE41" s="9"/>
    </row>
    <row r="42" spans="3:32" x14ac:dyDescent="0.25">
      <c r="C42" s="9"/>
      <c r="D42" s="9"/>
      <c r="E42" s="9"/>
      <c r="F42" s="9"/>
      <c r="G42" s="9"/>
      <c r="H42" s="9"/>
      <c r="I42" s="9"/>
      <c r="J42" s="9"/>
      <c r="K42" s="9"/>
      <c r="L42" s="9"/>
      <c r="M42" s="9"/>
      <c r="N42" s="9"/>
      <c r="O42" s="9"/>
      <c r="P42" s="9"/>
      <c r="Q42" s="9"/>
      <c r="R42" s="9"/>
      <c r="S42" s="9"/>
      <c r="T42" s="9"/>
      <c r="U42" s="9"/>
      <c r="V42" s="9"/>
      <c r="W42" s="9"/>
      <c r="AC42" s="9"/>
      <c r="AD42" s="9"/>
      <c r="AE42" s="9"/>
    </row>
    <row r="43" spans="3:32" x14ac:dyDescent="0.25">
      <c r="C43" s="9"/>
      <c r="D43" s="9"/>
      <c r="E43" s="9"/>
      <c r="F43" s="9"/>
      <c r="G43" s="9"/>
      <c r="H43" s="9"/>
      <c r="I43" s="9"/>
      <c r="J43" s="9"/>
      <c r="K43" s="9"/>
      <c r="L43" s="9"/>
      <c r="M43" s="9"/>
      <c r="N43" s="9"/>
      <c r="O43" s="9"/>
      <c r="P43" s="9"/>
      <c r="Q43" s="9"/>
      <c r="R43" s="9"/>
      <c r="S43" s="9"/>
      <c r="T43" s="9"/>
      <c r="U43" s="9"/>
      <c r="V43" s="9"/>
      <c r="W43" s="9"/>
      <c r="AC43" s="9"/>
      <c r="AD43" s="9"/>
      <c r="AE43" s="9"/>
    </row>
    <row r="44" spans="3:32" x14ac:dyDescent="0.25">
      <c r="C44" s="9"/>
      <c r="D44" s="9"/>
      <c r="E44" s="9"/>
      <c r="F44" s="9"/>
      <c r="G44" s="9"/>
      <c r="H44" s="9"/>
      <c r="I44" s="9"/>
      <c r="J44" s="9"/>
      <c r="K44" s="9"/>
      <c r="L44" s="9"/>
      <c r="M44" s="9"/>
      <c r="N44" s="9"/>
      <c r="O44" s="9"/>
      <c r="P44" s="9"/>
      <c r="Q44" s="9"/>
      <c r="R44" s="9"/>
      <c r="S44" s="9"/>
      <c r="T44" s="9"/>
      <c r="U44" s="9"/>
      <c r="V44" s="9"/>
      <c r="W44" s="9"/>
      <c r="AC44" s="9"/>
      <c r="AD44" s="9"/>
      <c r="AE44" s="9"/>
    </row>
    <row r="45" spans="3:32" x14ac:dyDescent="0.25">
      <c r="C45" s="9"/>
      <c r="D45" s="9"/>
      <c r="E45" s="9"/>
      <c r="F45" s="9"/>
      <c r="G45" s="9"/>
      <c r="H45" s="9"/>
      <c r="I45" s="9"/>
      <c r="J45" s="9"/>
      <c r="K45" s="9"/>
      <c r="L45" s="9"/>
      <c r="M45" s="9"/>
      <c r="N45" s="9"/>
      <c r="O45" s="9"/>
      <c r="P45" s="9"/>
      <c r="Q45" s="9"/>
      <c r="R45" s="9"/>
      <c r="S45" s="9"/>
      <c r="T45" s="9"/>
      <c r="U45" s="9"/>
      <c r="V45" s="9"/>
      <c r="W45" s="9"/>
      <c r="AC45" s="9"/>
      <c r="AD45" s="9"/>
      <c r="AE45" s="9"/>
    </row>
    <row r="46" spans="3:32" x14ac:dyDescent="0.25">
      <c r="C46" s="9"/>
      <c r="D46" s="9"/>
      <c r="E46" s="9"/>
      <c r="F46" s="9"/>
      <c r="G46" s="9"/>
      <c r="H46" s="9"/>
      <c r="I46" s="9"/>
      <c r="J46" s="9"/>
      <c r="K46" s="9"/>
      <c r="L46" s="9"/>
      <c r="M46" s="9"/>
      <c r="N46" s="9"/>
      <c r="O46" s="9"/>
      <c r="P46" s="9"/>
      <c r="Q46" s="9"/>
      <c r="R46" s="9"/>
      <c r="S46" s="9"/>
      <c r="T46" s="9"/>
      <c r="U46" s="9"/>
      <c r="V46" s="9"/>
      <c r="W46" s="9"/>
      <c r="AC46" s="9"/>
      <c r="AD46" s="9"/>
      <c r="AE46" s="9"/>
    </row>
    <row r="47" spans="3:32" x14ac:dyDescent="0.25">
      <c r="C47" s="9"/>
      <c r="D47" s="9"/>
      <c r="E47" s="9"/>
      <c r="F47" s="9"/>
      <c r="G47" s="9"/>
      <c r="H47" s="9"/>
      <c r="I47" s="9"/>
      <c r="J47" s="9"/>
      <c r="K47" s="9"/>
      <c r="L47" s="9"/>
      <c r="M47" s="9"/>
      <c r="N47" s="9"/>
      <c r="O47" s="9"/>
      <c r="P47" s="9"/>
      <c r="Q47" s="9"/>
      <c r="R47" s="9"/>
      <c r="S47" s="9"/>
      <c r="T47" s="9"/>
      <c r="U47" s="9"/>
      <c r="V47" s="9"/>
      <c r="W47" s="9"/>
      <c r="AC47" s="9"/>
      <c r="AD47" s="9"/>
      <c r="AE47" s="9"/>
    </row>
    <row r="48" spans="3:32" x14ac:dyDescent="0.25">
      <c r="C48" s="9"/>
      <c r="D48" s="9"/>
      <c r="E48" s="9"/>
      <c r="F48" s="9"/>
      <c r="G48" s="9"/>
      <c r="H48" s="9"/>
      <c r="I48" s="9"/>
      <c r="J48" s="9"/>
      <c r="K48" s="9"/>
      <c r="L48" s="9"/>
      <c r="M48" s="9"/>
      <c r="N48" s="9"/>
      <c r="O48" s="9"/>
      <c r="P48" s="9"/>
      <c r="Q48" s="9"/>
      <c r="R48" s="9"/>
      <c r="S48" s="9"/>
      <c r="T48" s="9"/>
      <c r="U48" s="9"/>
      <c r="V48" s="9"/>
      <c r="W48" s="9"/>
      <c r="AC48" s="9"/>
      <c r="AD48" s="9"/>
      <c r="AE48" s="9"/>
    </row>
    <row r="49" spans="3:31" x14ac:dyDescent="0.25">
      <c r="C49" s="9"/>
      <c r="D49" s="9"/>
      <c r="E49" s="9"/>
      <c r="F49" s="9"/>
      <c r="G49" s="9"/>
      <c r="H49" s="9"/>
      <c r="I49" s="9"/>
      <c r="J49" s="9"/>
      <c r="K49" s="9"/>
      <c r="L49" s="9"/>
      <c r="M49" s="9"/>
      <c r="N49" s="9"/>
      <c r="O49" s="9"/>
      <c r="P49" s="9"/>
      <c r="Q49" s="9"/>
      <c r="R49" s="9"/>
      <c r="S49" s="9"/>
      <c r="T49" s="9"/>
      <c r="U49" s="9"/>
      <c r="V49" s="9"/>
      <c r="W49" s="9"/>
      <c r="AC49" s="9"/>
      <c r="AD49" s="9"/>
      <c r="AE49" s="9"/>
    </row>
    <row r="50" spans="3:31" x14ac:dyDescent="0.25">
      <c r="C50" s="9"/>
      <c r="D50" s="9"/>
      <c r="E50" s="9"/>
      <c r="F50" s="9"/>
      <c r="G50" s="9"/>
      <c r="H50" s="9"/>
      <c r="I50" s="9"/>
      <c r="J50" s="9"/>
      <c r="K50" s="9"/>
      <c r="L50" s="9"/>
      <c r="M50" s="9"/>
      <c r="N50" s="9"/>
      <c r="O50" s="9"/>
      <c r="P50" s="9"/>
      <c r="Q50" s="9"/>
      <c r="R50" s="9"/>
      <c r="S50" s="9"/>
      <c r="T50" s="9"/>
      <c r="U50" s="9"/>
      <c r="V50" s="9"/>
      <c r="W50" s="9"/>
      <c r="AC50" s="9"/>
      <c r="AD50" s="9"/>
      <c r="AE50" s="9"/>
    </row>
    <row r="51" spans="3:31" x14ac:dyDescent="0.25">
      <c r="C51" s="9"/>
      <c r="D51" s="9"/>
      <c r="E51" s="9"/>
      <c r="F51" s="9"/>
      <c r="G51" s="9"/>
      <c r="H51" s="9"/>
      <c r="I51" s="9"/>
      <c r="J51" s="9"/>
      <c r="K51" s="9"/>
      <c r="L51" s="9"/>
      <c r="M51" s="9"/>
      <c r="N51" s="9"/>
      <c r="O51" s="9"/>
      <c r="P51" s="9"/>
      <c r="Q51" s="9"/>
      <c r="R51" s="9"/>
      <c r="S51" s="9"/>
      <c r="T51" s="9"/>
      <c r="U51" s="9"/>
      <c r="V51" s="9"/>
      <c r="W51" s="9"/>
      <c r="AC51" s="9"/>
      <c r="AD51" s="9"/>
      <c r="AE51" s="9"/>
    </row>
    <row r="52" spans="3:31" x14ac:dyDescent="0.25">
      <c r="C52" s="9"/>
      <c r="D52" s="9"/>
      <c r="E52" s="9"/>
      <c r="F52" s="9"/>
      <c r="G52" s="9"/>
      <c r="H52" s="9"/>
      <c r="I52" s="9"/>
      <c r="J52" s="9"/>
      <c r="K52" s="9"/>
      <c r="L52" s="9"/>
      <c r="M52" s="9"/>
      <c r="N52" s="9"/>
      <c r="O52" s="9"/>
      <c r="P52" s="9"/>
      <c r="Q52" s="9"/>
      <c r="R52" s="9"/>
      <c r="S52" s="9"/>
      <c r="T52" s="9"/>
      <c r="U52" s="9"/>
      <c r="V52" s="9"/>
      <c r="W52" s="9"/>
      <c r="AC52" s="9"/>
      <c r="AD52" s="9"/>
      <c r="AE52" s="9"/>
    </row>
    <row r="53" spans="3:31" x14ac:dyDescent="0.25">
      <c r="C53" s="9"/>
      <c r="D53" s="9"/>
      <c r="E53" s="9"/>
      <c r="F53" s="9"/>
      <c r="G53" s="9"/>
      <c r="H53" s="9"/>
      <c r="I53" s="9"/>
      <c r="J53" s="9"/>
      <c r="K53" s="9"/>
      <c r="L53" s="9"/>
      <c r="M53" s="9"/>
      <c r="N53" s="9"/>
      <c r="O53" s="9"/>
      <c r="P53" s="9"/>
      <c r="Q53" s="9"/>
      <c r="R53" s="9"/>
      <c r="S53" s="9"/>
      <c r="T53" s="9"/>
      <c r="U53" s="9"/>
      <c r="V53" s="9"/>
      <c r="W53" s="9"/>
      <c r="AC53" s="9"/>
      <c r="AD53" s="9"/>
      <c r="AE53" s="9"/>
    </row>
    <row r="54" spans="3:31" x14ac:dyDescent="0.25">
      <c r="C54" s="9"/>
      <c r="D54" s="9"/>
      <c r="E54" s="9"/>
      <c r="F54" s="9"/>
      <c r="G54" s="9"/>
      <c r="H54" s="9"/>
      <c r="I54" s="9"/>
      <c r="J54" s="9"/>
      <c r="K54" s="9"/>
      <c r="L54" s="9"/>
      <c r="M54" s="9"/>
      <c r="N54" s="9"/>
      <c r="O54" s="9"/>
      <c r="P54" s="9"/>
      <c r="Q54" s="9"/>
      <c r="R54" s="9"/>
      <c r="S54" s="9"/>
      <c r="T54" s="9"/>
      <c r="U54" s="9"/>
      <c r="V54" s="9"/>
      <c r="W54" s="9"/>
      <c r="AC54" s="9"/>
      <c r="AD54" s="9"/>
      <c r="AE54" s="9"/>
    </row>
    <row r="55" spans="3:31" x14ac:dyDescent="0.25">
      <c r="C55" s="9"/>
      <c r="D55" s="9"/>
      <c r="E55" s="9"/>
      <c r="F55" s="9"/>
      <c r="G55" s="9"/>
      <c r="H55" s="9"/>
      <c r="I55" s="9"/>
      <c r="J55" s="9"/>
      <c r="K55" s="9"/>
      <c r="L55" s="9"/>
      <c r="M55" s="9"/>
      <c r="N55" s="9"/>
      <c r="O55" s="9"/>
      <c r="P55" s="9"/>
      <c r="Q55" s="9"/>
      <c r="R55" s="9"/>
      <c r="S55" s="9"/>
      <c r="T55" s="9"/>
      <c r="U55" s="9"/>
      <c r="V55" s="9"/>
      <c r="W55" s="9"/>
      <c r="AC55" s="9"/>
      <c r="AD55" s="9"/>
      <c r="AE55" s="9"/>
    </row>
    <row r="56" spans="3:31" x14ac:dyDescent="0.25">
      <c r="C56" s="9"/>
      <c r="D56" s="9"/>
      <c r="E56" s="9"/>
      <c r="F56" s="9"/>
      <c r="G56" s="9"/>
      <c r="H56" s="9"/>
      <c r="I56" s="9"/>
      <c r="J56" s="9"/>
      <c r="K56" s="9"/>
      <c r="L56" s="9"/>
      <c r="M56" s="9"/>
      <c r="N56" s="9"/>
      <c r="O56" s="9"/>
      <c r="P56" s="9"/>
      <c r="Q56" s="9"/>
      <c r="R56" s="9"/>
      <c r="S56" s="9"/>
      <c r="T56" s="9"/>
      <c r="U56" s="9"/>
      <c r="V56" s="9"/>
      <c r="W56" s="9"/>
      <c r="AC56" s="9"/>
      <c r="AD56" s="9"/>
      <c r="AE56" s="9"/>
    </row>
    <row r="57" spans="3:31" x14ac:dyDescent="0.25">
      <c r="C57" s="9"/>
      <c r="D57" s="9"/>
      <c r="E57" s="9"/>
      <c r="F57" s="9"/>
      <c r="G57" s="9"/>
      <c r="H57" s="9"/>
      <c r="I57" s="9"/>
      <c r="J57" s="9"/>
      <c r="K57" s="9"/>
      <c r="L57" s="9"/>
      <c r="M57" s="9"/>
      <c r="N57" s="9"/>
      <c r="O57" s="9"/>
      <c r="P57" s="9"/>
      <c r="Q57" s="9"/>
      <c r="R57" s="9"/>
      <c r="S57" s="9"/>
      <c r="T57" s="9"/>
      <c r="U57" s="9"/>
      <c r="V57" s="9"/>
      <c r="W57" s="9"/>
      <c r="AC57" s="9"/>
      <c r="AD57" s="9"/>
      <c r="AE57" s="9"/>
    </row>
    <row r="58" spans="3:31" x14ac:dyDescent="0.25">
      <c r="C58" s="9"/>
      <c r="D58" s="9"/>
      <c r="E58" s="9"/>
      <c r="F58" s="9"/>
      <c r="G58" s="9"/>
      <c r="H58" s="9"/>
      <c r="I58" s="9"/>
      <c r="J58" s="9"/>
      <c r="K58" s="9"/>
      <c r="L58" s="9"/>
      <c r="M58" s="9"/>
      <c r="N58" s="9"/>
      <c r="O58" s="9"/>
      <c r="P58" s="9"/>
      <c r="Q58" s="9"/>
      <c r="R58" s="9"/>
      <c r="S58" s="9"/>
      <c r="T58" s="9"/>
      <c r="U58" s="9"/>
      <c r="V58" s="9"/>
      <c r="W58" s="9"/>
      <c r="AC58" s="9"/>
      <c r="AD58" s="9"/>
      <c r="AE58" s="9"/>
    </row>
    <row r="59" spans="3:31" x14ac:dyDescent="0.25">
      <c r="C59" s="9"/>
      <c r="D59" s="9"/>
      <c r="E59" s="9"/>
      <c r="F59" s="9"/>
      <c r="G59" s="9"/>
      <c r="H59" s="9"/>
      <c r="I59" s="9"/>
      <c r="J59" s="9"/>
      <c r="K59" s="9"/>
      <c r="L59" s="9"/>
      <c r="M59" s="9"/>
      <c r="N59" s="9"/>
      <c r="O59" s="9"/>
      <c r="P59" s="9"/>
      <c r="Q59" s="9"/>
      <c r="R59" s="9"/>
      <c r="S59" s="9"/>
      <c r="T59" s="9"/>
      <c r="U59" s="9"/>
      <c r="V59" s="9"/>
      <c r="W59" s="9"/>
      <c r="AC59" s="9"/>
      <c r="AD59" s="9"/>
      <c r="AE59" s="9"/>
    </row>
    <row r="60" spans="3:31" x14ac:dyDescent="0.25">
      <c r="C60" s="9"/>
      <c r="D60" s="9"/>
      <c r="E60" s="9"/>
      <c r="F60" s="9"/>
      <c r="G60" s="9"/>
      <c r="H60" s="9"/>
      <c r="I60" s="9"/>
      <c r="J60" s="9"/>
      <c r="K60" s="9"/>
      <c r="L60" s="9"/>
      <c r="M60" s="9"/>
      <c r="N60" s="9"/>
      <c r="O60" s="9"/>
      <c r="P60" s="9"/>
      <c r="Q60" s="9"/>
      <c r="R60" s="9"/>
      <c r="S60" s="9"/>
      <c r="T60" s="9"/>
      <c r="U60" s="9"/>
      <c r="V60" s="9"/>
      <c r="W60" s="9"/>
      <c r="AC60" s="9"/>
      <c r="AD60" s="9"/>
      <c r="AE60" s="9"/>
    </row>
    <row r="61" spans="3:31" x14ac:dyDescent="0.25">
      <c r="C61" s="9"/>
      <c r="D61" s="9"/>
      <c r="E61" s="9"/>
      <c r="F61" s="9"/>
      <c r="G61" s="9"/>
      <c r="H61" s="9"/>
      <c r="I61" s="9"/>
      <c r="J61" s="9"/>
      <c r="K61" s="9"/>
      <c r="L61" s="9"/>
      <c r="M61" s="9"/>
      <c r="N61" s="9"/>
      <c r="O61" s="9"/>
      <c r="P61" s="9"/>
      <c r="Q61" s="9"/>
      <c r="R61" s="9"/>
      <c r="S61" s="9"/>
      <c r="T61" s="9"/>
      <c r="U61" s="9"/>
      <c r="V61" s="9"/>
      <c r="W61" s="9"/>
      <c r="AC61" s="9"/>
      <c r="AD61" s="9"/>
      <c r="AE61" s="9"/>
    </row>
    <row r="62" spans="3:31" x14ac:dyDescent="0.25">
      <c r="C62" s="9"/>
      <c r="D62" s="9"/>
      <c r="E62" s="9"/>
      <c r="F62" s="9"/>
      <c r="G62" s="9"/>
      <c r="H62" s="9"/>
      <c r="I62" s="9"/>
      <c r="J62" s="9"/>
      <c r="K62" s="9"/>
      <c r="L62" s="9"/>
      <c r="M62" s="9"/>
      <c r="N62" s="9"/>
      <c r="O62" s="9"/>
      <c r="P62" s="9"/>
      <c r="Q62" s="9"/>
      <c r="R62" s="9"/>
      <c r="S62" s="9"/>
      <c r="T62" s="9"/>
      <c r="U62" s="9"/>
      <c r="V62" s="9"/>
      <c r="W62" s="9"/>
      <c r="AC62" s="9"/>
      <c r="AD62" s="9"/>
      <c r="AE62" s="9"/>
    </row>
    <row r="63" spans="3:31" x14ac:dyDescent="0.25">
      <c r="C63" s="9"/>
      <c r="D63" s="9"/>
      <c r="E63" s="9"/>
      <c r="F63" s="9"/>
      <c r="G63" s="9"/>
      <c r="H63" s="9"/>
      <c r="I63" s="9"/>
      <c r="J63" s="9"/>
      <c r="K63" s="9"/>
      <c r="L63" s="9"/>
      <c r="M63" s="9"/>
      <c r="N63" s="9"/>
      <c r="O63" s="9"/>
      <c r="P63" s="9"/>
      <c r="Q63" s="9"/>
      <c r="R63" s="9"/>
      <c r="S63" s="9"/>
      <c r="T63" s="9"/>
      <c r="U63" s="9"/>
      <c r="V63" s="9"/>
      <c r="W63" s="9"/>
      <c r="AC63" s="9"/>
      <c r="AD63" s="9"/>
      <c r="AE63" s="9"/>
    </row>
    <row r="64" spans="3:31" x14ac:dyDescent="0.25">
      <c r="C64" s="9"/>
      <c r="D64" s="9"/>
      <c r="E64" s="9"/>
      <c r="F64" s="9"/>
      <c r="G64" s="9"/>
      <c r="H64" s="9"/>
      <c r="I64" s="9"/>
      <c r="J64" s="9"/>
      <c r="K64" s="9"/>
      <c r="L64" s="9"/>
      <c r="M64" s="9"/>
      <c r="N64" s="9"/>
      <c r="O64" s="9"/>
      <c r="P64" s="9"/>
      <c r="Q64" s="9"/>
      <c r="R64" s="9"/>
      <c r="S64" s="9"/>
      <c r="T64" s="9"/>
      <c r="U64" s="9"/>
      <c r="V64" s="9"/>
      <c r="W64" s="9"/>
      <c r="AC64" s="9"/>
      <c r="AD64" s="9"/>
      <c r="AE64" s="9"/>
    </row>
    <row r="65" spans="3:31" x14ac:dyDescent="0.25">
      <c r="C65" s="9"/>
      <c r="D65" s="9"/>
      <c r="E65" s="9"/>
      <c r="F65" s="9"/>
      <c r="G65" s="9"/>
      <c r="H65" s="9"/>
      <c r="I65" s="9"/>
      <c r="J65" s="9"/>
      <c r="K65" s="9"/>
      <c r="L65" s="9"/>
      <c r="M65" s="9"/>
      <c r="N65" s="9"/>
      <c r="O65" s="9"/>
      <c r="P65" s="9"/>
      <c r="Q65" s="9"/>
      <c r="R65" s="9"/>
      <c r="S65" s="9"/>
      <c r="T65" s="9"/>
      <c r="U65" s="9"/>
      <c r="V65" s="9"/>
      <c r="W65" s="9"/>
      <c r="AC65" s="9"/>
      <c r="AD65" s="9"/>
      <c r="AE65" s="9"/>
    </row>
    <row r="66" spans="3:31" x14ac:dyDescent="0.25">
      <c r="C66" s="9"/>
      <c r="D66" s="9"/>
      <c r="E66" s="9"/>
      <c r="F66" s="9"/>
      <c r="G66" s="9"/>
      <c r="H66" s="9"/>
      <c r="I66" s="9"/>
      <c r="J66" s="9"/>
      <c r="K66" s="9"/>
      <c r="L66" s="9"/>
      <c r="M66" s="9"/>
      <c r="N66" s="9"/>
      <c r="O66" s="9"/>
      <c r="P66" s="9"/>
      <c r="Q66" s="9"/>
      <c r="R66" s="9"/>
      <c r="S66" s="9"/>
      <c r="T66" s="9"/>
      <c r="U66" s="9"/>
      <c r="V66" s="9"/>
      <c r="W66" s="9"/>
      <c r="AC66" s="9"/>
      <c r="AD66" s="9"/>
      <c r="AE66" s="9"/>
    </row>
    <row r="67" spans="3:31" x14ac:dyDescent="0.25">
      <c r="C67" s="9"/>
      <c r="D67" s="9"/>
      <c r="E67" s="9"/>
      <c r="F67" s="9"/>
      <c r="G67" s="9"/>
      <c r="H67" s="9"/>
      <c r="I67" s="9"/>
      <c r="J67" s="9"/>
      <c r="K67" s="9"/>
      <c r="L67" s="9"/>
      <c r="M67" s="9"/>
      <c r="N67" s="9"/>
      <c r="O67" s="9"/>
      <c r="P67" s="9"/>
      <c r="Q67" s="9"/>
      <c r="R67" s="9"/>
      <c r="S67" s="9"/>
      <c r="T67" s="9"/>
      <c r="U67" s="9"/>
      <c r="V67" s="9"/>
      <c r="W67" s="9"/>
      <c r="AC67" s="9"/>
      <c r="AD67" s="9"/>
      <c r="AE67" s="9"/>
    </row>
    <row r="68" spans="3:31" x14ac:dyDescent="0.25">
      <c r="C68" s="9"/>
      <c r="D68" s="9"/>
      <c r="E68" s="9"/>
      <c r="F68" s="9"/>
      <c r="G68" s="9"/>
      <c r="H68" s="9"/>
      <c r="I68" s="9"/>
      <c r="J68" s="9"/>
      <c r="K68" s="9"/>
      <c r="L68" s="9"/>
      <c r="M68" s="9"/>
      <c r="N68" s="9"/>
      <c r="O68" s="9"/>
      <c r="P68" s="9"/>
      <c r="Q68" s="9"/>
      <c r="R68" s="9"/>
      <c r="S68" s="9"/>
      <c r="T68" s="9"/>
      <c r="U68" s="9"/>
      <c r="V68" s="9"/>
      <c r="W68" s="9"/>
      <c r="AC68" s="9"/>
      <c r="AD68" s="9"/>
      <c r="AE68" s="9"/>
    </row>
    <row r="69" spans="3:31" x14ac:dyDescent="0.25">
      <c r="C69" s="9"/>
      <c r="D69" s="9"/>
      <c r="E69" s="9"/>
      <c r="F69" s="9"/>
      <c r="G69" s="9"/>
      <c r="H69" s="9"/>
      <c r="I69" s="9"/>
      <c r="J69" s="9"/>
      <c r="K69" s="9"/>
      <c r="L69" s="9"/>
      <c r="M69" s="9"/>
      <c r="N69" s="9"/>
      <c r="O69" s="9"/>
      <c r="P69" s="9"/>
      <c r="Q69" s="9"/>
      <c r="R69" s="9"/>
      <c r="S69" s="9"/>
      <c r="T69" s="9"/>
      <c r="U69" s="9"/>
      <c r="V69" s="9"/>
      <c r="W69" s="9"/>
      <c r="AC69" s="9"/>
      <c r="AD69" s="9"/>
      <c r="AE69" s="9"/>
    </row>
    <row r="70" spans="3:31" x14ac:dyDescent="0.25">
      <c r="C70" s="9"/>
      <c r="D70" s="9"/>
      <c r="E70" s="9"/>
      <c r="F70" s="9"/>
      <c r="G70" s="9"/>
      <c r="H70" s="9"/>
      <c r="I70" s="9"/>
      <c r="J70" s="9"/>
      <c r="K70" s="9"/>
      <c r="L70" s="9"/>
      <c r="M70" s="9"/>
      <c r="N70" s="9"/>
      <c r="O70" s="9"/>
      <c r="P70" s="9"/>
      <c r="Q70" s="9"/>
      <c r="R70" s="9"/>
      <c r="S70" s="9"/>
      <c r="T70" s="9"/>
      <c r="U70" s="9"/>
      <c r="V70" s="9"/>
      <c r="W70" s="9"/>
      <c r="AC70" s="9"/>
      <c r="AD70" s="9"/>
      <c r="AE70" s="9"/>
    </row>
    <row r="71" spans="3:31" x14ac:dyDescent="0.25">
      <c r="C71" s="9"/>
      <c r="D71" s="9"/>
      <c r="E71" s="9"/>
      <c r="F71" s="9"/>
      <c r="G71" s="9"/>
      <c r="H71" s="9"/>
      <c r="I71" s="9"/>
      <c r="J71" s="9"/>
      <c r="K71" s="9"/>
      <c r="L71" s="9"/>
      <c r="M71" s="9"/>
      <c r="N71" s="9"/>
      <c r="O71" s="9"/>
      <c r="P71" s="9"/>
      <c r="Q71" s="9"/>
      <c r="R71" s="9"/>
      <c r="S71" s="9"/>
      <c r="T71" s="9"/>
      <c r="U71" s="9"/>
      <c r="V71" s="9"/>
      <c r="W71" s="9"/>
      <c r="AC71" s="9"/>
      <c r="AD71" s="9"/>
      <c r="AE71" s="9"/>
    </row>
  </sheetData>
  <mergeCells count="1">
    <mergeCell ref="C4:U4"/>
  </mergeCells>
  <dataValidations count="3">
    <dataValidation type="list" allowBlank="1" showInputMessage="1" showErrorMessage="1" sqref="E10:E35" xr:uid="{E69867B2-50EB-443F-ABF7-72F4B25FF5D3}">
      <formula1>$AD$10:$AD$13</formula1>
    </dataValidation>
    <dataValidation type="list" allowBlank="1" showInputMessage="1" showErrorMessage="1" sqref="F10:F35" xr:uid="{87FECA7C-7D76-4B66-B482-9EECF02B5133}">
      <formula1>$AC$10:$AC$15</formula1>
    </dataValidation>
    <dataValidation type="list" allowBlank="1" showInputMessage="1" showErrorMessage="1" sqref="Z8" xr:uid="{1B1CE6EE-98E0-4503-8A9E-75F240485656}">
      <formula1>"Variance to GST Excl. Inv,Variance to GST Incl. Inv"</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BBE42521EE0684FB91080D193FD289B" ma:contentTypeVersion="12" ma:contentTypeDescription="Create a new document." ma:contentTypeScope="" ma:versionID="47cccb59cbe8c704ee7bf746635a25e0">
  <xsd:schema xmlns:xsd="http://www.w3.org/2001/XMLSchema" xmlns:xs="http://www.w3.org/2001/XMLSchema" xmlns:p="http://schemas.microsoft.com/office/2006/metadata/properties" xmlns:ns2="f82d1b6b-c0e6-44b0-99a2-d357b2d50896" xmlns:ns3="3be0b85a-8471-4f10-b038-505fde09e598" targetNamespace="http://schemas.microsoft.com/office/2006/metadata/properties" ma:root="true" ma:fieldsID="5bc806a59855b1e4bcc59406b6445b2a" ns2:_="" ns3:_="">
    <xsd:import namespace="f82d1b6b-c0e6-44b0-99a2-d357b2d50896"/>
    <xsd:import namespace="3be0b85a-8471-4f10-b038-505fde09e59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2d1b6b-c0e6-44b0-99a2-d357b2d508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af4192a9-ce52-406f-9dc9-4d585e014db9"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be0b85a-8471-4f10-b038-505fde09e598"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9f462d04-e98a-404c-8b3f-11055a86a13c}" ma:internalName="TaxCatchAll" ma:showField="CatchAllData" ma:web="3be0b85a-8471-4f10-b038-505fde09e5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3be0b85a-8471-4f10-b038-505fde09e598" xsi:nil="true"/>
    <lcf76f155ced4ddcb4097134ff3c332f xmlns="f82d1b6b-c0e6-44b0-99a2-d357b2d5089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FBB114AD-B8C5-41C1-B9DF-2A3F938424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2d1b6b-c0e6-44b0-99a2-d357b2d50896"/>
    <ds:schemaRef ds:uri="3be0b85a-8471-4f10-b038-505fde09e5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7E6FDA-CE96-45DC-8DF8-10A01794B5D5}">
  <ds:schemaRefs>
    <ds:schemaRef ds:uri="http://schemas.openxmlformats.org/package/2006/metadata/core-properties"/>
    <ds:schemaRef ds:uri="http://purl.org/dc/elements/1.1/"/>
    <ds:schemaRef ds:uri="http://www.w3.org/XML/1998/namespace"/>
    <ds:schemaRef ds:uri="cb0fa578-f870-47d6-b0d9-5a423e2a9cfb"/>
    <ds:schemaRef ds:uri="http://schemas.microsoft.com/office/2006/documentManagement/types"/>
    <ds:schemaRef ds:uri="http://purl.org/dc/terms/"/>
    <ds:schemaRef ds:uri="http://schemas.microsoft.com/office/2006/metadata/properties"/>
    <ds:schemaRef ds:uri="http://purl.org/dc/dcmitype/"/>
    <ds:schemaRef ds:uri="b568fc2f-4d2a-4f1a-a92d-be6ea9d479bf"/>
    <ds:schemaRef ds:uri="http://schemas.microsoft.com/office/infopath/2007/PartnerControls"/>
    <ds:schemaRef ds:uri="a6ef9c2c-1ad1-4c09-9d1c-8c71a768c11f"/>
    <ds:schemaRef ds:uri="f574b478-68e4-495d-9b17-0f93d51a8ef7"/>
    <ds:schemaRef ds:uri="3be0b85a-8471-4f10-b038-505fde09e598"/>
    <ds:schemaRef ds:uri="f82d1b6b-c0e6-44b0-99a2-d357b2d50896"/>
  </ds:schemaRefs>
</ds:datastoreItem>
</file>

<file path=customXml/itemProps3.xml><?xml version="1.0" encoding="utf-8"?>
<ds:datastoreItem xmlns:ds="http://schemas.openxmlformats.org/officeDocument/2006/customXml" ds:itemID="{8FD1A020-9F24-443A-B62B-7DCC75682929}">
  <ds:schemaRefs>
    <ds:schemaRef ds:uri="http://schemas.microsoft.com/sharepoint/v3/contenttype/forms"/>
  </ds:schemaRefs>
</ds:datastoreItem>
</file>

<file path=customXml/itemProps4.xml><?xml version="1.0" encoding="utf-8"?>
<ds:datastoreItem xmlns:ds="http://schemas.openxmlformats.org/officeDocument/2006/customXml" ds:itemID="{7BE49EB0-7765-42B8-91E0-F7F791B5574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Unit1Path</vt:lpstr>
      <vt:lpstr>Rates</vt:lpstr>
      <vt:lpstr>EffortOutcomesAG1_1DayShiftAB</vt:lpstr>
      <vt:lpstr>CostAG1_1DayShiftAB</vt:lpstr>
      <vt:lpstr>CostPerDay</vt:lpstr>
      <vt:lpstr>TargetRatebyDate</vt:lpstr>
      <vt:lpstr>SavingFacilityDay</vt:lpstr>
      <vt:lpstr>Saving</vt:lpstr>
      <vt:lpstr>Summary</vt:lpstr>
      <vt:lpstr>Benhome Actuals Last fn</vt:lpstr>
      <vt:lpstr>Unit1Path!Client</vt:lpstr>
      <vt:lpstr>FilePathUrl</vt:lpstr>
      <vt:lpstr>Unit1Path!Role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dc:creator>
  <cp:lastModifiedBy>Alex James</cp:lastModifiedBy>
  <dcterms:created xsi:type="dcterms:W3CDTF">2023-01-08T20:26:19Z</dcterms:created>
  <dcterms:modified xsi:type="dcterms:W3CDTF">2026-10-20T12:33:50Z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0x0101008BBE42521EE0684FB91080D193FD289B</vt:lpwstr>
  </property>
  <property fmtid="{D5CDD505-2E9C-101B-9397-08002B2CF9AE}" pid="3" name="MediaServiceImageTags">
    <vt:lpwstr/>
  </property>
</Properties>
</file>