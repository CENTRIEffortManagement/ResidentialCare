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1. Input\"/>
    </mc:Choice>
  </mc:AlternateContent>
  <xr:revisionPtr revIDLastSave="0" documentId="13_ncr:1_{89198406-B9F3-497B-B847-D84ADD832D7F}" xr6:coauthVersionLast="47" xr6:coauthVersionMax="47" xr10:uidLastSave="{00000000-0000-0000-0000-000000000000}"/>
  <bookViews>
    <workbookView xWindow="-120" yWindow="-120" windowWidth="38640" windowHeight="21120" tabRatio="937" activeTab="3" xr2:uid="{1B74658D-8FBB-4607-9885-3B8C2636F1D6}"/>
  </bookViews>
  <sheets>
    <sheet name="IMPORT Distributed FTE Workbook" sheetId="18" r:id="rId1"/>
    <sheet name="Unit1Path" sheetId="17" r:id="rId2"/>
    <sheet name="FILEPATH" sheetId="7" r:id="rId3"/>
    <sheet name="ShiftUnitDemandHRS" sheetId="14" r:id="rId4"/>
  </sheets>
  <externalReferences>
    <externalReference r:id="rId5"/>
    <externalReference r:id="rId6"/>
    <externalReference r:id="rId7"/>
  </externalReferences>
  <definedNames>
    <definedName name="a">#REF!</definedName>
    <definedName name="ABCap" localSheetId="1">#REF!</definedName>
    <definedName name="ABCap">#REF!</definedName>
    <definedName name="ABGoal" localSheetId="1">#REF!</definedName>
    <definedName name="ABGoal">#REF!</definedName>
    <definedName name="b">#REF!</definedName>
    <definedName name="c_">#REF!</definedName>
    <definedName name="Client" localSheetId="2">FILEPATH!$B$30</definedName>
    <definedName name="Client" localSheetId="1">Unit1Path!$B$19</definedName>
    <definedName name="Client">#REF!</definedName>
    <definedName name="Contractor_Margin" localSheetId="1">#REF!</definedName>
    <definedName name="Contractor_Margin">#REF!</definedName>
    <definedName name="Date" localSheetId="2">FILEPATH!$B$33</definedName>
    <definedName name="Date">#REF!</definedName>
    <definedName name="Directory" localSheetId="2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Unit1Path!$A$3:$B$10</definedName>
    <definedName name="ExternalData_2" localSheetId="0" hidden="1">'IMPORT Distributed FTE Workbook'!$A$1:$D$123</definedName>
    <definedName name="ExternalData_6" localSheetId="3" hidden="1">ShiftUnitDemandHRS!$A$1:$L$253</definedName>
    <definedName name="Facility">#REF!</definedName>
    <definedName name="FilePathUrl">Unit1Path!$B$1</definedName>
    <definedName name="FTE">#REF!</definedName>
    <definedName name="HeadFolder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KSa">#REF!</definedName>
    <definedName name="KSb">#REF!</definedName>
    <definedName name="KSc">#REF!</definedName>
    <definedName name="Ksmag">#REF!</definedName>
    <definedName name="KTa">#REF!</definedName>
    <definedName name="KTb">#REF!</definedName>
    <definedName name="KTc">#REF!</definedName>
    <definedName name="KTmag">#REF!</definedName>
    <definedName name="Kx">#REF!</definedName>
    <definedName name="Ky">#REF!</definedName>
    <definedName name="Kz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2">FILEPATH!#REF!</definedName>
    <definedName name="Location" localSheetId="1">Unit1Path!#REF!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Unit1Path!$B$40</definedName>
    <definedName name="Role">#REF!</definedName>
    <definedName name="ROLE_TITLE">#REF!</definedName>
    <definedName name="Scale">#REF!</definedName>
    <definedName name="Type" localSheetId="2">FILEPATH!$B$31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7" l="1" a="1"/>
  <c r="B1" i="17" s="1"/>
  <c r="B20" i="7" l="1" a="1"/>
  <c r="B20" i="7" s="1"/>
  <c r="E7" i="7"/>
  <c r="B6" i="7" a="1"/>
  <c r="B6" i="7" s="1"/>
  <c r="B4" i="7" a="1"/>
  <c r="B4" i="7" s="1"/>
  <c r="C20" i="7" l="1"/>
  <c r="C23" i="7" s="1"/>
  <c r="B36" i="7"/>
  <c r="B26" i="7"/>
  <c r="C6" i="7"/>
  <c r="E6" i="7"/>
  <c r="C7" i="7"/>
  <c r="C11" i="7"/>
  <c r="C8" i="7"/>
  <c r="C9" i="7" l="1"/>
  <c r="B13" i="7" s="1"/>
  <c r="B15" i="7" l="1"/>
  <c r="B1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F5C46-8E4F-42F4-A834-FB193D6D8E23}" keepAlive="1" name="Query - DayOrderDate" description="Connection to the 'DayOrderDate' query in the workbook." type="5" refreshedVersion="0" background="1">
    <dbPr connection="Provider=Microsoft.Mashup.OleDb.1;Data Source=$Workbook$;Location=DayOrderDate;Extended Properties=&quot;&quot;" command="SELECT * FROM [DayOrderDate]"/>
  </connection>
  <connection id="2" xr16:uid="{832F9DB1-148E-49D4-8FDC-D3DBB3AC49CA}" keepAlive="1" name="Query - DemandStartDays" description="Connection to the 'DemandStartDays' query in the workbook." type="5" refreshedVersion="0" background="1">
    <dbPr connection="Provider=Microsoft.Mashup.OleDb.1;Data Source=$Workbook$;Location=DemandStartDays;Extended Properties=&quot;&quot;" command="SELECT * FROM [DemandStartDays]"/>
  </connection>
  <connection id="3" xr16:uid="{8B911E64-092A-43E1-B99B-E743FA611934}" keepAlive="1" name="Query - DemandWeeksHrsHRS" description="Connection to the 'DemandWeeksHrsHRS' query in the workbook." type="5" refreshedVersion="8" background="1" saveData="1">
    <dbPr connection="Provider=Microsoft.Mashup.OleDb.1;Data Source=$Workbook$;Location=DemandWeeksHrsHRS;Extended Properties=&quot;&quot;" command="SELECT * FROM [DemandWeeksHrsHRS]"/>
  </connection>
  <connection id="4" xr16:uid="{A43D441E-6AD4-408D-9DB8-39963ADA8000}" keepAlive="1" name="Query - EndNIGHT(7)" description="Connection to the 'EndNIGHT(7)' query in the workbook." type="5" refreshedVersion="0" background="1">
    <dbPr connection="Provider=Microsoft.Mashup.OleDb.1;Data Source=$Workbook$;Location=EndNIGHT(7);Extended Properties=&quot;&quot;" command="SELECT * FROM [EndNIGHT(7)]"/>
  </connection>
  <connection id="5" xr16:uid="{24E50C7B-C639-4D8A-AA28-5D21D4D6B46E}" keepAlive="1" name="Query - EXTRACT Distributed Demand FTE Fortnight" description="Connection to the 'EXTRACT Distributed Demand FTE Fortnight' query in the workbook." type="5" refreshedVersion="8" background="1" saveData="1">
    <dbPr connection="Provider=Microsoft.Mashup.OleDb.1;Data Source=$Workbook$;Location=&quot;EXTRACT Distributed Demand FTE Fortnight&quot;;Extended Properties=&quot;&quot;" command="SELECT * FROM [EXTRACT Distributed Demand FTE Fortnight]"/>
  </connection>
  <connection id="6" xr16:uid="{13F83577-EC73-4DA5-9F9D-136734F08D6F}" keepAlive="1" name="Query - ExtractMatrix" description="Connection to the 'ExtractMatrix' query in the workbook." type="5" refreshedVersion="8" background="1" saveData="1">
    <dbPr connection="Provider=Microsoft.Mashup.OleDb.1;Data Source=$Workbook$;Location=ExtractMatrix;Extended Properties=&quot;&quot;" command="SELECT * FROM [ExtractMatrix]"/>
  </connection>
  <connection id="7" xr16:uid="{935676A3-F26F-49EB-88D2-BE224338B4F9}" keepAlive="1" name="Query - IMPORT Distributed Demand" description="Connection to the 'IMPORT Distributed Demand' query in the workbook." type="5" refreshedVersion="8" background="1" saveData="1">
    <dbPr connection="Provider=Microsoft.Mashup.OleDb.1;Data Source=$Workbook$;Location=&quot;IMPORT Distributed Demand&quot;;Extended Properties=&quot;&quot;" command="SELECT * FROM [IMPORT Distributed Demand]"/>
  </connection>
  <connection id="8" xr16:uid="{B3E79B4D-7E1E-41DC-A445-9E0AC296DC2A}" keepAlive="1" name="Query - IMPORT LocRoleDayShift%" description="Connection to the 'IMPORT LocRoleDayShift%' query in the workbook." type="5" refreshedVersion="8" background="1" saveData="1">
    <dbPr connection="Provider=Microsoft.Mashup.OleDb.1;Data Source=$Workbook$;Location=&quot;IMPORT LocRoleDayShift%&quot;;Extended Properties=&quot;&quot;" command="SELECT * FROM [IMPORT LocRoleDayShift%]"/>
  </connection>
  <connection id="9" xr16:uid="{B9FD2290-BDCE-4C68-8DC9-95A341816195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0" xr16:uid="{0572722B-A5F6-4833-8298-4F5E0A9988CD}" keepAlive="1" name="Query - IMPORT RoleShiftDemandANACC" description="Connection to the 'IMPORT RoleShiftDemandANACC' query in the workbook." type="5" refreshedVersion="8" background="1" saveData="1">
    <dbPr connection="Provider=Microsoft.Mashup.OleDb.1;Data Source=$Workbook$;Location=&quot;IMPORT RoleShiftDemandANACC&quot;;Extended Properties=&quot;&quot;" command="SELECT * FROM [IMPORT RoleShiftDemandANACC]"/>
  </connection>
  <connection id="11" xr16:uid="{E3F1A8F3-A316-435B-BB6D-64CC77BDB9A6}" keepAlive="1" name="Query - IMPORT ShiftPeriod" description="Connection to the 'IMPORT ShiftPeriod' query in the workbook." type="5" refreshedVersion="8" background="1" saveData="1">
    <dbPr connection="Provider=Microsoft.Mashup.OleDb.1;Data Source=$Workbook$;Location=&quot;IMPORT ShiftPeriod&quot;;Extended Properties=&quot;&quot;" command="SELECT * FROM [IMPORT ShiftPeriod]"/>
  </connection>
  <connection id="12" xr16:uid="{3227EBB7-2017-4D61-B472-1A49E4B620BC}" keepAlive="1" name="Query - IMPORTMasterSchedule" description="Connection to the 'IMPORTMasterSchedule' query in the workbook." type="5" refreshedVersion="8" background="1" saveData="1">
    <dbPr connection="Provider=Microsoft.Mashup.OleDb.1;Data Source=$Workbook$;Location=IMPORTMasterSchedule;Extended Properties=&quot;&quot;" command="SELECT * FROM [IMPORTMasterSchedule]"/>
  </connection>
  <connection id="13" xr16:uid="{2C7EB5BD-D61E-49FA-AA5F-147D2F49B577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4" xr16:uid="{DF784164-29BE-4474-BA49-4B17C0666333}" keepAlive="1" name="Query - LINK Roles" description="Connection to the 'LINK Roles' query in the workbook." type="5" refreshedVersion="0" background="1">
    <dbPr connection="Provider=Microsoft.Mashup.OleDb.1;Data Source=$Workbook$;Location=&quot;LINK Roles&quot;;Extended Properties=&quot;&quot;" command="SELECT * FROM [LINK Roles]"/>
  </connection>
  <connection id="15" xr16:uid="{E43D3643-A9CB-497C-A572-B89418CB3979}" keepAlive="1" name="Query - LocRoleDayShift Prepare" description="Connection to the 'LocRoleDayShift Prepare' query in the workbook." type="5" refreshedVersion="0" background="1">
    <dbPr connection="Provider=Microsoft.Mashup.OleDb.1;Data Source=$Workbook$;Location=&quot;LocRoleDayShift Prepare&quot;;Extended Properties=&quot;&quot;" command="SELECT * FROM [LocRoleDayShift Prepare]"/>
  </connection>
  <connection id="16" xr16:uid="{53E6DB90-96DA-4EC8-A5E6-27C81037721C}" keepAlive="1" name="Query - Permutation DateTimeRoleShift" description="Connection to the 'Permutation DateTimeRoleShift' query in the workbook." type="5" refreshedVersion="8" background="1" saveData="1">
    <dbPr connection="Provider=Microsoft.Mashup.OleDb.1;Data Source=$Workbook$;Location=&quot;Permutation DateTimeRoleShift&quot;;Extended Properties=&quot;&quot;" command="SELECT * FROM [Permutation DateTimeRoleShift]"/>
  </connection>
  <connection id="17" xr16:uid="{FEA3E5BA-83E0-408D-8461-F369D7E2654E}" keepAlive="1" name="Query - RoleShiftDemandANACC Prepare" description="Connection to the 'RoleShiftDemandANACC Prepare' query in the workbook." type="5" refreshedVersion="8" background="1" saveData="1">
    <dbPr connection="Provider=Microsoft.Mashup.OleDb.1;Data Source=$Workbook$;Location=&quot;RoleShiftDemandANACC Prepare&quot;;Extended Properties=&quot;&quot;" command="SELECT * FROM [RoleShiftDemandANACC Prepare]"/>
  </connection>
  <connection id="18" xr16:uid="{DE3F2364-75A3-4CAE-B515-495935169C65}" keepAlive="1" name="Query - ShiftDuration" description="Connection to the 'ShiftDuration' query in the workbook." type="5" refreshedVersion="8" background="1" saveData="1">
    <dbPr connection="Provider=Microsoft.Mashup.OleDb.1;Data Source=$Workbook$;Location=ShiftDuration;Extended Properties=&quot;&quot;" command="SELECT * FROM [ShiftDuration]"/>
  </connection>
  <connection id="19" xr16:uid="{DD2A63E4-00C1-42B6-877F-D435D5BF3E04}" keepAlive="1" name="Query - ShiftOrder" description="Connection to the 'ShiftOrder' query in the workbook." type="5" refreshedVersion="0" background="1">
    <dbPr connection="Provider=Microsoft.Mashup.OleDb.1;Data Source=$Workbook$;Location=ShiftOrder;Extended Properties=&quot;&quot;" command="SELECT * FROM [ShiftOrder]"/>
  </connection>
  <connection id="20" xr16:uid="{C3ECAD07-D45E-418C-9025-D505579F7E18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1" xr16:uid="{E07562A9-264F-45B2-9F6F-295910B89E65}" keepAlive="1" name="Query - ShiftUnitDemandHRS" description="Connection to the 'ShiftUnitDemandHRS' query in the workbook." type="5" refreshedVersion="8" background="1" saveData="1">
    <dbPr connection="Provider=Microsoft.Mashup.OleDb.1;Data Source=$Workbook$;Location=ShiftUnitDemandHRS;Extended Properties=&quot;&quot;" command="SELECT * FROM [ShiftUnitDemandHRS]"/>
  </connection>
  <connection id="22" xr16:uid="{1E520F9E-A305-4852-8508-9D4493CEE4FD}" keepAlive="1" name="Query - ShiftUnitDemandHRS - Master" description="Connection to the 'ShiftUnitDemandHRS - Master' query in the workbook." type="5" refreshedVersion="8" background="1" saveData="1">
    <dbPr connection="Provider=Microsoft.Mashup.OleDb.1;Data Source=$Workbook$;Location=&quot;ShiftUnitDemandHRS - Master&quot;;Extended Properties=&quot;&quot;" command="SELECT * FROM [ShiftUnitDemandHRS - Master]"/>
  </connection>
  <connection id="23" xr16:uid="{4A8818ED-92EA-479F-99A8-D39F4F5F7A4E}" keepAlive="1" name="Query - ShiftUnitDemandHRS-no time" description="Connection to the 'ShiftUnitDemandHRS-no time' query in the workbook." type="5" refreshedVersion="8" background="1" saveData="1">
    <dbPr connection="Provider=Microsoft.Mashup.OleDb.1;Data Source=$Workbook$;Location=&quot;ShiftUnitDemandHRS-no time&quot;;Extended Properties=&quot;&quot;" command="SELECT * FROM [ShiftUnitDemandHRS-no time]"/>
  </connection>
  <connection id="24" xr16:uid="{E133A7C7-C816-45EC-B805-94EEE372A668}" keepAlive="1" name="Query - ShiftUnitDemandHRS-wide B" description="Connection to the 'ShiftUnitDemandHRS-wide B' query in the workbook." type="5" refreshedVersion="8" background="1" saveData="1">
    <dbPr connection="Provider=Microsoft.Mashup.OleDb.1;Data Source=$Workbook$;Location=&quot;ShiftUnitDemandHRS-wide B&quot;;Extended Properties=&quot;&quot;" command="SELECT * FROM [ShiftUnitDemandHRS-wide B]"/>
  </connection>
  <connection id="25" xr16:uid="{FB8DC31F-C489-40DB-9D63-D4A2B51D78A8}" keepAlive="1" name="Query - StartAM" description="Connection to the 'StartAM' query in the workbook." type="5" refreshedVersion="0" background="1">
    <dbPr connection="Provider=Microsoft.Mashup.OleDb.1;Data Source=$Workbook$;Location=StartAM;Extended Properties=&quot;&quot;" command="SELECT * FROM [StartAM]"/>
  </connection>
  <connection id="26" xr16:uid="{9A0D751E-5C9E-4760-826B-BCDF0E0098B9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7" xr16:uid="{5D15C45E-2D6E-4BAE-9979-A05D5C72FBBB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8" xr16:uid="{24B7081C-9E1A-4E1D-B8BA-31733EBA1ACD}" keepAlive="1" name="Query - Table_RosteredDays" description="Connection to the 'Table_RosteredDays' query in the workbook." type="5" refreshedVersion="0" background="1">
    <dbPr connection="Provider=Microsoft.Mashup.OleDb.1;Data Source=$Workbook$;Location=Table_RosteredDays;Extended Properties=&quot;&quot;" command="SELECT * FROM [Table_RosteredDays]"/>
  </connection>
  <connection id="29" xr16:uid="{AAC47359-7011-4FC4-B379-8AE336029AC2}" keepAlive="1" name="Query - Table_RosterStart" description="Connection to the 'Table_RosterStart' query in the workbook." type="5" refreshedVersion="0" background="1">
    <dbPr connection="Provider=Microsoft.Mashup.OleDb.1;Data Source=$Workbook$;Location=Table_RosterStart;Extended Properties=&quot;&quot;" command="SELECT * FROM [Table_RosterStart]"/>
  </connection>
  <connection id="30" xr16:uid="{6BB64212-CDE3-4C0E-97E1-2FFA43A0CE8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1" xr16:uid="{6A08DFC6-7CED-4D59-8BCD-679662F6FB71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<sst xmlns="http://schemas.openxmlformats.org/spreadsheetml/2006/main" count="1425" uniqueCount="212">
  <si>
    <t>Shift</t>
  </si>
  <si>
    <t>DemandFTE</t>
  </si>
  <si>
    <t>DemandHRS</t>
  </si>
  <si>
    <t>AM</t>
  </si>
  <si>
    <t>Unit</t>
  </si>
  <si>
    <t>Role</t>
  </si>
  <si>
    <t>Facility</t>
  </si>
  <si>
    <t>StartTime</t>
  </si>
  <si>
    <t>EndTime</t>
  </si>
  <si>
    <t>Date</t>
  </si>
  <si>
    <t>PM</t>
  </si>
  <si>
    <t>NIGHT</t>
  </si>
  <si>
    <t>SharedPath</t>
  </si>
  <si>
    <t>Client</t>
  </si>
  <si>
    <t>Type</t>
  </si>
  <si>
    <t>04 Analysis</t>
  </si>
  <si>
    <t>Settings Directory</t>
  </si>
  <si>
    <t>2. Calculations</t>
  </si>
  <si>
    <t xml:space="preserve">This file </t>
  </si>
  <si>
    <t>Intervals.xlsx</t>
  </si>
  <si>
    <t>Settings.xlsx</t>
  </si>
  <si>
    <t>Location</t>
  </si>
  <si>
    <t xml:space="preserve"> Source1 = Excel.CurrentWorkbook(){[Name="Folder"]}[Content],</t>
  </si>
  <si>
    <t>Root Location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</si>
  <si>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</si>
  <si>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</si>
  <si>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</si>
  <si>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</si>
  <si>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MaxAvailability</t>
  </si>
  <si>
    <t>Day</t>
  </si>
  <si>
    <t>Period</t>
  </si>
  <si>
    <t>AIN</t>
  </si>
  <si>
    <t>RN</t>
  </si>
  <si>
    <t>DurationOfShifts</t>
  </si>
  <si>
    <t>Variable Name</t>
  </si>
  <si>
    <t>Value</t>
  </si>
  <si>
    <t>UserName</t>
  </si>
  <si>
    <t>Root Path</t>
  </si>
  <si>
    <t>FileName</t>
  </si>
  <si>
    <t>FilePathUrl</t>
  </si>
  <si>
    <t>Alex</t>
  </si>
  <si>
    <t>CLIENT</t>
  </si>
  <si>
    <t>DATExx-Whiddon</t>
  </si>
  <si>
    <t/>
  </si>
  <si>
    <t>Name</t>
  </si>
  <si>
    <t>Item</t>
  </si>
  <si>
    <t>Kind</t>
  </si>
  <si>
    <t>Hidden</t>
  </si>
  <si>
    <t>Sheet</t>
  </si>
  <si>
    <t>Assumed</t>
  </si>
  <si>
    <t>Actual</t>
  </si>
  <si>
    <t>ShiftEnd</t>
  </si>
  <si>
    <t>BD RN Historical FTE</t>
  </si>
  <si>
    <t>MinuteWorkersFTE_CHECK</t>
  </si>
  <si>
    <t>MinuteWorkersFTE_MATRIX</t>
  </si>
  <si>
    <t>MinuteWorkersFTE_TABLE</t>
  </si>
  <si>
    <t>MW PreAllocation Check</t>
  </si>
  <si>
    <t>MinuteWorkersFTE_WEEKLY_DISTRIB</t>
  </si>
  <si>
    <t>TargetMinutes</t>
  </si>
  <si>
    <t>MinuteWorkers</t>
  </si>
  <si>
    <t>MinuteWorkersFTE_HISTORICAL_FOR</t>
  </si>
  <si>
    <t>LocRoleWeekDaysShiftAVEMATTRIX</t>
  </si>
  <si>
    <t>LocRole%MATRIX</t>
  </si>
  <si>
    <t>LocRoleTOTAL</t>
  </si>
  <si>
    <t>LocRoleDayShift%</t>
  </si>
  <si>
    <t>MinuteWorkersFTE_CATEGORY_DAILY</t>
  </si>
  <si>
    <t>MW Fortnight Hours Check</t>
  </si>
  <si>
    <t>MW Daily Allocation Check</t>
  </si>
  <si>
    <t>MW Publication Check</t>
  </si>
  <si>
    <t>MW Role Fortnight Day Totals</t>
  </si>
  <si>
    <t>MW Category Weekday Targets</t>
  </si>
  <si>
    <t>MinuteWorkersFTE_HISTORICAL_DAY</t>
  </si>
  <si>
    <t>MW Historical WeekDayShift</t>
  </si>
  <si>
    <t>MW Historical Weeks</t>
  </si>
  <si>
    <t>IMPORT Master</t>
  </si>
  <si>
    <t>MinuteWorker Chart Check</t>
  </si>
  <si>
    <t>MW Role Targets</t>
  </si>
  <si>
    <t>MW DayShift Allocation</t>
  </si>
  <si>
    <t>MW Role Distribution</t>
  </si>
  <si>
    <t>MW Distribution Check</t>
  </si>
  <si>
    <t>MW Historical DayShift</t>
  </si>
  <si>
    <t>MinuteWorker Dashboard</t>
  </si>
  <si>
    <t>MW FTE Profile Comparison</t>
  </si>
  <si>
    <t>MW FTE Profile Alignment Check</t>
  </si>
  <si>
    <t>Table</t>
  </si>
  <si>
    <t>RoleShiftDemandANACC</t>
  </si>
  <si>
    <t>Table153</t>
  </si>
  <si>
    <t>Table1</t>
  </si>
  <si>
    <t>Table15</t>
  </si>
  <si>
    <t>Table7</t>
  </si>
  <si>
    <t>MinuteWorkersFTE_CHECK1</t>
  </si>
  <si>
    <t>MinuteWorkersFTE_MATRIX2</t>
  </si>
  <si>
    <t>MinuteWorkersFTE_TABLE3</t>
  </si>
  <si>
    <t>MW_PreAllocation_Check</t>
  </si>
  <si>
    <t>MinuteWorkersFTE_WEEKLY_DISTRIBUTION_CHECK</t>
  </si>
  <si>
    <t>TargetMinutes4</t>
  </si>
  <si>
    <t>MatchingRosterRoleswithANACCRoles</t>
  </si>
  <si>
    <t>MinuteWorkersTable</t>
  </si>
  <si>
    <t>MinuteWorkersFTE_HISTORICAL_FORTNIGHT_TABLE</t>
  </si>
  <si>
    <t>LocRoleWeekDaysShiftAVEMATTRIX5</t>
  </si>
  <si>
    <t>LocRoleDatShift_MATRIX</t>
  </si>
  <si>
    <t>LocRoleTOTAL6</t>
  </si>
  <si>
    <t>LocRoleDayShift</t>
  </si>
  <si>
    <t>MinuteWorkersFTE_CATEGORY_DAILY_CHECK</t>
  </si>
  <si>
    <t>MW_Fortnight_Hours_Check</t>
  </si>
  <si>
    <t>MW_Daily_Allocation_Check</t>
  </si>
  <si>
    <t>MW_Publication_Check</t>
  </si>
  <si>
    <t>MW_Role_Fortnight_Day_Totals</t>
  </si>
  <si>
    <t>MW_Category_Weekday_Targets</t>
  </si>
  <si>
    <t>MinuteWorkersFTE_HISTORICAL_DAY_CHECK</t>
  </si>
  <si>
    <t>MW_Historical_WeekDayShift</t>
  </si>
  <si>
    <t>MW_Historical_Weeks</t>
  </si>
  <si>
    <t>IMPORT_Master</t>
  </si>
  <si>
    <t>MinuteWorkersFTE_PivotSource</t>
  </si>
  <si>
    <t>MW_Role_Targets</t>
  </si>
  <si>
    <t>MW_DayShift_Allocation</t>
  </si>
  <si>
    <t>MW_Role_Distribution</t>
  </si>
  <si>
    <t>MW_Distribution_Check</t>
  </si>
  <si>
    <t>MW_Historical_DayShift</t>
  </si>
  <si>
    <t>Table19</t>
  </si>
  <si>
    <t>MW_FTE_Profile_Comparison</t>
  </si>
  <si>
    <t>MW_FTE_Profile_Alignment_Check</t>
  </si>
  <si>
    <t>DefinedName</t>
  </si>
  <si>
    <t>ExternalData_1</t>
  </si>
  <si>
    <t>MinuteWorkersFTE_WEEKLY_DISTRIB!ExternalData_1</t>
  </si>
  <si>
    <t>ExternalData_18</t>
  </si>
  <si>
    <t>MW FTE Profile Alignment Check!ExternalData_1</t>
  </si>
  <si>
    <t>ExternalData_19</t>
  </si>
  <si>
    <t>MW PreAllocation Check!ExternalData_1</t>
  </si>
  <si>
    <t>ExternalData_110</t>
  </si>
  <si>
    <t>ExternalData_10</t>
  </si>
  <si>
    <t>ExternalData_11</t>
  </si>
  <si>
    <t>ExternalData_12</t>
  </si>
  <si>
    <t>ExternalData_13</t>
  </si>
  <si>
    <t>ExternalData_2</t>
  </si>
  <si>
    <t>MinuteWorkersFTE_CHECK!ExternalData_2</t>
  </si>
  <si>
    <t>ExternalData_211</t>
  </si>
  <si>
    <t>MinuteWorkersFTE_TABLE!ExternalData_2</t>
  </si>
  <si>
    <t>ExternalData_212</t>
  </si>
  <si>
    <t>MW FTE Profile Comparison!ExternalData_2</t>
  </si>
  <si>
    <t>ExternalData_213</t>
  </si>
  <si>
    <t>MW Historical DayShift!ExternalData_2</t>
  </si>
  <si>
    <t>ExternalData_3</t>
  </si>
  <si>
    <t>MinuteWorkersFTE_MATRIX!ExternalData_3</t>
  </si>
  <si>
    <t>ExternalData_315</t>
  </si>
  <si>
    <t>MW Distribution Check!ExternalData_3</t>
  </si>
  <si>
    <t>ExternalData_4</t>
  </si>
  <si>
    <t>LocRoleWeekDaysShiftAVEMATTRIX!ExternalData_4</t>
  </si>
  <si>
    <t>MW Role Distribution!ExternalData_4</t>
  </si>
  <si>
    <t>ExternalData_5</t>
  </si>
  <si>
    <t>LocRole%MATRIX!ExternalData_5</t>
  </si>
  <si>
    <t>LocRoleTOTAL!ExternalData_5</t>
  </si>
  <si>
    <t>MinuteWorkersFTE_HISTORICAL_FOR!ExternalData_5</t>
  </si>
  <si>
    <t>MW DayShift Allocation!ExternalData_5</t>
  </si>
  <si>
    <t>ExternalData_6</t>
  </si>
  <si>
    <t>IMPORT Master!ExternalData_6</t>
  </si>
  <si>
    <t>MW Role Targets!ExternalData_6</t>
  </si>
  <si>
    <t>ExternalData_7</t>
  </si>
  <si>
    <t>LocRoleDayShift%!ExternalData_7</t>
  </si>
  <si>
    <t>MinuteWorkersFTE_CATEGORY_DAILY!ExternalData_7</t>
  </si>
  <si>
    <t>ExternalData_8</t>
  </si>
  <si>
    <t>ExternalData_9</t>
  </si>
  <si>
    <t>_xlnm.Print_Area</t>
  </si>
  <si>
    <t>Actual!_xlnm.Print_Area</t>
  </si>
  <si>
    <t>Assumed!_xlnm.Print_Area</t>
  </si>
  <si>
    <t>EN</t>
  </si>
  <si>
    <t>MinuteWorkersFTE_HISTORICAL (3)</t>
  </si>
  <si>
    <t>MW Input Check</t>
  </si>
  <si>
    <t>MW MinuteWorkers Prepare</t>
  </si>
  <si>
    <t>MW Roster Role Mapping Prepare</t>
  </si>
  <si>
    <t>MinuteWorkersFTE_HISTORICAL (2)</t>
  </si>
  <si>
    <t>Locations Analysed (2)</t>
  </si>
  <si>
    <t>Locations Analysed</t>
  </si>
  <si>
    <t>MW_Input_Check</t>
  </si>
  <si>
    <t>MW_MinuteWorkers_Prepare</t>
  </si>
  <si>
    <t>MW_Roster_Role_Mapping_Prepare</t>
  </si>
  <si>
    <t>MinuteWorkersFTE_Demand</t>
  </si>
  <si>
    <t>Locations Analysed (2)!ExternalData_1</t>
  </si>
  <si>
    <t>ExternalData_17</t>
  </si>
  <si>
    <t>MW Historical Weeks!ExternalData_1</t>
  </si>
  <si>
    <t>MW Roster Role Mapping Prepare!ExternalData_10</t>
  </si>
  <si>
    <t>MW MinuteWorkers Prepare!ExternalData_11</t>
  </si>
  <si>
    <t>MW Input Check!ExternalData_12</t>
  </si>
  <si>
    <t>MinuteWorkersFTE_HISTORICAL (3)!ExternalData_13</t>
  </si>
  <si>
    <t>ExternalData_214</t>
  </si>
  <si>
    <t>MW Historical WeekDayShift!ExternalData_2</t>
  </si>
  <si>
    <t>Locations Analysed!ExternalData_3</t>
  </si>
  <si>
    <t>MinuteWorkersFTE_HISTORICAL_DAY!ExternalData_3</t>
  </si>
  <si>
    <t>ExternalData_316</t>
  </si>
  <si>
    <t>ExternalData_317</t>
  </si>
  <si>
    <t>ExternalData_418</t>
  </si>
  <si>
    <t>MW Category Weekday Targets!ExternalData_4</t>
  </si>
  <si>
    <t>ExternalData_419</t>
  </si>
  <si>
    <t>ExternalData_520</t>
  </si>
  <si>
    <t>ExternalData_521</t>
  </si>
  <si>
    <t>ExternalData_522</t>
  </si>
  <si>
    <t>ExternalData_523</t>
  </si>
  <si>
    <t>MW Role Fortnight Day Totals!ExternalData_5</t>
  </si>
  <si>
    <t>ExternalData_625</t>
  </si>
  <si>
    <t>MinuteWorkersFTE_HISTORICAL (2)!ExternalData_6</t>
  </si>
  <si>
    <t>ExternalData_626</t>
  </si>
  <si>
    <t>ExternalData_727</t>
  </si>
  <si>
    <t>ExternalData_728</t>
  </si>
  <si>
    <t>MW Publication Check!ExternalData_7</t>
  </si>
  <si>
    <t>MW Daily Allocation Check!ExternalData_8</t>
  </si>
  <si>
    <t>MW Fortnight Hours Check!ExternalData_9</t>
  </si>
  <si>
    <t>FilePathUrl29</t>
  </si>
  <si>
    <t>_xlnm.Print_Area30</t>
  </si>
  <si>
    <t>C:\Users\Alex\CentriNOTSYNC\ResidentialCare\CLIENT\DATExx-Whiddon\UNITS\TE\1. Input</t>
  </si>
  <si>
    <t>C:\Users\Alex\CentriNOTSYNC\ResidentialCare\CLIENT\DATExx-Whiddon\UNITS\TE\1. Input\2-DemandExtract.xlsx</t>
  </si>
  <si>
    <t>TE</t>
  </si>
  <si>
    <t>Resurrection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</si>
</sst>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b/>
      <sz val="10"/>
      <color rgb="FF000000"/>
      <name val="Times New Roman"/>
      <family val="1"/>
    </font>
    <font>
      <sz val="10"/>
      <color theme="0" tint="-0.499984740745262"/>
      <name val="Times New Roman"/>
      <family val="1"/>
      <charset val="204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1" xfId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7" fillId="0" borderId="0" xfId="1" applyFont="1" applyAlignment="1">
      <alignment horizontal="left" vertical="top"/>
    </xf>
    <xf numFmtId="0" fontId="9" fillId="0" borderId="2" xfId="0" applyFont="1" applyBorder="1"/>
    <xf numFmtId="0" fontId="10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D1D58750-7B29-4B9E-A224-55B6651A7FEF}"/>
  </cellStyles>
  <dxfs count="20">
    <dxf>
      <numFmt numFmtId="165" formatCode="m/d/yyyy\ h:mm"/>
    </dxf>
    <dxf>
      <numFmt numFmtId="165" formatCode="m/d/yyyy\ h:mm"/>
    </dxf>
    <dxf>
      <numFmt numFmtId="164" formatCode="m/d/yyyy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https://centri001.sharepoint.com/sites/2.0Accounts/Shared%20Documents/2.1.1%20RFBI-PoC/2.0%20RFBI/04.1%20PoC/04%20Analysis/COMPUTERPAT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wojAMNtMEafITSMnMZsuXilD8tw-NZHsNlaQj4qnPsv_Gi1Kk0aT6ktvm6p1Hm_" itemId="01JKT3HL7SDNGNSKGC6VDKCIWUFSNWSVXY">
      <xxl21:absoluteUrl r:id="rId2"/>
    </xxl21:alternateUrls>
    <sheetNames>
      <sheetName val="Computerpath"/>
      <sheetName val="FILEPATH"/>
      <sheetName val="StaffList"/>
      <sheetName val="Allocation"/>
      <sheetName val="ResourceShiftAllocation"/>
      <sheetName val="Metadata"/>
    </sheetNames>
    <definedNames>
      <definedName name="Client" refersTo="='Computerpath'!$B$14"/>
    </definedNames>
    <sheetDataSet>
      <sheetData sheetId="0">
        <row r="14">
          <cell r="B14" t="str">
            <v>04.1 PoC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ShiftHours"/>
      <sheetName val="Metadata"/>
      <sheetName val="Query3"/>
      <sheetName val="AllocationExtracted"/>
      <sheetName val="SETTINGS"/>
    </sheetNames>
    <sheetDataSet>
      <sheetData sheetId="0">
        <row r="26">
          <cell r="B26" t="str">
            <v>C:\Users\Alex\Centri\4. Production - Documents\WFEffectiveness\4.1.1 AGED CARE\01 Christadelphian Aged Care\240715\FACILITIES\ASHB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D5EB0CE6-35C1-4049-B57E-F19A559ECDC1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Item" tableColumnId="2"/>
      <queryTableField id="3" name="Kind" tableColumnId="3"/>
      <queryTableField id="4" name="Hidde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08396A6F-A017-4334-92D2-E9216D7C8BE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1" xr16:uid="{419435E5-0A44-4586-9E47-50FAF436EC07}" autoFormatId="16" applyNumberFormats="0" applyBorderFormats="0" applyFontFormats="0" applyPatternFormats="0" applyAlignmentFormats="0" applyWidthHeightFormats="0">
  <queryTableRefresh nextId="18">
    <queryTableFields count="12">
      <queryTableField id="1" name="Date" tableColumnId="1"/>
      <queryTableField id="2" name="Day" tableColumnId="2"/>
      <queryTableField id="12" name="Shift" tableColumnId="3"/>
      <queryTableField id="4" name="Period" tableColumnId="4"/>
      <queryTableField id="13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7" name="DurationOfShif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9E3ABE-9043-4D37-8F49-65FE9ACE58B9}" name="IMPORT_Distributed_Demand" displayName="IMPORT_Distributed_Demand" ref="A1:D123" tableType="queryTable" totalsRowShown="0">
  <autoFilter ref="A1:D123" xr:uid="{D19E3ABE-9043-4D37-8F49-65FE9ACE58B9}"/>
  <tableColumns count="4">
    <tableColumn id="1" xr3:uid="{1781A064-5EF5-4281-AEDB-D95F9105BFAE}" uniqueName="1" name="Name" queryTableFieldId="1" dataDxfId="14"/>
    <tableColumn id="2" xr3:uid="{CB30E714-BB00-4684-BF6A-9E60947C7F00}" uniqueName="2" name="Item" queryTableFieldId="2" dataDxfId="13"/>
    <tableColumn id="3" xr3:uid="{69A4167D-2F5E-41AF-A0A2-C1C2AC32E10C}" uniqueName="3" name="Kind" queryTableFieldId="3" dataDxfId="12"/>
    <tableColumn id="4" xr3:uid="{681EB4B5-C2C1-4BA2-944C-F43E7F81FC1D}" uniqueName="4" name="Hidde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C0CF8-226F-4A41-80C6-7A1A66A55922}" name="UnitL1PathTABLE" displayName="UnitL1PathTABLE" ref="A3:B10" tableType="queryTable" totalsRowShown="0" headerRowDxfId="11" dataDxfId="10" headerRowCellStyle="Normal 2" dataCellStyle="Normal 2">
  <autoFilter ref="A3:B10" xr:uid="{4DEC0CF8-226F-4A41-80C6-7A1A66A55922}"/>
  <tableColumns count="2">
    <tableColumn id="1" xr3:uid="{44910F7A-D741-47F7-A02E-104548410F57}" uniqueName="1" name="Variable Name" queryTableFieldId="1" dataDxfId="9" dataCellStyle="Normal 2"/>
    <tableColumn id="2" xr3:uid="{3E66256B-6AD6-4A95-A5B3-FC4293023AAA}" uniqueName="2" name="Value" queryTableFieldId="2" dataDxfId="8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8987E-E16E-4383-8D44-8616D147C051}" name="Folder" displayName="Folder" ref="B35:B36" totalsRowShown="0" dataDxfId="7" dataCellStyle="Normal 2">
  <autoFilter ref="B35:B36" xr:uid="{56272DB7-7BB8-46CC-B188-5BD9424345D9}"/>
  <tableColumns count="1">
    <tableColumn id="1" xr3:uid="{2421507E-D9CF-4631-8D7F-F6F300ACF490}" name="Folder" dataDxfId="6" dataCellStyle="Normal 2">
      <calculatedColumnFormula>B20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381707-5370-40EB-A3BF-0D21DA42D23D}" name="MaxAvailability" displayName="MaxAvailability" ref="B43:B44" totalsRowShown="0" headerRowDxfId="5" dataDxfId="4" headerRowCellStyle="Normal 2" dataCellStyle="Normal 2">
  <autoFilter ref="B43:B44" xr:uid="{B4BE93C5-5635-4146-B292-6A216A758169}"/>
  <tableColumns count="1">
    <tableColumn id="1" xr3:uid="{6F5F3649-954D-4348-BDF9-A66D53F6C03E}" name="MaxAvailability" dataDxfId="3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8F804F-B4A2-4931-9904-A7AC43201EC8}" name="ShiftUnitDemandHRS" displayName="ShiftUnitDemandHRS" ref="A1:L253" tableType="queryTable" totalsRowShown="0">
  <autoFilter ref="A1:L253" xr:uid="{F78F804F-B4A2-4931-9904-A7AC43201EC8}">
    <filterColumn colId="4">
      <filters>
        <filter val="AIN"/>
      </filters>
    </filterColumn>
  </autoFilter>
  <tableColumns count="12">
    <tableColumn id="1" xr3:uid="{2D8BEAC6-4AA4-461C-86BF-7651180C2B0F}" uniqueName="1" name="Date" queryTableFieldId="1" dataDxfId="2"/>
    <tableColumn id="2" xr3:uid="{D4B44474-80F6-4C11-9210-40EEB55914E9}" uniqueName="2" name="Day" queryTableFieldId="2"/>
    <tableColumn id="3" xr3:uid="{72B5A970-07E7-448C-9358-0E36681C9B68}" uniqueName="3" name="Shift" queryTableFieldId="12" dataDxfId="19"/>
    <tableColumn id="4" xr3:uid="{1F13C106-DC93-479A-B735-BC8A07676A52}" uniqueName="4" name="Period" queryTableFieldId="4"/>
    <tableColumn id="5" xr3:uid="{2EFBE949-BF8B-4BA3-9FB2-2702C0DB63C7}" uniqueName="5" name="Role" queryTableFieldId="13" dataDxfId="18"/>
    <tableColumn id="6" xr3:uid="{380F1D14-73BA-4508-B3EC-BF5C91C7A604}" uniqueName="6" name="StartTime" queryTableFieldId="6" dataDxfId="1"/>
    <tableColumn id="7" xr3:uid="{38F11322-E484-4EEB-94DF-C08DD14098FE}" uniqueName="7" name="EndTime" queryTableFieldId="7" dataDxfId="0"/>
    <tableColumn id="8" xr3:uid="{91B2FC2F-0200-4EA6-B451-923B4C1E130B}" uniqueName="8" name="Unit" queryTableFieldId="8" dataDxfId="17"/>
    <tableColumn id="9" xr3:uid="{DA932A5C-48B3-49BB-85E7-185A61C4A917}" uniqueName="9" name="Facility" queryTableFieldId="9" dataDxfId="16"/>
    <tableColumn id="10" xr3:uid="{A365FACE-EE7F-4ECC-8776-BB13F4B588F7}" uniqueName="10" name="DemandFTE" queryTableFieldId="10"/>
    <tableColumn id="11" xr3:uid="{91D29EEF-46BE-46CE-BDFA-5195485874D2}" uniqueName="11" name="DemandHRS" queryTableFieldId="11" dataDxfId="15"/>
    <tableColumn id="12" xr3:uid="{C3C1EA70-E63D-4822-BEFD-B6A74FB1C21D}" uniqueName="12" name="DurationOfShift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16747B-052B-4A76-967D-861B6FA4FF6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8457d8b4-0f86-4f30-9a8a-50812ab523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1D6F-4B6B-4C1E-8478-258448731D6A}">
  <dimension ref="A1:D123"/>
  <sheetViews>
    <sheetView workbookViewId="0">
      <selection sqref="A1:D122"/>
    </sheetView>
  </sheetViews>
  <sheetFormatPr defaultRowHeight="15" x14ac:dyDescent="0.25"/>
  <cols>
    <col min="1" max="1" width="47.85546875" bestFit="1" customWidth="1"/>
    <col min="2" max="2" width="49.42578125" bestFit="1" customWidth="1"/>
    <col min="3" max="3" width="13.5703125" bestFit="1" customWidth="1"/>
    <col min="4" max="4" width="9.7109375" bestFit="1" customWidth="1"/>
  </cols>
  <sheetData>
    <row r="1" spans="1:4" x14ac:dyDescent="0.25">
      <c r="A1" t="s">
        <v>44</v>
      </c>
      <c r="B1" t="s">
        <v>45</v>
      </c>
      <c r="C1" t="s">
        <v>46</v>
      </c>
      <c r="D1" t="s">
        <v>47</v>
      </c>
    </row>
    <row r="2" spans="1:4" x14ac:dyDescent="0.25">
      <c r="A2" t="s">
        <v>49</v>
      </c>
      <c r="B2" t="s">
        <v>49</v>
      </c>
      <c r="C2" t="s">
        <v>48</v>
      </c>
      <c r="D2" t="b">
        <v>0</v>
      </c>
    </row>
    <row r="3" spans="1:4" x14ac:dyDescent="0.25">
      <c r="A3" t="s">
        <v>50</v>
      </c>
      <c r="B3" t="s">
        <v>50</v>
      </c>
      <c r="C3" t="s">
        <v>48</v>
      </c>
      <c r="D3" t="b">
        <v>0</v>
      </c>
    </row>
    <row r="4" spans="1:4" x14ac:dyDescent="0.25">
      <c r="A4" t="s">
        <v>51</v>
      </c>
      <c r="B4" t="s">
        <v>51</v>
      </c>
      <c r="C4" t="s">
        <v>48</v>
      </c>
      <c r="D4" t="b">
        <v>0</v>
      </c>
    </row>
    <row r="5" spans="1:4" x14ac:dyDescent="0.25">
      <c r="A5" t="s">
        <v>52</v>
      </c>
      <c r="B5" t="s">
        <v>52</v>
      </c>
      <c r="C5" t="s">
        <v>48</v>
      </c>
      <c r="D5" t="b">
        <v>0</v>
      </c>
    </row>
    <row r="6" spans="1:4" x14ac:dyDescent="0.25">
      <c r="A6" t="s">
        <v>53</v>
      </c>
      <c r="B6" t="s">
        <v>53</v>
      </c>
      <c r="C6" t="s">
        <v>48</v>
      </c>
      <c r="D6" t="b">
        <v>0</v>
      </c>
    </row>
    <row r="7" spans="1:4" x14ac:dyDescent="0.25">
      <c r="A7" t="s">
        <v>54</v>
      </c>
      <c r="B7" t="s">
        <v>54</v>
      </c>
      <c r="C7" t="s">
        <v>48</v>
      </c>
      <c r="D7" t="b">
        <v>0</v>
      </c>
    </row>
    <row r="8" spans="1:4" x14ac:dyDescent="0.25">
      <c r="A8" t="s">
        <v>166</v>
      </c>
      <c r="B8" t="s">
        <v>166</v>
      </c>
      <c r="C8" t="s">
        <v>48</v>
      </c>
      <c r="D8" t="b">
        <v>0</v>
      </c>
    </row>
    <row r="9" spans="1:4" x14ac:dyDescent="0.25">
      <c r="A9" t="s">
        <v>167</v>
      </c>
      <c r="B9" t="s">
        <v>167</v>
      </c>
      <c r="C9" t="s">
        <v>48</v>
      </c>
      <c r="D9" t="b">
        <v>0</v>
      </c>
    </row>
    <row r="10" spans="1:4" x14ac:dyDescent="0.25">
      <c r="A10" t="s">
        <v>168</v>
      </c>
      <c r="B10" t="s">
        <v>168</v>
      </c>
      <c r="C10" t="s">
        <v>48</v>
      </c>
      <c r="D10" t="b">
        <v>0</v>
      </c>
    </row>
    <row r="11" spans="1:4" x14ac:dyDescent="0.25">
      <c r="A11" t="s">
        <v>169</v>
      </c>
      <c r="B11" t="s">
        <v>169</v>
      </c>
      <c r="C11" t="s">
        <v>48</v>
      </c>
      <c r="D11" t="b">
        <v>0</v>
      </c>
    </row>
    <row r="12" spans="1:4" x14ac:dyDescent="0.25">
      <c r="A12" t="s">
        <v>66</v>
      </c>
      <c r="B12" t="s">
        <v>66</v>
      </c>
      <c r="C12" t="s">
        <v>48</v>
      </c>
      <c r="D12" t="b">
        <v>0</v>
      </c>
    </row>
    <row r="13" spans="1:4" x14ac:dyDescent="0.25">
      <c r="A13" t="s">
        <v>67</v>
      </c>
      <c r="B13" t="s">
        <v>67</v>
      </c>
      <c r="C13" t="s">
        <v>48</v>
      </c>
      <c r="D13" t="b">
        <v>0</v>
      </c>
    </row>
    <row r="14" spans="1:4" x14ac:dyDescent="0.25">
      <c r="A14" t="s">
        <v>68</v>
      </c>
      <c r="B14" t="s">
        <v>68</v>
      </c>
      <c r="C14" t="s">
        <v>48</v>
      </c>
      <c r="D14" t="b">
        <v>0</v>
      </c>
    </row>
    <row r="15" spans="1:4" x14ac:dyDescent="0.25">
      <c r="A15" t="s">
        <v>170</v>
      </c>
      <c r="B15" t="s">
        <v>170</v>
      </c>
      <c r="C15" t="s">
        <v>48</v>
      </c>
      <c r="D15" t="b">
        <v>0</v>
      </c>
    </row>
    <row r="16" spans="1:4" x14ac:dyDescent="0.25">
      <c r="A16" t="s">
        <v>69</v>
      </c>
      <c r="B16" t="s">
        <v>69</v>
      </c>
      <c r="C16" t="s">
        <v>48</v>
      </c>
      <c r="D16" t="b">
        <v>0</v>
      </c>
    </row>
    <row r="17" spans="1:4" x14ac:dyDescent="0.25">
      <c r="A17" t="s">
        <v>70</v>
      </c>
      <c r="B17" t="s">
        <v>70</v>
      </c>
      <c r="C17" t="s">
        <v>48</v>
      </c>
      <c r="D17" t="b">
        <v>0</v>
      </c>
    </row>
    <row r="18" spans="1:4" x14ac:dyDescent="0.25">
      <c r="A18" t="s">
        <v>71</v>
      </c>
      <c r="B18" t="s">
        <v>71</v>
      </c>
      <c r="C18" t="s">
        <v>48</v>
      </c>
      <c r="D18" t="b">
        <v>0</v>
      </c>
    </row>
    <row r="19" spans="1:4" x14ac:dyDescent="0.25">
      <c r="A19" t="s">
        <v>72</v>
      </c>
      <c r="B19" t="s">
        <v>72</v>
      </c>
      <c r="C19" t="s">
        <v>48</v>
      </c>
      <c r="D19" t="b">
        <v>0</v>
      </c>
    </row>
    <row r="20" spans="1:4" x14ac:dyDescent="0.25">
      <c r="A20" t="s">
        <v>73</v>
      </c>
      <c r="B20" t="s">
        <v>73</v>
      </c>
      <c r="C20" t="s">
        <v>48</v>
      </c>
      <c r="D20" t="b">
        <v>0</v>
      </c>
    </row>
    <row r="21" spans="1:4" x14ac:dyDescent="0.25">
      <c r="A21" t="s">
        <v>171</v>
      </c>
      <c r="B21" t="s">
        <v>171</v>
      </c>
      <c r="C21" t="s">
        <v>48</v>
      </c>
      <c r="D21" t="b">
        <v>0</v>
      </c>
    </row>
    <row r="22" spans="1:4" x14ac:dyDescent="0.25">
      <c r="A22" t="s">
        <v>172</v>
      </c>
      <c r="B22" t="s">
        <v>172</v>
      </c>
      <c r="C22" t="s">
        <v>48</v>
      </c>
      <c r="D22" t="b">
        <v>0</v>
      </c>
    </row>
    <row r="23" spans="1:4" x14ac:dyDescent="0.25">
      <c r="A23" t="s">
        <v>55</v>
      </c>
      <c r="B23" t="s">
        <v>55</v>
      </c>
      <c r="C23" t="s">
        <v>48</v>
      </c>
      <c r="D23" t="b">
        <v>0</v>
      </c>
    </row>
    <row r="24" spans="1:4" x14ac:dyDescent="0.25">
      <c r="A24" t="s">
        <v>56</v>
      </c>
      <c r="B24" t="s">
        <v>56</v>
      </c>
      <c r="C24" t="s">
        <v>48</v>
      </c>
      <c r="D24" t="b">
        <v>0</v>
      </c>
    </row>
    <row r="25" spans="1:4" x14ac:dyDescent="0.25">
      <c r="A25" t="s">
        <v>57</v>
      </c>
      <c r="B25" t="s">
        <v>57</v>
      </c>
      <c r="C25" t="s">
        <v>48</v>
      </c>
      <c r="D25" t="b">
        <v>0</v>
      </c>
    </row>
    <row r="26" spans="1:4" x14ac:dyDescent="0.25">
      <c r="A26" t="s">
        <v>58</v>
      </c>
      <c r="B26" t="s">
        <v>58</v>
      </c>
      <c r="C26" t="s">
        <v>48</v>
      </c>
      <c r="D26" t="b">
        <v>0</v>
      </c>
    </row>
    <row r="27" spans="1:4" x14ac:dyDescent="0.25">
      <c r="A27" t="s">
        <v>59</v>
      </c>
      <c r="B27" t="s">
        <v>59</v>
      </c>
      <c r="C27" t="s">
        <v>48</v>
      </c>
      <c r="D27" t="b">
        <v>0</v>
      </c>
    </row>
    <row r="28" spans="1:4" x14ac:dyDescent="0.25">
      <c r="A28" t="s">
        <v>60</v>
      </c>
      <c r="B28" t="s">
        <v>60</v>
      </c>
      <c r="C28" t="s">
        <v>48</v>
      </c>
      <c r="D28" t="b">
        <v>0</v>
      </c>
    </row>
    <row r="29" spans="1:4" x14ac:dyDescent="0.25">
      <c r="A29" t="s">
        <v>61</v>
      </c>
      <c r="B29" t="s">
        <v>61</v>
      </c>
      <c r="C29" t="s">
        <v>48</v>
      </c>
      <c r="D29" t="b">
        <v>0</v>
      </c>
    </row>
    <row r="30" spans="1:4" x14ac:dyDescent="0.25">
      <c r="A30" t="s">
        <v>62</v>
      </c>
      <c r="B30" t="s">
        <v>62</v>
      </c>
      <c r="C30" t="s">
        <v>48</v>
      </c>
      <c r="D30" t="b">
        <v>0</v>
      </c>
    </row>
    <row r="31" spans="1:4" x14ac:dyDescent="0.25">
      <c r="A31" t="s">
        <v>63</v>
      </c>
      <c r="B31" t="s">
        <v>63</v>
      </c>
      <c r="C31" t="s">
        <v>48</v>
      </c>
      <c r="D31" t="b">
        <v>0</v>
      </c>
    </row>
    <row r="32" spans="1:4" x14ac:dyDescent="0.25">
      <c r="A32" t="s">
        <v>64</v>
      </c>
      <c r="B32" t="s">
        <v>64</v>
      </c>
      <c r="C32" t="s">
        <v>48</v>
      </c>
      <c r="D32" t="b">
        <v>0</v>
      </c>
    </row>
    <row r="33" spans="1:4" x14ac:dyDescent="0.25">
      <c r="A33" t="s">
        <v>65</v>
      </c>
      <c r="B33" t="s">
        <v>65</v>
      </c>
      <c r="C33" t="s">
        <v>48</v>
      </c>
      <c r="D33" t="b">
        <v>0</v>
      </c>
    </row>
    <row r="34" spans="1:4" x14ac:dyDescent="0.25">
      <c r="A34" t="s">
        <v>74</v>
      </c>
      <c r="B34" t="s">
        <v>74</v>
      </c>
      <c r="C34" t="s">
        <v>48</v>
      </c>
      <c r="D34" t="b">
        <v>0</v>
      </c>
    </row>
    <row r="35" spans="1:4" x14ac:dyDescent="0.25">
      <c r="A35" t="s">
        <v>39</v>
      </c>
      <c r="B35" t="s">
        <v>39</v>
      </c>
      <c r="C35" t="s">
        <v>48</v>
      </c>
      <c r="D35" t="b">
        <v>0</v>
      </c>
    </row>
    <row r="36" spans="1:4" x14ac:dyDescent="0.25">
      <c r="A36" t="s">
        <v>75</v>
      </c>
      <c r="B36" t="s">
        <v>75</v>
      </c>
      <c r="C36" t="s">
        <v>48</v>
      </c>
      <c r="D36" t="b">
        <v>0</v>
      </c>
    </row>
    <row r="37" spans="1:4" x14ac:dyDescent="0.25">
      <c r="A37" t="s">
        <v>76</v>
      </c>
      <c r="B37" t="s">
        <v>76</v>
      </c>
      <c r="C37" t="s">
        <v>48</v>
      </c>
      <c r="D37" t="b">
        <v>0</v>
      </c>
    </row>
    <row r="38" spans="1:4" x14ac:dyDescent="0.25">
      <c r="A38" t="s">
        <v>77</v>
      </c>
      <c r="B38" t="s">
        <v>77</v>
      </c>
      <c r="C38" t="s">
        <v>48</v>
      </c>
      <c r="D38" t="b">
        <v>0</v>
      </c>
    </row>
    <row r="39" spans="1:4" x14ac:dyDescent="0.25">
      <c r="A39" t="s">
        <v>78</v>
      </c>
      <c r="B39" t="s">
        <v>78</v>
      </c>
      <c r="C39" t="s">
        <v>48</v>
      </c>
      <c r="D39" t="b">
        <v>0</v>
      </c>
    </row>
    <row r="40" spans="1:4" x14ac:dyDescent="0.25">
      <c r="A40" t="s">
        <v>79</v>
      </c>
      <c r="B40" t="s">
        <v>79</v>
      </c>
      <c r="C40" t="s">
        <v>48</v>
      </c>
      <c r="D40" t="b">
        <v>0</v>
      </c>
    </row>
    <row r="41" spans="1:4" x14ac:dyDescent="0.25">
      <c r="A41" t="s">
        <v>80</v>
      </c>
      <c r="B41" t="s">
        <v>80</v>
      </c>
      <c r="C41" t="s">
        <v>48</v>
      </c>
      <c r="D41" t="b">
        <v>0</v>
      </c>
    </row>
    <row r="42" spans="1:4" x14ac:dyDescent="0.25">
      <c r="A42" t="s">
        <v>81</v>
      </c>
      <c r="B42" t="s">
        <v>81</v>
      </c>
      <c r="C42" t="s">
        <v>48</v>
      </c>
      <c r="D42" t="b">
        <v>0</v>
      </c>
    </row>
    <row r="43" spans="1:4" x14ac:dyDescent="0.25">
      <c r="A43" t="s">
        <v>82</v>
      </c>
      <c r="B43" t="s">
        <v>82</v>
      </c>
      <c r="C43" t="s">
        <v>48</v>
      </c>
      <c r="D43" t="b">
        <v>0</v>
      </c>
    </row>
    <row r="44" spans="1:4" x14ac:dyDescent="0.25">
      <c r="A44" t="s">
        <v>83</v>
      </c>
      <c r="B44" t="s">
        <v>83</v>
      </c>
      <c r="C44" t="s">
        <v>48</v>
      </c>
      <c r="D44" t="b">
        <v>0</v>
      </c>
    </row>
    <row r="45" spans="1:4" x14ac:dyDescent="0.25">
      <c r="A45" t="s">
        <v>211</v>
      </c>
      <c r="B45" t="s">
        <v>211</v>
      </c>
      <c r="C45" t="s">
        <v>48</v>
      </c>
      <c r="D45" t="b">
        <v>0</v>
      </c>
    </row>
    <row r="46" spans="1:4" x14ac:dyDescent="0.25">
      <c r="A46" t="s">
        <v>85</v>
      </c>
      <c r="B46" t="s">
        <v>85</v>
      </c>
      <c r="C46" t="s">
        <v>84</v>
      </c>
      <c r="D46" t="b">
        <v>0</v>
      </c>
    </row>
    <row r="47" spans="1:4" x14ac:dyDescent="0.25">
      <c r="A47" t="s">
        <v>86</v>
      </c>
      <c r="B47" t="s">
        <v>86</v>
      </c>
      <c r="C47" t="s">
        <v>84</v>
      </c>
      <c r="D47" t="b">
        <v>0</v>
      </c>
    </row>
    <row r="48" spans="1:4" x14ac:dyDescent="0.25">
      <c r="A48" t="s">
        <v>87</v>
      </c>
      <c r="B48" t="s">
        <v>87</v>
      </c>
      <c r="C48" t="s">
        <v>84</v>
      </c>
      <c r="D48" t="b">
        <v>0</v>
      </c>
    </row>
    <row r="49" spans="1:4" x14ac:dyDescent="0.25">
      <c r="A49" t="s">
        <v>88</v>
      </c>
      <c r="B49" t="s">
        <v>88</v>
      </c>
      <c r="C49" t="s">
        <v>84</v>
      </c>
      <c r="D49" t="b">
        <v>0</v>
      </c>
    </row>
    <row r="50" spans="1:4" x14ac:dyDescent="0.25">
      <c r="A50" t="s">
        <v>89</v>
      </c>
      <c r="B50" t="s">
        <v>89</v>
      </c>
      <c r="C50" t="s">
        <v>84</v>
      </c>
      <c r="D50" t="b">
        <v>0</v>
      </c>
    </row>
    <row r="51" spans="1:4" x14ac:dyDescent="0.25">
      <c r="A51" t="s">
        <v>90</v>
      </c>
      <c r="B51" t="s">
        <v>53</v>
      </c>
      <c r="C51" t="s">
        <v>84</v>
      </c>
      <c r="D51" t="b">
        <v>0</v>
      </c>
    </row>
    <row r="52" spans="1:4" x14ac:dyDescent="0.25">
      <c r="A52" t="s">
        <v>91</v>
      </c>
      <c r="B52" t="s">
        <v>54</v>
      </c>
      <c r="C52" t="s">
        <v>84</v>
      </c>
      <c r="D52" t="b">
        <v>0</v>
      </c>
    </row>
    <row r="53" spans="1:4" x14ac:dyDescent="0.25">
      <c r="A53" t="s">
        <v>98</v>
      </c>
      <c r="B53" t="s">
        <v>98</v>
      </c>
      <c r="C53" t="s">
        <v>84</v>
      </c>
      <c r="D53" t="b">
        <v>0</v>
      </c>
    </row>
    <row r="54" spans="1:4" x14ac:dyDescent="0.25">
      <c r="A54" t="s">
        <v>173</v>
      </c>
      <c r="B54" t="s">
        <v>173</v>
      </c>
      <c r="C54" t="s">
        <v>84</v>
      </c>
      <c r="D54" t="b">
        <v>0</v>
      </c>
    </row>
    <row r="55" spans="1:4" x14ac:dyDescent="0.25">
      <c r="A55" t="s">
        <v>174</v>
      </c>
      <c r="B55" t="s">
        <v>174</v>
      </c>
      <c r="C55" t="s">
        <v>84</v>
      </c>
      <c r="D55" t="b">
        <v>0</v>
      </c>
    </row>
    <row r="56" spans="1:4" x14ac:dyDescent="0.25">
      <c r="A56" t="s">
        <v>175</v>
      </c>
      <c r="B56" t="s">
        <v>175</v>
      </c>
      <c r="C56" t="s">
        <v>84</v>
      </c>
      <c r="D56" t="b">
        <v>0</v>
      </c>
    </row>
    <row r="57" spans="1:4" x14ac:dyDescent="0.25">
      <c r="A57" t="s">
        <v>104</v>
      </c>
      <c r="B57" t="s">
        <v>104</v>
      </c>
      <c r="C57" t="s">
        <v>84</v>
      </c>
      <c r="D57" t="b">
        <v>0</v>
      </c>
    </row>
    <row r="58" spans="1:4" x14ac:dyDescent="0.25">
      <c r="A58" t="s">
        <v>105</v>
      </c>
      <c r="B58" t="s">
        <v>105</v>
      </c>
      <c r="C58" t="s">
        <v>84</v>
      </c>
      <c r="D58" t="b">
        <v>0</v>
      </c>
    </row>
    <row r="59" spans="1:4" x14ac:dyDescent="0.25">
      <c r="A59" t="s">
        <v>106</v>
      </c>
      <c r="B59" t="s">
        <v>106</v>
      </c>
      <c r="C59" t="s">
        <v>84</v>
      </c>
      <c r="D59" t="b">
        <v>0</v>
      </c>
    </row>
    <row r="60" spans="1:4" x14ac:dyDescent="0.25">
      <c r="A60" t="s">
        <v>107</v>
      </c>
      <c r="B60" t="s">
        <v>107</v>
      </c>
      <c r="C60" t="s">
        <v>84</v>
      </c>
      <c r="D60" t="b">
        <v>0</v>
      </c>
    </row>
    <row r="61" spans="1:4" x14ac:dyDescent="0.25">
      <c r="A61" t="s">
        <v>108</v>
      </c>
      <c r="B61" t="s">
        <v>108</v>
      </c>
      <c r="C61" t="s">
        <v>84</v>
      </c>
      <c r="D61" t="b">
        <v>0</v>
      </c>
    </row>
    <row r="62" spans="1:4" x14ac:dyDescent="0.25">
      <c r="A62" t="s">
        <v>109</v>
      </c>
      <c r="B62" t="s">
        <v>109</v>
      </c>
      <c r="C62" t="s">
        <v>84</v>
      </c>
      <c r="D62" t="b">
        <v>0</v>
      </c>
    </row>
    <row r="63" spans="1:4" x14ac:dyDescent="0.25">
      <c r="A63" t="s">
        <v>110</v>
      </c>
      <c r="B63" t="s">
        <v>110</v>
      </c>
      <c r="C63" t="s">
        <v>84</v>
      </c>
      <c r="D63" t="b">
        <v>0</v>
      </c>
    </row>
    <row r="64" spans="1:4" x14ac:dyDescent="0.25">
      <c r="A64" t="s">
        <v>111</v>
      </c>
      <c r="B64" t="s">
        <v>111</v>
      </c>
      <c r="C64" t="s">
        <v>84</v>
      </c>
      <c r="D64" t="b">
        <v>0</v>
      </c>
    </row>
    <row r="65" spans="1:4" x14ac:dyDescent="0.25">
      <c r="A65" t="s">
        <v>92</v>
      </c>
      <c r="B65" t="s">
        <v>55</v>
      </c>
      <c r="C65" t="s">
        <v>84</v>
      </c>
      <c r="D65" t="b">
        <v>0</v>
      </c>
    </row>
    <row r="66" spans="1:4" x14ac:dyDescent="0.25">
      <c r="A66" t="s">
        <v>93</v>
      </c>
      <c r="B66" t="s">
        <v>93</v>
      </c>
      <c r="C66" t="s">
        <v>84</v>
      </c>
      <c r="D66" t="b">
        <v>0</v>
      </c>
    </row>
    <row r="67" spans="1:4" x14ac:dyDescent="0.25">
      <c r="A67" t="s">
        <v>94</v>
      </c>
      <c r="B67" t="s">
        <v>94</v>
      </c>
      <c r="C67" t="s">
        <v>84</v>
      </c>
      <c r="D67" t="b">
        <v>0</v>
      </c>
    </row>
    <row r="68" spans="1:4" x14ac:dyDescent="0.25">
      <c r="A68" t="s">
        <v>95</v>
      </c>
      <c r="B68" t="s">
        <v>58</v>
      </c>
      <c r="C68" t="s">
        <v>84</v>
      </c>
      <c r="D68" t="b">
        <v>0</v>
      </c>
    </row>
    <row r="69" spans="1:4" x14ac:dyDescent="0.25">
      <c r="A69" t="s">
        <v>96</v>
      </c>
      <c r="B69" t="s">
        <v>96</v>
      </c>
      <c r="C69" t="s">
        <v>84</v>
      </c>
      <c r="D69" t="b">
        <v>0</v>
      </c>
    </row>
    <row r="70" spans="1:4" x14ac:dyDescent="0.25">
      <c r="A70" t="s">
        <v>97</v>
      </c>
      <c r="B70" t="s">
        <v>97</v>
      </c>
      <c r="C70" t="s">
        <v>84</v>
      </c>
      <c r="D70" t="b">
        <v>0</v>
      </c>
    </row>
    <row r="71" spans="1:4" x14ac:dyDescent="0.25">
      <c r="A71" t="s">
        <v>176</v>
      </c>
      <c r="B71" t="s">
        <v>176</v>
      </c>
      <c r="C71" t="s">
        <v>84</v>
      </c>
      <c r="D71" t="b">
        <v>0</v>
      </c>
    </row>
    <row r="72" spans="1:4" x14ac:dyDescent="0.25">
      <c r="A72" t="s">
        <v>99</v>
      </c>
      <c r="B72" t="s">
        <v>61</v>
      </c>
      <c r="C72" t="s">
        <v>84</v>
      </c>
      <c r="D72" t="b">
        <v>0</v>
      </c>
    </row>
    <row r="73" spans="1:4" x14ac:dyDescent="0.25">
      <c r="A73" t="s">
        <v>100</v>
      </c>
      <c r="B73" t="s">
        <v>100</v>
      </c>
      <c r="C73" t="s">
        <v>84</v>
      </c>
      <c r="D73" t="b">
        <v>0</v>
      </c>
    </row>
    <row r="74" spans="1:4" x14ac:dyDescent="0.25">
      <c r="A74" t="s">
        <v>101</v>
      </c>
      <c r="B74" t="s">
        <v>63</v>
      </c>
      <c r="C74" t="s">
        <v>84</v>
      </c>
      <c r="D74" t="b">
        <v>0</v>
      </c>
    </row>
    <row r="75" spans="1:4" x14ac:dyDescent="0.25">
      <c r="A75" t="s">
        <v>102</v>
      </c>
      <c r="B75" t="s">
        <v>102</v>
      </c>
      <c r="C75" t="s">
        <v>84</v>
      </c>
      <c r="D75" t="b">
        <v>0</v>
      </c>
    </row>
    <row r="76" spans="1:4" x14ac:dyDescent="0.25">
      <c r="A76" t="s">
        <v>103</v>
      </c>
      <c r="B76" t="s">
        <v>103</v>
      </c>
      <c r="C76" t="s">
        <v>84</v>
      </c>
      <c r="D76" t="b">
        <v>0</v>
      </c>
    </row>
    <row r="77" spans="1:4" x14ac:dyDescent="0.25">
      <c r="A77" t="s">
        <v>112</v>
      </c>
      <c r="B77" t="s">
        <v>112</v>
      </c>
      <c r="C77" t="s">
        <v>84</v>
      </c>
      <c r="D77" t="b">
        <v>0</v>
      </c>
    </row>
    <row r="78" spans="1:4" x14ac:dyDescent="0.25">
      <c r="A78" t="s">
        <v>113</v>
      </c>
      <c r="B78" t="s">
        <v>113</v>
      </c>
      <c r="C78" t="s">
        <v>84</v>
      </c>
      <c r="D78" t="b">
        <v>0</v>
      </c>
    </row>
    <row r="79" spans="1:4" x14ac:dyDescent="0.25">
      <c r="A79" t="s">
        <v>114</v>
      </c>
      <c r="B79" t="s">
        <v>114</v>
      </c>
      <c r="C79" t="s">
        <v>84</v>
      </c>
      <c r="D79" t="b">
        <v>0</v>
      </c>
    </row>
    <row r="80" spans="1:4" x14ac:dyDescent="0.25">
      <c r="A80" t="s">
        <v>115</v>
      </c>
      <c r="B80" t="s">
        <v>115</v>
      </c>
      <c r="C80" t="s">
        <v>84</v>
      </c>
      <c r="D80" t="b">
        <v>0</v>
      </c>
    </row>
    <row r="81" spans="1:4" x14ac:dyDescent="0.25">
      <c r="A81" t="s">
        <v>116</v>
      </c>
      <c r="B81" t="s">
        <v>116</v>
      </c>
      <c r="C81" t="s">
        <v>84</v>
      </c>
      <c r="D81" t="b">
        <v>0</v>
      </c>
    </row>
    <row r="82" spans="1:4" x14ac:dyDescent="0.25">
      <c r="A82" t="s">
        <v>117</v>
      </c>
      <c r="B82" t="s">
        <v>117</v>
      </c>
      <c r="C82" t="s">
        <v>84</v>
      </c>
      <c r="D82" t="b">
        <v>0</v>
      </c>
    </row>
    <row r="83" spans="1:4" x14ac:dyDescent="0.25">
      <c r="A83" t="s">
        <v>118</v>
      </c>
      <c r="B83" t="s">
        <v>118</v>
      </c>
      <c r="C83" t="s">
        <v>84</v>
      </c>
      <c r="D83" t="b">
        <v>0</v>
      </c>
    </row>
    <row r="84" spans="1:4" x14ac:dyDescent="0.25">
      <c r="A84" t="s">
        <v>119</v>
      </c>
      <c r="B84" t="s">
        <v>119</v>
      </c>
      <c r="C84" t="s">
        <v>84</v>
      </c>
      <c r="D84" t="b">
        <v>0</v>
      </c>
    </row>
    <row r="85" spans="1:4" x14ac:dyDescent="0.25">
      <c r="A85" t="s">
        <v>120</v>
      </c>
      <c r="B85" t="s">
        <v>120</v>
      </c>
      <c r="C85" t="s">
        <v>84</v>
      </c>
      <c r="D85" t="b">
        <v>0</v>
      </c>
    </row>
    <row r="86" spans="1:4" x14ac:dyDescent="0.25">
      <c r="A86" t="s">
        <v>121</v>
      </c>
      <c r="B86" t="s">
        <v>121</v>
      </c>
      <c r="C86" t="s">
        <v>84</v>
      </c>
      <c r="D86" t="b">
        <v>0</v>
      </c>
    </row>
    <row r="87" spans="1:4" x14ac:dyDescent="0.25">
      <c r="A87" t="s">
        <v>123</v>
      </c>
      <c r="B87" t="s">
        <v>177</v>
      </c>
      <c r="C87" t="s">
        <v>122</v>
      </c>
      <c r="D87" t="b">
        <v>0</v>
      </c>
    </row>
    <row r="88" spans="1:4" x14ac:dyDescent="0.25">
      <c r="A88" t="s">
        <v>178</v>
      </c>
      <c r="B88" t="s">
        <v>124</v>
      </c>
      <c r="C88" t="s">
        <v>122</v>
      </c>
      <c r="D88" t="b">
        <v>1</v>
      </c>
    </row>
    <row r="89" spans="1:4" x14ac:dyDescent="0.25">
      <c r="A89" t="s">
        <v>125</v>
      </c>
      <c r="B89" t="s">
        <v>126</v>
      </c>
      <c r="C89" t="s">
        <v>122</v>
      </c>
      <c r="D89" t="b">
        <v>1</v>
      </c>
    </row>
    <row r="90" spans="1:4" x14ac:dyDescent="0.25">
      <c r="A90" t="s">
        <v>127</v>
      </c>
      <c r="B90" t="s">
        <v>179</v>
      </c>
      <c r="C90" t="s">
        <v>122</v>
      </c>
      <c r="D90" t="b">
        <v>1</v>
      </c>
    </row>
    <row r="91" spans="1:4" x14ac:dyDescent="0.25">
      <c r="A91" t="s">
        <v>129</v>
      </c>
      <c r="B91" t="s">
        <v>128</v>
      </c>
      <c r="C91" t="s">
        <v>122</v>
      </c>
      <c r="D91" t="b">
        <v>1</v>
      </c>
    </row>
    <row r="92" spans="1:4" x14ac:dyDescent="0.25">
      <c r="A92" t="s">
        <v>130</v>
      </c>
      <c r="B92" t="s">
        <v>180</v>
      </c>
      <c r="C92" t="s">
        <v>122</v>
      </c>
      <c r="D92" t="b">
        <v>1</v>
      </c>
    </row>
    <row r="93" spans="1:4" x14ac:dyDescent="0.25">
      <c r="A93" t="s">
        <v>131</v>
      </c>
      <c r="B93" t="s">
        <v>181</v>
      </c>
      <c r="C93" t="s">
        <v>122</v>
      </c>
      <c r="D93" t="b">
        <v>1</v>
      </c>
    </row>
    <row r="94" spans="1:4" x14ac:dyDescent="0.25">
      <c r="A94" t="s">
        <v>132</v>
      </c>
      <c r="B94" t="s">
        <v>182</v>
      </c>
      <c r="C94" t="s">
        <v>122</v>
      </c>
      <c r="D94" t="b">
        <v>1</v>
      </c>
    </row>
    <row r="95" spans="1:4" x14ac:dyDescent="0.25">
      <c r="A95" t="s">
        <v>133</v>
      </c>
      <c r="B95" t="s">
        <v>183</v>
      </c>
      <c r="C95" t="s">
        <v>122</v>
      </c>
      <c r="D95" t="b">
        <v>1</v>
      </c>
    </row>
    <row r="96" spans="1:4" x14ac:dyDescent="0.25">
      <c r="A96" t="s">
        <v>134</v>
      </c>
      <c r="B96" t="s">
        <v>135</v>
      </c>
      <c r="C96" t="s">
        <v>122</v>
      </c>
      <c r="D96" t="b">
        <v>1</v>
      </c>
    </row>
    <row r="97" spans="1:4" x14ac:dyDescent="0.25">
      <c r="A97" t="s">
        <v>136</v>
      </c>
      <c r="B97" t="s">
        <v>137</v>
      </c>
      <c r="C97" t="s">
        <v>122</v>
      </c>
      <c r="D97" t="b">
        <v>1</v>
      </c>
    </row>
    <row r="98" spans="1:4" x14ac:dyDescent="0.25">
      <c r="A98" t="s">
        <v>138</v>
      </c>
      <c r="B98" t="s">
        <v>139</v>
      </c>
      <c r="C98" t="s">
        <v>122</v>
      </c>
      <c r="D98" t="b">
        <v>1</v>
      </c>
    </row>
    <row r="99" spans="1:4" x14ac:dyDescent="0.25">
      <c r="A99" t="s">
        <v>140</v>
      </c>
      <c r="B99" t="s">
        <v>141</v>
      </c>
      <c r="C99" t="s">
        <v>122</v>
      </c>
      <c r="D99" t="b">
        <v>1</v>
      </c>
    </row>
    <row r="100" spans="1:4" x14ac:dyDescent="0.25">
      <c r="A100" t="s">
        <v>184</v>
      </c>
      <c r="B100" t="s">
        <v>185</v>
      </c>
      <c r="C100" t="s">
        <v>122</v>
      </c>
      <c r="D100" t="b">
        <v>1</v>
      </c>
    </row>
    <row r="101" spans="1:4" x14ac:dyDescent="0.25">
      <c r="A101" t="s">
        <v>142</v>
      </c>
      <c r="B101" t="s">
        <v>186</v>
      </c>
      <c r="C101" t="s">
        <v>122</v>
      </c>
      <c r="D101" t="b">
        <v>0</v>
      </c>
    </row>
    <row r="102" spans="1:4" x14ac:dyDescent="0.25">
      <c r="A102" t="s">
        <v>144</v>
      </c>
      <c r="B102" t="s">
        <v>187</v>
      </c>
      <c r="C102" t="s">
        <v>122</v>
      </c>
      <c r="D102" t="b">
        <v>1</v>
      </c>
    </row>
    <row r="103" spans="1:4" x14ac:dyDescent="0.25">
      <c r="A103" t="s">
        <v>188</v>
      </c>
      <c r="B103" t="s">
        <v>143</v>
      </c>
      <c r="C103" t="s">
        <v>122</v>
      </c>
      <c r="D103" t="b">
        <v>1</v>
      </c>
    </row>
    <row r="104" spans="1:4" x14ac:dyDescent="0.25">
      <c r="A104" t="s">
        <v>189</v>
      </c>
      <c r="B104" t="s">
        <v>145</v>
      </c>
      <c r="C104" t="s">
        <v>122</v>
      </c>
      <c r="D104" t="b">
        <v>1</v>
      </c>
    </row>
    <row r="105" spans="1:4" x14ac:dyDescent="0.25">
      <c r="A105" t="s">
        <v>146</v>
      </c>
      <c r="B105" t="s">
        <v>147</v>
      </c>
      <c r="C105" t="s">
        <v>122</v>
      </c>
      <c r="D105" t="b">
        <v>1</v>
      </c>
    </row>
    <row r="106" spans="1:4" x14ac:dyDescent="0.25">
      <c r="A106" t="s">
        <v>190</v>
      </c>
      <c r="B106" t="s">
        <v>191</v>
      </c>
      <c r="C106" t="s">
        <v>122</v>
      </c>
      <c r="D106" t="b">
        <v>1</v>
      </c>
    </row>
    <row r="107" spans="1:4" x14ac:dyDescent="0.25">
      <c r="A107" t="s">
        <v>192</v>
      </c>
      <c r="B107" t="s">
        <v>148</v>
      </c>
      <c r="C107" t="s">
        <v>122</v>
      </c>
      <c r="D107" t="b">
        <v>1</v>
      </c>
    </row>
    <row r="108" spans="1:4" x14ac:dyDescent="0.25">
      <c r="A108" t="s">
        <v>149</v>
      </c>
      <c r="B108" t="s">
        <v>150</v>
      </c>
      <c r="C108" t="s">
        <v>122</v>
      </c>
      <c r="D108" t="b">
        <v>1</v>
      </c>
    </row>
    <row r="109" spans="1:4" x14ac:dyDescent="0.25">
      <c r="A109" t="s">
        <v>193</v>
      </c>
      <c r="B109" t="s">
        <v>151</v>
      </c>
      <c r="C109" t="s">
        <v>122</v>
      </c>
      <c r="D109" t="b">
        <v>1</v>
      </c>
    </row>
    <row r="110" spans="1:4" x14ac:dyDescent="0.25">
      <c r="A110" t="s">
        <v>194</v>
      </c>
      <c r="B110" t="s">
        <v>152</v>
      </c>
      <c r="C110" t="s">
        <v>122</v>
      </c>
      <c r="D110" t="b">
        <v>1</v>
      </c>
    </row>
    <row r="111" spans="1:4" x14ac:dyDescent="0.25">
      <c r="A111" t="s">
        <v>195</v>
      </c>
      <c r="B111" t="s">
        <v>153</v>
      </c>
      <c r="C111" t="s">
        <v>122</v>
      </c>
      <c r="D111" t="b">
        <v>1</v>
      </c>
    </row>
    <row r="112" spans="1:4" x14ac:dyDescent="0.25">
      <c r="A112" t="s">
        <v>196</v>
      </c>
      <c r="B112" t="s">
        <v>197</v>
      </c>
      <c r="C112" t="s">
        <v>122</v>
      </c>
      <c r="D112" t="b">
        <v>1</v>
      </c>
    </row>
    <row r="113" spans="1:4" x14ac:dyDescent="0.25">
      <c r="A113" t="s">
        <v>154</v>
      </c>
      <c r="B113" t="s">
        <v>155</v>
      </c>
      <c r="C113" t="s">
        <v>122</v>
      </c>
      <c r="D113" t="b">
        <v>1</v>
      </c>
    </row>
    <row r="114" spans="1:4" x14ac:dyDescent="0.25">
      <c r="A114" t="s">
        <v>198</v>
      </c>
      <c r="B114" t="s">
        <v>199</v>
      </c>
      <c r="C114" t="s">
        <v>122</v>
      </c>
      <c r="D114" t="b">
        <v>0</v>
      </c>
    </row>
    <row r="115" spans="1:4" x14ac:dyDescent="0.25">
      <c r="A115" t="s">
        <v>200</v>
      </c>
      <c r="B115" t="s">
        <v>156</v>
      </c>
      <c r="C115" t="s">
        <v>122</v>
      </c>
      <c r="D115" t="b">
        <v>1</v>
      </c>
    </row>
    <row r="116" spans="1:4" x14ac:dyDescent="0.25">
      <c r="A116" t="s">
        <v>157</v>
      </c>
      <c r="B116" t="s">
        <v>158</v>
      </c>
      <c r="C116" t="s">
        <v>122</v>
      </c>
      <c r="D116" t="b">
        <v>1</v>
      </c>
    </row>
    <row r="117" spans="1:4" x14ac:dyDescent="0.25">
      <c r="A117" t="s">
        <v>201</v>
      </c>
      <c r="B117" t="s">
        <v>159</v>
      </c>
      <c r="C117" t="s">
        <v>122</v>
      </c>
      <c r="D117" t="b">
        <v>1</v>
      </c>
    </row>
    <row r="118" spans="1:4" x14ac:dyDescent="0.25">
      <c r="A118" t="s">
        <v>202</v>
      </c>
      <c r="B118" t="s">
        <v>203</v>
      </c>
      <c r="C118" t="s">
        <v>122</v>
      </c>
      <c r="D118" t="b">
        <v>1</v>
      </c>
    </row>
    <row r="119" spans="1:4" x14ac:dyDescent="0.25">
      <c r="A119" t="s">
        <v>160</v>
      </c>
      <c r="B119" t="s">
        <v>204</v>
      </c>
      <c r="C119" t="s">
        <v>122</v>
      </c>
      <c r="D119" t="b">
        <v>1</v>
      </c>
    </row>
    <row r="120" spans="1:4" x14ac:dyDescent="0.25">
      <c r="A120" t="s">
        <v>161</v>
      </c>
      <c r="B120" t="s">
        <v>205</v>
      </c>
      <c r="C120" t="s">
        <v>122</v>
      </c>
      <c r="D120" t="b">
        <v>1</v>
      </c>
    </row>
    <row r="121" spans="1:4" x14ac:dyDescent="0.25">
      <c r="A121" t="s">
        <v>206</v>
      </c>
      <c r="B121" t="s">
        <v>39</v>
      </c>
      <c r="C121" t="s">
        <v>122</v>
      </c>
      <c r="D121" t="b">
        <v>0</v>
      </c>
    </row>
    <row r="122" spans="1:4" x14ac:dyDescent="0.25">
      <c r="A122" t="s">
        <v>162</v>
      </c>
      <c r="B122" t="s">
        <v>163</v>
      </c>
      <c r="C122" t="s">
        <v>122</v>
      </c>
      <c r="D122" t="b">
        <v>0</v>
      </c>
    </row>
    <row r="123" spans="1:4" x14ac:dyDescent="0.25">
      <c r="A123" t="s">
        <v>207</v>
      </c>
      <c r="B123" t="s">
        <v>164</v>
      </c>
      <c r="C123" t="s">
        <v>122</v>
      </c>
      <c r="D123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9CD4-4AE6-4B3E-9FED-02C6DE00FAC0}">
  <sheetPr>
    <tabColor rgb="FFFFFF00"/>
  </sheetPr>
  <dimension ref="A1:C31"/>
  <sheetViews>
    <sheetView workbookViewId="0">
      <selection activeCell="B19" sqref="B1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2" ht="15" x14ac:dyDescent="0.25">
      <c r="A1" s="11" t="s">
        <v>12</v>
      </c>
      <c r="B1" s="11" t="str" cm="1">
        <f t="array" aca="1" ref="B1" ca="1">CELL("filename")</f>
        <v>C:\Users\Alex\CentriNOTSYNC\ResidentialCare\CLIENT\DATExx-Whiddon\UNITS\TE\1. Input\[2-DemandExtract.xlsx]ShiftUnitDemandHRS</v>
      </c>
    </row>
    <row r="2" spans="1:2" x14ac:dyDescent="0.25">
      <c r="A2" s="1"/>
      <c r="B2" s="1"/>
    </row>
    <row r="3" spans="1:2" x14ac:dyDescent="0.25">
      <c r="A3" s="1" t="s">
        <v>34</v>
      </c>
      <c r="B3" s="1" t="s">
        <v>35</v>
      </c>
    </row>
    <row r="4" spans="1:2" ht="15" x14ac:dyDescent="0.25">
      <c r="A4" t="s">
        <v>36</v>
      </c>
      <c r="B4" t="s">
        <v>40</v>
      </c>
    </row>
    <row r="5" spans="1:2" ht="15" x14ac:dyDescent="0.25">
      <c r="A5" t="s">
        <v>37</v>
      </c>
      <c r="B5" t="s">
        <v>208</v>
      </c>
    </row>
    <row r="6" spans="1:2" ht="15" x14ac:dyDescent="0.25">
      <c r="A6" t="s">
        <v>39</v>
      </c>
      <c r="B6" t="s">
        <v>209</v>
      </c>
    </row>
    <row r="7" spans="1:2" ht="15" x14ac:dyDescent="0.25">
      <c r="A7" t="s">
        <v>13</v>
      </c>
      <c r="B7" t="s">
        <v>41</v>
      </c>
    </row>
    <row r="8" spans="1:2" ht="15" x14ac:dyDescent="0.25">
      <c r="A8" t="s">
        <v>9</v>
      </c>
      <c r="B8" t="s">
        <v>42</v>
      </c>
    </row>
    <row r="9" spans="1:2" ht="15" x14ac:dyDescent="0.25">
      <c r="A9" t="s">
        <v>4</v>
      </c>
      <c r="B9" t="s">
        <v>210</v>
      </c>
    </row>
    <row r="10" spans="1:2" ht="15" x14ac:dyDescent="0.25">
      <c r="A10" t="s">
        <v>38</v>
      </c>
      <c r="B10" t="s">
        <v>43</v>
      </c>
    </row>
    <row r="11" spans="1:2" x14ac:dyDescent="0.25">
      <c r="A11" s="1"/>
      <c r="B11" s="1"/>
    </row>
    <row r="12" spans="1:2" x14ac:dyDescent="0.25">
      <c r="A12" s="1"/>
      <c r="B12" s="1"/>
    </row>
    <row r="15" spans="1:2" x14ac:dyDescent="0.25">
      <c r="A15" s="1"/>
      <c r="B15" s="1"/>
    </row>
    <row r="16" spans="1:2" x14ac:dyDescent="0.25">
      <c r="A16" s="12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C23" s="13"/>
    </row>
    <row r="24" spans="1:3" x14ac:dyDescent="0.25">
      <c r="A24" s="4"/>
      <c r="B24" s="4"/>
      <c r="C24" s="14"/>
    </row>
    <row r="25" spans="1:3" x14ac:dyDescent="0.25">
      <c r="C25" s="13"/>
    </row>
    <row r="26" spans="1:3" x14ac:dyDescent="0.25">
      <c r="A26" s="13"/>
      <c r="B26" s="13"/>
      <c r="C26" s="13"/>
    </row>
    <row r="27" spans="1:3" x14ac:dyDescent="0.25">
      <c r="A27" s="13"/>
      <c r="B27" s="13"/>
      <c r="C27" s="13"/>
    </row>
    <row r="31" spans="1:3" x14ac:dyDescent="0.25">
      <c r="B31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C682-EF30-4264-AB4B-5A805730870E}">
  <sheetPr>
    <tabColor theme="7"/>
  </sheetPr>
  <dimension ref="A4:R49"/>
  <sheetViews>
    <sheetView workbookViewId="0">
      <selection activeCell="H32" sqref="H32"/>
    </sheetView>
  </sheetViews>
  <sheetFormatPr defaultColWidth="9.140625" defaultRowHeight="12.75" x14ac:dyDescent="0.25"/>
  <cols>
    <col min="1" max="1" width="18.5703125" style="2" customWidth="1"/>
    <col min="2" max="2" width="114.7109375" style="2" customWidth="1"/>
    <col min="3" max="3" width="12.85546875" style="2" customWidth="1"/>
    <col min="4" max="16384" width="9.140625" style="2"/>
  </cols>
  <sheetData>
    <row r="4" spans="1:5" x14ac:dyDescent="0.25">
      <c r="A4" s="1" t="s">
        <v>12</v>
      </c>
      <c r="B4" s="1" t="str" cm="1">
        <f t="array" aca="1" ref="B4" ca="1">CELL("filename",E19)</f>
        <v>C:\Users\Alex\CentriNOTSYNC\ResidentialCare\CLIENT\DATExx-Whiddon\UNITS\TE\1. Input\[2-DemandExtract.xlsx]FILEPATH</v>
      </c>
    </row>
    <row r="5" spans="1:5" x14ac:dyDescent="0.25">
      <c r="A5" s="1"/>
      <c r="B5" s="1"/>
    </row>
    <row r="6" spans="1:5" x14ac:dyDescent="0.25">
      <c r="A6" s="3" t="s">
        <v>13</v>
      </c>
      <c r="B6" s="3" t="str" cm="1">
        <f t="array" ref="B6">[2]!Client</f>
        <v>04.1 PoC</v>
      </c>
      <c r="C6" s="2" t="e">
        <f ca="1">FIND(B6,B4)</f>
        <v>#VALUE!</v>
      </c>
      <c r="E6" s="2">
        <f>LEN(B6)</f>
        <v>8</v>
      </c>
    </row>
    <row r="7" spans="1:5" x14ac:dyDescent="0.25">
      <c r="A7" s="4" t="s">
        <v>14</v>
      </c>
      <c r="B7" s="4" t="s">
        <v>15</v>
      </c>
      <c r="C7" s="2" t="e">
        <f ca="1">FIND(B7,B4)</f>
        <v>#VALUE!</v>
      </c>
      <c r="E7" s="2">
        <f>LEN(B7)</f>
        <v>11</v>
      </c>
    </row>
    <row r="8" spans="1:5" x14ac:dyDescent="0.25">
      <c r="A8" s="2" t="s">
        <v>16</v>
      </c>
      <c r="B8" s="2" t="s">
        <v>17</v>
      </c>
      <c r="C8" s="5" t="e">
        <f ca="1">FIND(B8,B4)</f>
        <v>#VALUE!</v>
      </c>
      <c r="D8" s="4"/>
    </row>
    <row r="9" spans="1:5" x14ac:dyDescent="0.25">
      <c r="C9" s="2" t="e">
        <f ca="1">C8-C7</f>
        <v>#VALUE!</v>
      </c>
      <c r="D9" s="4"/>
    </row>
    <row r="10" spans="1:5" x14ac:dyDescent="0.25">
      <c r="D10" s="4"/>
    </row>
    <row r="11" spans="1:5" x14ac:dyDescent="0.25">
      <c r="A11" s="1" t="s">
        <v>18</v>
      </c>
      <c r="B11" s="4" t="s">
        <v>19</v>
      </c>
      <c r="C11" s="5" t="e">
        <f ca="1">FIND(B11,B4)</f>
        <v>#VALUE!</v>
      </c>
    </row>
    <row r="13" spans="1:5" x14ac:dyDescent="0.25">
      <c r="B13" s="6" t="e">
        <f ca="1">MID(B4,C6+2+E6+E7,C9-E7-2)</f>
        <v>#VALUE!</v>
      </c>
    </row>
    <row r="14" spans="1:5" x14ac:dyDescent="0.25">
      <c r="A14" s="4"/>
      <c r="B14" s="4" t="e">
        <f ca="1">LEFT(B13,6)</f>
        <v>#VALUE!</v>
      </c>
    </row>
    <row r="15" spans="1:5" x14ac:dyDescent="0.25">
      <c r="A15" s="1"/>
      <c r="B15" s="2" t="e">
        <f ca="1">RIGHT(B13,4)</f>
        <v>#VALUE!</v>
      </c>
    </row>
    <row r="16" spans="1:5" x14ac:dyDescent="0.25">
      <c r="A16" s="1"/>
    </row>
    <row r="17" spans="1:18" x14ac:dyDescent="0.25">
      <c r="A17" s="1"/>
    </row>
    <row r="19" spans="1:18" x14ac:dyDescent="0.25">
      <c r="A19" s="7" t="s">
        <v>20</v>
      </c>
    </row>
    <row r="20" spans="1:18" x14ac:dyDescent="0.25">
      <c r="A20" s="3" t="s">
        <v>21</v>
      </c>
      <c r="B20" s="3" t="e" cm="1">
        <f t="array" ref="B20">[3]!Folder[Folder]</f>
        <v>#REF!</v>
      </c>
      <c r="C20" s="2" t="e">
        <f>LEN(B20)</f>
        <v>#REF!</v>
      </c>
    </row>
    <row r="23" spans="1:18" x14ac:dyDescent="0.25">
      <c r="A23" s="1"/>
      <c r="B23" s="1"/>
      <c r="C23" s="2" t="e">
        <f>SUM(C20:C22)</f>
        <v>#REF!</v>
      </c>
    </row>
    <row r="24" spans="1:18" x14ac:dyDescent="0.25">
      <c r="A24" s="1"/>
      <c r="B24" s="1"/>
    </row>
    <row r="25" spans="1:18" x14ac:dyDescent="0.25">
      <c r="A25" s="1"/>
      <c r="B25" s="1"/>
    </row>
    <row r="26" spans="1:18" x14ac:dyDescent="0.25">
      <c r="A26" s="1"/>
      <c r="B26" s="2" t="e">
        <f>B20&amp;"\"</f>
        <v>#REF!</v>
      </c>
    </row>
    <row r="27" spans="1:18" x14ac:dyDescent="0.25">
      <c r="A27" s="1"/>
      <c r="B27" s="1"/>
    </row>
    <row r="28" spans="1:18" ht="15" x14ac:dyDescent="0.25">
      <c r="A28" s="8"/>
      <c r="B28" s="8"/>
      <c r="M28" s="9" t="s">
        <v>22</v>
      </c>
      <c r="N28" s="9"/>
      <c r="O28" s="9"/>
      <c r="P28" s="9"/>
      <c r="Q28" s="9"/>
      <c r="R28" s="9"/>
    </row>
    <row r="29" spans="1:18" x14ac:dyDescent="0.25">
      <c r="A29" s="2" t="s">
        <v>23</v>
      </c>
      <c r="M29" s="9" t="s">
        <v>24</v>
      </c>
      <c r="N29" s="9"/>
      <c r="O29" s="9"/>
      <c r="P29" s="9"/>
      <c r="Q29" s="9"/>
      <c r="R29" s="9"/>
    </row>
    <row r="30" spans="1:18" x14ac:dyDescent="0.25">
      <c r="A30" s="10"/>
      <c r="B30" s="10"/>
      <c r="M30" s="9" t="s">
        <v>25</v>
      </c>
      <c r="N30" s="9"/>
      <c r="O30" s="9"/>
      <c r="P30" s="9"/>
      <c r="Q30" s="9"/>
      <c r="R30" s="9"/>
    </row>
    <row r="31" spans="1:18" x14ac:dyDescent="0.25">
      <c r="A31" s="4"/>
      <c r="B31" s="4"/>
      <c r="M31" s="9" t="s">
        <v>25</v>
      </c>
      <c r="N31" s="9"/>
      <c r="O31" s="9"/>
      <c r="P31" s="9"/>
      <c r="Q31" s="9"/>
      <c r="R31" s="9"/>
    </row>
    <row r="32" spans="1:18" x14ac:dyDescent="0.25">
      <c r="M32" s="9" t="s">
        <v>26</v>
      </c>
      <c r="N32" s="9"/>
      <c r="O32" s="9"/>
      <c r="P32" s="9"/>
      <c r="Q32" s="9"/>
      <c r="R32" s="9"/>
    </row>
    <row r="33" spans="2:2" x14ac:dyDescent="0.25">
      <c r="B33" s="6"/>
    </row>
    <row r="35" spans="2:2" x14ac:dyDescent="0.25">
      <c r="B35" s="2" t="s">
        <v>27</v>
      </c>
    </row>
    <row r="36" spans="2:2" x14ac:dyDescent="0.25">
      <c r="B36" s="2" t="e">
        <f>B20</f>
        <v>#REF!</v>
      </c>
    </row>
    <row r="43" spans="2:2" x14ac:dyDescent="0.25">
      <c r="B43" s="2" t="s">
        <v>28</v>
      </c>
    </row>
    <row r="44" spans="2:2" x14ac:dyDescent="0.25">
      <c r="B44" s="2">
        <v>10</v>
      </c>
    </row>
    <row r="49" spans="2:2" x14ac:dyDescent="0.25">
      <c r="B49" s="1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61A4-D815-4261-8044-CA842A610CB3}">
  <sheetPr>
    <tabColor theme="5"/>
  </sheetPr>
  <dimension ref="A1:L253"/>
  <sheetViews>
    <sheetView tabSelected="1" workbookViewId="0">
      <selection activeCell="J59" sqref="J59"/>
    </sheetView>
  </sheetViews>
  <sheetFormatPr defaultRowHeight="15" x14ac:dyDescent="0.25"/>
  <cols>
    <col min="1" max="1" width="9.7109375" bestFit="1" customWidth="1"/>
    <col min="2" max="2" width="6.5703125" bestFit="1" customWidth="1"/>
    <col min="3" max="3" width="7.42578125" bestFit="1" customWidth="1"/>
    <col min="5" max="5" width="7.28515625" bestFit="1" customWidth="1"/>
    <col min="6" max="7" width="14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5.7109375" bestFit="1" customWidth="1"/>
    <col min="14" max="14" width="13.7109375" bestFit="1" customWidth="1"/>
    <col min="15" max="15" width="14.140625" bestFit="1" customWidth="1"/>
  </cols>
  <sheetData>
    <row r="1" spans="1:12" x14ac:dyDescent="0.25">
      <c r="A1" t="s">
        <v>9</v>
      </c>
      <c r="B1" t="s">
        <v>29</v>
      </c>
      <c r="C1" t="s">
        <v>0</v>
      </c>
      <c r="D1" t="s">
        <v>30</v>
      </c>
      <c r="E1" t="s">
        <v>5</v>
      </c>
      <c r="F1" t="s">
        <v>7</v>
      </c>
      <c r="G1" t="s">
        <v>8</v>
      </c>
      <c r="H1" t="s">
        <v>4</v>
      </c>
      <c r="I1" t="s">
        <v>6</v>
      </c>
      <c r="J1" t="s">
        <v>1</v>
      </c>
      <c r="K1" t="s">
        <v>2</v>
      </c>
      <c r="L1" t="s">
        <v>33</v>
      </c>
    </row>
    <row r="2" spans="1:12" x14ac:dyDescent="0.25">
      <c r="A2" s="15">
        <v>46223</v>
      </c>
      <c r="B2">
        <v>1</v>
      </c>
      <c r="C2" t="s">
        <v>3</v>
      </c>
      <c r="D2">
        <v>1</v>
      </c>
      <c r="E2" t="s">
        <v>31</v>
      </c>
      <c r="F2" s="16">
        <v>46223.25</v>
      </c>
      <c r="G2" s="16">
        <v>46223.583333333336</v>
      </c>
      <c r="H2" t="s">
        <v>210</v>
      </c>
      <c r="I2" t="s">
        <v>210</v>
      </c>
      <c r="J2">
        <v>10.279406436312133</v>
      </c>
      <c r="K2">
        <v>82.235251490497063</v>
      </c>
      <c r="L2">
        <v>8</v>
      </c>
    </row>
    <row r="3" spans="1:12" hidden="1" x14ac:dyDescent="0.25">
      <c r="A3" s="15">
        <v>46223</v>
      </c>
      <c r="B3">
        <v>1</v>
      </c>
      <c r="C3" t="s">
        <v>3</v>
      </c>
      <c r="D3">
        <v>1</v>
      </c>
      <c r="E3" t="s">
        <v>165</v>
      </c>
      <c r="F3" s="16">
        <v>46223.25</v>
      </c>
      <c r="G3" s="16">
        <v>46223.583333333336</v>
      </c>
      <c r="H3" t="s">
        <v>210</v>
      </c>
      <c r="I3" t="s">
        <v>210</v>
      </c>
      <c r="J3">
        <v>0.9562238545406635</v>
      </c>
      <c r="K3">
        <v>7.649790836325308</v>
      </c>
      <c r="L3">
        <v>8</v>
      </c>
    </row>
    <row r="4" spans="1:12" hidden="1" x14ac:dyDescent="0.25">
      <c r="A4" s="15">
        <v>46223</v>
      </c>
      <c r="B4">
        <v>1</v>
      </c>
      <c r="C4" t="s">
        <v>3</v>
      </c>
      <c r="D4">
        <v>1</v>
      </c>
      <c r="E4" t="s">
        <v>32</v>
      </c>
      <c r="F4" s="16">
        <v>46223.25</v>
      </c>
      <c r="G4" s="16">
        <v>46223.583333333336</v>
      </c>
      <c r="H4" t="s">
        <v>210</v>
      </c>
      <c r="I4" t="s">
        <v>210</v>
      </c>
      <c r="J4">
        <v>1.3820224719101124</v>
      </c>
      <c r="K4">
        <v>11.056179775280899</v>
      </c>
      <c r="L4">
        <v>8</v>
      </c>
    </row>
    <row r="5" spans="1:12" x14ac:dyDescent="0.25">
      <c r="A5" s="15">
        <v>46223</v>
      </c>
      <c r="B5">
        <v>1</v>
      </c>
      <c r="C5" t="s">
        <v>10</v>
      </c>
      <c r="D5">
        <v>2</v>
      </c>
      <c r="E5" t="s">
        <v>31</v>
      </c>
      <c r="F5" s="16">
        <v>46223.583333333336</v>
      </c>
      <c r="G5" s="16">
        <v>46223.916666666664</v>
      </c>
      <c r="H5" t="s">
        <v>210</v>
      </c>
      <c r="I5" t="s">
        <v>210</v>
      </c>
      <c r="J5">
        <v>7.4107348726901421</v>
      </c>
      <c r="K5">
        <v>59.285878981521137</v>
      </c>
      <c r="L5">
        <v>8</v>
      </c>
    </row>
    <row r="6" spans="1:12" hidden="1" x14ac:dyDescent="0.25">
      <c r="A6" s="15">
        <v>46223</v>
      </c>
      <c r="B6">
        <v>1</v>
      </c>
      <c r="C6" t="s">
        <v>10</v>
      </c>
      <c r="D6">
        <v>2</v>
      </c>
      <c r="E6" t="s">
        <v>165</v>
      </c>
      <c r="F6" s="16">
        <v>46223.583333333336</v>
      </c>
      <c r="G6" s="16">
        <v>46223.9375</v>
      </c>
      <c r="H6" t="s">
        <v>210</v>
      </c>
      <c r="I6" t="s">
        <v>210</v>
      </c>
      <c r="J6">
        <v>0</v>
      </c>
      <c r="K6">
        <v>0</v>
      </c>
      <c r="L6">
        <v>8.5</v>
      </c>
    </row>
    <row r="7" spans="1:12" hidden="1" x14ac:dyDescent="0.25">
      <c r="A7" s="15">
        <v>46223</v>
      </c>
      <c r="B7">
        <v>1</v>
      </c>
      <c r="C7" t="s">
        <v>10</v>
      </c>
      <c r="D7">
        <v>2</v>
      </c>
      <c r="E7" t="s">
        <v>32</v>
      </c>
      <c r="F7" s="16">
        <v>46223.583333333336</v>
      </c>
      <c r="G7" s="16">
        <v>46223.9375</v>
      </c>
      <c r="H7" t="s">
        <v>210</v>
      </c>
      <c r="I7" t="s">
        <v>210</v>
      </c>
      <c r="J7">
        <v>2.6014540647719762</v>
      </c>
      <c r="K7">
        <v>22.112359550561798</v>
      </c>
      <c r="L7">
        <v>8.5</v>
      </c>
    </row>
    <row r="8" spans="1:12" x14ac:dyDescent="0.25">
      <c r="A8" s="15">
        <v>46223</v>
      </c>
      <c r="B8">
        <v>1</v>
      </c>
      <c r="C8" t="s">
        <v>11</v>
      </c>
      <c r="D8">
        <v>3</v>
      </c>
      <c r="E8" t="s">
        <v>31</v>
      </c>
      <c r="F8" s="16">
        <v>46223.916666666664</v>
      </c>
      <c r="G8" s="16">
        <v>46224.25</v>
      </c>
      <c r="H8" t="s">
        <v>210</v>
      </c>
      <c r="I8" t="s">
        <v>210</v>
      </c>
      <c r="J8">
        <v>3.824895418162654</v>
      </c>
      <c r="K8">
        <v>30.599163345301232</v>
      </c>
      <c r="L8">
        <v>8</v>
      </c>
    </row>
    <row r="9" spans="1:12" hidden="1" x14ac:dyDescent="0.25">
      <c r="A9" s="15">
        <v>46223</v>
      </c>
      <c r="B9">
        <v>1</v>
      </c>
      <c r="C9" t="s">
        <v>11</v>
      </c>
      <c r="D9">
        <v>3</v>
      </c>
      <c r="E9" t="s">
        <v>165</v>
      </c>
      <c r="F9" s="16">
        <v>46223.9375</v>
      </c>
      <c r="G9" s="16">
        <v>46224.25</v>
      </c>
      <c r="H9" t="s">
        <v>210</v>
      </c>
      <c r="I9" t="s">
        <v>210</v>
      </c>
      <c r="J9">
        <v>0</v>
      </c>
      <c r="K9">
        <v>0</v>
      </c>
      <c r="L9">
        <v>7.5</v>
      </c>
    </row>
    <row r="10" spans="1:12" hidden="1" x14ac:dyDescent="0.25">
      <c r="A10" s="15">
        <v>46223</v>
      </c>
      <c r="B10">
        <v>1</v>
      </c>
      <c r="C10" t="s">
        <v>11</v>
      </c>
      <c r="D10">
        <v>3</v>
      </c>
      <c r="E10" t="s">
        <v>32</v>
      </c>
      <c r="F10" s="16">
        <v>46223.9375</v>
      </c>
      <c r="G10" s="16">
        <v>46224.25</v>
      </c>
      <c r="H10" t="s">
        <v>210</v>
      </c>
      <c r="I10" t="s">
        <v>210</v>
      </c>
      <c r="J10">
        <v>1.842696629213483</v>
      </c>
      <c r="K10">
        <v>13.820224719101123</v>
      </c>
      <c r="L10">
        <v>7.5</v>
      </c>
    </row>
    <row r="11" spans="1:12" x14ac:dyDescent="0.25">
      <c r="A11" s="15">
        <v>46224</v>
      </c>
      <c r="B11">
        <v>2</v>
      </c>
      <c r="C11" t="s">
        <v>3</v>
      </c>
      <c r="D11">
        <v>4</v>
      </c>
      <c r="E11" t="s">
        <v>31</v>
      </c>
      <c r="F11" s="16">
        <v>46224.25</v>
      </c>
      <c r="G11" s="16">
        <v>46224.583333333336</v>
      </c>
      <c r="H11" t="s">
        <v>210</v>
      </c>
      <c r="I11" t="s">
        <v>210</v>
      </c>
      <c r="J11">
        <v>10.279406436312133</v>
      </c>
      <c r="K11">
        <v>82.235251490497063</v>
      </c>
      <c r="L11">
        <v>8</v>
      </c>
    </row>
    <row r="12" spans="1:12" hidden="1" x14ac:dyDescent="0.25">
      <c r="A12" s="15">
        <v>46224</v>
      </c>
      <c r="B12">
        <v>2</v>
      </c>
      <c r="C12" t="s">
        <v>3</v>
      </c>
      <c r="D12">
        <v>4</v>
      </c>
      <c r="E12" t="s">
        <v>165</v>
      </c>
      <c r="F12" s="16">
        <v>46224.25</v>
      </c>
      <c r="G12" s="16">
        <v>46224.583333333336</v>
      </c>
      <c r="H12" t="s">
        <v>210</v>
      </c>
      <c r="I12" t="s">
        <v>210</v>
      </c>
      <c r="J12">
        <v>0.9562238545406635</v>
      </c>
      <c r="K12">
        <v>7.649790836325308</v>
      </c>
      <c r="L12">
        <v>8</v>
      </c>
    </row>
    <row r="13" spans="1:12" hidden="1" x14ac:dyDescent="0.25">
      <c r="A13" s="15">
        <v>46224</v>
      </c>
      <c r="B13">
        <v>2</v>
      </c>
      <c r="C13" t="s">
        <v>3</v>
      </c>
      <c r="D13">
        <v>4</v>
      </c>
      <c r="E13" t="s">
        <v>32</v>
      </c>
      <c r="F13" s="16">
        <v>46224.25</v>
      </c>
      <c r="G13" s="16">
        <v>46224.583333333336</v>
      </c>
      <c r="H13" t="s">
        <v>210</v>
      </c>
      <c r="I13" t="s">
        <v>210</v>
      </c>
      <c r="J13">
        <v>1.3820224719101124</v>
      </c>
      <c r="K13">
        <v>11.056179775280899</v>
      </c>
      <c r="L13">
        <v>8</v>
      </c>
    </row>
    <row r="14" spans="1:12" x14ac:dyDescent="0.25">
      <c r="A14" s="15">
        <v>46224</v>
      </c>
      <c r="B14">
        <v>2</v>
      </c>
      <c r="C14" t="s">
        <v>10</v>
      </c>
      <c r="D14">
        <v>5</v>
      </c>
      <c r="E14" t="s">
        <v>31</v>
      </c>
      <c r="F14" s="16">
        <v>46224.583333333336</v>
      </c>
      <c r="G14" s="16">
        <v>46224.916666666664</v>
      </c>
      <c r="H14" t="s">
        <v>210</v>
      </c>
      <c r="I14" t="s">
        <v>210</v>
      </c>
      <c r="J14">
        <v>7.4107348726901421</v>
      </c>
      <c r="K14">
        <v>59.285878981521137</v>
      </c>
      <c r="L14">
        <v>8</v>
      </c>
    </row>
    <row r="15" spans="1:12" hidden="1" x14ac:dyDescent="0.25">
      <c r="A15" s="15">
        <v>46224</v>
      </c>
      <c r="B15">
        <v>2</v>
      </c>
      <c r="C15" t="s">
        <v>10</v>
      </c>
      <c r="D15">
        <v>5</v>
      </c>
      <c r="E15" t="s">
        <v>165</v>
      </c>
      <c r="F15" s="16">
        <v>46224.583333333336</v>
      </c>
      <c r="G15" s="16">
        <v>46224.9375</v>
      </c>
      <c r="H15" t="s">
        <v>210</v>
      </c>
      <c r="I15" t="s">
        <v>210</v>
      </c>
      <c r="J15">
        <v>0</v>
      </c>
      <c r="K15">
        <v>0</v>
      </c>
      <c r="L15">
        <v>8.5</v>
      </c>
    </row>
    <row r="16" spans="1:12" hidden="1" x14ac:dyDescent="0.25">
      <c r="A16" s="15">
        <v>46224</v>
      </c>
      <c r="B16">
        <v>2</v>
      </c>
      <c r="C16" t="s">
        <v>10</v>
      </c>
      <c r="D16">
        <v>5</v>
      </c>
      <c r="E16" t="s">
        <v>32</v>
      </c>
      <c r="F16" s="16">
        <v>46224.583333333336</v>
      </c>
      <c r="G16" s="16">
        <v>46224.9375</v>
      </c>
      <c r="H16" t="s">
        <v>210</v>
      </c>
      <c r="I16" t="s">
        <v>210</v>
      </c>
      <c r="J16">
        <v>2.6014540647719762</v>
      </c>
      <c r="K16">
        <v>22.112359550561798</v>
      </c>
      <c r="L16">
        <v>8.5</v>
      </c>
    </row>
    <row r="17" spans="1:12" x14ac:dyDescent="0.25">
      <c r="A17" s="15">
        <v>46224</v>
      </c>
      <c r="B17">
        <v>2</v>
      </c>
      <c r="C17" t="s">
        <v>11</v>
      </c>
      <c r="D17">
        <v>6</v>
      </c>
      <c r="E17" t="s">
        <v>31</v>
      </c>
      <c r="F17" s="16">
        <v>46224.916666666664</v>
      </c>
      <c r="G17" s="16">
        <v>46225.25</v>
      </c>
      <c r="H17" t="s">
        <v>210</v>
      </c>
      <c r="I17" t="s">
        <v>210</v>
      </c>
      <c r="J17">
        <v>3.824895418162654</v>
      </c>
      <c r="K17">
        <v>30.599163345301232</v>
      </c>
      <c r="L17">
        <v>8</v>
      </c>
    </row>
    <row r="18" spans="1:12" hidden="1" x14ac:dyDescent="0.25">
      <c r="A18" s="15">
        <v>46224</v>
      </c>
      <c r="B18">
        <v>2</v>
      </c>
      <c r="C18" t="s">
        <v>11</v>
      </c>
      <c r="D18">
        <v>6</v>
      </c>
      <c r="E18" t="s">
        <v>165</v>
      </c>
      <c r="F18" s="16">
        <v>46224.9375</v>
      </c>
      <c r="G18" s="16">
        <v>46225.25</v>
      </c>
      <c r="H18" t="s">
        <v>210</v>
      </c>
      <c r="I18" t="s">
        <v>210</v>
      </c>
      <c r="J18">
        <v>0</v>
      </c>
      <c r="K18">
        <v>0</v>
      </c>
      <c r="L18">
        <v>7.5</v>
      </c>
    </row>
    <row r="19" spans="1:12" hidden="1" x14ac:dyDescent="0.25">
      <c r="A19" s="15">
        <v>46224</v>
      </c>
      <c r="B19">
        <v>2</v>
      </c>
      <c r="C19" t="s">
        <v>11</v>
      </c>
      <c r="D19">
        <v>6</v>
      </c>
      <c r="E19" t="s">
        <v>32</v>
      </c>
      <c r="F19" s="16">
        <v>46224.9375</v>
      </c>
      <c r="G19" s="16">
        <v>46225.25</v>
      </c>
      <c r="H19" t="s">
        <v>210</v>
      </c>
      <c r="I19" t="s">
        <v>210</v>
      </c>
      <c r="J19">
        <v>1.842696629213483</v>
      </c>
      <c r="K19">
        <v>13.820224719101123</v>
      </c>
      <c r="L19">
        <v>7.5</v>
      </c>
    </row>
    <row r="20" spans="1:12" x14ac:dyDescent="0.25">
      <c r="A20" s="15">
        <v>46225</v>
      </c>
      <c r="B20">
        <v>3</v>
      </c>
      <c r="C20" t="s">
        <v>3</v>
      </c>
      <c r="D20">
        <v>7</v>
      </c>
      <c r="E20" t="s">
        <v>31</v>
      </c>
      <c r="F20" s="16">
        <v>46225.25</v>
      </c>
      <c r="G20" s="16">
        <v>46225.583333333336</v>
      </c>
      <c r="H20" t="s">
        <v>210</v>
      </c>
      <c r="I20" t="s">
        <v>210</v>
      </c>
      <c r="J20">
        <v>9.3231825817714675</v>
      </c>
      <c r="K20">
        <v>74.58546065417174</v>
      </c>
      <c r="L20">
        <v>8</v>
      </c>
    </row>
    <row r="21" spans="1:12" hidden="1" x14ac:dyDescent="0.25">
      <c r="A21" s="15">
        <v>46225</v>
      </c>
      <c r="B21">
        <v>3</v>
      </c>
      <c r="C21" t="s">
        <v>3</v>
      </c>
      <c r="D21">
        <v>7</v>
      </c>
      <c r="E21" t="s">
        <v>165</v>
      </c>
      <c r="F21" s="16">
        <v>46225.25</v>
      </c>
      <c r="G21" s="16">
        <v>46225.583333333336</v>
      </c>
      <c r="H21" t="s">
        <v>210</v>
      </c>
      <c r="I21" t="s">
        <v>210</v>
      </c>
      <c r="J21">
        <v>2.8686715636219904</v>
      </c>
      <c r="K21">
        <v>22.949372508975923</v>
      </c>
      <c r="L21">
        <v>8</v>
      </c>
    </row>
    <row r="22" spans="1:12" hidden="1" x14ac:dyDescent="0.25">
      <c r="A22" s="15">
        <v>46225</v>
      </c>
      <c r="B22">
        <v>3</v>
      </c>
      <c r="C22" t="s">
        <v>3</v>
      </c>
      <c r="D22">
        <v>7</v>
      </c>
      <c r="E22" t="s">
        <v>32</v>
      </c>
      <c r="F22" s="16">
        <v>46225.25</v>
      </c>
      <c r="G22" s="16">
        <v>46225.583333333336</v>
      </c>
      <c r="H22" t="s">
        <v>210</v>
      </c>
      <c r="I22" t="s">
        <v>210</v>
      </c>
      <c r="J22">
        <v>2.7640449438202248</v>
      </c>
      <c r="K22">
        <v>22.112359550561798</v>
      </c>
      <c r="L22">
        <v>8</v>
      </c>
    </row>
    <row r="23" spans="1:12" x14ac:dyDescent="0.25">
      <c r="A23" s="15">
        <v>46225</v>
      </c>
      <c r="B23">
        <v>3</v>
      </c>
      <c r="C23" t="s">
        <v>10</v>
      </c>
      <c r="D23">
        <v>8</v>
      </c>
      <c r="E23" t="s">
        <v>31</v>
      </c>
      <c r="F23" s="16">
        <v>46225.583333333336</v>
      </c>
      <c r="G23" s="16">
        <v>46225.916666666664</v>
      </c>
      <c r="H23" t="s">
        <v>210</v>
      </c>
      <c r="I23" t="s">
        <v>210</v>
      </c>
      <c r="J23">
        <v>6.6935669817846444</v>
      </c>
      <c r="K23">
        <v>53.548535854277155</v>
      </c>
      <c r="L23">
        <v>8</v>
      </c>
    </row>
    <row r="24" spans="1:12" hidden="1" x14ac:dyDescent="0.25">
      <c r="A24" s="15">
        <v>46225</v>
      </c>
      <c r="B24">
        <v>3</v>
      </c>
      <c r="C24" t="s">
        <v>10</v>
      </c>
      <c r="D24">
        <v>8</v>
      </c>
      <c r="E24" t="s">
        <v>165</v>
      </c>
      <c r="F24" s="16">
        <v>46225.583333333336</v>
      </c>
      <c r="G24" s="16">
        <v>46225.9375</v>
      </c>
      <c r="H24" t="s">
        <v>210</v>
      </c>
      <c r="I24" t="s">
        <v>210</v>
      </c>
      <c r="J24">
        <v>0.67498154438164482</v>
      </c>
      <c r="K24">
        <v>5.7373431272439808</v>
      </c>
      <c r="L24">
        <v>8.5</v>
      </c>
    </row>
    <row r="25" spans="1:12" hidden="1" x14ac:dyDescent="0.25">
      <c r="A25" s="15">
        <v>46225</v>
      </c>
      <c r="B25">
        <v>3</v>
      </c>
      <c r="C25" t="s">
        <v>10</v>
      </c>
      <c r="D25">
        <v>8</v>
      </c>
      <c r="E25" t="s">
        <v>32</v>
      </c>
      <c r="F25" s="16">
        <v>46225.583333333336</v>
      </c>
      <c r="G25" s="16">
        <v>46225.9375</v>
      </c>
      <c r="H25" t="s">
        <v>210</v>
      </c>
      <c r="I25" t="s">
        <v>210</v>
      </c>
      <c r="J25">
        <v>2.6014540647719762</v>
      </c>
      <c r="K25">
        <v>22.112359550561798</v>
      </c>
      <c r="L25">
        <v>8.5</v>
      </c>
    </row>
    <row r="26" spans="1:12" x14ac:dyDescent="0.25">
      <c r="A26" s="15">
        <v>46225</v>
      </c>
      <c r="B26">
        <v>3</v>
      </c>
      <c r="C26" t="s">
        <v>11</v>
      </c>
      <c r="D26">
        <v>9</v>
      </c>
      <c r="E26" t="s">
        <v>31</v>
      </c>
      <c r="F26" s="16">
        <v>46225.916666666664</v>
      </c>
      <c r="G26" s="16">
        <v>46226.25</v>
      </c>
      <c r="H26" t="s">
        <v>210</v>
      </c>
      <c r="I26" t="s">
        <v>210</v>
      </c>
      <c r="J26">
        <v>3.824895418162654</v>
      </c>
      <c r="K26">
        <v>30.599163345301232</v>
      </c>
      <c r="L26">
        <v>8</v>
      </c>
    </row>
    <row r="27" spans="1:12" hidden="1" x14ac:dyDescent="0.25">
      <c r="A27" s="15">
        <v>46225</v>
      </c>
      <c r="B27">
        <v>3</v>
      </c>
      <c r="C27" t="s">
        <v>11</v>
      </c>
      <c r="D27">
        <v>9</v>
      </c>
      <c r="E27" t="s">
        <v>165</v>
      </c>
      <c r="F27" s="16">
        <v>46225.9375</v>
      </c>
      <c r="G27" s="16">
        <v>46226.25</v>
      </c>
      <c r="H27" t="s">
        <v>210</v>
      </c>
      <c r="I27" t="s">
        <v>210</v>
      </c>
      <c r="J27">
        <v>0</v>
      </c>
      <c r="K27">
        <v>0</v>
      </c>
      <c r="L27">
        <v>7.5</v>
      </c>
    </row>
    <row r="28" spans="1:12" hidden="1" x14ac:dyDescent="0.25">
      <c r="A28" s="15">
        <v>46225</v>
      </c>
      <c r="B28">
        <v>3</v>
      </c>
      <c r="C28" t="s">
        <v>11</v>
      </c>
      <c r="D28">
        <v>9</v>
      </c>
      <c r="E28" t="s">
        <v>32</v>
      </c>
      <c r="F28" s="16">
        <v>46225.9375</v>
      </c>
      <c r="G28" s="16">
        <v>46226.25</v>
      </c>
      <c r="H28" t="s">
        <v>210</v>
      </c>
      <c r="I28" t="s">
        <v>210</v>
      </c>
      <c r="J28">
        <v>1.842696629213483</v>
      </c>
      <c r="K28">
        <v>13.820224719101123</v>
      </c>
      <c r="L28">
        <v>7.5</v>
      </c>
    </row>
    <row r="29" spans="1:12" x14ac:dyDescent="0.25">
      <c r="A29" s="15">
        <v>46226</v>
      </c>
      <c r="B29">
        <v>4</v>
      </c>
      <c r="C29" t="s">
        <v>3</v>
      </c>
      <c r="D29">
        <v>10</v>
      </c>
      <c r="E29" t="s">
        <v>31</v>
      </c>
      <c r="F29" s="16">
        <v>46226.25</v>
      </c>
      <c r="G29" s="16">
        <v>46226.583333333336</v>
      </c>
      <c r="H29" t="s">
        <v>210</v>
      </c>
      <c r="I29" t="s">
        <v>210</v>
      </c>
      <c r="J29">
        <v>10.279406436312133</v>
      </c>
      <c r="K29">
        <v>82.235251490497063</v>
      </c>
      <c r="L29">
        <v>8</v>
      </c>
    </row>
    <row r="30" spans="1:12" hidden="1" x14ac:dyDescent="0.25">
      <c r="A30" s="15">
        <v>46226</v>
      </c>
      <c r="B30">
        <v>4</v>
      </c>
      <c r="C30" t="s">
        <v>3</v>
      </c>
      <c r="D30">
        <v>10</v>
      </c>
      <c r="E30" t="s">
        <v>165</v>
      </c>
      <c r="F30" s="16">
        <v>46226.25</v>
      </c>
      <c r="G30" s="16">
        <v>46226.583333333336</v>
      </c>
      <c r="H30" t="s">
        <v>210</v>
      </c>
      <c r="I30" t="s">
        <v>210</v>
      </c>
      <c r="J30">
        <v>2.8686715636219904</v>
      </c>
      <c r="K30">
        <v>22.949372508975923</v>
      </c>
      <c r="L30">
        <v>8</v>
      </c>
    </row>
    <row r="31" spans="1:12" hidden="1" x14ac:dyDescent="0.25">
      <c r="A31" s="15">
        <v>46226</v>
      </c>
      <c r="B31">
        <v>4</v>
      </c>
      <c r="C31" t="s">
        <v>3</v>
      </c>
      <c r="D31">
        <v>10</v>
      </c>
      <c r="E31" t="s">
        <v>32</v>
      </c>
      <c r="F31" s="16">
        <v>46226.25</v>
      </c>
      <c r="G31" s="16">
        <v>46226.583333333336</v>
      </c>
      <c r="H31" t="s">
        <v>210</v>
      </c>
      <c r="I31" t="s">
        <v>210</v>
      </c>
      <c r="J31">
        <v>1.3820224719101124</v>
      </c>
      <c r="K31">
        <v>11.056179775280899</v>
      </c>
      <c r="L31">
        <v>8</v>
      </c>
    </row>
    <row r="32" spans="1:12" x14ac:dyDescent="0.25">
      <c r="A32" s="15">
        <v>46226</v>
      </c>
      <c r="B32">
        <v>4</v>
      </c>
      <c r="C32" t="s">
        <v>10</v>
      </c>
      <c r="D32">
        <v>11</v>
      </c>
      <c r="E32" t="s">
        <v>31</v>
      </c>
      <c r="F32" s="16">
        <v>46226.583333333336</v>
      </c>
      <c r="G32" s="16">
        <v>46226.916666666664</v>
      </c>
      <c r="H32" t="s">
        <v>210</v>
      </c>
      <c r="I32" t="s">
        <v>210</v>
      </c>
      <c r="J32">
        <v>7.4107348726901421</v>
      </c>
      <c r="K32">
        <v>59.285878981521137</v>
      </c>
      <c r="L32">
        <v>8</v>
      </c>
    </row>
    <row r="33" spans="1:12" hidden="1" x14ac:dyDescent="0.25">
      <c r="A33" s="15">
        <v>46226</v>
      </c>
      <c r="B33">
        <v>4</v>
      </c>
      <c r="C33" t="s">
        <v>10</v>
      </c>
      <c r="D33">
        <v>11</v>
      </c>
      <c r="E33" t="s">
        <v>165</v>
      </c>
      <c r="F33" s="16">
        <v>46226.583333333336</v>
      </c>
      <c r="G33" s="16">
        <v>46226.9375</v>
      </c>
      <c r="H33" t="s">
        <v>210</v>
      </c>
      <c r="I33" t="s">
        <v>210</v>
      </c>
      <c r="J33">
        <v>0</v>
      </c>
      <c r="K33">
        <v>0</v>
      </c>
      <c r="L33">
        <v>8.5</v>
      </c>
    </row>
    <row r="34" spans="1:12" hidden="1" x14ac:dyDescent="0.25">
      <c r="A34" s="15">
        <v>46226</v>
      </c>
      <c r="B34">
        <v>4</v>
      </c>
      <c r="C34" t="s">
        <v>10</v>
      </c>
      <c r="D34">
        <v>11</v>
      </c>
      <c r="E34" t="s">
        <v>32</v>
      </c>
      <c r="F34" s="16">
        <v>46226.583333333336</v>
      </c>
      <c r="G34" s="16">
        <v>46226.9375</v>
      </c>
      <c r="H34" t="s">
        <v>210</v>
      </c>
      <c r="I34" t="s">
        <v>210</v>
      </c>
      <c r="J34">
        <v>2.2762723066754793</v>
      </c>
      <c r="K34">
        <v>19.348314606741575</v>
      </c>
      <c r="L34">
        <v>8.5</v>
      </c>
    </row>
    <row r="35" spans="1:12" x14ac:dyDescent="0.25">
      <c r="A35" s="15">
        <v>46226</v>
      </c>
      <c r="B35">
        <v>4</v>
      </c>
      <c r="C35" t="s">
        <v>11</v>
      </c>
      <c r="D35">
        <v>12</v>
      </c>
      <c r="E35" t="s">
        <v>31</v>
      </c>
      <c r="F35" s="16">
        <v>46226.916666666664</v>
      </c>
      <c r="G35" s="16">
        <v>46227.25</v>
      </c>
      <c r="H35" t="s">
        <v>210</v>
      </c>
      <c r="I35" t="s">
        <v>210</v>
      </c>
      <c r="J35">
        <v>3.824895418162654</v>
      </c>
      <c r="K35">
        <v>30.599163345301232</v>
      </c>
      <c r="L35">
        <v>8</v>
      </c>
    </row>
    <row r="36" spans="1:12" hidden="1" x14ac:dyDescent="0.25">
      <c r="A36" s="15">
        <v>46226</v>
      </c>
      <c r="B36">
        <v>4</v>
      </c>
      <c r="C36" t="s">
        <v>11</v>
      </c>
      <c r="D36">
        <v>12</v>
      </c>
      <c r="E36" t="s">
        <v>165</v>
      </c>
      <c r="F36" s="16">
        <v>46226.9375</v>
      </c>
      <c r="G36" s="16">
        <v>46227.25</v>
      </c>
      <c r="H36" t="s">
        <v>210</v>
      </c>
      <c r="I36" t="s">
        <v>210</v>
      </c>
      <c r="J36">
        <v>0</v>
      </c>
      <c r="K36">
        <v>0</v>
      </c>
      <c r="L36">
        <v>7.5</v>
      </c>
    </row>
    <row r="37" spans="1:12" hidden="1" x14ac:dyDescent="0.25">
      <c r="A37" s="15">
        <v>46226</v>
      </c>
      <c r="B37">
        <v>4</v>
      </c>
      <c r="C37" t="s">
        <v>11</v>
      </c>
      <c r="D37">
        <v>12</v>
      </c>
      <c r="E37" t="s">
        <v>32</v>
      </c>
      <c r="F37" s="16">
        <v>46226.9375</v>
      </c>
      <c r="G37" s="16">
        <v>46227.25</v>
      </c>
      <c r="H37" t="s">
        <v>210</v>
      </c>
      <c r="I37" t="s">
        <v>210</v>
      </c>
      <c r="J37">
        <v>1.842696629213483</v>
      </c>
      <c r="K37">
        <v>13.820224719101123</v>
      </c>
      <c r="L37">
        <v>7.5</v>
      </c>
    </row>
    <row r="38" spans="1:12" x14ac:dyDescent="0.25">
      <c r="A38" s="15">
        <v>46227</v>
      </c>
      <c r="B38">
        <v>5</v>
      </c>
      <c r="C38" t="s">
        <v>3</v>
      </c>
      <c r="D38">
        <v>13</v>
      </c>
      <c r="E38" t="s">
        <v>31</v>
      </c>
      <c r="F38" s="16">
        <v>46227.25</v>
      </c>
      <c r="G38" s="16">
        <v>46227.583333333336</v>
      </c>
      <c r="H38" t="s">
        <v>210</v>
      </c>
      <c r="I38" t="s">
        <v>210</v>
      </c>
      <c r="J38">
        <v>9.3231825817714675</v>
      </c>
      <c r="K38">
        <v>74.58546065417174</v>
      </c>
      <c r="L38">
        <v>8</v>
      </c>
    </row>
    <row r="39" spans="1:12" hidden="1" x14ac:dyDescent="0.25">
      <c r="A39" s="15">
        <v>46227</v>
      </c>
      <c r="B39">
        <v>5</v>
      </c>
      <c r="C39" t="s">
        <v>3</v>
      </c>
      <c r="D39">
        <v>13</v>
      </c>
      <c r="E39" t="s">
        <v>165</v>
      </c>
      <c r="F39" s="16">
        <v>46227.25</v>
      </c>
      <c r="G39" s="16">
        <v>46227.583333333336</v>
      </c>
      <c r="H39" t="s">
        <v>210</v>
      </c>
      <c r="I39" t="s">
        <v>210</v>
      </c>
      <c r="J39">
        <v>1.912447709081327</v>
      </c>
      <c r="K39">
        <v>15.299581672650616</v>
      </c>
      <c r="L39">
        <v>8</v>
      </c>
    </row>
    <row r="40" spans="1:12" hidden="1" x14ac:dyDescent="0.25">
      <c r="A40" s="15">
        <v>46227</v>
      </c>
      <c r="B40">
        <v>5</v>
      </c>
      <c r="C40" t="s">
        <v>3</v>
      </c>
      <c r="D40">
        <v>13</v>
      </c>
      <c r="E40" t="s">
        <v>32</v>
      </c>
      <c r="F40" s="16">
        <v>46227.25</v>
      </c>
      <c r="G40" s="16">
        <v>46227.583333333336</v>
      </c>
      <c r="H40" t="s">
        <v>210</v>
      </c>
      <c r="I40" t="s">
        <v>210</v>
      </c>
      <c r="J40">
        <v>5.5280898876404496</v>
      </c>
      <c r="K40">
        <v>44.224719101123597</v>
      </c>
      <c r="L40">
        <v>8</v>
      </c>
    </row>
    <row r="41" spans="1:12" x14ac:dyDescent="0.25">
      <c r="A41" s="15">
        <v>46227</v>
      </c>
      <c r="B41">
        <v>5</v>
      </c>
      <c r="C41" t="s">
        <v>10</v>
      </c>
      <c r="D41">
        <v>14</v>
      </c>
      <c r="E41" t="s">
        <v>31</v>
      </c>
      <c r="F41" s="16">
        <v>46227.583333333336</v>
      </c>
      <c r="G41" s="16">
        <v>46227.916666666664</v>
      </c>
      <c r="H41" t="s">
        <v>210</v>
      </c>
      <c r="I41" t="s">
        <v>210</v>
      </c>
      <c r="J41">
        <v>7.4107348726901421</v>
      </c>
      <c r="K41">
        <v>59.285878981521137</v>
      </c>
      <c r="L41">
        <v>8</v>
      </c>
    </row>
    <row r="42" spans="1:12" hidden="1" x14ac:dyDescent="0.25">
      <c r="A42" s="15">
        <v>46227</v>
      </c>
      <c r="B42">
        <v>5</v>
      </c>
      <c r="C42" t="s">
        <v>10</v>
      </c>
      <c r="D42">
        <v>14</v>
      </c>
      <c r="E42" t="s">
        <v>165</v>
      </c>
      <c r="F42" s="16">
        <v>46227.583333333336</v>
      </c>
      <c r="G42" s="16">
        <v>46227.9375</v>
      </c>
      <c r="H42" t="s">
        <v>210</v>
      </c>
      <c r="I42" t="s">
        <v>210</v>
      </c>
      <c r="J42">
        <v>0</v>
      </c>
      <c r="K42">
        <v>0</v>
      </c>
      <c r="L42">
        <v>8.5</v>
      </c>
    </row>
    <row r="43" spans="1:12" hidden="1" x14ac:dyDescent="0.25">
      <c r="A43" s="15">
        <v>46227</v>
      </c>
      <c r="B43">
        <v>5</v>
      </c>
      <c r="C43" t="s">
        <v>10</v>
      </c>
      <c r="D43">
        <v>14</v>
      </c>
      <c r="E43" t="s">
        <v>32</v>
      </c>
      <c r="F43" s="16">
        <v>46227.583333333336</v>
      </c>
      <c r="G43" s="16">
        <v>46227.9375</v>
      </c>
      <c r="H43" t="s">
        <v>210</v>
      </c>
      <c r="I43" t="s">
        <v>210</v>
      </c>
      <c r="J43">
        <v>2.2762723066754793</v>
      </c>
      <c r="K43">
        <v>19.348314606741575</v>
      </c>
      <c r="L43">
        <v>8.5</v>
      </c>
    </row>
    <row r="44" spans="1:12" x14ac:dyDescent="0.25">
      <c r="A44" s="15">
        <v>46227</v>
      </c>
      <c r="B44">
        <v>5</v>
      </c>
      <c r="C44" t="s">
        <v>11</v>
      </c>
      <c r="D44">
        <v>15</v>
      </c>
      <c r="E44" t="s">
        <v>31</v>
      </c>
      <c r="F44" s="16">
        <v>46227.916666666664</v>
      </c>
      <c r="G44" s="16">
        <v>46228.25</v>
      </c>
      <c r="H44" t="s">
        <v>210</v>
      </c>
      <c r="I44" t="s">
        <v>210</v>
      </c>
      <c r="J44">
        <v>3.824895418162654</v>
      </c>
      <c r="K44">
        <v>30.599163345301232</v>
      </c>
      <c r="L44">
        <v>8</v>
      </c>
    </row>
    <row r="45" spans="1:12" hidden="1" x14ac:dyDescent="0.25">
      <c r="A45" s="15">
        <v>46227</v>
      </c>
      <c r="B45">
        <v>5</v>
      </c>
      <c r="C45" t="s">
        <v>11</v>
      </c>
      <c r="D45">
        <v>15</v>
      </c>
      <c r="E45" t="s">
        <v>165</v>
      </c>
      <c r="F45" s="16">
        <v>46227.9375</v>
      </c>
      <c r="G45" s="16">
        <v>46228.25</v>
      </c>
      <c r="H45" t="s">
        <v>210</v>
      </c>
      <c r="I45" t="s">
        <v>210</v>
      </c>
      <c r="J45">
        <v>0</v>
      </c>
      <c r="K45">
        <v>0</v>
      </c>
      <c r="L45">
        <v>7.5</v>
      </c>
    </row>
    <row r="46" spans="1:12" hidden="1" x14ac:dyDescent="0.25">
      <c r="A46" s="15">
        <v>46227</v>
      </c>
      <c r="B46">
        <v>5</v>
      </c>
      <c r="C46" t="s">
        <v>11</v>
      </c>
      <c r="D46">
        <v>15</v>
      </c>
      <c r="E46" t="s">
        <v>32</v>
      </c>
      <c r="F46" s="16">
        <v>46227.9375</v>
      </c>
      <c r="G46" s="16">
        <v>46228.25</v>
      </c>
      <c r="H46" t="s">
        <v>210</v>
      </c>
      <c r="I46" t="s">
        <v>210</v>
      </c>
      <c r="J46">
        <v>1.842696629213483</v>
      </c>
      <c r="K46">
        <v>13.820224719101123</v>
      </c>
      <c r="L46">
        <v>7.5</v>
      </c>
    </row>
    <row r="47" spans="1:12" x14ac:dyDescent="0.25">
      <c r="A47" s="15">
        <v>46228</v>
      </c>
      <c r="B47">
        <v>6</v>
      </c>
      <c r="C47" t="s">
        <v>3</v>
      </c>
      <c r="D47">
        <v>16</v>
      </c>
      <c r="E47" t="s">
        <v>31</v>
      </c>
      <c r="F47" s="16">
        <v>46228.25</v>
      </c>
      <c r="G47" s="16">
        <v>46228.583333333336</v>
      </c>
      <c r="H47" t="s">
        <v>210</v>
      </c>
      <c r="I47" t="s">
        <v>210</v>
      </c>
      <c r="J47">
        <v>9.3231825817714675</v>
      </c>
      <c r="K47">
        <v>74.58546065417174</v>
      </c>
      <c r="L47">
        <v>8</v>
      </c>
    </row>
    <row r="48" spans="1:12" hidden="1" x14ac:dyDescent="0.25">
      <c r="A48" s="15">
        <v>46228</v>
      </c>
      <c r="B48">
        <v>6</v>
      </c>
      <c r="C48" t="s">
        <v>3</v>
      </c>
      <c r="D48">
        <v>16</v>
      </c>
      <c r="E48" t="s">
        <v>165</v>
      </c>
      <c r="F48" s="16">
        <v>46228.25</v>
      </c>
      <c r="G48" s="16">
        <v>46228.583333333336</v>
      </c>
      <c r="H48" t="s">
        <v>210</v>
      </c>
      <c r="I48" t="s">
        <v>210</v>
      </c>
      <c r="J48">
        <v>0.9562238545406635</v>
      </c>
      <c r="K48">
        <v>7.649790836325308</v>
      </c>
      <c r="L48">
        <v>8</v>
      </c>
    </row>
    <row r="49" spans="1:12" hidden="1" x14ac:dyDescent="0.25">
      <c r="A49" s="15">
        <v>46228</v>
      </c>
      <c r="B49">
        <v>6</v>
      </c>
      <c r="C49" t="s">
        <v>3</v>
      </c>
      <c r="D49">
        <v>16</v>
      </c>
      <c r="E49" t="s">
        <v>32</v>
      </c>
      <c r="F49" s="16">
        <v>46228.25</v>
      </c>
      <c r="G49" s="16">
        <v>46228.583333333336</v>
      </c>
      <c r="H49" t="s">
        <v>210</v>
      </c>
      <c r="I49" t="s">
        <v>210</v>
      </c>
      <c r="J49">
        <v>1.3820224719101124</v>
      </c>
      <c r="K49">
        <v>11.056179775280899</v>
      </c>
      <c r="L49">
        <v>8</v>
      </c>
    </row>
    <row r="50" spans="1:12" x14ac:dyDescent="0.25">
      <c r="A50" s="15">
        <v>46228</v>
      </c>
      <c r="B50">
        <v>6</v>
      </c>
      <c r="C50" t="s">
        <v>10</v>
      </c>
      <c r="D50">
        <v>17</v>
      </c>
      <c r="E50" t="s">
        <v>31</v>
      </c>
      <c r="F50" s="16">
        <v>46228.583333333336</v>
      </c>
      <c r="G50" s="16">
        <v>46228.916666666664</v>
      </c>
      <c r="H50" t="s">
        <v>210</v>
      </c>
      <c r="I50" t="s">
        <v>210</v>
      </c>
      <c r="J50">
        <v>7.4107348726901421</v>
      </c>
      <c r="K50">
        <v>59.285878981521137</v>
      </c>
      <c r="L50">
        <v>8</v>
      </c>
    </row>
    <row r="51" spans="1:12" hidden="1" x14ac:dyDescent="0.25">
      <c r="A51" s="15">
        <v>46228</v>
      </c>
      <c r="B51">
        <v>6</v>
      </c>
      <c r="C51" t="s">
        <v>10</v>
      </c>
      <c r="D51">
        <v>17</v>
      </c>
      <c r="E51" t="s">
        <v>165</v>
      </c>
      <c r="F51" s="16">
        <v>46228.583333333336</v>
      </c>
      <c r="G51" s="16">
        <v>46228.9375</v>
      </c>
      <c r="H51" t="s">
        <v>210</v>
      </c>
      <c r="I51" t="s">
        <v>210</v>
      </c>
      <c r="J51">
        <v>0</v>
      </c>
      <c r="K51">
        <v>0</v>
      </c>
      <c r="L51">
        <v>8.5</v>
      </c>
    </row>
    <row r="52" spans="1:12" hidden="1" x14ac:dyDescent="0.25">
      <c r="A52" s="15">
        <v>46228</v>
      </c>
      <c r="B52">
        <v>6</v>
      </c>
      <c r="C52" t="s">
        <v>10</v>
      </c>
      <c r="D52">
        <v>17</v>
      </c>
      <c r="E52" t="s">
        <v>32</v>
      </c>
      <c r="F52" s="16">
        <v>46228.583333333336</v>
      </c>
      <c r="G52" s="16">
        <v>46228.9375</v>
      </c>
      <c r="H52" t="s">
        <v>210</v>
      </c>
      <c r="I52" t="s">
        <v>210</v>
      </c>
      <c r="J52">
        <v>2.6014540647719762</v>
      </c>
      <c r="K52">
        <v>22.112359550561798</v>
      </c>
      <c r="L52">
        <v>8.5</v>
      </c>
    </row>
    <row r="53" spans="1:12" x14ac:dyDescent="0.25">
      <c r="A53" s="15">
        <v>46228</v>
      </c>
      <c r="B53">
        <v>6</v>
      </c>
      <c r="C53" t="s">
        <v>11</v>
      </c>
      <c r="D53">
        <v>18</v>
      </c>
      <c r="E53" t="s">
        <v>31</v>
      </c>
      <c r="F53" s="16">
        <v>46228.916666666664</v>
      </c>
      <c r="G53" s="16">
        <v>46229.25</v>
      </c>
      <c r="H53" t="s">
        <v>210</v>
      </c>
      <c r="I53" t="s">
        <v>210</v>
      </c>
      <c r="J53">
        <v>3.824895418162654</v>
      </c>
      <c r="K53">
        <v>30.599163345301232</v>
      </c>
      <c r="L53">
        <v>8</v>
      </c>
    </row>
    <row r="54" spans="1:12" hidden="1" x14ac:dyDescent="0.25">
      <c r="A54" s="15">
        <v>46228</v>
      </c>
      <c r="B54">
        <v>6</v>
      </c>
      <c r="C54" t="s">
        <v>11</v>
      </c>
      <c r="D54">
        <v>18</v>
      </c>
      <c r="E54" t="s">
        <v>165</v>
      </c>
      <c r="F54" s="16">
        <v>46228.9375</v>
      </c>
      <c r="G54" s="16">
        <v>46229.25</v>
      </c>
      <c r="H54" t="s">
        <v>210</v>
      </c>
      <c r="I54" t="s">
        <v>210</v>
      </c>
      <c r="J54">
        <v>0</v>
      </c>
      <c r="K54">
        <v>0</v>
      </c>
      <c r="L54">
        <v>7.5</v>
      </c>
    </row>
    <row r="55" spans="1:12" hidden="1" x14ac:dyDescent="0.25">
      <c r="A55" s="15">
        <v>46228</v>
      </c>
      <c r="B55">
        <v>6</v>
      </c>
      <c r="C55" t="s">
        <v>11</v>
      </c>
      <c r="D55">
        <v>18</v>
      </c>
      <c r="E55" t="s">
        <v>32</v>
      </c>
      <c r="F55" s="16">
        <v>46228.9375</v>
      </c>
      <c r="G55" s="16">
        <v>46229.25</v>
      </c>
      <c r="H55" t="s">
        <v>210</v>
      </c>
      <c r="I55" t="s">
        <v>210</v>
      </c>
      <c r="J55">
        <v>1.842696629213483</v>
      </c>
      <c r="K55">
        <v>13.820224719101123</v>
      </c>
      <c r="L55">
        <v>7.5</v>
      </c>
    </row>
    <row r="56" spans="1:12" x14ac:dyDescent="0.25">
      <c r="A56" s="15">
        <v>46229</v>
      </c>
      <c r="B56">
        <v>7</v>
      </c>
      <c r="C56" t="s">
        <v>3</v>
      </c>
      <c r="D56">
        <v>19</v>
      </c>
      <c r="E56" t="s">
        <v>31</v>
      </c>
      <c r="F56" s="16">
        <v>46229.25</v>
      </c>
      <c r="G56" s="16">
        <v>46229.583333333336</v>
      </c>
      <c r="H56" t="s">
        <v>210</v>
      </c>
      <c r="I56" t="s">
        <v>210</v>
      </c>
      <c r="J56">
        <v>9.4427105635890527</v>
      </c>
      <c r="K56">
        <v>75.541684508712422</v>
      </c>
      <c r="L56">
        <v>8</v>
      </c>
    </row>
    <row r="57" spans="1:12" hidden="1" x14ac:dyDescent="0.25">
      <c r="A57" s="15">
        <v>46229</v>
      </c>
      <c r="B57">
        <v>7</v>
      </c>
      <c r="C57" t="s">
        <v>3</v>
      </c>
      <c r="D57">
        <v>19</v>
      </c>
      <c r="E57" t="s">
        <v>165</v>
      </c>
      <c r="F57" s="16">
        <v>46229.25</v>
      </c>
      <c r="G57" s="16">
        <v>46229.583333333336</v>
      </c>
      <c r="H57" t="s">
        <v>210</v>
      </c>
      <c r="I57" t="s">
        <v>210</v>
      </c>
      <c r="J57">
        <v>0.9562238545406635</v>
      </c>
      <c r="K57">
        <v>7.649790836325308</v>
      </c>
      <c r="L57">
        <v>8</v>
      </c>
    </row>
    <row r="58" spans="1:12" hidden="1" x14ac:dyDescent="0.25">
      <c r="A58" s="15">
        <v>46229</v>
      </c>
      <c r="B58">
        <v>7</v>
      </c>
      <c r="C58" t="s">
        <v>3</v>
      </c>
      <c r="D58">
        <v>19</v>
      </c>
      <c r="E58" t="s">
        <v>32</v>
      </c>
      <c r="F58" s="16">
        <v>46229.25</v>
      </c>
      <c r="G58" s="16">
        <v>46229.583333333336</v>
      </c>
      <c r="H58" t="s">
        <v>210</v>
      </c>
      <c r="I58" t="s">
        <v>210</v>
      </c>
      <c r="J58">
        <v>1.3820224719101124</v>
      </c>
      <c r="K58">
        <v>11.056179775280899</v>
      </c>
      <c r="L58">
        <v>8</v>
      </c>
    </row>
    <row r="59" spans="1:12" x14ac:dyDescent="0.25">
      <c r="A59" s="15">
        <v>46229</v>
      </c>
      <c r="B59">
        <v>7</v>
      </c>
      <c r="C59" t="s">
        <v>10</v>
      </c>
      <c r="D59">
        <v>20</v>
      </c>
      <c r="E59" t="s">
        <v>31</v>
      </c>
      <c r="F59" s="16">
        <v>46229.583333333336</v>
      </c>
      <c r="G59" s="16">
        <v>46229.916666666664</v>
      </c>
      <c r="H59" t="s">
        <v>210</v>
      </c>
      <c r="I59" t="s">
        <v>210</v>
      </c>
      <c r="J59">
        <v>7.4107348726901421</v>
      </c>
      <c r="K59">
        <v>59.285878981521137</v>
      </c>
      <c r="L59">
        <v>8</v>
      </c>
    </row>
    <row r="60" spans="1:12" hidden="1" x14ac:dyDescent="0.25">
      <c r="A60" s="15">
        <v>46229</v>
      </c>
      <c r="B60">
        <v>7</v>
      </c>
      <c r="C60" t="s">
        <v>10</v>
      </c>
      <c r="D60">
        <v>20</v>
      </c>
      <c r="E60" t="s">
        <v>165</v>
      </c>
      <c r="F60" s="16">
        <v>46229.583333333336</v>
      </c>
      <c r="G60" s="16">
        <v>46229.9375</v>
      </c>
      <c r="H60" t="s">
        <v>210</v>
      </c>
      <c r="I60" t="s">
        <v>210</v>
      </c>
      <c r="J60">
        <v>0</v>
      </c>
      <c r="K60">
        <v>0</v>
      </c>
      <c r="L60">
        <v>8.5</v>
      </c>
    </row>
    <row r="61" spans="1:12" hidden="1" x14ac:dyDescent="0.25">
      <c r="A61" s="15">
        <v>46229</v>
      </c>
      <c r="B61">
        <v>7</v>
      </c>
      <c r="C61" t="s">
        <v>10</v>
      </c>
      <c r="D61">
        <v>20</v>
      </c>
      <c r="E61" t="s">
        <v>32</v>
      </c>
      <c r="F61" s="16">
        <v>46229.583333333336</v>
      </c>
      <c r="G61" s="16">
        <v>46229.9375</v>
      </c>
      <c r="H61" t="s">
        <v>210</v>
      </c>
      <c r="I61" t="s">
        <v>210</v>
      </c>
      <c r="J61">
        <v>2.6014540647719762</v>
      </c>
      <c r="K61">
        <v>22.112359550561798</v>
      </c>
      <c r="L61">
        <v>8.5</v>
      </c>
    </row>
    <row r="62" spans="1:12" x14ac:dyDescent="0.25">
      <c r="A62" s="15">
        <v>46229</v>
      </c>
      <c r="B62">
        <v>7</v>
      </c>
      <c r="C62" t="s">
        <v>11</v>
      </c>
      <c r="D62">
        <v>21</v>
      </c>
      <c r="E62" t="s">
        <v>31</v>
      </c>
      <c r="F62" s="16">
        <v>46229.916666666664</v>
      </c>
      <c r="G62" s="16">
        <v>46230.25</v>
      </c>
      <c r="H62" t="s">
        <v>210</v>
      </c>
      <c r="I62" t="s">
        <v>210</v>
      </c>
      <c r="J62">
        <v>3.824895418162654</v>
      </c>
      <c r="K62">
        <v>30.599163345301232</v>
      </c>
      <c r="L62">
        <v>8</v>
      </c>
    </row>
    <row r="63" spans="1:12" hidden="1" x14ac:dyDescent="0.25">
      <c r="A63" s="15">
        <v>46229</v>
      </c>
      <c r="B63">
        <v>7</v>
      </c>
      <c r="C63" t="s">
        <v>11</v>
      </c>
      <c r="D63">
        <v>21</v>
      </c>
      <c r="E63" t="s">
        <v>165</v>
      </c>
      <c r="F63" s="16">
        <v>46229.9375</v>
      </c>
      <c r="G63" s="16">
        <v>46230.25</v>
      </c>
      <c r="H63" t="s">
        <v>210</v>
      </c>
      <c r="I63" t="s">
        <v>210</v>
      </c>
      <c r="J63">
        <v>0</v>
      </c>
      <c r="K63">
        <v>0</v>
      </c>
      <c r="L63">
        <v>7.5</v>
      </c>
    </row>
    <row r="64" spans="1:12" hidden="1" x14ac:dyDescent="0.25">
      <c r="A64" s="15">
        <v>46229</v>
      </c>
      <c r="B64">
        <v>7</v>
      </c>
      <c r="C64" t="s">
        <v>11</v>
      </c>
      <c r="D64">
        <v>21</v>
      </c>
      <c r="E64" t="s">
        <v>32</v>
      </c>
      <c r="F64" s="16">
        <v>46229.9375</v>
      </c>
      <c r="G64" s="16">
        <v>46230.25</v>
      </c>
      <c r="H64" t="s">
        <v>210</v>
      </c>
      <c r="I64" t="s">
        <v>210</v>
      </c>
      <c r="J64">
        <v>1.842696629213483</v>
      </c>
      <c r="K64">
        <v>13.820224719101123</v>
      </c>
      <c r="L64">
        <v>7.5</v>
      </c>
    </row>
    <row r="65" spans="1:12" x14ac:dyDescent="0.25">
      <c r="A65" s="15">
        <v>46230</v>
      </c>
      <c r="B65">
        <v>8</v>
      </c>
      <c r="C65" t="s">
        <v>3</v>
      </c>
      <c r="D65">
        <v>22</v>
      </c>
      <c r="E65" t="s">
        <v>31</v>
      </c>
      <c r="F65" s="16">
        <v>46230.25</v>
      </c>
      <c r="G65" s="16">
        <v>46230.583333333336</v>
      </c>
      <c r="H65" t="s">
        <v>210</v>
      </c>
      <c r="I65" t="s">
        <v>210</v>
      </c>
      <c r="J65">
        <v>10.279406436312133</v>
      </c>
      <c r="K65">
        <v>82.235251490497063</v>
      </c>
      <c r="L65">
        <v>8</v>
      </c>
    </row>
    <row r="66" spans="1:12" hidden="1" x14ac:dyDescent="0.25">
      <c r="A66" s="15">
        <v>46230</v>
      </c>
      <c r="B66">
        <v>8</v>
      </c>
      <c r="C66" t="s">
        <v>3</v>
      </c>
      <c r="D66">
        <v>22</v>
      </c>
      <c r="E66" t="s">
        <v>165</v>
      </c>
      <c r="F66" s="16">
        <v>46230.25</v>
      </c>
      <c r="G66" s="16">
        <v>46230.583333333336</v>
      </c>
      <c r="H66" t="s">
        <v>210</v>
      </c>
      <c r="I66" t="s">
        <v>210</v>
      </c>
      <c r="J66">
        <v>0</v>
      </c>
      <c r="K66">
        <v>0</v>
      </c>
      <c r="L66">
        <v>8</v>
      </c>
    </row>
    <row r="67" spans="1:12" hidden="1" x14ac:dyDescent="0.25">
      <c r="A67" s="15">
        <v>46230</v>
      </c>
      <c r="B67">
        <v>8</v>
      </c>
      <c r="C67" t="s">
        <v>3</v>
      </c>
      <c r="D67">
        <v>22</v>
      </c>
      <c r="E67" t="s">
        <v>32</v>
      </c>
      <c r="F67" s="16">
        <v>46230.25</v>
      </c>
      <c r="G67" s="16">
        <v>46230.583333333336</v>
      </c>
      <c r="H67" t="s">
        <v>210</v>
      </c>
      <c r="I67" t="s">
        <v>210</v>
      </c>
      <c r="J67">
        <v>1.0365168539325842</v>
      </c>
      <c r="K67">
        <v>8.2921348314606735</v>
      </c>
      <c r="L67">
        <v>8</v>
      </c>
    </row>
    <row r="68" spans="1:12" x14ac:dyDescent="0.25">
      <c r="A68" s="15">
        <v>46230</v>
      </c>
      <c r="B68">
        <v>8</v>
      </c>
      <c r="C68" t="s">
        <v>10</v>
      </c>
      <c r="D68">
        <v>23</v>
      </c>
      <c r="E68" t="s">
        <v>31</v>
      </c>
      <c r="F68" s="16">
        <v>46230.583333333336</v>
      </c>
      <c r="G68" s="16">
        <v>46230.916666666664</v>
      </c>
      <c r="H68" t="s">
        <v>210</v>
      </c>
      <c r="I68" t="s">
        <v>210</v>
      </c>
      <c r="J68">
        <v>7.4107348726901421</v>
      </c>
      <c r="K68">
        <v>59.285878981521137</v>
      </c>
      <c r="L68">
        <v>8</v>
      </c>
    </row>
    <row r="69" spans="1:12" hidden="1" x14ac:dyDescent="0.25">
      <c r="A69" s="15">
        <v>46230</v>
      </c>
      <c r="B69">
        <v>8</v>
      </c>
      <c r="C69" t="s">
        <v>10</v>
      </c>
      <c r="D69">
        <v>23</v>
      </c>
      <c r="E69" t="s">
        <v>165</v>
      </c>
      <c r="F69" s="16">
        <v>46230.583333333336</v>
      </c>
      <c r="G69" s="16">
        <v>46230.9375</v>
      </c>
      <c r="H69" t="s">
        <v>210</v>
      </c>
      <c r="I69" t="s">
        <v>210</v>
      </c>
      <c r="J69">
        <v>0</v>
      </c>
      <c r="K69">
        <v>0</v>
      </c>
      <c r="L69">
        <v>8.5</v>
      </c>
    </row>
    <row r="70" spans="1:12" hidden="1" x14ac:dyDescent="0.25">
      <c r="A70" s="15">
        <v>46230</v>
      </c>
      <c r="B70">
        <v>8</v>
      </c>
      <c r="C70" t="s">
        <v>10</v>
      </c>
      <c r="D70">
        <v>23</v>
      </c>
      <c r="E70" t="s">
        <v>32</v>
      </c>
      <c r="F70" s="16">
        <v>46230.583333333336</v>
      </c>
      <c r="G70" s="16">
        <v>46230.9375</v>
      </c>
      <c r="H70" t="s">
        <v>210</v>
      </c>
      <c r="I70" t="s">
        <v>210</v>
      </c>
      <c r="J70">
        <v>2.6014540647719762</v>
      </c>
      <c r="K70">
        <v>22.112359550561798</v>
      </c>
      <c r="L70">
        <v>8.5</v>
      </c>
    </row>
    <row r="71" spans="1:12" x14ac:dyDescent="0.25">
      <c r="A71" s="15">
        <v>46230</v>
      </c>
      <c r="B71">
        <v>8</v>
      </c>
      <c r="C71" t="s">
        <v>11</v>
      </c>
      <c r="D71">
        <v>24</v>
      </c>
      <c r="E71" t="s">
        <v>31</v>
      </c>
      <c r="F71" s="16">
        <v>46230.916666666664</v>
      </c>
      <c r="G71" s="16">
        <v>46231.25</v>
      </c>
      <c r="H71" t="s">
        <v>210</v>
      </c>
      <c r="I71" t="s">
        <v>210</v>
      </c>
      <c r="J71">
        <v>3.824895418162654</v>
      </c>
      <c r="K71">
        <v>30.599163345301232</v>
      </c>
      <c r="L71">
        <v>8</v>
      </c>
    </row>
    <row r="72" spans="1:12" hidden="1" x14ac:dyDescent="0.25">
      <c r="A72" s="15">
        <v>46230</v>
      </c>
      <c r="B72">
        <v>8</v>
      </c>
      <c r="C72" t="s">
        <v>11</v>
      </c>
      <c r="D72">
        <v>24</v>
      </c>
      <c r="E72" t="s">
        <v>165</v>
      </c>
      <c r="F72" s="16">
        <v>46230.9375</v>
      </c>
      <c r="G72" s="16">
        <v>46231.25</v>
      </c>
      <c r="H72" t="s">
        <v>210</v>
      </c>
      <c r="I72" t="s">
        <v>210</v>
      </c>
      <c r="J72">
        <v>0</v>
      </c>
      <c r="K72">
        <v>0</v>
      </c>
      <c r="L72">
        <v>7.5</v>
      </c>
    </row>
    <row r="73" spans="1:12" hidden="1" x14ac:dyDescent="0.25">
      <c r="A73" s="15">
        <v>46230</v>
      </c>
      <c r="B73">
        <v>8</v>
      </c>
      <c r="C73" t="s">
        <v>11</v>
      </c>
      <c r="D73">
        <v>24</v>
      </c>
      <c r="E73" t="s">
        <v>32</v>
      </c>
      <c r="F73" s="16">
        <v>46230.9375</v>
      </c>
      <c r="G73" s="16">
        <v>46231.25</v>
      </c>
      <c r="H73" t="s">
        <v>210</v>
      </c>
      <c r="I73" t="s">
        <v>210</v>
      </c>
      <c r="J73">
        <v>1.842696629213483</v>
      </c>
      <c r="K73">
        <v>13.820224719101123</v>
      </c>
      <c r="L73">
        <v>7.5</v>
      </c>
    </row>
    <row r="74" spans="1:12" x14ac:dyDescent="0.25">
      <c r="A74" s="15">
        <v>46231</v>
      </c>
      <c r="B74">
        <v>9</v>
      </c>
      <c r="C74" t="s">
        <v>3</v>
      </c>
      <c r="D74">
        <v>25</v>
      </c>
      <c r="E74" t="s">
        <v>31</v>
      </c>
      <c r="F74" s="16">
        <v>46231.25</v>
      </c>
      <c r="G74" s="16">
        <v>46231.583333333336</v>
      </c>
      <c r="H74" t="s">
        <v>210</v>
      </c>
      <c r="I74" t="s">
        <v>210</v>
      </c>
      <c r="J74">
        <v>9.3231825817714675</v>
      </c>
      <c r="K74">
        <v>74.58546065417174</v>
      </c>
      <c r="L74">
        <v>8</v>
      </c>
    </row>
    <row r="75" spans="1:12" hidden="1" x14ac:dyDescent="0.25">
      <c r="A75" s="15">
        <v>46231</v>
      </c>
      <c r="B75">
        <v>9</v>
      </c>
      <c r="C75" t="s">
        <v>3</v>
      </c>
      <c r="D75">
        <v>25</v>
      </c>
      <c r="E75" t="s">
        <v>165</v>
      </c>
      <c r="F75" s="16">
        <v>46231.25</v>
      </c>
      <c r="G75" s="16">
        <v>46231.583333333336</v>
      </c>
      <c r="H75" t="s">
        <v>210</v>
      </c>
      <c r="I75" t="s">
        <v>210</v>
      </c>
      <c r="J75">
        <v>1.912447709081327</v>
      </c>
      <c r="K75">
        <v>15.299581672650616</v>
      </c>
      <c r="L75">
        <v>8</v>
      </c>
    </row>
    <row r="76" spans="1:12" hidden="1" x14ac:dyDescent="0.25">
      <c r="A76" s="15">
        <v>46231</v>
      </c>
      <c r="B76">
        <v>9</v>
      </c>
      <c r="C76" t="s">
        <v>3</v>
      </c>
      <c r="D76">
        <v>25</v>
      </c>
      <c r="E76" t="s">
        <v>32</v>
      </c>
      <c r="F76" s="16">
        <v>46231.25</v>
      </c>
      <c r="G76" s="16">
        <v>46231.583333333336</v>
      </c>
      <c r="H76" t="s">
        <v>210</v>
      </c>
      <c r="I76" t="s">
        <v>210</v>
      </c>
      <c r="J76">
        <v>1.3820224719101124</v>
      </c>
      <c r="K76">
        <v>11.056179775280899</v>
      </c>
      <c r="L76">
        <v>8</v>
      </c>
    </row>
    <row r="77" spans="1:12" x14ac:dyDescent="0.25">
      <c r="A77" s="15">
        <v>46231</v>
      </c>
      <c r="B77">
        <v>9</v>
      </c>
      <c r="C77" t="s">
        <v>10</v>
      </c>
      <c r="D77">
        <v>26</v>
      </c>
      <c r="E77" t="s">
        <v>31</v>
      </c>
      <c r="F77" s="16">
        <v>46231.583333333336</v>
      </c>
      <c r="G77" s="16">
        <v>46231.916666666664</v>
      </c>
      <c r="H77" t="s">
        <v>210</v>
      </c>
      <c r="I77" t="s">
        <v>210</v>
      </c>
      <c r="J77">
        <v>7.3509708817813504</v>
      </c>
      <c r="K77">
        <v>58.807767054250803</v>
      </c>
      <c r="L77">
        <v>8</v>
      </c>
    </row>
    <row r="78" spans="1:12" hidden="1" x14ac:dyDescent="0.25">
      <c r="A78" s="15">
        <v>46231</v>
      </c>
      <c r="B78">
        <v>9</v>
      </c>
      <c r="C78" t="s">
        <v>10</v>
      </c>
      <c r="D78">
        <v>26</v>
      </c>
      <c r="E78" t="s">
        <v>165</v>
      </c>
      <c r="F78" s="16">
        <v>46231.583333333336</v>
      </c>
      <c r="G78" s="16">
        <v>46231.9375</v>
      </c>
      <c r="H78" t="s">
        <v>210</v>
      </c>
      <c r="I78" t="s">
        <v>210</v>
      </c>
      <c r="J78">
        <v>0</v>
      </c>
      <c r="K78">
        <v>0</v>
      </c>
      <c r="L78">
        <v>8.5</v>
      </c>
    </row>
    <row r="79" spans="1:12" hidden="1" x14ac:dyDescent="0.25">
      <c r="A79" s="15">
        <v>46231</v>
      </c>
      <c r="B79">
        <v>9</v>
      </c>
      <c r="C79" t="s">
        <v>10</v>
      </c>
      <c r="D79">
        <v>26</v>
      </c>
      <c r="E79" t="s">
        <v>32</v>
      </c>
      <c r="F79" s="16">
        <v>46231.583333333336</v>
      </c>
      <c r="G79" s="16">
        <v>46231.9375</v>
      </c>
      <c r="H79" t="s">
        <v>210</v>
      </c>
      <c r="I79" t="s">
        <v>210</v>
      </c>
      <c r="J79">
        <v>2.6014540647719762</v>
      </c>
      <c r="K79">
        <v>22.112359550561798</v>
      </c>
      <c r="L79">
        <v>8.5</v>
      </c>
    </row>
    <row r="80" spans="1:12" x14ac:dyDescent="0.25">
      <c r="A80" s="15">
        <v>46231</v>
      </c>
      <c r="B80">
        <v>9</v>
      </c>
      <c r="C80" t="s">
        <v>11</v>
      </c>
      <c r="D80">
        <v>27</v>
      </c>
      <c r="E80" t="s">
        <v>31</v>
      </c>
      <c r="F80" s="16">
        <v>46231.916666666664</v>
      </c>
      <c r="G80" s="16">
        <v>46232.25</v>
      </c>
      <c r="H80" t="s">
        <v>210</v>
      </c>
      <c r="I80" t="s">
        <v>210</v>
      </c>
      <c r="J80">
        <v>3.824895418162654</v>
      </c>
      <c r="K80">
        <v>30.599163345301232</v>
      </c>
      <c r="L80">
        <v>8</v>
      </c>
    </row>
    <row r="81" spans="1:12" hidden="1" x14ac:dyDescent="0.25">
      <c r="A81" s="15">
        <v>46231</v>
      </c>
      <c r="B81">
        <v>9</v>
      </c>
      <c r="C81" t="s">
        <v>11</v>
      </c>
      <c r="D81">
        <v>27</v>
      </c>
      <c r="E81" t="s">
        <v>165</v>
      </c>
      <c r="F81" s="16">
        <v>46231.9375</v>
      </c>
      <c r="G81" s="16">
        <v>46232.25</v>
      </c>
      <c r="H81" t="s">
        <v>210</v>
      </c>
      <c r="I81" t="s">
        <v>210</v>
      </c>
      <c r="J81">
        <v>0</v>
      </c>
      <c r="K81">
        <v>0</v>
      </c>
      <c r="L81">
        <v>7.5</v>
      </c>
    </row>
    <row r="82" spans="1:12" hidden="1" x14ac:dyDescent="0.25">
      <c r="A82" s="15">
        <v>46231</v>
      </c>
      <c r="B82">
        <v>9</v>
      </c>
      <c r="C82" t="s">
        <v>11</v>
      </c>
      <c r="D82">
        <v>27</v>
      </c>
      <c r="E82" t="s">
        <v>32</v>
      </c>
      <c r="F82" s="16">
        <v>46231.9375</v>
      </c>
      <c r="G82" s="16">
        <v>46232.25</v>
      </c>
      <c r="H82" t="s">
        <v>210</v>
      </c>
      <c r="I82" t="s">
        <v>210</v>
      </c>
      <c r="J82">
        <v>1.842696629213483</v>
      </c>
      <c r="K82">
        <v>13.820224719101123</v>
      </c>
      <c r="L82">
        <v>7.5</v>
      </c>
    </row>
    <row r="83" spans="1:12" x14ac:dyDescent="0.25">
      <c r="A83" s="15">
        <v>46232</v>
      </c>
      <c r="B83">
        <v>10</v>
      </c>
      <c r="C83" t="s">
        <v>3</v>
      </c>
      <c r="D83">
        <v>28</v>
      </c>
      <c r="E83" t="s">
        <v>31</v>
      </c>
      <c r="F83" s="16">
        <v>46232.25</v>
      </c>
      <c r="G83" s="16">
        <v>46232.583333333336</v>
      </c>
      <c r="H83" t="s">
        <v>210</v>
      </c>
      <c r="I83" t="s">
        <v>210</v>
      </c>
      <c r="J83">
        <v>9.3231825817714675</v>
      </c>
      <c r="K83">
        <v>74.58546065417174</v>
      </c>
      <c r="L83">
        <v>8</v>
      </c>
    </row>
    <row r="84" spans="1:12" hidden="1" x14ac:dyDescent="0.25">
      <c r="A84" s="15">
        <v>46232</v>
      </c>
      <c r="B84">
        <v>10</v>
      </c>
      <c r="C84" t="s">
        <v>3</v>
      </c>
      <c r="D84">
        <v>28</v>
      </c>
      <c r="E84" t="s">
        <v>165</v>
      </c>
      <c r="F84" s="16">
        <v>46232.25</v>
      </c>
      <c r="G84" s="16">
        <v>46232.583333333336</v>
      </c>
      <c r="H84" t="s">
        <v>210</v>
      </c>
      <c r="I84" t="s">
        <v>210</v>
      </c>
      <c r="J84">
        <v>2.8686715636219904</v>
      </c>
      <c r="K84">
        <v>22.949372508975923</v>
      </c>
      <c r="L84">
        <v>8</v>
      </c>
    </row>
    <row r="85" spans="1:12" hidden="1" x14ac:dyDescent="0.25">
      <c r="A85" s="15">
        <v>46232</v>
      </c>
      <c r="B85">
        <v>10</v>
      </c>
      <c r="C85" t="s">
        <v>3</v>
      </c>
      <c r="D85">
        <v>28</v>
      </c>
      <c r="E85" t="s">
        <v>32</v>
      </c>
      <c r="F85" s="16">
        <v>46232.25</v>
      </c>
      <c r="G85" s="16">
        <v>46232.583333333336</v>
      </c>
      <c r="H85" t="s">
        <v>210</v>
      </c>
      <c r="I85" t="s">
        <v>210</v>
      </c>
      <c r="J85">
        <v>2.7640449438202248</v>
      </c>
      <c r="K85">
        <v>22.112359550561798</v>
      </c>
      <c r="L85">
        <v>8</v>
      </c>
    </row>
    <row r="86" spans="1:12" x14ac:dyDescent="0.25">
      <c r="A86" s="15">
        <v>46232</v>
      </c>
      <c r="B86">
        <v>10</v>
      </c>
      <c r="C86" t="s">
        <v>10</v>
      </c>
      <c r="D86">
        <v>29</v>
      </c>
      <c r="E86" t="s">
        <v>31</v>
      </c>
      <c r="F86" s="16">
        <v>46232.583333333336</v>
      </c>
      <c r="G86" s="16">
        <v>46232.916666666664</v>
      </c>
      <c r="H86" t="s">
        <v>210</v>
      </c>
      <c r="I86" t="s">
        <v>210</v>
      </c>
      <c r="J86">
        <v>6.6935669817846444</v>
      </c>
      <c r="K86">
        <v>53.548535854277155</v>
      </c>
      <c r="L86">
        <v>8</v>
      </c>
    </row>
    <row r="87" spans="1:12" hidden="1" x14ac:dyDescent="0.25">
      <c r="A87" s="15">
        <v>46232</v>
      </c>
      <c r="B87">
        <v>10</v>
      </c>
      <c r="C87" t="s">
        <v>10</v>
      </c>
      <c r="D87">
        <v>29</v>
      </c>
      <c r="E87" t="s">
        <v>165</v>
      </c>
      <c r="F87" s="16">
        <v>46232.583333333336</v>
      </c>
      <c r="G87" s="16">
        <v>46232.9375</v>
      </c>
      <c r="H87" t="s">
        <v>210</v>
      </c>
      <c r="I87" t="s">
        <v>210</v>
      </c>
      <c r="J87">
        <v>0.67498154438164482</v>
      </c>
      <c r="K87">
        <v>5.7373431272439808</v>
      </c>
      <c r="L87">
        <v>8.5</v>
      </c>
    </row>
    <row r="88" spans="1:12" hidden="1" x14ac:dyDescent="0.25">
      <c r="A88" s="15">
        <v>46232</v>
      </c>
      <c r="B88">
        <v>10</v>
      </c>
      <c r="C88" t="s">
        <v>10</v>
      </c>
      <c r="D88">
        <v>29</v>
      </c>
      <c r="E88" t="s">
        <v>32</v>
      </c>
      <c r="F88" s="16">
        <v>46232.583333333336</v>
      </c>
      <c r="G88" s="16">
        <v>46232.9375</v>
      </c>
      <c r="H88" t="s">
        <v>210</v>
      </c>
      <c r="I88" t="s">
        <v>210</v>
      </c>
      <c r="J88">
        <v>2.2762723066754793</v>
      </c>
      <c r="K88">
        <v>19.348314606741575</v>
      </c>
      <c r="L88">
        <v>8.5</v>
      </c>
    </row>
    <row r="89" spans="1:12" x14ac:dyDescent="0.25">
      <c r="A89" s="15">
        <v>46232</v>
      </c>
      <c r="B89">
        <v>10</v>
      </c>
      <c r="C89" t="s">
        <v>11</v>
      </c>
      <c r="D89">
        <v>30</v>
      </c>
      <c r="E89" t="s">
        <v>31</v>
      </c>
      <c r="F89" s="16">
        <v>46232.916666666664</v>
      </c>
      <c r="G89" s="16">
        <v>46233.25</v>
      </c>
      <c r="H89" t="s">
        <v>210</v>
      </c>
      <c r="I89" t="s">
        <v>210</v>
      </c>
      <c r="J89">
        <v>3.824895418162654</v>
      </c>
      <c r="K89">
        <v>30.599163345301232</v>
      </c>
      <c r="L89">
        <v>8</v>
      </c>
    </row>
    <row r="90" spans="1:12" hidden="1" x14ac:dyDescent="0.25">
      <c r="A90" s="15">
        <v>46232</v>
      </c>
      <c r="B90">
        <v>10</v>
      </c>
      <c r="C90" t="s">
        <v>11</v>
      </c>
      <c r="D90">
        <v>30</v>
      </c>
      <c r="E90" t="s">
        <v>165</v>
      </c>
      <c r="F90" s="16">
        <v>46232.9375</v>
      </c>
      <c r="G90" s="16">
        <v>46233.25</v>
      </c>
      <c r="H90" t="s">
        <v>210</v>
      </c>
      <c r="I90" t="s">
        <v>210</v>
      </c>
      <c r="J90">
        <v>0</v>
      </c>
      <c r="K90">
        <v>0</v>
      </c>
      <c r="L90">
        <v>7.5</v>
      </c>
    </row>
    <row r="91" spans="1:12" hidden="1" x14ac:dyDescent="0.25">
      <c r="A91" s="15">
        <v>46232</v>
      </c>
      <c r="B91">
        <v>10</v>
      </c>
      <c r="C91" t="s">
        <v>11</v>
      </c>
      <c r="D91">
        <v>30</v>
      </c>
      <c r="E91" t="s">
        <v>32</v>
      </c>
      <c r="F91" s="16">
        <v>46232.9375</v>
      </c>
      <c r="G91" s="16">
        <v>46233.25</v>
      </c>
      <c r="H91" t="s">
        <v>210</v>
      </c>
      <c r="I91" t="s">
        <v>210</v>
      </c>
      <c r="J91">
        <v>1.842696629213483</v>
      </c>
      <c r="K91">
        <v>13.820224719101123</v>
      </c>
      <c r="L91">
        <v>7.5</v>
      </c>
    </row>
    <row r="92" spans="1:12" x14ac:dyDescent="0.25">
      <c r="A92" s="15">
        <v>46233</v>
      </c>
      <c r="B92">
        <v>11</v>
      </c>
      <c r="C92" t="s">
        <v>3</v>
      </c>
      <c r="D92">
        <v>31</v>
      </c>
      <c r="E92" t="s">
        <v>31</v>
      </c>
      <c r="F92" s="16">
        <v>46233.25</v>
      </c>
      <c r="G92" s="16">
        <v>46233.583333333336</v>
      </c>
      <c r="H92" t="s">
        <v>210</v>
      </c>
      <c r="I92" t="s">
        <v>210</v>
      </c>
      <c r="J92">
        <v>10.279406436312133</v>
      </c>
      <c r="K92">
        <v>82.235251490497063</v>
      </c>
      <c r="L92">
        <v>8</v>
      </c>
    </row>
    <row r="93" spans="1:12" hidden="1" x14ac:dyDescent="0.25">
      <c r="A93" s="15">
        <v>46233</v>
      </c>
      <c r="B93">
        <v>11</v>
      </c>
      <c r="C93" t="s">
        <v>3</v>
      </c>
      <c r="D93">
        <v>31</v>
      </c>
      <c r="E93" t="s">
        <v>165</v>
      </c>
      <c r="F93" s="16">
        <v>46233.25</v>
      </c>
      <c r="G93" s="16">
        <v>46233.583333333336</v>
      </c>
      <c r="H93" t="s">
        <v>210</v>
      </c>
      <c r="I93" t="s">
        <v>210</v>
      </c>
      <c r="J93">
        <v>2.8686715636219904</v>
      </c>
      <c r="K93">
        <v>22.949372508975923</v>
      </c>
      <c r="L93">
        <v>8</v>
      </c>
    </row>
    <row r="94" spans="1:12" hidden="1" x14ac:dyDescent="0.25">
      <c r="A94" s="15">
        <v>46233</v>
      </c>
      <c r="B94">
        <v>11</v>
      </c>
      <c r="C94" t="s">
        <v>3</v>
      </c>
      <c r="D94">
        <v>31</v>
      </c>
      <c r="E94" t="s">
        <v>32</v>
      </c>
      <c r="F94" s="16">
        <v>46233.25</v>
      </c>
      <c r="G94" s="16">
        <v>46233.583333333336</v>
      </c>
      <c r="H94" t="s">
        <v>210</v>
      </c>
      <c r="I94" t="s">
        <v>210</v>
      </c>
      <c r="J94">
        <v>2.7640449438202248</v>
      </c>
      <c r="K94">
        <v>22.112359550561798</v>
      </c>
      <c r="L94">
        <v>8</v>
      </c>
    </row>
    <row r="95" spans="1:12" x14ac:dyDescent="0.25">
      <c r="A95" s="15">
        <v>46233</v>
      </c>
      <c r="B95">
        <v>11</v>
      </c>
      <c r="C95" t="s">
        <v>10</v>
      </c>
      <c r="D95">
        <v>32</v>
      </c>
      <c r="E95" t="s">
        <v>31</v>
      </c>
      <c r="F95" s="16">
        <v>46233.583333333336</v>
      </c>
      <c r="G95" s="16">
        <v>46233.916666666664</v>
      </c>
      <c r="H95" t="s">
        <v>210</v>
      </c>
      <c r="I95" t="s">
        <v>210</v>
      </c>
      <c r="J95">
        <v>7.4107348726901421</v>
      </c>
      <c r="K95">
        <v>59.285878981521137</v>
      </c>
      <c r="L95">
        <v>8</v>
      </c>
    </row>
    <row r="96" spans="1:12" hidden="1" x14ac:dyDescent="0.25">
      <c r="A96" s="15">
        <v>46233</v>
      </c>
      <c r="B96">
        <v>11</v>
      </c>
      <c r="C96" t="s">
        <v>10</v>
      </c>
      <c r="D96">
        <v>32</v>
      </c>
      <c r="E96" t="s">
        <v>165</v>
      </c>
      <c r="F96" s="16">
        <v>46233.583333333336</v>
      </c>
      <c r="G96" s="16">
        <v>46233.9375</v>
      </c>
      <c r="H96" t="s">
        <v>210</v>
      </c>
      <c r="I96" t="s">
        <v>210</v>
      </c>
      <c r="J96">
        <v>0</v>
      </c>
      <c r="K96">
        <v>0</v>
      </c>
      <c r="L96">
        <v>8.5</v>
      </c>
    </row>
    <row r="97" spans="1:12" hidden="1" x14ac:dyDescent="0.25">
      <c r="A97" s="15">
        <v>46233</v>
      </c>
      <c r="B97">
        <v>11</v>
      </c>
      <c r="C97" t="s">
        <v>10</v>
      </c>
      <c r="D97">
        <v>32</v>
      </c>
      <c r="E97" t="s">
        <v>32</v>
      </c>
      <c r="F97" s="16">
        <v>46233.583333333336</v>
      </c>
      <c r="G97" s="16">
        <v>46233.9375</v>
      </c>
      <c r="H97" t="s">
        <v>210</v>
      </c>
      <c r="I97" t="s">
        <v>210</v>
      </c>
      <c r="J97">
        <v>2.2762723066754793</v>
      </c>
      <c r="K97">
        <v>19.348314606741575</v>
      </c>
      <c r="L97">
        <v>8.5</v>
      </c>
    </row>
    <row r="98" spans="1:12" x14ac:dyDescent="0.25">
      <c r="A98" s="15">
        <v>46233</v>
      </c>
      <c r="B98">
        <v>11</v>
      </c>
      <c r="C98" t="s">
        <v>11</v>
      </c>
      <c r="D98">
        <v>33</v>
      </c>
      <c r="E98" t="s">
        <v>31</v>
      </c>
      <c r="F98" s="16">
        <v>46233.916666666664</v>
      </c>
      <c r="G98" s="16">
        <v>46234.25</v>
      </c>
      <c r="H98" t="s">
        <v>210</v>
      </c>
      <c r="I98" t="s">
        <v>210</v>
      </c>
      <c r="J98">
        <v>3.824895418162654</v>
      </c>
      <c r="K98">
        <v>30.599163345301232</v>
      </c>
      <c r="L98">
        <v>8</v>
      </c>
    </row>
    <row r="99" spans="1:12" hidden="1" x14ac:dyDescent="0.25">
      <c r="A99" s="15">
        <v>46233</v>
      </c>
      <c r="B99">
        <v>11</v>
      </c>
      <c r="C99" t="s">
        <v>11</v>
      </c>
      <c r="D99">
        <v>33</v>
      </c>
      <c r="E99" t="s">
        <v>165</v>
      </c>
      <c r="F99" s="16">
        <v>46233.9375</v>
      </c>
      <c r="G99" s="16">
        <v>46234.25</v>
      </c>
      <c r="H99" t="s">
        <v>210</v>
      </c>
      <c r="I99" t="s">
        <v>210</v>
      </c>
      <c r="J99">
        <v>0</v>
      </c>
      <c r="K99">
        <v>0</v>
      </c>
      <c r="L99">
        <v>7.5</v>
      </c>
    </row>
    <row r="100" spans="1:12" hidden="1" x14ac:dyDescent="0.25">
      <c r="A100" s="15">
        <v>46233</v>
      </c>
      <c r="B100">
        <v>11</v>
      </c>
      <c r="C100" t="s">
        <v>11</v>
      </c>
      <c r="D100">
        <v>33</v>
      </c>
      <c r="E100" t="s">
        <v>32</v>
      </c>
      <c r="F100" s="16">
        <v>46233.9375</v>
      </c>
      <c r="G100" s="16">
        <v>46234.25</v>
      </c>
      <c r="H100" t="s">
        <v>210</v>
      </c>
      <c r="I100" t="s">
        <v>210</v>
      </c>
      <c r="J100">
        <v>1.842696629213483</v>
      </c>
      <c r="K100">
        <v>13.820224719101123</v>
      </c>
      <c r="L100">
        <v>7.5</v>
      </c>
    </row>
    <row r="101" spans="1:12" x14ac:dyDescent="0.25">
      <c r="A101" s="15">
        <v>46234</v>
      </c>
      <c r="B101">
        <v>12</v>
      </c>
      <c r="C101" t="s">
        <v>3</v>
      </c>
      <c r="D101">
        <v>34</v>
      </c>
      <c r="E101" t="s">
        <v>31</v>
      </c>
      <c r="F101" s="16">
        <v>46234.25</v>
      </c>
      <c r="G101" s="16">
        <v>46234.583333333336</v>
      </c>
      <c r="H101" t="s">
        <v>210</v>
      </c>
      <c r="I101" t="s">
        <v>210</v>
      </c>
      <c r="J101">
        <v>9.3231825817714675</v>
      </c>
      <c r="K101">
        <v>74.58546065417174</v>
      </c>
      <c r="L101">
        <v>8</v>
      </c>
    </row>
    <row r="102" spans="1:12" hidden="1" x14ac:dyDescent="0.25">
      <c r="A102" s="15">
        <v>46234</v>
      </c>
      <c r="B102">
        <v>12</v>
      </c>
      <c r="C102" t="s">
        <v>3</v>
      </c>
      <c r="D102">
        <v>34</v>
      </c>
      <c r="E102" t="s">
        <v>165</v>
      </c>
      <c r="F102" s="16">
        <v>46234.25</v>
      </c>
      <c r="G102" s="16">
        <v>46234.583333333336</v>
      </c>
      <c r="H102" t="s">
        <v>210</v>
      </c>
      <c r="I102" t="s">
        <v>210</v>
      </c>
      <c r="J102">
        <v>1.912447709081327</v>
      </c>
      <c r="K102">
        <v>15.299581672650616</v>
      </c>
      <c r="L102">
        <v>8</v>
      </c>
    </row>
    <row r="103" spans="1:12" hidden="1" x14ac:dyDescent="0.25">
      <c r="A103" s="15">
        <v>46234</v>
      </c>
      <c r="B103">
        <v>12</v>
      </c>
      <c r="C103" t="s">
        <v>3</v>
      </c>
      <c r="D103">
        <v>34</v>
      </c>
      <c r="E103" t="s">
        <v>32</v>
      </c>
      <c r="F103" s="16">
        <v>46234.25</v>
      </c>
      <c r="G103" s="16">
        <v>46234.583333333336</v>
      </c>
      <c r="H103" t="s">
        <v>210</v>
      </c>
      <c r="I103" t="s">
        <v>210</v>
      </c>
      <c r="J103">
        <v>5.1825842696629216</v>
      </c>
      <c r="K103">
        <v>41.460674157303373</v>
      </c>
      <c r="L103">
        <v>8</v>
      </c>
    </row>
    <row r="104" spans="1:12" x14ac:dyDescent="0.25">
      <c r="A104" s="15">
        <v>46234</v>
      </c>
      <c r="B104">
        <v>12</v>
      </c>
      <c r="C104" t="s">
        <v>10</v>
      </c>
      <c r="D104">
        <v>35</v>
      </c>
      <c r="E104" t="s">
        <v>31</v>
      </c>
      <c r="F104" s="16">
        <v>46234.583333333336</v>
      </c>
      <c r="G104" s="16">
        <v>46234.916666666664</v>
      </c>
      <c r="H104" t="s">
        <v>210</v>
      </c>
      <c r="I104" t="s">
        <v>210</v>
      </c>
      <c r="J104">
        <v>7.4107348726901421</v>
      </c>
      <c r="K104">
        <v>59.285878981521137</v>
      </c>
      <c r="L104">
        <v>8</v>
      </c>
    </row>
    <row r="105" spans="1:12" hidden="1" x14ac:dyDescent="0.25">
      <c r="A105" s="15">
        <v>46234</v>
      </c>
      <c r="B105">
        <v>12</v>
      </c>
      <c r="C105" t="s">
        <v>10</v>
      </c>
      <c r="D105">
        <v>35</v>
      </c>
      <c r="E105" t="s">
        <v>165</v>
      </c>
      <c r="F105" s="16">
        <v>46234.583333333336</v>
      </c>
      <c r="G105" s="16">
        <v>46234.9375</v>
      </c>
      <c r="H105" t="s">
        <v>210</v>
      </c>
      <c r="I105" t="s">
        <v>210</v>
      </c>
      <c r="J105">
        <v>0</v>
      </c>
      <c r="K105">
        <v>0</v>
      </c>
      <c r="L105">
        <v>8.5</v>
      </c>
    </row>
    <row r="106" spans="1:12" hidden="1" x14ac:dyDescent="0.25">
      <c r="A106" s="15">
        <v>46234</v>
      </c>
      <c r="B106">
        <v>12</v>
      </c>
      <c r="C106" t="s">
        <v>10</v>
      </c>
      <c r="D106">
        <v>35</v>
      </c>
      <c r="E106" t="s">
        <v>32</v>
      </c>
      <c r="F106" s="16">
        <v>46234.583333333336</v>
      </c>
      <c r="G106" s="16">
        <v>46234.9375</v>
      </c>
      <c r="H106" t="s">
        <v>210</v>
      </c>
      <c r="I106" t="s">
        <v>210</v>
      </c>
      <c r="J106">
        <v>2.6014540647719762</v>
      </c>
      <c r="K106">
        <v>22.112359550561798</v>
      </c>
      <c r="L106">
        <v>8.5</v>
      </c>
    </row>
    <row r="107" spans="1:12" x14ac:dyDescent="0.25">
      <c r="A107" s="15">
        <v>46234</v>
      </c>
      <c r="B107">
        <v>12</v>
      </c>
      <c r="C107" t="s">
        <v>11</v>
      </c>
      <c r="D107">
        <v>36</v>
      </c>
      <c r="E107" t="s">
        <v>31</v>
      </c>
      <c r="F107" s="16">
        <v>46234.916666666664</v>
      </c>
      <c r="G107" s="16">
        <v>46235.25</v>
      </c>
      <c r="H107" t="s">
        <v>210</v>
      </c>
      <c r="I107" t="s">
        <v>210</v>
      </c>
      <c r="J107">
        <v>3.824895418162654</v>
      </c>
      <c r="K107">
        <v>30.599163345301232</v>
      </c>
      <c r="L107">
        <v>8</v>
      </c>
    </row>
    <row r="108" spans="1:12" hidden="1" x14ac:dyDescent="0.25">
      <c r="A108" s="15">
        <v>46234</v>
      </c>
      <c r="B108">
        <v>12</v>
      </c>
      <c r="C108" t="s">
        <v>11</v>
      </c>
      <c r="D108">
        <v>36</v>
      </c>
      <c r="E108" t="s">
        <v>165</v>
      </c>
      <c r="F108" s="16">
        <v>46234.9375</v>
      </c>
      <c r="G108" s="16">
        <v>46235.25</v>
      </c>
      <c r="H108" t="s">
        <v>210</v>
      </c>
      <c r="I108" t="s">
        <v>210</v>
      </c>
      <c r="J108">
        <v>0</v>
      </c>
      <c r="K108">
        <v>0</v>
      </c>
      <c r="L108">
        <v>7.5</v>
      </c>
    </row>
    <row r="109" spans="1:12" hidden="1" x14ac:dyDescent="0.25">
      <c r="A109" s="15">
        <v>46234</v>
      </c>
      <c r="B109">
        <v>12</v>
      </c>
      <c r="C109" t="s">
        <v>11</v>
      </c>
      <c r="D109">
        <v>36</v>
      </c>
      <c r="E109" t="s">
        <v>32</v>
      </c>
      <c r="F109" s="16">
        <v>46234.9375</v>
      </c>
      <c r="G109" s="16">
        <v>46235.25</v>
      </c>
      <c r="H109" t="s">
        <v>210</v>
      </c>
      <c r="I109" t="s">
        <v>210</v>
      </c>
      <c r="J109">
        <v>1.842696629213483</v>
      </c>
      <c r="K109">
        <v>13.820224719101123</v>
      </c>
      <c r="L109">
        <v>7.5</v>
      </c>
    </row>
    <row r="110" spans="1:12" x14ac:dyDescent="0.25">
      <c r="A110" s="15">
        <v>46235</v>
      </c>
      <c r="B110">
        <v>13</v>
      </c>
      <c r="C110" t="s">
        <v>3</v>
      </c>
      <c r="D110">
        <v>37</v>
      </c>
      <c r="E110" t="s">
        <v>31</v>
      </c>
      <c r="F110" s="16">
        <v>46235.25</v>
      </c>
      <c r="G110" s="16">
        <v>46235.583333333336</v>
      </c>
      <c r="H110" t="s">
        <v>210</v>
      </c>
      <c r="I110" t="s">
        <v>210</v>
      </c>
      <c r="J110">
        <v>10.279406436312133</v>
      </c>
      <c r="K110">
        <v>82.235251490497063</v>
      </c>
      <c r="L110">
        <v>8</v>
      </c>
    </row>
    <row r="111" spans="1:12" hidden="1" x14ac:dyDescent="0.25">
      <c r="A111" s="15">
        <v>46235</v>
      </c>
      <c r="B111">
        <v>13</v>
      </c>
      <c r="C111" t="s">
        <v>3</v>
      </c>
      <c r="D111">
        <v>37</v>
      </c>
      <c r="E111" t="s">
        <v>165</v>
      </c>
      <c r="F111" s="16">
        <v>46235.25</v>
      </c>
      <c r="G111" s="16">
        <v>46235.583333333336</v>
      </c>
      <c r="H111" t="s">
        <v>210</v>
      </c>
      <c r="I111" t="s">
        <v>210</v>
      </c>
      <c r="J111">
        <v>0</v>
      </c>
      <c r="K111">
        <v>0</v>
      </c>
      <c r="L111">
        <v>8</v>
      </c>
    </row>
    <row r="112" spans="1:12" hidden="1" x14ac:dyDescent="0.25">
      <c r="A112" s="15">
        <v>46235</v>
      </c>
      <c r="B112">
        <v>13</v>
      </c>
      <c r="C112" t="s">
        <v>3</v>
      </c>
      <c r="D112">
        <v>37</v>
      </c>
      <c r="E112" t="s">
        <v>32</v>
      </c>
      <c r="F112" s="16">
        <v>46235.25</v>
      </c>
      <c r="G112" s="16">
        <v>46235.583333333336</v>
      </c>
      <c r="H112" t="s">
        <v>210</v>
      </c>
      <c r="I112" t="s">
        <v>210</v>
      </c>
      <c r="J112">
        <v>1.3820224719101124</v>
      </c>
      <c r="K112">
        <v>11.056179775280899</v>
      </c>
      <c r="L112">
        <v>8</v>
      </c>
    </row>
    <row r="113" spans="1:12" x14ac:dyDescent="0.25">
      <c r="A113" s="15">
        <v>46235</v>
      </c>
      <c r="B113">
        <v>13</v>
      </c>
      <c r="C113" t="s">
        <v>10</v>
      </c>
      <c r="D113">
        <v>38</v>
      </c>
      <c r="E113" t="s">
        <v>31</v>
      </c>
      <c r="F113" s="16">
        <v>46235.583333333336</v>
      </c>
      <c r="G113" s="16">
        <v>46235.916666666664</v>
      </c>
      <c r="H113" t="s">
        <v>210</v>
      </c>
      <c r="I113" t="s">
        <v>210</v>
      </c>
      <c r="J113">
        <v>7.4107348726901421</v>
      </c>
      <c r="K113">
        <v>59.285878981521137</v>
      </c>
      <c r="L113">
        <v>8</v>
      </c>
    </row>
    <row r="114" spans="1:12" hidden="1" x14ac:dyDescent="0.25">
      <c r="A114" s="15">
        <v>46235</v>
      </c>
      <c r="B114">
        <v>13</v>
      </c>
      <c r="C114" t="s">
        <v>10</v>
      </c>
      <c r="D114">
        <v>38</v>
      </c>
      <c r="E114" t="s">
        <v>165</v>
      </c>
      <c r="F114" s="16">
        <v>46235.583333333336</v>
      </c>
      <c r="G114" s="16">
        <v>46235.9375</v>
      </c>
      <c r="H114" t="s">
        <v>210</v>
      </c>
      <c r="I114" t="s">
        <v>210</v>
      </c>
      <c r="J114">
        <v>0</v>
      </c>
      <c r="K114">
        <v>0</v>
      </c>
      <c r="L114">
        <v>8.5</v>
      </c>
    </row>
    <row r="115" spans="1:12" hidden="1" x14ac:dyDescent="0.25">
      <c r="A115" s="15">
        <v>46235</v>
      </c>
      <c r="B115">
        <v>13</v>
      </c>
      <c r="C115" t="s">
        <v>10</v>
      </c>
      <c r="D115">
        <v>38</v>
      </c>
      <c r="E115" t="s">
        <v>32</v>
      </c>
      <c r="F115" s="16">
        <v>46235.583333333336</v>
      </c>
      <c r="G115" s="16">
        <v>46235.9375</v>
      </c>
      <c r="H115" t="s">
        <v>210</v>
      </c>
      <c r="I115" t="s">
        <v>210</v>
      </c>
      <c r="J115">
        <v>2.2762723066754793</v>
      </c>
      <c r="K115">
        <v>19.348314606741575</v>
      </c>
      <c r="L115">
        <v>8.5</v>
      </c>
    </row>
    <row r="116" spans="1:12" x14ac:dyDescent="0.25">
      <c r="A116" s="15">
        <v>46235</v>
      </c>
      <c r="B116">
        <v>13</v>
      </c>
      <c r="C116" t="s">
        <v>11</v>
      </c>
      <c r="D116">
        <v>39</v>
      </c>
      <c r="E116" t="s">
        <v>31</v>
      </c>
      <c r="F116" s="16">
        <v>46235.916666666664</v>
      </c>
      <c r="G116" s="16">
        <v>46236.25</v>
      </c>
      <c r="H116" t="s">
        <v>210</v>
      </c>
      <c r="I116" t="s">
        <v>210</v>
      </c>
      <c r="J116">
        <v>3.5858394545274885</v>
      </c>
      <c r="K116">
        <v>28.686715636219908</v>
      </c>
      <c r="L116">
        <v>8</v>
      </c>
    </row>
    <row r="117" spans="1:12" hidden="1" x14ac:dyDescent="0.25">
      <c r="A117" s="15">
        <v>46235</v>
      </c>
      <c r="B117">
        <v>13</v>
      </c>
      <c r="C117" t="s">
        <v>11</v>
      </c>
      <c r="D117">
        <v>39</v>
      </c>
      <c r="E117" t="s">
        <v>165</v>
      </c>
      <c r="F117" s="16">
        <v>46235.9375</v>
      </c>
      <c r="G117" s="16">
        <v>46236.25</v>
      </c>
      <c r="H117" t="s">
        <v>210</v>
      </c>
      <c r="I117" t="s">
        <v>210</v>
      </c>
      <c r="J117">
        <v>0</v>
      </c>
      <c r="K117">
        <v>0</v>
      </c>
      <c r="L117">
        <v>7.5</v>
      </c>
    </row>
    <row r="118" spans="1:12" hidden="1" x14ac:dyDescent="0.25">
      <c r="A118" s="15">
        <v>46235</v>
      </c>
      <c r="B118">
        <v>13</v>
      </c>
      <c r="C118" t="s">
        <v>11</v>
      </c>
      <c r="D118">
        <v>39</v>
      </c>
      <c r="E118" t="s">
        <v>32</v>
      </c>
      <c r="F118" s="16">
        <v>46235.9375</v>
      </c>
      <c r="G118" s="16">
        <v>46236.25</v>
      </c>
      <c r="H118" t="s">
        <v>210</v>
      </c>
      <c r="I118" t="s">
        <v>210</v>
      </c>
      <c r="J118">
        <v>1.842696629213483</v>
      </c>
      <c r="K118">
        <v>13.820224719101123</v>
      </c>
      <c r="L118">
        <v>7.5</v>
      </c>
    </row>
    <row r="119" spans="1:12" x14ac:dyDescent="0.25">
      <c r="A119" s="15">
        <v>46236</v>
      </c>
      <c r="B119">
        <v>14</v>
      </c>
      <c r="C119" t="s">
        <v>3</v>
      </c>
      <c r="D119">
        <v>40</v>
      </c>
      <c r="E119" t="s">
        <v>31</v>
      </c>
      <c r="F119" s="16">
        <v>46236.25</v>
      </c>
      <c r="G119" s="16">
        <v>46236.583333333336</v>
      </c>
      <c r="H119" t="s">
        <v>210</v>
      </c>
      <c r="I119" t="s">
        <v>210</v>
      </c>
      <c r="J119">
        <v>10.279406436312133</v>
      </c>
      <c r="K119">
        <v>82.235251490497063</v>
      </c>
      <c r="L119">
        <v>8</v>
      </c>
    </row>
    <row r="120" spans="1:12" hidden="1" x14ac:dyDescent="0.25">
      <c r="A120" s="15">
        <v>46236</v>
      </c>
      <c r="B120">
        <v>14</v>
      </c>
      <c r="C120" t="s">
        <v>3</v>
      </c>
      <c r="D120">
        <v>40</v>
      </c>
      <c r="E120" t="s">
        <v>165</v>
      </c>
      <c r="F120" s="16">
        <v>46236.25</v>
      </c>
      <c r="G120" s="16">
        <v>46236.583333333336</v>
      </c>
      <c r="H120" t="s">
        <v>210</v>
      </c>
      <c r="I120" t="s">
        <v>210</v>
      </c>
      <c r="J120">
        <v>0.47811192727033175</v>
      </c>
      <c r="K120">
        <v>3.824895418162654</v>
      </c>
      <c r="L120">
        <v>8</v>
      </c>
    </row>
    <row r="121" spans="1:12" hidden="1" x14ac:dyDescent="0.25">
      <c r="A121" s="15">
        <v>46236</v>
      </c>
      <c r="B121">
        <v>14</v>
      </c>
      <c r="C121" t="s">
        <v>3</v>
      </c>
      <c r="D121">
        <v>40</v>
      </c>
      <c r="E121" t="s">
        <v>32</v>
      </c>
      <c r="F121" s="16">
        <v>46236.25</v>
      </c>
      <c r="G121" s="16">
        <v>46236.583333333336</v>
      </c>
      <c r="H121" t="s">
        <v>210</v>
      </c>
      <c r="I121" t="s">
        <v>210</v>
      </c>
      <c r="J121">
        <v>1.3820224719101124</v>
      </c>
      <c r="K121">
        <v>11.056179775280899</v>
      </c>
      <c r="L121">
        <v>8</v>
      </c>
    </row>
    <row r="122" spans="1:12" x14ac:dyDescent="0.25">
      <c r="A122" s="15">
        <v>46236</v>
      </c>
      <c r="B122">
        <v>14</v>
      </c>
      <c r="C122" t="s">
        <v>10</v>
      </c>
      <c r="D122">
        <v>41</v>
      </c>
      <c r="E122" t="s">
        <v>31</v>
      </c>
      <c r="F122" s="16">
        <v>46236.583333333336</v>
      </c>
      <c r="G122" s="16">
        <v>46236.916666666664</v>
      </c>
      <c r="H122" t="s">
        <v>210</v>
      </c>
      <c r="I122" t="s">
        <v>210</v>
      </c>
      <c r="J122">
        <v>7.4107348726901421</v>
      </c>
      <c r="K122">
        <v>59.285878981521137</v>
      </c>
      <c r="L122">
        <v>8</v>
      </c>
    </row>
    <row r="123" spans="1:12" hidden="1" x14ac:dyDescent="0.25">
      <c r="A123" s="15">
        <v>46236</v>
      </c>
      <c r="B123">
        <v>14</v>
      </c>
      <c r="C123" t="s">
        <v>10</v>
      </c>
      <c r="D123">
        <v>41</v>
      </c>
      <c r="E123" t="s">
        <v>165</v>
      </c>
      <c r="F123" s="16">
        <v>46236.583333333336</v>
      </c>
      <c r="G123" s="16">
        <v>46236.9375</v>
      </c>
      <c r="H123" t="s">
        <v>210</v>
      </c>
      <c r="I123" t="s">
        <v>210</v>
      </c>
      <c r="J123">
        <v>0</v>
      </c>
      <c r="K123">
        <v>0</v>
      </c>
      <c r="L123">
        <v>8.5</v>
      </c>
    </row>
    <row r="124" spans="1:12" hidden="1" x14ac:dyDescent="0.25">
      <c r="A124" s="15">
        <v>46236</v>
      </c>
      <c r="B124">
        <v>14</v>
      </c>
      <c r="C124" t="s">
        <v>10</v>
      </c>
      <c r="D124">
        <v>41</v>
      </c>
      <c r="E124" t="s">
        <v>32</v>
      </c>
      <c r="F124" s="16">
        <v>46236.583333333336</v>
      </c>
      <c r="G124" s="16">
        <v>46236.9375</v>
      </c>
      <c r="H124" t="s">
        <v>210</v>
      </c>
      <c r="I124" t="s">
        <v>210</v>
      </c>
      <c r="J124">
        <v>2.6014540647719762</v>
      </c>
      <c r="K124">
        <v>22.112359550561798</v>
      </c>
      <c r="L124">
        <v>8.5</v>
      </c>
    </row>
    <row r="125" spans="1:12" x14ac:dyDescent="0.25">
      <c r="A125" s="15">
        <v>46236</v>
      </c>
      <c r="B125">
        <v>14</v>
      </c>
      <c r="C125" t="s">
        <v>11</v>
      </c>
      <c r="D125">
        <v>42</v>
      </c>
      <c r="E125" t="s">
        <v>31</v>
      </c>
      <c r="F125" s="16">
        <v>46236.916666666664</v>
      </c>
      <c r="G125" s="16">
        <v>46237.25</v>
      </c>
      <c r="H125" t="s">
        <v>210</v>
      </c>
      <c r="I125" t="s">
        <v>210</v>
      </c>
      <c r="J125">
        <v>3.824895418162654</v>
      </c>
      <c r="K125">
        <v>30.599163345301232</v>
      </c>
      <c r="L125">
        <v>8</v>
      </c>
    </row>
    <row r="126" spans="1:12" hidden="1" x14ac:dyDescent="0.25">
      <c r="A126" s="15">
        <v>46236</v>
      </c>
      <c r="B126">
        <v>14</v>
      </c>
      <c r="C126" t="s">
        <v>11</v>
      </c>
      <c r="D126">
        <v>42</v>
      </c>
      <c r="E126" t="s">
        <v>165</v>
      </c>
      <c r="F126" s="16">
        <v>46236.9375</v>
      </c>
      <c r="G126" s="16">
        <v>46237.25</v>
      </c>
      <c r="H126" t="s">
        <v>210</v>
      </c>
      <c r="I126" t="s">
        <v>210</v>
      </c>
      <c r="J126">
        <v>0</v>
      </c>
      <c r="K126">
        <v>0</v>
      </c>
      <c r="L126">
        <v>7.5</v>
      </c>
    </row>
    <row r="127" spans="1:12" hidden="1" x14ac:dyDescent="0.25">
      <c r="A127" s="15">
        <v>46236</v>
      </c>
      <c r="B127">
        <v>14</v>
      </c>
      <c r="C127" t="s">
        <v>11</v>
      </c>
      <c r="D127">
        <v>42</v>
      </c>
      <c r="E127" t="s">
        <v>32</v>
      </c>
      <c r="F127" s="16">
        <v>46236.9375</v>
      </c>
      <c r="G127" s="16">
        <v>46237.25</v>
      </c>
      <c r="H127" t="s">
        <v>210</v>
      </c>
      <c r="I127" t="s">
        <v>210</v>
      </c>
      <c r="J127">
        <v>1.842696629213483</v>
      </c>
      <c r="K127">
        <v>13.820224719101123</v>
      </c>
      <c r="L127">
        <v>7.5</v>
      </c>
    </row>
    <row r="128" spans="1:12" x14ac:dyDescent="0.25">
      <c r="A128" s="15">
        <v>46237</v>
      </c>
      <c r="B128">
        <v>15</v>
      </c>
      <c r="C128" t="s">
        <v>3</v>
      </c>
      <c r="D128">
        <v>43</v>
      </c>
      <c r="E128" t="s">
        <v>31</v>
      </c>
      <c r="F128" s="16">
        <v>46237.25</v>
      </c>
      <c r="G128" s="16">
        <v>46237.583333333336</v>
      </c>
      <c r="H128" t="s">
        <v>210</v>
      </c>
      <c r="I128" t="s">
        <v>210</v>
      </c>
      <c r="J128">
        <v>10.279406436312133</v>
      </c>
      <c r="K128">
        <v>82.235251490497063</v>
      </c>
      <c r="L128">
        <v>8</v>
      </c>
    </row>
    <row r="129" spans="1:12" hidden="1" x14ac:dyDescent="0.25">
      <c r="A129" s="15">
        <v>46237</v>
      </c>
      <c r="B129">
        <v>15</v>
      </c>
      <c r="C129" t="s">
        <v>3</v>
      </c>
      <c r="D129">
        <v>43</v>
      </c>
      <c r="E129" t="s">
        <v>165</v>
      </c>
      <c r="F129" s="16">
        <v>46237.25</v>
      </c>
      <c r="G129" s="16">
        <v>46237.583333333336</v>
      </c>
      <c r="H129" t="s">
        <v>210</v>
      </c>
      <c r="I129" t="s">
        <v>210</v>
      </c>
      <c r="J129">
        <v>0.9562238545406635</v>
      </c>
      <c r="K129">
        <v>7.649790836325308</v>
      </c>
      <c r="L129">
        <v>8</v>
      </c>
    </row>
    <row r="130" spans="1:12" hidden="1" x14ac:dyDescent="0.25">
      <c r="A130" s="15">
        <v>46237</v>
      </c>
      <c r="B130">
        <v>15</v>
      </c>
      <c r="C130" t="s">
        <v>3</v>
      </c>
      <c r="D130">
        <v>43</v>
      </c>
      <c r="E130" t="s">
        <v>32</v>
      </c>
      <c r="F130" s="16">
        <v>46237.25</v>
      </c>
      <c r="G130" s="16">
        <v>46237.583333333336</v>
      </c>
      <c r="H130" t="s">
        <v>210</v>
      </c>
      <c r="I130" t="s">
        <v>210</v>
      </c>
      <c r="J130">
        <v>1.3820224719101124</v>
      </c>
      <c r="K130">
        <v>11.056179775280899</v>
      </c>
      <c r="L130">
        <v>8</v>
      </c>
    </row>
    <row r="131" spans="1:12" x14ac:dyDescent="0.25">
      <c r="A131" s="15">
        <v>46237</v>
      </c>
      <c r="B131">
        <v>15</v>
      </c>
      <c r="C131" t="s">
        <v>10</v>
      </c>
      <c r="D131">
        <v>44</v>
      </c>
      <c r="E131" t="s">
        <v>31</v>
      </c>
      <c r="F131" s="16">
        <v>46237.583333333336</v>
      </c>
      <c r="G131" s="16">
        <v>46237.916666666664</v>
      </c>
      <c r="H131" t="s">
        <v>210</v>
      </c>
      <c r="I131" t="s">
        <v>210</v>
      </c>
      <c r="J131">
        <v>7.4107348726901421</v>
      </c>
      <c r="K131">
        <v>59.285878981521137</v>
      </c>
      <c r="L131">
        <v>8</v>
      </c>
    </row>
    <row r="132" spans="1:12" hidden="1" x14ac:dyDescent="0.25">
      <c r="A132" s="15">
        <v>46237</v>
      </c>
      <c r="B132">
        <v>15</v>
      </c>
      <c r="C132" t="s">
        <v>10</v>
      </c>
      <c r="D132">
        <v>44</v>
      </c>
      <c r="E132" t="s">
        <v>165</v>
      </c>
      <c r="F132" s="16">
        <v>46237.583333333336</v>
      </c>
      <c r="G132" s="16">
        <v>46237.9375</v>
      </c>
      <c r="H132" t="s">
        <v>210</v>
      </c>
      <c r="I132" t="s">
        <v>210</v>
      </c>
      <c r="J132">
        <v>0</v>
      </c>
      <c r="K132">
        <v>0</v>
      </c>
      <c r="L132">
        <v>8.5</v>
      </c>
    </row>
    <row r="133" spans="1:12" hidden="1" x14ac:dyDescent="0.25">
      <c r="A133" s="15">
        <v>46237</v>
      </c>
      <c r="B133">
        <v>15</v>
      </c>
      <c r="C133" t="s">
        <v>10</v>
      </c>
      <c r="D133">
        <v>44</v>
      </c>
      <c r="E133" t="s">
        <v>32</v>
      </c>
      <c r="F133" s="16">
        <v>46237.583333333336</v>
      </c>
      <c r="G133" s="16">
        <v>46237.9375</v>
      </c>
      <c r="H133" t="s">
        <v>210</v>
      </c>
      <c r="I133" t="s">
        <v>210</v>
      </c>
      <c r="J133">
        <v>2.6014540647719762</v>
      </c>
      <c r="K133">
        <v>22.112359550561798</v>
      </c>
      <c r="L133">
        <v>8.5</v>
      </c>
    </row>
    <row r="134" spans="1:12" x14ac:dyDescent="0.25">
      <c r="A134" s="15">
        <v>46237</v>
      </c>
      <c r="B134">
        <v>15</v>
      </c>
      <c r="C134" t="s">
        <v>11</v>
      </c>
      <c r="D134">
        <v>45</v>
      </c>
      <c r="E134" t="s">
        <v>31</v>
      </c>
      <c r="F134" s="16">
        <v>46237.916666666664</v>
      </c>
      <c r="G134" s="16">
        <v>46238.25</v>
      </c>
      <c r="H134" t="s">
        <v>210</v>
      </c>
      <c r="I134" t="s">
        <v>210</v>
      </c>
      <c r="J134">
        <v>3.824895418162654</v>
      </c>
      <c r="K134">
        <v>30.599163345301232</v>
      </c>
      <c r="L134">
        <v>8</v>
      </c>
    </row>
    <row r="135" spans="1:12" hidden="1" x14ac:dyDescent="0.25">
      <c r="A135" s="15">
        <v>46237</v>
      </c>
      <c r="B135">
        <v>15</v>
      </c>
      <c r="C135" t="s">
        <v>11</v>
      </c>
      <c r="D135">
        <v>45</v>
      </c>
      <c r="E135" t="s">
        <v>165</v>
      </c>
      <c r="F135" s="16">
        <v>46237.9375</v>
      </c>
      <c r="G135" s="16">
        <v>46238.25</v>
      </c>
      <c r="H135" t="s">
        <v>210</v>
      </c>
      <c r="I135" t="s">
        <v>210</v>
      </c>
      <c r="J135">
        <v>0</v>
      </c>
      <c r="K135">
        <v>0</v>
      </c>
      <c r="L135">
        <v>7.5</v>
      </c>
    </row>
    <row r="136" spans="1:12" hidden="1" x14ac:dyDescent="0.25">
      <c r="A136" s="15">
        <v>46237</v>
      </c>
      <c r="B136">
        <v>15</v>
      </c>
      <c r="C136" t="s">
        <v>11</v>
      </c>
      <c r="D136">
        <v>45</v>
      </c>
      <c r="E136" t="s">
        <v>32</v>
      </c>
      <c r="F136" s="16">
        <v>46237.9375</v>
      </c>
      <c r="G136" s="16">
        <v>46238.25</v>
      </c>
      <c r="H136" t="s">
        <v>210</v>
      </c>
      <c r="I136" t="s">
        <v>210</v>
      </c>
      <c r="J136">
        <v>1.842696629213483</v>
      </c>
      <c r="K136">
        <v>13.820224719101123</v>
      </c>
      <c r="L136">
        <v>7.5</v>
      </c>
    </row>
    <row r="137" spans="1:12" x14ac:dyDescent="0.25">
      <c r="A137" s="15">
        <v>46238</v>
      </c>
      <c r="B137">
        <v>16</v>
      </c>
      <c r="C137" t="s">
        <v>3</v>
      </c>
      <c r="D137">
        <v>46</v>
      </c>
      <c r="E137" t="s">
        <v>31</v>
      </c>
      <c r="F137" s="16">
        <v>46238.25</v>
      </c>
      <c r="G137" s="16">
        <v>46238.583333333336</v>
      </c>
      <c r="H137" t="s">
        <v>210</v>
      </c>
      <c r="I137" t="s">
        <v>210</v>
      </c>
      <c r="J137">
        <v>10.279406436312133</v>
      </c>
      <c r="K137">
        <v>82.235251490497063</v>
      </c>
      <c r="L137">
        <v>8</v>
      </c>
    </row>
    <row r="138" spans="1:12" hidden="1" x14ac:dyDescent="0.25">
      <c r="A138" s="15">
        <v>46238</v>
      </c>
      <c r="B138">
        <v>16</v>
      </c>
      <c r="C138" t="s">
        <v>3</v>
      </c>
      <c r="D138">
        <v>46</v>
      </c>
      <c r="E138" t="s">
        <v>165</v>
      </c>
      <c r="F138" s="16">
        <v>46238.25</v>
      </c>
      <c r="G138" s="16">
        <v>46238.583333333336</v>
      </c>
      <c r="H138" t="s">
        <v>210</v>
      </c>
      <c r="I138" t="s">
        <v>210</v>
      </c>
      <c r="J138">
        <v>0.9562238545406635</v>
      </c>
      <c r="K138">
        <v>7.649790836325308</v>
      </c>
      <c r="L138">
        <v>8</v>
      </c>
    </row>
    <row r="139" spans="1:12" hidden="1" x14ac:dyDescent="0.25">
      <c r="A139" s="15">
        <v>46238</v>
      </c>
      <c r="B139">
        <v>16</v>
      </c>
      <c r="C139" t="s">
        <v>3</v>
      </c>
      <c r="D139">
        <v>46</v>
      </c>
      <c r="E139" t="s">
        <v>32</v>
      </c>
      <c r="F139" s="16">
        <v>46238.25</v>
      </c>
      <c r="G139" s="16">
        <v>46238.583333333336</v>
      </c>
      <c r="H139" t="s">
        <v>210</v>
      </c>
      <c r="I139" t="s">
        <v>210</v>
      </c>
      <c r="J139">
        <v>1.3820224719101124</v>
      </c>
      <c r="K139">
        <v>11.056179775280899</v>
      </c>
      <c r="L139">
        <v>8</v>
      </c>
    </row>
    <row r="140" spans="1:12" x14ac:dyDescent="0.25">
      <c r="A140" s="15">
        <v>46238</v>
      </c>
      <c r="B140">
        <v>16</v>
      </c>
      <c r="C140" t="s">
        <v>10</v>
      </c>
      <c r="D140">
        <v>47</v>
      </c>
      <c r="E140" t="s">
        <v>31</v>
      </c>
      <c r="F140" s="16">
        <v>46238.583333333336</v>
      </c>
      <c r="G140" s="16">
        <v>46238.916666666664</v>
      </c>
      <c r="H140" t="s">
        <v>210</v>
      </c>
      <c r="I140" t="s">
        <v>210</v>
      </c>
      <c r="J140">
        <v>7.4107348726901421</v>
      </c>
      <c r="K140">
        <v>59.285878981521137</v>
      </c>
      <c r="L140">
        <v>8</v>
      </c>
    </row>
    <row r="141" spans="1:12" hidden="1" x14ac:dyDescent="0.25">
      <c r="A141" s="15">
        <v>46238</v>
      </c>
      <c r="B141">
        <v>16</v>
      </c>
      <c r="C141" t="s">
        <v>10</v>
      </c>
      <c r="D141">
        <v>47</v>
      </c>
      <c r="E141" t="s">
        <v>165</v>
      </c>
      <c r="F141" s="16">
        <v>46238.583333333336</v>
      </c>
      <c r="G141" s="16">
        <v>46238.9375</v>
      </c>
      <c r="H141" t="s">
        <v>210</v>
      </c>
      <c r="I141" t="s">
        <v>210</v>
      </c>
      <c r="J141">
        <v>0</v>
      </c>
      <c r="K141">
        <v>0</v>
      </c>
      <c r="L141">
        <v>8.5</v>
      </c>
    </row>
    <row r="142" spans="1:12" hidden="1" x14ac:dyDescent="0.25">
      <c r="A142" s="15">
        <v>46238</v>
      </c>
      <c r="B142">
        <v>16</v>
      </c>
      <c r="C142" t="s">
        <v>10</v>
      </c>
      <c r="D142">
        <v>47</v>
      </c>
      <c r="E142" t="s">
        <v>32</v>
      </c>
      <c r="F142" s="16">
        <v>46238.583333333336</v>
      </c>
      <c r="G142" s="16">
        <v>46238.9375</v>
      </c>
      <c r="H142" t="s">
        <v>210</v>
      </c>
      <c r="I142" t="s">
        <v>210</v>
      </c>
      <c r="J142">
        <v>2.6014540647719762</v>
      </c>
      <c r="K142">
        <v>22.112359550561798</v>
      </c>
      <c r="L142">
        <v>8.5</v>
      </c>
    </row>
    <row r="143" spans="1:12" x14ac:dyDescent="0.25">
      <c r="A143" s="15">
        <v>46238</v>
      </c>
      <c r="B143">
        <v>16</v>
      </c>
      <c r="C143" t="s">
        <v>11</v>
      </c>
      <c r="D143">
        <v>48</v>
      </c>
      <c r="E143" t="s">
        <v>31</v>
      </c>
      <c r="F143" s="16">
        <v>46238.916666666664</v>
      </c>
      <c r="G143" s="16">
        <v>46239.25</v>
      </c>
      <c r="H143" t="s">
        <v>210</v>
      </c>
      <c r="I143" t="s">
        <v>210</v>
      </c>
      <c r="J143">
        <v>3.824895418162654</v>
      </c>
      <c r="K143">
        <v>30.599163345301232</v>
      </c>
      <c r="L143">
        <v>8</v>
      </c>
    </row>
    <row r="144" spans="1:12" hidden="1" x14ac:dyDescent="0.25">
      <c r="A144" s="15">
        <v>46238</v>
      </c>
      <c r="B144">
        <v>16</v>
      </c>
      <c r="C144" t="s">
        <v>11</v>
      </c>
      <c r="D144">
        <v>48</v>
      </c>
      <c r="E144" t="s">
        <v>165</v>
      </c>
      <c r="F144" s="16">
        <v>46238.9375</v>
      </c>
      <c r="G144" s="16">
        <v>46239.25</v>
      </c>
      <c r="H144" t="s">
        <v>210</v>
      </c>
      <c r="I144" t="s">
        <v>210</v>
      </c>
      <c r="J144">
        <v>0</v>
      </c>
      <c r="K144">
        <v>0</v>
      </c>
      <c r="L144">
        <v>7.5</v>
      </c>
    </row>
    <row r="145" spans="1:12" hidden="1" x14ac:dyDescent="0.25">
      <c r="A145" s="15">
        <v>46238</v>
      </c>
      <c r="B145">
        <v>16</v>
      </c>
      <c r="C145" t="s">
        <v>11</v>
      </c>
      <c r="D145">
        <v>48</v>
      </c>
      <c r="E145" t="s">
        <v>32</v>
      </c>
      <c r="F145" s="16">
        <v>46238.9375</v>
      </c>
      <c r="G145" s="16">
        <v>46239.25</v>
      </c>
      <c r="H145" t="s">
        <v>210</v>
      </c>
      <c r="I145" t="s">
        <v>210</v>
      </c>
      <c r="J145">
        <v>1.842696629213483</v>
      </c>
      <c r="K145">
        <v>13.820224719101123</v>
      </c>
      <c r="L145">
        <v>7.5</v>
      </c>
    </row>
    <row r="146" spans="1:12" x14ac:dyDescent="0.25">
      <c r="A146" s="15">
        <v>46239</v>
      </c>
      <c r="B146">
        <v>17</v>
      </c>
      <c r="C146" t="s">
        <v>3</v>
      </c>
      <c r="D146">
        <v>49</v>
      </c>
      <c r="E146" t="s">
        <v>31</v>
      </c>
      <c r="F146" s="16">
        <v>46239.25</v>
      </c>
      <c r="G146" s="16">
        <v>46239.583333333336</v>
      </c>
      <c r="H146" t="s">
        <v>210</v>
      </c>
      <c r="I146" t="s">
        <v>210</v>
      </c>
      <c r="J146">
        <v>9.3231825817714675</v>
      </c>
      <c r="K146">
        <v>74.58546065417174</v>
      </c>
      <c r="L146">
        <v>8</v>
      </c>
    </row>
    <row r="147" spans="1:12" hidden="1" x14ac:dyDescent="0.25">
      <c r="A147" s="15">
        <v>46239</v>
      </c>
      <c r="B147">
        <v>17</v>
      </c>
      <c r="C147" t="s">
        <v>3</v>
      </c>
      <c r="D147">
        <v>49</v>
      </c>
      <c r="E147" t="s">
        <v>165</v>
      </c>
      <c r="F147" s="16">
        <v>46239.25</v>
      </c>
      <c r="G147" s="16">
        <v>46239.583333333336</v>
      </c>
      <c r="H147" t="s">
        <v>210</v>
      </c>
      <c r="I147" t="s">
        <v>210</v>
      </c>
      <c r="J147">
        <v>2.8686715636219904</v>
      </c>
      <c r="K147">
        <v>22.949372508975923</v>
      </c>
      <c r="L147">
        <v>8</v>
      </c>
    </row>
    <row r="148" spans="1:12" hidden="1" x14ac:dyDescent="0.25">
      <c r="A148" s="15">
        <v>46239</v>
      </c>
      <c r="B148">
        <v>17</v>
      </c>
      <c r="C148" t="s">
        <v>3</v>
      </c>
      <c r="D148">
        <v>49</v>
      </c>
      <c r="E148" t="s">
        <v>32</v>
      </c>
      <c r="F148" s="16">
        <v>46239.25</v>
      </c>
      <c r="G148" s="16">
        <v>46239.583333333336</v>
      </c>
      <c r="H148" t="s">
        <v>210</v>
      </c>
      <c r="I148" t="s">
        <v>210</v>
      </c>
      <c r="J148">
        <v>2.7640449438202248</v>
      </c>
      <c r="K148">
        <v>22.112359550561798</v>
      </c>
      <c r="L148">
        <v>8</v>
      </c>
    </row>
    <row r="149" spans="1:12" x14ac:dyDescent="0.25">
      <c r="A149" s="15">
        <v>46239</v>
      </c>
      <c r="B149">
        <v>17</v>
      </c>
      <c r="C149" t="s">
        <v>10</v>
      </c>
      <c r="D149">
        <v>50</v>
      </c>
      <c r="E149" t="s">
        <v>31</v>
      </c>
      <c r="F149" s="16">
        <v>46239.583333333336</v>
      </c>
      <c r="G149" s="16">
        <v>46239.916666666664</v>
      </c>
      <c r="H149" t="s">
        <v>210</v>
      </c>
      <c r="I149" t="s">
        <v>210</v>
      </c>
      <c r="J149">
        <v>6.6935669817846444</v>
      </c>
      <c r="K149">
        <v>53.548535854277155</v>
      </c>
      <c r="L149">
        <v>8</v>
      </c>
    </row>
    <row r="150" spans="1:12" hidden="1" x14ac:dyDescent="0.25">
      <c r="A150" s="15">
        <v>46239</v>
      </c>
      <c r="B150">
        <v>17</v>
      </c>
      <c r="C150" t="s">
        <v>10</v>
      </c>
      <c r="D150">
        <v>50</v>
      </c>
      <c r="E150" t="s">
        <v>165</v>
      </c>
      <c r="F150" s="16">
        <v>46239.583333333336</v>
      </c>
      <c r="G150" s="16">
        <v>46239.9375</v>
      </c>
      <c r="H150" t="s">
        <v>210</v>
      </c>
      <c r="I150" t="s">
        <v>210</v>
      </c>
      <c r="J150">
        <v>0.67498154438164482</v>
      </c>
      <c r="K150">
        <v>5.7373431272439808</v>
      </c>
      <c r="L150">
        <v>8.5</v>
      </c>
    </row>
    <row r="151" spans="1:12" hidden="1" x14ac:dyDescent="0.25">
      <c r="A151" s="15">
        <v>46239</v>
      </c>
      <c r="B151">
        <v>17</v>
      </c>
      <c r="C151" t="s">
        <v>10</v>
      </c>
      <c r="D151">
        <v>50</v>
      </c>
      <c r="E151" t="s">
        <v>32</v>
      </c>
      <c r="F151" s="16">
        <v>46239.583333333336</v>
      </c>
      <c r="G151" s="16">
        <v>46239.9375</v>
      </c>
      <c r="H151" t="s">
        <v>210</v>
      </c>
      <c r="I151" t="s">
        <v>210</v>
      </c>
      <c r="J151">
        <v>2.6014540647719762</v>
      </c>
      <c r="K151">
        <v>22.112359550561798</v>
      </c>
      <c r="L151">
        <v>8.5</v>
      </c>
    </row>
    <row r="152" spans="1:12" x14ac:dyDescent="0.25">
      <c r="A152" s="15">
        <v>46239</v>
      </c>
      <c r="B152">
        <v>17</v>
      </c>
      <c r="C152" t="s">
        <v>11</v>
      </c>
      <c r="D152">
        <v>51</v>
      </c>
      <c r="E152" t="s">
        <v>31</v>
      </c>
      <c r="F152" s="16">
        <v>46239.916666666664</v>
      </c>
      <c r="G152" s="16">
        <v>46240.25</v>
      </c>
      <c r="H152" t="s">
        <v>210</v>
      </c>
      <c r="I152" t="s">
        <v>210</v>
      </c>
      <c r="J152">
        <v>3.824895418162654</v>
      </c>
      <c r="K152">
        <v>30.599163345301232</v>
      </c>
      <c r="L152">
        <v>8</v>
      </c>
    </row>
    <row r="153" spans="1:12" hidden="1" x14ac:dyDescent="0.25">
      <c r="A153" s="15">
        <v>46239</v>
      </c>
      <c r="B153">
        <v>17</v>
      </c>
      <c r="C153" t="s">
        <v>11</v>
      </c>
      <c r="D153">
        <v>51</v>
      </c>
      <c r="E153" t="s">
        <v>165</v>
      </c>
      <c r="F153" s="16">
        <v>46239.9375</v>
      </c>
      <c r="G153" s="16">
        <v>46240.25</v>
      </c>
      <c r="H153" t="s">
        <v>210</v>
      </c>
      <c r="I153" t="s">
        <v>210</v>
      </c>
      <c r="J153">
        <v>0</v>
      </c>
      <c r="K153">
        <v>0</v>
      </c>
      <c r="L153">
        <v>7.5</v>
      </c>
    </row>
    <row r="154" spans="1:12" hidden="1" x14ac:dyDescent="0.25">
      <c r="A154" s="15">
        <v>46239</v>
      </c>
      <c r="B154">
        <v>17</v>
      </c>
      <c r="C154" t="s">
        <v>11</v>
      </c>
      <c r="D154">
        <v>51</v>
      </c>
      <c r="E154" t="s">
        <v>32</v>
      </c>
      <c r="F154" s="16">
        <v>46239.9375</v>
      </c>
      <c r="G154" s="16">
        <v>46240.25</v>
      </c>
      <c r="H154" t="s">
        <v>210</v>
      </c>
      <c r="I154" t="s">
        <v>210</v>
      </c>
      <c r="J154">
        <v>1.842696629213483</v>
      </c>
      <c r="K154">
        <v>13.820224719101123</v>
      </c>
      <c r="L154">
        <v>7.5</v>
      </c>
    </row>
    <row r="155" spans="1:12" x14ac:dyDescent="0.25">
      <c r="A155" s="15">
        <v>46240</v>
      </c>
      <c r="B155">
        <v>18</v>
      </c>
      <c r="C155" t="s">
        <v>3</v>
      </c>
      <c r="D155">
        <v>52</v>
      </c>
      <c r="E155" t="s">
        <v>31</v>
      </c>
      <c r="F155" s="16">
        <v>46240.25</v>
      </c>
      <c r="G155" s="16">
        <v>46240.583333333336</v>
      </c>
      <c r="H155" t="s">
        <v>210</v>
      </c>
      <c r="I155" t="s">
        <v>210</v>
      </c>
      <c r="J155">
        <v>10.279406436312133</v>
      </c>
      <c r="K155">
        <v>82.235251490497063</v>
      </c>
      <c r="L155">
        <v>8</v>
      </c>
    </row>
    <row r="156" spans="1:12" hidden="1" x14ac:dyDescent="0.25">
      <c r="A156" s="15">
        <v>46240</v>
      </c>
      <c r="B156">
        <v>18</v>
      </c>
      <c r="C156" t="s">
        <v>3</v>
      </c>
      <c r="D156">
        <v>52</v>
      </c>
      <c r="E156" t="s">
        <v>165</v>
      </c>
      <c r="F156" s="16">
        <v>46240.25</v>
      </c>
      <c r="G156" s="16">
        <v>46240.583333333336</v>
      </c>
      <c r="H156" t="s">
        <v>210</v>
      </c>
      <c r="I156" t="s">
        <v>210</v>
      </c>
      <c r="J156">
        <v>2.8686715636219904</v>
      </c>
      <c r="K156">
        <v>22.949372508975923</v>
      </c>
      <c r="L156">
        <v>8</v>
      </c>
    </row>
    <row r="157" spans="1:12" hidden="1" x14ac:dyDescent="0.25">
      <c r="A157" s="15">
        <v>46240</v>
      </c>
      <c r="B157">
        <v>18</v>
      </c>
      <c r="C157" t="s">
        <v>3</v>
      </c>
      <c r="D157">
        <v>52</v>
      </c>
      <c r="E157" t="s">
        <v>32</v>
      </c>
      <c r="F157" s="16">
        <v>46240.25</v>
      </c>
      <c r="G157" s="16">
        <v>46240.583333333336</v>
      </c>
      <c r="H157" t="s">
        <v>210</v>
      </c>
      <c r="I157" t="s">
        <v>210</v>
      </c>
      <c r="J157">
        <v>1.3820224719101124</v>
      </c>
      <c r="K157">
        <v>11.056179775280899</v>
      </c>
      <c r="L157">
        <v>8</v>
      </c>
    </row>
    <row r="158" spans="1:12" x14ac:dyDescent="0.25">
      <c r="A158" s="15">
        <v>46240</v>
      </c>
      <c r="B158">
        <v>18</v>
      </c>
      <c r="C158" t="s">
        <v>10</v>
      </c>
      <c r="D158">
        <v>53</v>
      </c>
      <c r="E158" t="s">
        <v>31</v>
      </c>
      <c r="F158" s="16">
        <v>46240.583333333336</v>
      </c>
      <c r="G158" s="16">
        <v>46240.916666666664</v>
      </c>
      <c r="H158" t="s">
        <v>210</v>
      </c>
      <c r="I158" t="s">
        <v>210</v>
      </c>
      <c r="J158">
        <v>7.4107348726901421</v>
      </c>
      <c r="K158">
        <v>59.285878981521137</v>
      </c>
      <c r="L158">
        <v>8</v>
      </c>
    </row>
    <row r="159" spans="1:12" hidden="1" x14ac:dyDescent="0.25">
      <c r="A159" s="15">
        <v>46240</v>
      </c>
      <c r="B159">
        <v>18</v>
      </c>
      <c r="C159" t="s">
        <v>10</v>
      </c>
      <c r="D159">
        <v>53</v>
      </c>
      <c r="E159" t="s">
        <v>165</v>
      </c>
      <c r="F159" s="16">
        <v>46240.583333333336</v>
      </c>
      <c r="G159" s="16">
        <v>46240.9375</v>
      </c>
      <c r="H159" t="s">
        <v>210</v>
      </c>
      <c r="I159" t="s">
        <v>210</v>
      </c>
      <c r="J159">
        <v>0</v>
      </c>
      <c r="K159">
        <v>0</v>
      </c>
      <c r="L159">
        <v>8.5</v>
      </c>
    </row>
    <row r="160" spans="1:12" hidden="1" x14ac:dyDescent="0.25">
      <c r="A160" s="15">
        <v>46240</v>
      </c>
      <c r="B160">
        <v>18</v>
      </c>
      <c r="C160" t="s">
        <v>10</v>
      </c>
      <c r="D160">
        <v>53</v>
      </c>
      <c r="E160" t="s">
        <v>32</v>
      </c>
      <c r="F160" s="16">
        <v>46240.583333333336</v>
      </c>
      <c r="G160" s="16">
        <v>46240.9375</v>
      </c>
      <c r="H160" t="s">
        <v>210</v>
      </c>
      <c r="I160" t="s">
        <v>210</v>
      </c>
      <c r="J160">
        <v>2.2762723066754793</v>
      </c>
      <c r="K160">
        <v>19.348314606741575</v>
      </c>
      <c r="L160">
        <v>8.5</v>
      </c>
    </row>
    <row r="161" spans="1:12" x14ac:dyDescent="0.25">
      <c r="A161" s="15">
        <v>46240</v>
      </c>
      <c r="B161">
        <v>18</v>
      </c>
      <c r="C161" t="s">
        <v>11</v>
      </c>
      <c r="D161">
        <v>54</v>
      </c>
      <c r="E161" t="s">
        <v>31</v>
      </c>
      <c r="F161" s="16">
        <v>46240.916666666664</v>
      </c>
      <c r="G161" s="16">
        <v>46241.25</v>
      </c>
      <c r="H161" t="s">
        <v>210</v>
      </c>
      <c r="I161" t="s">
        <v>210</v>
      </c>
      <c r="J161">
        <v>3.824895418162654</v>
      </c>
      <c r="K161">
        <v>30.599163345301232</v>
      </c>
      <c r="L161">
        <v>8</v>
      </c>
    </row>
    <row r="162" spans="1:12" hidden="1" x14ac:dyDescent="0.25">
      <c r="A162" s="15">
        <v>46240</v>
      </c>
      <c r="B162">
        <v>18</v>
      </c>
      <c r="C162" t="s">
        <v>11</v>
      </c>
      <c r="D162">
        <v>54</v>
      </c>
      <c r="E162" t="s">
        <v>165</v>
      </c>
      <c r="F162" s="16">
        <v>46240.9375</v>
      </c>
      <c r="G162" s="16">
        <v>46241.25</v>
      </c>
      <c r="H162" t="s">
        <v>210</v>
      </c>
      <c r="I162" t="s">
        <v>210</v>
      </c>
      <c r="J162">
        <v>0</v>
      </c>
      <c r="K162">
        <v>0</v>
      </c>
      <c r="L162">
        <v>7.5</v>
      </c>
    </row>
    <row r="163" spans="1:12" hidden="1" x14ac:dyDescent="0.25">
      <c r="A163" s="15">
        <v>46240</v>
      </c>
      <c r="B163">
        <v>18</v>
      </c>
      <c r="C163" t="s">
        <v>11</v>
      </c>
      <c r="D163">
        <v>54</v>
      </c>
      <c r="E163" t="s">
        <v>32</v>
      </c>
      <c r="F163" s="16">
        <v>46240.9375</v>
      </c>
      <c r="G163" s="16">
        <v>46241.25</v>
      </c>
      <c r="H163" t="s">
        <v>210</v>
      </c>
      <c r="I163" t="s">
        <v>210</v>
      </c>
      <c r="J163">
        <v>1.842696629213483</v>
      </c>
      <c r="K163">
        <v>13.820224719101123</v>
      </c>
      <c r="L163">
        <v>7.5</v>
      </c>
    </row>
    <row r="164" spans="1:12" x14ac:dyDescent="0.25">
      <c r="A164" s="15">
        <v>46241</v>
      </c>
      <c r="B164">
        <v>19</v>
      </c>
      <c r="C164" t="s">
        <v>3</v>
      </c>
      <c r="D164">
        <v>55</v>
      </c>
      <c r="E164" t="s">
        <v>31</v>
      </c>
      <c r="F164" s="16">
        <v>46241.25</v>
      </c>
      <c r="G164" s="16">
        <v>46241.583333333336</v>
      </c>
      <c r="H164" t="s">
        <v>210</v>
      </c>
      <c r="I164" t="s">
        <v>210</v>
      </c>
      <c r="J164">
        <v>9.3231825817714675</v>
      </c>
      <c r="K164">
        <v>74.58546065417174</v>
      </c>
      <c r="L164">
        <v>8</v>
      </c>
    </row>
    <row r="165" spans="1:12" hidden="1" x14ac:dyDescent="0.25">
      <c r="A165" s="15">
        <v>46241</v>
      </c>
      <c r="B165">
        <v>19</v>
      </c>
      <c r="C165" t="s">
        <v>3</v>
      </c>
      <c r="D165">
        <v>55</v>
      </c>
      <c r="E165" t="s">
        <v>165</v>
      </c>
      <c r="F165" s="16">
        <v>46241.25</v>
      </c>
      <c r="G165" s="16">
        <v>46241.583333333336</v>
      </c>
      <c r="H165" t="s">
        <v>210</v>
      </c>
      <c r="I165" t="s">
        <v>210</v>
      </c>
      <c r="J165">
        <v>1.912447709081327</v>
      </c>
      <c r="K165">
        <v>15.299581672650616</v>
      </c>
      <c r="L165">
        <v>8</v>
      </c>
    </row>
    <row r="166" spans="1:12" hidden="1" x14ac:dyDescent="0.25">
      <c r="A166" s="15">
        <v>46241</v>
      </c>
      <c r="B166">
        <v>19</v>
      </c>
      <c r="C166" t="s">
        <v>3</v>
      </c>
      <c r="D166">
        <v>55</v>
      </c>
      <c r="E166" t="s">
        <v>32</v>
      </c>
      <c r="F166" s="16">
        <v>46241.25</v>
      </c>
      <c r="G166" s="16">
        <v>46241.583333333336</v>
      </c>
      <c r="H166" t="s">
        <v>210</v>
      </c>
      <c r="I166" t="s">
        <v>210</v>
      </c>
      <c r="J166">
        <v>5.5280898876404496</v>
      </c>
      <c r="K166">
        <v>44.224719101123597</v>
      </c>
      <c r="L166">
        <v>8</v>
      </c>
    </row>
    <row r="167" spans="1:12" x14ac:dyDescent="0.25">
      <c r="A167" s="15">
        <v>46241</v>
      </c>
      <c r="B167">
        <v>19</v>
      </c>
      <c r="C167" t="s">
        <v>10</v>
      </c>
      <c r="D167">
        <v>56</v>
      </c>
      <c r="E167" t="s">
        <v>31</v>
      </c>
      <c r="F167" s="16">
        <v>46241.583333333336</v>
      </c>
      <c r="G167" s="16">
        <v>46241.916666666664</v>
      </c>
      <c r="H167" t="s">
        <v>210</v>
      </c>
      <c r="I167" t="s">
        <v>210</v>
      </c>
      <c r="J167">
        <v>7.4107348726901421</v>
      </c>
      <c r="K167">
        <v>59.285878981521137</v>
      </c>
      <c r="L167">
        <v>8</v>
      </c>
    </row>
    <row r="168" spans="1:12" hidden="1" x14ac:dyDescent="0.25">
      <c r="A168" s="15">
        <v>46241</v>
      </c>
      <c r="B168">
        <v>19</v>
      </c>
      <c r="C168" t="s">
        <v>10</v>
      </c>
      <c r="D168">
        <v>56</v>
      </c>
      <c r="E168" t="s">
        <v>165</v>
      </c>
      <c r="F168" s="16">
        <v>46241.583333333336</v>
      </c>
      <c r="G168" s="16">
        <v>46241.9375</v>
      </c>
      <c r="H168" t="s">
        <v>210</v>
      </c>
      <c r="I168" t="s">
        <v>210</v>
      </c>
      <c r="J168">
        <v>0</v>
      </c>
      <c r="K168">
        <v>0</v>
      </c>
      <c r="L168">
        <v>8.5</v>
      </c>
    </row>
    <row r="169" spans="1:12" hidden="1" x14ac:dyDescent="0.25">
      <c r="A169" s="15">
        <v>46241</v>
      </c>
      <c r="B169">
        <v>19</v>
      </c>
      <c r="C169" t="s">
        <v>10</v>
      </c>
      <c r="D169">
        <v>56</v>
      </c>
      <c r="E169" t="s">
        <v>32</v>
      </c>
      <c r="F169" s="16">
        <v>46241.583333333336</v>
      </c>
      <c r="G169" s="16">
        <v>46241.9375</v>
      </c>
      <c r="H169" t="s">
        <v>210</v>
      </c>
      <c r="I169" t="s">
        <v>210</v>
      </c>
      <c r="J169">
        <v>2.2762723066754793</v>
      </c>
      <c r="K169">
        <v>19.348314606741575</v>
      </c>
      <c r="L169">
        <v>8.5</v>
      </c>
    </row>
    <row r="170" spans="1:12" x14ac:dyDescent="0.25">
      <c r="A170" s="15">
        <v>46241</v>
      </c>
      <c r="B170">
        <v>19</v>
      </c>
      <c r="C170" t="s">
        <v>11</v>
      </c>
      <c r="D170">
        <v>57</v>
      </c>
      <c r="E170" t="s">
        <v>31</v>
      </c>
      <c r="F170" s="16">
        <v>46241.916666666664</v>
      </c>
      <c r="G170" s="16">
        <v>46242.25</v>
      </c>
      <c r="H170" t="s">
        <v>210</v>
      </c>
      <c r="I170" t="s">
        <v>210</v>
      </c>
      <c r="J170">
        <v>3.824895418162654</v>
      </c>
      <c r="K170">
        <v>30.599163345301232</v>
      </c>
      <c r="L170">
        <v>8</v>
      </c>
    </row>
    <row r="171" spans="1:12" hidden="1" x14ac:dyDescent="0.25">
      <c r="A171" s="15">
        <v>46241</v>
      </c>
      <c r="B171">
        <v>19</v>
      </c>
      <c r="C171" t="s">
        <v>11</v>
      </c>
      <c r="D171">
        <v>57</v>
      </c>
      <c r="E171" t="s">
        <v>165</v>
      </c>
      <c r="F171" s="16">
        <v>46241.9375</v>
      </c>
      <c r="G171" s="16">
        <v>46242.25</v>
      </c>
      <c r="H171" t="s">
        <v>210</v>
      </c>
      <c r="I171" t="s">
        <v>210</v>
      </c>
      <c r="J171">
        <v>0</v>
      </c>
      <c r="K171">
        <v>0</v>
      </c>
      <c r="L171">
        <v>7.5</v>
      </c>
    </row>
    <row r="172" spans="1:12" hidden="1" x14ac:dyDescent="0.25">
      <c r="A172" s="15">
        <v>46241</v>
      </c>
      <c r="B172">
        <v>19</v>
      </c>
      <c r="C172" t="s">
        <v>11</v>
      </c>
      <c r="D172">
        <v>57</v>
      </c>
      <c r="E172" t="s">
        <v>32</v>
      </c>
      <c r="F172" s="16">
        <v>46241.9375</v>
      </c>
      <c r="G172" s="16">
        <v>46242.25</v>
      </c>
      <c r="H172" t="s">
        <v>210</v>
      </c>
      <c r="I172" t="s">
        <v>210</v>
      </c>
      <c r="J172">
        <v>1.842696629213483</v>
      </c>
      <c r="K172">
        <v>13.820224719101123</v>
      </c>
      <c r="L172">
        <v>7.5</v>
      </c>
    </row>
    <row r="173" spans="1:12" x14ac:dyDescent="0.25">
      <c r="A173" s="15">
        <v>46242</v>
      </c>
      <c r="B173">
        <v>20</v>
      </c>
      <c r="C173" t="s">
        <v>3</v>
      </c>
      <c r="D173">
        <v>58</v>
      </c>
      <c r="E173" t="s">
        <v>31</v>
      </c>
      <c r="F173" s="16">
        <v>46242.25</v>
      </c>
      <c r="G173" s="16">
        <v>46242.583333333336</v>
      </c>
      <c r="H173" t="s">
        <v>210</v>
      </c>
      <c r="I173" t="s">
        <v>210</v>
      </c>
      <c r="J173">
        <v>9.3231825817714675</v>
      </c>
      <c r="K173">
        <v>74.58546065417174</v>
      </c>
      <c r="L173">
        <v>8</v>
      </c>
    </row>
    <row r="174" spans="1:12" hidden="1" x14ac:dyDescent="0.25">
      <c r="A174" s="15">
        <v>46242</v>
      </c>
      <c r="B174">
        <v>20</v>
      </c>
      <c r="C174" t="s">
        <v>3</v>
      </c>
      <c r="D174">
        <v>58</v>
      </c>
      <c r="E174" t="s">
        <v>165</v>
      </c>
      <c r="F174" s="16">
        <v>46242.25</v>
      </c>
      <c r="G174" s="16">
        <v>46242.583333333336</v>
      </c>
      <c r="H174" t="s">
        <v>210</v>
      </c>
      <c r="I174" t="s">
        <v>210</v>
      </c>
      <c r="J174">
        <v>0.9562238545406635</v>
      </c>
      <c r="K174">
        <v>7.649790836325308</v>
      </c>
      <c r="L174">
        <v>8</v>
      </c>
    </row>
    <row r="175" spans="1:12" hidden="1" x14ac:dyDescent="0.25">
      <c r="A175" s="15">
        <v>46242</v>
      </c>
      <c r="B175">
        <v>20</v>
      </c>
      <c r="C175" t="s">
        <v>3</v>
      </c>
      <c r="D175">
        <v>58</v>
      </c>
      <c r="E175" t="s">
        <v>32</v>
      </c>
      <c r="F175" s="16">
        <v>46242.25</v>
      </c>
      <c r="G175" s="16">
        <v>46242.583333333336</v>
      </c>
      <c r="H175" t="s">
        <v>210</v>
      </c>
      <c r="I175" t="s">
        <v>210</v>
      </c>
      <c r="J175">
        <v>1.3820224719101124</v>
      </c>
      <c r="K175">
        <v>11.056179775280899</v>
      </c>
      <c r="L175">
        <v>8</v>
      </c>
    </row>
    <row r="176" spans="1:12" x14ac:dyDescent="0.25">
      <c r="A176" s="15">
        <v>46242</v>
      </c>
      <c r="B176">
        <v>20</v>
      </c>
      <c r="C176" t="s">
        <v>10</v>
      </c>
      <c r="D176">
        <v>59</v>
      </c>
      <c r="E176" t="s">
        <v>31</v>
      </c>
      <c r="F176" s="16">
        <v>46242.583333333336</v>
      </c>
      <c r="G176" s="16">
        <v>46242.916666666664</v>
      </c>
      <c r="H176" t="s">
        <v>210</v>
      </c>
      <c r="I176" t="s">
        <v>210</v>
      </c>
      <c r="J176">
        <v>7.4107348726901421</v>
      </c>
      <c r="K176">
        <v>59.285878981521137</v>
      </c>
      <c r="L176">
        <v>8</v>
      </c>
    </row>
    <row r="177" spans="1:12" hidden="1" x14ac:dyDescent="0.25">
      <c r="A177" s="15">
        <v>46242</v>
      </c>
      <c r="B177">
        <v>20</v>
      </c>
      <c r="C177" t="s">
        <v>10</v>
      </c>
      <c r="D177">
        <v>59</v>
      </c>
      <c r="E177" t="s">
        <v>165</v>
      </c>
      <c r="F177" s="16">
        <v>46242.583333333336</v>
      </c>
      <c r="G177" s="16">
        <v>46242.9375</v>
      </c>
      <c r="H177" t="s">
        <v>210</v>
      </c>
      <c r="I177" t="s">
        <v>210</v>
      </c>
      <c r="J177">
        <v>0</v>
      </c>
      <c r="K177">
        <v>0</v>
      </c>
      <c r="L177">
        <v>8.5</v>
      </c>
    </row>
    <row r="178" spans="1:12" hidden="1" x14ac:dyDescent="0.25">
      <c r="A178" s="15">
        <v>46242</v>
      </c>
      <c r="B178">
        <v>20</v>
      </c>
      <c r="C178" t="s">
        <v>10</v>
      </c>
      <c r="D178">
        <v>59</v>
      </c>
      <c r="E178" t="s">
        <v>32</v>
      </c>
      <c r="F178" s="16">
        <v>46242.583333333336</v>
      </c>
      <c r="G178" s="16">
        <v>46242.9375</v>
      </c>
      <c r="H178" t="s">
        <v>210</v>
      </c>
      <c r="I178" t="s">
        <v>210</v>
      </c>
      <c r="J178">
        <v>2.6014540647719762</v>
      </c>
      <c r="K178">
        <v>22.112359550561798</v>
      </c>
      <c r="L178">
        <v>8.5</v>
      </c>
    </row>
    <row r="179" spans="1:12" x14ac:dyDescent="0.25">
      <c r="A179" s="15">
        <v>46242</v>
      </c>
      <c r="B179">
        <v>20</v>
      </c>
      <c r="C179" t="s">
        <v>11</v>
      </c>
      <c r="D179">
        <v>60</v>
      </c>
      <c r="E179" t="s">
        <v>31</v>
      </c>
      <c r="F179" s="16">
        <v>46242.916666666664</v>
      </c>
      <c r="G179" s="16">
        <v>46243.25</v>
      </c>
      <c r="H179" t="s">
        <v>210</v>
      </c>
      <c r="I179" t="s">
        <v>210</v>
      </c>
      <c r="J179">
        <v>3.824895418162654</v>
      </c>
      <c r="K179">
        <v>30.599163345301232</v>
      </c>
      <c r="L179">
        <v>8</v>
      </c>
    </row>
    <row r="180" spans="1:12" hidden="1" x14ac:dyDescent="0.25">
      <c r="A180" s="15">
        <v>46242</v>
      </c>
      <c r="B180">
        <v>20</v>
      </c>
      <c r="C180" t="s">
        <v>11</v>
      </c>
      <c r="D180">
        <v>60</v>
      </c>
      <c r="E180" t="s">
        <v>165</v>
      </c>
      <c r="F180" s="16">
        <v>46242.9375</v>
      </c>
      <c r="G180" s="16">
        <v>46243.25</v>
      </c>
      <c r="H180" t="s">
        <v>210</v>
      </c>
      <c r="I180" t="s">
        <v>210</v>
      </c>
      <c r="J180">
        <v>0</v>
      </c>
      <c r="K180">
        <v>0</v>
      </c>
      <c r="L180">
        <v>7.5</v>
      </c>
    </row>
    <row r="181" spans="1:12" hidden="1" x14ac:dyDescent="0.25">
      <c r="A181" s="15">
        <v>46242</v>
      </c>
      <c r="B181">
        <v>20</v>
      </c>
      <c r="C181" t="s">
        <v>11</v>
      </c>
      <c r="D181">
        <v>60</v>
      </c>
      <c r="E181" t="s">
        <v>32</v>
      </c>
      <c r="F181" s="16">
        <v>46242.9375</v>
      </c>
      <c r="G181" s="16">
        <v>46243.25</v>
      </c>
      <c r="H181" t="s">
        <v>210</v>
      </c>
      <c r="I181" t="s">
        <v>210</v>
      </c>
      <c r="J181">
        <v>1.842696629213483</v>
      </c>
      <c r="K181">
        <v>13.820224719101123</v>
      </c>
      <c r="L181">
        <v>7.5</v>
      </c>
    </row>
    <row r="182" spans="1:12" x14ac:dyDescent="0.25">
      <c r="A182" s="15">
        <v>46243</v>
      </c>
      <c r="B182">
        <v>21</v>
      </c>
      <c r="C182" t="s">
        <v>3</v>
      </c>
      <c r="D182">
        <v>61</v>
      </c>
      <c r="E182" t="s">
        <v>31</v>
      </c>
      <c r="F182" s="16">
        <v>46243.25</v>
      </c>
      <c r="G182" s="16">
        <v>46243.583333333336</v>
      </c>
      <c r="H182" t="s">
        <v>210</v>
      </c>
      <c r="I182" t="s">
        <v>210</v>
      </c>
      <c r="J182">
        <v>9.4427105635890527</v>
      </c>
      <c r="K182">
        <v>75.541684508712422</v>
      </c>
      <c r="L182">
        <v>8</v>
      </c>
    </row>
    <row r="183" spans="1:12" hidden="1" x14ac:dyDescent="0.25">
      <c r="A183" s="15">
        <v>46243</v>
      </c>
      <c r="B183">
        <v>21</v>
      </c>
      <c r="C183" t="s">
        <v>3</v>
      </c>
      <c r="D183">
        <v>61</v>
      </c>
      <c r="E183" t="s">
        <v>165</v>
      </c>
      <c r="F183" s="16">
        <v>46243.25</v>
      </c>
      <c r="G183" s="16">
        <v>46243.583333333336</v>
      </c>
      <c r="H183" t="s">
        <v>210</v>
      </c>
      <c r="I183" t="s">
        <v>210</v>
      </c>
      <c r="J183">
        <v>0.9562238545406635</v>
      </c>
      <c r="K183">
        <v>7.649790836325308</v>
      </c>
      <c r="L183">
        <v>8</v>
      </c>
    </row>
    <row r="184" spans="1:12" hidden="1" x14ac:dyDescent="0.25">
      <c r="A184" s="15">
        <v>46243</v>
      </c>
      <c r="B184">
        <v>21</v>
      </c>
      <c r="C184" t="s">
        <v>3</v>
      </c>
      <c r="D184">
        <v>61</v>
      </c>
      <c r="E184" t="s">
        <v>32</v>
      </c>
      <c r="F184" s="16">
        <v>46243.25</v>
      </c>
      <c r="G184" s="16">
        <v>46243.583333333336</v>
      </c>
      <c r="H184" t="s">
        <v>210</v>
      </c>
      <c r="I184" t="s">
        <v>210</v>
      </c>
      <c r="J184">
        <v>1.3820224719101124</v>
      </c>
      <c r="K184">
        <v>11.056179775280899</v>
      </c>
      <c r="L184">
        <v>8</v>
      </c>
    </row>
    <row r="185" spans="1:12" x14ac:dyDescent="0.25">
      <c r="A185" s="15">
        <v>46243</v>
      </c>
      <c r="B185">
        <v>21</v>
      </c>
      <c r="C185" t="s">
        <v>10</v>
      </c>
      <c r="D185">
        <v>62</v>
      </c>
      <c r="E185" t="s">
        <v>31</v>
      </c>
      <c r="F185" s="16">
        <v>46243.583333333336</v>
      </c>
      <c r="G185" s="16">
        <v>46243.916666666664</v>
      </c>
      <c r="H185" t="s">
        <v>210</v>
      </c>
      <c r="I185" t="s">
        <v>210</v>
      </c>
      <c r="J185">
        <v>7.4107348726901421</v>
      </c>
      <c r="K185">
        <v>59.285878981521137</v>
      </c>
      <c r="L185">
        <v>8</v>
      </c>
    </row>
    <row r="186" spans="1:12" hidden="1" x14ac:dyDescent="0.25">
      <c r="A186" s="15">
        <v>46243</v>
      </c>
      <c r="B186">
        <v>21</v>
      </c>
      <c r="C186" t="s">
        <v>10</v>
      </c>
      <c r="D186">
        <v>62</v>
      </c>
      <c r="E186" t="s">
        <v>165</v>
      </c>
      <c r="F186" s="16">
        <v>46243.583333333336</v>
      </c>
      <c r="G186" s="16">
        <v>46243.9375</v>
      </c>
      <c r="H186" t="s">
        <v>210</v>
      </c>
      <c r="I186" t="s">
        <v>210</v>
      </c>
      <c r="J186">
        <v>0</v>
      </c>
      <c r="K186">
        <v>0</v>
      </c>
      <c r="L186">
        <v>8.5</v>
      </c>
    </row>
    <row r="187" spans="1:12" hidden="1" x14ac:dyDescent="0.25">
      <c r="A187" s="15">
        <v>46243</v>
      </c>
      <c r="B187">
        <v>21</v>
      </c>
      <c r="C187" t="s">
        <v>10</v>
      </c>
      <c r="D187">
        <v>62</v>
      </c>
      <c r="E187" t="s">
        <v>32</v>
      </c>
      <c r="F187" s="16">
        <v>46243.583333333336</v>
      </c>
      <c r="G187" s="16">
        <v>46243.9375</v>
      </c>
      <c r="H187" t="s">
        <v>210</v>
      </c>
      <c r="I187" t="s">
        <v>210</v>
      </c>
      <c r="J187">
        <v>2.6014540647719762</v>
      </c>
      <c r="K187">
        <v>22.112359550561798</v>
      </c>
      <c r="L187">
        <v>8.5</v>
      </c>
    </row>
    <row r="188" spans="1:12" x14ac:dyDescent="0.25">
      <c r="A188" s="15">
        <v>46243</v>
      </c>
      <c r="B188">
        <v>21</v>
      </c>
      <c r="C188" t="s">
        <v>11</v>
      </c>
      <c r="D188">
        <v>63</v>
      </c>
      <c r="E188" t="s">
        <v>31</v>
      </c>
      <c r="F188" s="16">
        <v>46243.916666666664</v>
      </c>
      <c r="G188" s="16">
        <v>46244.25</v>
      </c>
      <c r="H188" t="s">
        <v>210</v>
      </c>
      <c r="I188" t="s">
        <v>210</v>
      </c>
      <c r="J188">
        <v>3.824895418162654</v>
      </c>
      <c r="K188">
        <v>30.599163345301232</v>
      </c>
      <c r="L188">
        <v>8</v>
      </c>
    </row>
    <row r="189" spans="1:12" hidden="1" x14ac:dyDescent="0.25">
      <c r="A189" s="15">
        <v>46243</v>
      </c>
      <c r="B189">
        <v>21</v>
      </c>
      <c r="C189" t="s">
        <v>11</v>
      </c>
      <c r="D189">
        <v>63</v>
      </c>
      <c r="E189" t="s">
        <v>165</v>
      </c>
      <c r="F189" s="16">
        <v>46243.9375</v>
      </c>
      <c r="G189" s="16">
        <v>46244.25</v>
      </c>
      <c r="H189" t="s">
        <v>210</v>
      </c>
      <c r="I189" t="s">
        <v>210</v>
      </c>
      <c r="J189">
        <v>0</v>
      </c>
      <c r="K189">
        <v>0</v>
      </c>
      <c r="L189">
        <v>7.5</v>
      </c>
    </row>
    <row r="190" spans="1:12" hidden="1" x14ac:dyDescent="0.25">
      <c r="A190" s="15">
        <v>46243</v>
      </c>
      <c r="B190">
        <v>21</v>
      </c>
      <c r="C190" t="s">
        <v>11</v>
      </c>
      <c r="D190">
        <v>63</v>
      </c>
      <c r="E190" t="s">
        <v>32</v>
      </c>
      <c r="F190" s="16">
        <v>46243.9375</v>
      </c>
      <c r="G190" s="16">
        <v>46244.25</v>
      </c>
      <c r="H190" t="s">
        <v>210</v>
      </c>
      <c r="I190" t="s">
        <v>210</v>
      </c>
      <c r="J190">
        <v>1.842696629213483</v>
      </c>
      <c r="K190">
        <v>13.820224719101123</v>
      </c>
      <c r="L190">
        <v>7.5</v>
      </c>
    </row>
    <row r="191" spans="1:12" x14ac:dyDescent="0.25">
      <c r="A191" s="15">
        <v>46244</v>
      </c>
      <c r="B191">
        <v>22</v>
      </c>
      <c r="C191" t="s">
        <v>3</v>
      </c>
      <c r="D191">
        <v>64</v>
      </c>
      <c r="E191" t="s">
        <v>31</v>
      </c>
      <c r="F191" s="16">
        <v>46244.25</v>
      </c>
      <c r="G191" s="16">
        <v>46244.583333333336</v>
      </c>
      <c r="H191" t="s">
        <v>210</v>
      </c>
      <c r="I191" t="s">
        <v>210</v>
      </c>
      <c r="J191">
        <v>10.279406436312133</v>
      </c>
      <c r="K191">
        <v>82.235251490497063</v>
      </c>
      <c r="L191">
        <v>8</v>
      </c>
    </row>
    <row r="192" spans="1:12" hidden="1" x14ac:dyDescent="0.25">
      <c r="A192" s="15">
        <v>46244</v>
      </c>
      <c r="B192">
        <v>22</v>
      </c>
      <c r="C192" t="s">
        <v>3</v>
      </c>
      <c r="D192">
        <v>64</v>
      </c>
      <c r="E192" t="s">
        <v>165</v>
      </c>
      <c r="F192" s="16">
        <v>46244.25</v>
      </c>
      <c r="G192" s="16">
        <v>46244.583333333336</v>
      </c>
      <c r="H192" t="s">
        <v>210</v>
      </c>
      <c r="I192" t="s">
        <v>210</v>
      </c>
      <c r="J192">
        <v>0</v>
      </c>
      <c r="K192">
        <v>0</v>
      </c>
      <c r="L192">
        <v>8</v>
      </c>
    </row>
    <row r="193" spans="1:12" hidden="1" x14ac:dyDescent="0.25">
      <c r="A193" s="15">
        <v>46244</v>
      </c>
      <c r="B193">
        <v>22</v>
      </c>
      <c r="C193" t="s">
        <v>3</v>
      </c>
      <c r="D193">
        <v>64</v>
      </c>
      <c r="E193" t="s">
        <v>32</v>
      </c>
      <c r="F193" s="16">
        <v>46244.25</v>
      </c>
      <c r="G193" s="16">
        <v>46244.583333333336</v>
      </c>
      <c r="H193" t="s">
        <v>210</v>
      </c>
      <c r="I193" t="s">
        <v>210</v>
      </c>
      <c r="J193">
        <v>1.0365168539325842</v>
      </c>
      <c r="K193">
        <v>8.2921348314606735</v>
      </c>
      <c r="L193">
        <v>8</v>
      </c>
    </row>
    <row r="194" spans="1:12" x14ac:dyDescent="0.25">
      <c r="A194" s="15">
        <v>46244</v>
      </c>
      <c r="B194">
        <v>22</v>
      </c>
      <c r="C194" t="s">
        <v>10</v>
      </c>
      <c r="D194">
        <v>65</v>
      </c>
      <c r="E194" t="s">
        <v>31</v>
      </c>
      <c r="F194" s="16">
        <v>46244.583333333336</v>
      </c>
      <c r="G194" s="16">
        <v>46244.916666666664</v>
      </c>
      <c r="H194" t="s">
        <v>210</v>
      </c>
      <c r="I194" t="s">
        <v>210</v>
      </c>
      <c r="J194">
        <v>7.4107348726901421</v>
      </c>
      <c r="K194">
        <v>59.285878981521137</v>
      </c>
      <c r="L194">
        <v>8</v>
      </c>
    </row>
    <row r="195" spans="1:12" hidden="1" x14ac:dyDescent="0.25">
      <c r="A195" s="15">
        <v>46244</v>
      </c>
      <c r="B195">
        <v>22</v>
      </c>
      <c r="C195" t="s">
        <v>10</v>
      </c>
      <c r="D195">
        <v>65</v>
      </c>
      <c r="E195" t="s">
        <v>165</v>
      </c>
      <c r="F195" s="16">
        <v>46244.583333333336</v>
      </c>
      <c r="G195" s="16">
        <v>46244.9375</v>
      </c>
      <c r="H195" t="s">
        <v>210</v>
      </c>
      <c r="I195" t="s">
        <v>210</v>
      </c>
      <c r="J195">
        <v>0</v>
      </c>
      <c r="K195">
        <v>0</v>
      </c>
      <c r="L195">
        <v>8.5</v>
      </c>
    </row>
    <row r="196" spans="1:12" hidden="1" x14ac:dyDescent="0.25">
      <c r="A196" s="15">
        <v>46244</v>
      </c>
      <c r="B196">
        <v>22</v>
      </c>
      <c r="C196" t="s">
        <v>10</v>
      </c>
      <c r="D196">
        <v>65</v>
      </c>
      <c r="E196" t="s">
        <v>32</v>
      </c>
      <c r="F196" s="16">
        <v>46244.583333333336</v>
      </c>
      <c r="G196" s="16">
        <v>46244.9375</v>
      </c>
      <c r="H196" t="s">
        <v>210</v>
      </c>
      <c r="I196" t="s">
        <v>210</v>
      </c>
      <c r="J196">
        <v>2.6014540647719762</v>
      </c>
      <c r="K196">
        <v>22.112359550561798</v>
      </c>
      <c r="L196">
        <v>8.5</v>
      </c>
    </row>
    <row r="197" spans="1:12" x14ac:dyDescent="0.25">
      <c r="A197" s="15">
        <v>46244</v>
      </c>
      <c r="B197">
        <v>22</v>
      </c>
      <c r="C197" t="s">
        <v>11</v>
      </c>
      <c r="D197">
        <v>66</v>
      </c>
      <c r="E197" t="s">
        <v>31</v>
      </c>
      <c r="F197" s="16">
        <v>46244.916666666664</v>
      </c>
      <c r="G197" s="16">
        <v>46245.25</v>
      </c>
      <c r="H197" t="s">
        <v>210</v>
      </c>
      <c r="I197" t="s">
        <v>210</v>
      </c>
      <c r="J197">
        <v>3.824895418162654</v>
      </c>
      <c r="K197">
        <v>30.599163345301232</v>
      </c>
      <c r="L197">
        <v>8</v>
      </c>
    </row>
    <row r="198" spans="1:12" hidden="1" x14ac:dyDescent="0.25">
      <c r="A198" s="15">
        <v>46244</v>
      </c>
      <c r="B198">
        <v>22</v>
      </c>
      <c r="C198" t="s">
        <v>11</v>
      </c>
      <c r="D198">
        <v>66</v>
      </c>
      <c r="E198" t="s">
        <v>165</v>
      </c>
      <c r="F198" s="16">
        <v>46244.9375</v>
      </c>
      <c r="G198" s="16">
        <v>46245.25</v>
      </c>
      <c r="H198" t="s">
        <v>210</v>
      </c>
      <c r="I198" t="s">
        <v>210</v>
      </c>
      <c r="J198">
        <v>0</v>
      </c>
      <c r="K198">
        <v>0</v>
      </c>
      <c r="L198">
        <v>7.5</v>
      </c>
    </row>
    <row r="199" spans="1:12" hidden="1" x14ac:dyDescent="0.25">
      <c r="A199" s="15">
        <v>46244</v>
      </c>
      <c r="B199">
        <v>22</v>
      </c>
      <c r="C199" t="s">
        <v>11</v>
      </c>
      <c r="D199">
        <v>66</v>
      </c>
      <c r="E199" t="s">
        <v>32</v>
      </c>
      <c r="F199" s="16">
        <v>46244.9375</v>
      </c>
      <c r="G199" s="16">
        <v>46245.25</v>
      </c>
      <c r="H199" t="s">
        <v>210</v>
      </c>
      <c r="I199" t="s">
        <v>210</v>
      </c>
      <c r="J199">
        <v>1.842696629213483</v>
      </c>
      <c r="K199">
        <v>13.820224719101123</v>
      </c>
      <c r="L199">
        <v>7.5</v>
      </c>
    </row>
    <row r="200" spans="1:12" x14ac:dyDescent="0.25">
      <c r="A200" s="15">
        <v>46245</v>
      </c>
      <c r="B200">
        <v>23</v>
      </c>
      <c r="C200" t="s">
        <v>3</v>
      </c>
      <c r="D200">
        <v>67</v>
      </c>
      <c r="E200" t="s">
        <v>31</v>
      </c>
      <c r="F200" s="16">
        <v>46245.25</v>
      </c>
      <c r="G200" s="16">
        <v>46245.583333333336</v>
      </c>
      <c r="H200" t="s">
        <v>210</v>
      </c>
      <c r="I200" t="s">
        <v>210</v>
      </c>
      <c r="J200">
        <v>9.3231825817714675</v>
      </c>
      <c r="K200">
        <v>74.58546065417174</v>
      </c>
      <c r="L200">
        <v>8</v>
      </c>
    </row>
    <row r="201" spans="1:12" hidden="1" x14ac:dyDescent="0.25">
      <c r="A201" s="15">
        <v>46245</v>
      </c>
      <c r="B201">
        <v>23</v>
      </c>
      <c r="C201" t="s">
        <v>3</v>
      </c>
      <c r="D201">
        <v>67</v>
      </c>
      <c r="E201" t="s">
        <v>165</v>
      </c>
      <c r="F201" s="16">
        <v>46245.25</v>
      </c>
      <c r="G201" s="16">
        <v>46245.583333333336</v>
      </c>
      <c r="H201" t="s">
        <v>210</v>
      </c>
      <c r="I201" t="s">
        <v>210</v>
      </c>
      <c r="J201">
        <v>1.912447709081327</v>
      </c>
      <c r="K201">
        <v>15.299581672650616</v>
      </c>
      <c r="L201">
        <v>8</v>
      </c>
    </row>
    <row r="202" spans="1:12" hidden="1" x14ac:dyDescent="0.25">
      <c r="A202" s="15">
        <v>46245</v>
      </c>
      <c r="B202">
        <v>23</v>
      </c>
      <c r="C202" t="s">
        <v>3</v>
      </c>
      <c r="D202">
        <v>67</v>
      </c>
      <c r="E202" t="s">
        <v>32</v>
      </c>
      <c r="F202" s="16">
        <v>46245.25</v>
      </c>
      <c r="G202" s="16">
        <v>46245.583333333336</v>
      </c>
      <c r="H202" t="s">
        <v>210</v>
      </c>
      <c r="I202" t="s">
        <v>210</v>
      </c>
      <c r="J202">
        <v>1.3820224719101124</v>
      </c>
      <c r="K202">
        <v>11.056179775280899</v>
      </c>
      <c r="L202">
        <v>8</v>
      </c>
    </row>
    <row r="203" spans="1:12" x14ac:dyDescent="0.25">
      <c r="A203" s="15">
        <v>46245</v>
      </c>
      <c r="B203">
        <v>23</v>
      </c>
      <c r="C203" t="s">
        <v>10</v>
      </c>
      <c r="D203">
        <v>68</v>
      </c>
      <c r="E203" t="s">
        <v>31</v>
      </c>
      <c r="F203" s="16">
        <v>46245.583333333336</v>
      </c>
      <c r="G203" s="16">
        <v>46245.916666666664</v>
      </c>
      <c r="H203" t="s">
        <v>210</v>
      </c>
      <c r="I203" t="s">
        <v>210</v>
      </c>
      <c r="J203">
        <v>7.3509708817813504</v>
      </c>
      <c r="K203">
        <v>58.807767054250803</v>
      </c>
      <c r="L203">
        <v>8</v>
      </c>
    </row>
    <row r="204" spans="1:12" hidden="1" x14ac:dyDescent="0.25">
      <c r="A204" s="15">
        <v>46245</v>
      </c>
      <c r="B204">
        <v>23</v>
      </c>
      <c r="C204" t="s">
        <v>10</v>
      </c>
      <c r="D204">
        <v>68</v>
      </c>
      <c r="E204" t="s">
        <v>165</v>
      </c>
      <c r="F204" s="16">
        <v>46245.583333333336</v>
      </c>
      <c r="G204" s="16">
        <v>46245.9375</v>
      </c>
      <c r="H204" t="s">
        <v>210</v>
      </c>
      <c r="I204" t="s">
        <v>210</v>
      </c>
      <c r="J204">
        <v>0</v>
      </c>
      <c r="K204">
        <v>0</v>
      </c>
      <c r="L204">
        <v>8.5</v>
      </c>
    </row>
    <row r="205" spans="1:12" hidden="1" x14ac:dyDescent="0.25">
      <c r="A205" s="15">
        <v>46245</v>
      </c>
      <c r="B205">
        <v>23</v>
      </c>
      <c r="C205" t="s">
        <v>10</v>
      </c>
      <c r="D205">
        <v>68</v>
      </c>
      <c r="E205" t="s">
        <v>32</v>
      </c>
      <c r="F205" s="16">
        <v>46245.583333333336</v>
      </c>
      <c r="G205" s="16">
        <v>46245.9375</v>
      </c>
      <c r="H205" t="s">
        <v>210</v>
      </c>
      <c r="I205" t="s">
        <v>210</v>
      </c>
      <c r="J205">
        <v>2.6014540647719762</v>
      </c>
      <c r="K205">
        <v>22.112359550561798</v>
      </c>
      <c r="L205">
        <v>8.5</v>
      </c>
    </row>
    <row r="206" spans="1:12" x14ac:dyDescent="0.25">
      <c r="A206" s="15">
        <v>46245</v>
      </c>
      <c r="B206">
        <v>23</v>
      </c>
      <c r="C206" t="s">
        <v>11</v>
      </c>
      <c r="D206">
        <v>69</v>
      </c>
      <c r="E206" t="s">
        <v>31</v>
      </c>
      <c r="F206" s="16">
        <v>46245.916666666664</v>
      </c>
      <c r="G206" s="16">
        <v>46246.25</v>
      </c>
      <c r="H206" t="s">
        <v>210</v>
      </c>
      <c r="I206" t="s">
        <v>210</v>
      </c>
      <c r="J206">
        <v>3.824895418162654</v>
      </c>
      <c r="K206">
        <v>30.599163345301232</v>
      </c>
      <c r="L206">
        <v>8</v>
      </c>
    </row>
    <row r="207" spans="1:12" hidden="1" x14ac:dyDescent="0.25">
      <c r="A207" s="15">
        <v>46245</v>
      </c>
      <c r="B207">
        <v>23</v>
      </c>
      <c r="C207" t="s">
        <v>11</v>
      </c>
      <c r="D207">
        <v>69</v>
      </c>
      <c r="E207" t="s">
        <v>165</v>
      </c>
      <c r="F207" s="16">
        <v>46245.9375</v>
      </c>
      <c r="G207" s="16">
        <v>46246.25</v>
      </c>
      <c r="H207" t="s">
        <v>210</v>
      </c>
      <c r="I207" t="s">
        <v>210</v>
      </c>
      <c r="J207">
        <v>0</v>
      </c>
      <c r="K207">
        <v>0</v>
      </c>
      <c r="L207">
        <v>7.5</v>
      </c>
    </row>
    <row r="208" spans="1:12" hidden="1" x14ac:dyDescent="0.25">
      <c r="A208" s="15">
        <v>46245</v>
      </c>
      <c r="B208">
        <v>23</v>
      </c>
      <c r="C208" t="s">
        <v>11</v>
      </c>
      <c r="D208">
        <v>69</v>
      </c>
      <c r="E208" t="s">
        <v>32</v>
      </c>
      <c r="F208" s="16">
        <v>46245.9375</v>
      </c>
      <c r="G208" s="16">
        <v>46246.25</v>
      </c>
      <c r="H208" t="s">
        <v>210</v>
      </c>
      <c r="I208" t="s">
        <v>210</v>
      </c>
      <c r="J208">
        <v>1.842696629213483</v>
      </c>
      <c r="K208">
        <v>13.820224719101123</v>
      </c>
      <c r="L208">
        <v>7.5</v>
      </c>
    </row>
    <row r="209" spans="1:12" x14ac:dyDescent="0.25">
      <c r="A209" s="15">
        <v>46246</v>
      </c>
      <c r="B209">
        <v>24</v>
      </c>
      <c r="C209" t="s">
        <v>3</v>
      </c>
      <c r="D209">
        <v>70</v>
      </c>
      <c r="E209" t="s">
        <v>31</v>
      </c>
      <c r="F209" s="16">
        <v>46246.25</v>
      </c>
      <c r="G209" s="16">
        <v>46246.583333333336</v>
      </c>
      <c r="H209" t="s">
        <v>210</v>
      </c>
      <c r="I209" t="s">
        <v>210</v>
      </c>
      <c r="J209">
        <v>9.3231825817714675</v>
      </c>
      <c r="K209">
        <v>74.58546065417174</v>
      </c>
      <c r="L209">
        <v>8</v>
      </c>
    </row>
    <row r="210" spans="1:12" hidden="1" x14ac:dyDescent="0.25">
      <c r="A210" s="15">
        <v>46246</v>
      </c>
      <c r="B210">
        <v>24</v>
      </c>
      <c r="C210" t="s">
        <v>3</v>
      </c>
      <c r="D210">
        <v>70</v>
      </c>
      <c r="E210" t="s">
        <v>165</v>
      </c>
      <c r="F210" s="16">
        <v>46246.25</v>
      </c>
      <c r="G210" s="16">
        <v>46246.583333333336</v>
      </c>
      <c r="H210" t="s">
        <v>210</v>
      </c>
      <c r="I210" t="s">
        <v>210</v>
      </c>
      <c r="J210">
        <v>2.8686715636219904</v>
      </c>
      <c r="K210">
        <v>22.949372508975923</v>
      </c>
      <c r="L210">
        <v>8</v>
      </c>
    </row>
    <row r="211" spans="1:12" hidden="1" x14ac:dyDescent="0.25">
      <c r="A211" s="15">
        <v>46246</v>
      </c>
      <c r="B211">
        <v>24</v>
      </c>
      <c r="C211" t="s">
        <v>3</v>
      </c>
      <c r="D211">
        <v>70</v>
      </c>
      <c r="E211" t="s">
        <v>32</v>
      </c>
      <c r="F211" s="16">
        <v>46246.25</v>
      </c>
      <c r="G211" s="16">
        <v>46246.583333333336</v>
      </c>
      <c r="H211" t="s">
        <v>210</v>
      </c>
      <c r="I211" t="s">
        <v>210</v>
      </c>
      <c r="J211">
        <v>2.7640449438202248</v>
      </c>
      <c r="K211">
        <v>22.112359550561798</v>
      </c>
      <c r="L211">
        <v>8</v>
      </c>
    </row>
    <row r="212" spans="1:12" x14ac:dyDescent="0.25">
      <c r="A212" s="15">
        <v>46246</v>
      </c>
      <c r="B212">
        <v>24</v>
      </c>
      <c r="C212" t="s">
        <v>10</v>
      </c>
      <c r="D212">
        <v>71</v>
      </c>
      <c r="E212" t="s">
        <v>31</v>
      </c>
      <c r="F212" s="16">
        <v>46246.583333333336</v>
      </c>
      <c r="G212" s="16">
        <v>46246.916666666664</v>
      </c>
      <c r="H212" t="s">
        <v>210</v>
      </c>
      <c r="I212" t="s">
        <v>210</v>
      </c>
      <c r="J212">
        <v>6.6935669817846444</v>
      </c>
      <c r="K212">
        <v>53.548535854277155</v>
      </c>
      <c r="L212">
        <v>8</v>
      </c>
    </row>
    <row r="213" spans="1:12" hidden="1" x14ac:dyDescent="0.25">
      <c r="A213" s="15">
        <v>46246</v>
      </c>
      <c r="B213">
        <v>24</v>
      </c>
      <c r="C213" t="s">
        <v>10</v>
      </c>
      <c r="D213">
        <v>71</v>
      </c>
      <c r="E213" t="s">
        <v>165</v>
      </c>
      <c r="F213" s="16">
        <v>46246.583333333336</v>
      </c>
      <c r="G213" s="16">
        <v>46246.9375</v>
      </c>
      <c r="H213" t="s">
        <v>210</v>
      </c>
      <c r="I213" t="s">
        <v>210</v>
      </c>
      <c r="J213">
        <v>0.67498154438164482</v>
      </c>
      <c r="K213">
        <v>5.7373431272439808</v>
      </c>
      <c r="L213">
        <v>8.5</v>
      </c>
    </row>
    <row r="214" spans="1:12" hidden="1" x14ac:dyDescent="0.25">
      <c r="A214" s="15">
        <v>46246</v>
      </c>
      <c r="B214">
        <v>24</v>
      </c>
      <c r="C214" t="s">
        <v>10</v>
      </c>
      <c r="D214">
        <v>71</v>
      </c>
      <c r="E214" t="s">
        <v>32</v>
      </c>
      <c r="F214" s="16">
        <v>46246.583333333336</v>
      </c>
      <c r="G214" s="16">
        <v>46246.9375</v>
      </c>
      <c r="H214" t="s">
        <v>210</v>
      </c>
      <c r="I214" t="s">
        <v>210</v>
      </c>
      <c r="J214">
        <v>2.2762723066754793</v>
      </c>
      <c r="K214">
        <v>19.348314606741575</v>
      </c>
      <c r="L214">
        <v>8.5</v>
      </c>
    </row>
    <row r="215" spans="1:12" x14ac:dyDescent="0.25">
      <c r="A215" s="15">
        <v>46246</v>
      </c>
      <c r="B215">
        <v>24</v>
      </c>
      <c r="C215" t="s">
        <v>11</v>
      </c>
      <c r="D215">
        <v>72</v>
      </c>
      <c r="E215" t="s">
        <v>31</v>
      </c>
      <c r="F215" s="16">
        <v>46246.916666666664</v>
      </c>
      <c r="G215" s="16">
        <v>46247.25</v>
      </c>
      <c r="H215" t="s">
        <v>210</v>
      </c>
      <c r="I215" t="s">
        <v>210</v>
      </c>
      <c r="J215">
        <v>3.824895418162654</v>
      </c>
      <c r="K215">
        <v>30.599163345301232</v>
      </c>
      <c r="L215">
        <v>8</v>
      </c>
    </row>
    <row r="216" spans="1:12" hidden="1" x14ac:dyDescent="0.25">
      <c r="A216" s="15">
        <v>46246</v>
      </c>
      <c r="B216">
        <v>24</v>
      </c>
      <c r="C216" t="s">
        <v>11</v>
      </c>
      <c r="D216">
        <v>72</v>
      </c>
      <c r="E216" t="s">
        <v>165</v>
      </c>
      <c r="F216" s="16">
        <v>46246.9375</v>
      </c>
      <c r="G216" s="16">
        <v>46247.25</v>
      </c>
      <c r="H216" t="s">
        <v>210</v>
      </c>
      <c r="I216" t="s">
        <v>210</v>
      </c>
      <c r="J216">
        <v>0</v>
      </c>
      <c r="K216">
        <v>0</v>
      </c>
      <c r="L216">
        <v>7.5</v>
      </c>
    </row>
    <row r="217" spans="1:12" hidden="1" x14ac:dyDescent="0.25">
      <c r="A217" s="15">
        <v>46246</v>
      </c>
      <c r="B217">
        <v>24</v>
      </c>
      <c r="C217" t="s">
        <v>11</v>
      </c>
      <c r="D217">
        <v>72</v>
      </c>
      <c r="E217" t="s">
        <v>32</v>
      </c>
      <c r="F217" s="16">
        <v>46246.9375</v>
      </c>
      <c r="G217" s="16">
        <v>46247.25</v>
      </c>
      <c r="H217" t="s">
        <v>210</v>
      </c>
      <c r="I217" t="s">
        <v>210</v>
      </c>
      <c r="J217">
        <v>1.842696629213483</v>
      </c>
      <c r="K217">
        <v>13.820224719101123</v>
      </c>
      <c r="L217">
        <v>7.5</v>
      </c>
    </row>
    <row r="218" spans="1:12" x14ac:dyDescent="0.25">
      <c r="A218" s="15">
        <v>46247</v>
      </c>
      <c r="B218">
        <v>25</v>
      </c>
      <c r="C218" t="s">
        <v>3</v>
      </c>
      <c r="D218">
        <v>73</v>
      </c>
      <c r="E218" t="s">
        <v>31</v>
      </c>
      <c r="F218" s="16">
        <v>46247.25</v>
      </c>
      <c r="G218" s="16">
        <v>46247.583333333336</v>
      </c>
      <c r="H218" t="s">
        <v>210</v>
      </c>
      <c r="I218" t="s">
        <v>210</v>
      </c>
      <c r="J218">
        <v>10.279406436312133</v>
      </c>
      <c r="K218">
        <v>82.235251490497063</v>
      </c>
      <c r="L218">
        <v>8</v>
      </c>
    </row>
    <row r="219" spans="1:12" hidden="1" x14ac:dyDescent="0.25">
      <c r="A219" s="15">
        <v>46247</v>
      </c>
      <c r="B219">
        <v>25</v>
      </c>
      <c r="C219" t="s">
        <v>3</v>
      </c>
      <c r="D219">
        <v>73</v>
      </c>
      <c r="E219" t="s">
        <v>165</v>
      </c>
      <c r="F219" s="16">
        <v>46247.25</v>
      </c>
      <c r="G219" s="16">
        <v>46247.583333333336</v>
      </c>
      <c r="H219" t="s">
        <v>210</v>
      </c>
      <c r="I219" t="s">
        <v>210</v>
      </c>
      <c r="J219">
        <v>2.8686715636219904</v>
      </c>
      <c r="K219">
        <v>22.949372508975923</v>
      </c>
      <c r="L219">
        <v>8</v>
      </c>
    </row>
    <row r="220" spans="1:12" hidden="1" x14ac:dyDescent="0.25">
      <c r="A220" s="15">
        <v>46247</v>
      </c>
      <c r="B220">
        <v>25</v>
      </c>
      <c r="C220" t="s">
        <v>3</v>
      </c>
      <c r="D220">
        <v>73</v>
      </c>
      <c r="E220" t="s">
        <v>32</v>
      </c>
      <c r="F220" s="16">
        <v>46247.25</v>
      </c>
      <c r="G220" s="16">
        <v>46247.583333333336</v>
      </c>
      <c r="H220" t="s">
        <v>210</v>
      </c>
      <c r="I220" t="s">
        <v>210</v>
      </c>
      <c r="J220">
        <v>2.7640449438202248</v>
      </c>
      <c r="K220">
        <v>22.112359550561798</v>
      </c>
      <c r="L220">
        <v>8</v>
      </c>
    </row>
    <row r="221" spans="1:12" x14ac:dyDescent="0.25">
      <c r="A221" s="15">
        <v>46247</v>
      </c>
      <c r="B221">
        <v>25</v>
      </c>
      <c r="C221" t="s">
        <v>10</v>
      </c>
      <c r="D221">
        <v>74</v>
      </c>
      <c r="E221" t="s">
        <v>31</v>
      </c>
      <c r="F221" s="16">
        <v>46247.583333333336</v>
      </c>
      <c r="G221" s="16">
        <v>46247.916666666664</v>
      </c>
      <c r="H221" t="s">
        <v>210</v>
      </c>
      <c r="I221" t="s">
        <v>210</v>
      </c>
      <c r="J221">
        <v>7.4107348726901421</v>
      </c>
      <c r="K221">
        <v>59.285878981521137</v>
      </c>
      <c r="L221">
        <v>8</v>
      </c>
    </row>
    <row r="222" spans="1:12" hidden="1" x14ac:dyDescent="0.25">
      <c r="A222" s="15">
        <v>46247</v>
      </c>
      <c r="B222">
        <v>25</v>
      </c>
      <c r="C222" t="s">
        <v>10</v>
      </c>
      <c r="D222">
        <v>74</v>
      </c>
      <c r="E222" t="s">
        <v>165</v>
      </c>
      <c r="F222" s="16">
        <v>46247.583333333336</v>
      </c>
      <c r="G222" s="16">
        <v>46247.9375</v>
      </c>
      <c r="H222" t="s">
        <v>210</v>
      </c>
      <c r="I222" t="s">
        <v>210</v>
      </c>
      <c r="J222">
        <v>0</v>
      </c>
      <c r="K222">
        <v>0</v>
      </c>
      <c r="L222">
        <v>8.5</v>
      </c>
    </row>
    <row r="223" spans="1:12" hidden="1" x14ac:dyDescent="0.25">
      <c r="A223" s="15">
        <v>46247</v>
      </c>
      <c r="B223">
        <v>25</v>
      </c>
      <c r="C223" t="s">
        <v>10</v>
      </c>
      <c r="D223">
        <v>74</v>
      </c>
      <c r="E223" t="s">
        <v>32</v>
      </c>
      <c r="F223" s="16">
        <v>46247.583333333336</v>
      </c>
      <c r="G223" s="16">
        <v>46247.9375</v>
      </c>
      <c r="H223" t="s">
        <v>210</v>
      </c>
      <c r="I223" t="s">
        <v>210</v>
      </c>
      <c r="J223">
        <v>2.2762723066754793</v>
      </c>
      <c r="K223">
        <v>19.348314606741575</v>
      </c>
      <c r="L223">
        <v>8.5</v>
      </c>
    </row>
    <row r="224" spans="1:12" x14ac:dyDescent="0.25">
      <c r="A224" s="15">
        <v>46247</v>
      </c>
      <c r="B224">
        <v>25</v>
      </c>
      <c r="C224" t="s">
        <v>11</v>
      </c>
      <c r="D224">
        <v>75</v>
      </c>
      <c r="E224" t="s">
        <v>31</v>
      </c>
      <c r="F224" s="16">
        <v>46247.916666666664</v>
      </c>
      <c r="G224" s="16">
        <v>46248.25</v>
      </c>
      <c r="H224" t="s">
        <v>210</v>
      </c>
      <c r="I224" t="s">
        <v>210</v>
      </c>
      <c r="J224">
        <v>3.824895418162654</v>
      </c>
      <c r="K224">
        <v>30.599163345301232</v>
      </c>
      <c r="L224">
        <v>8</v>
      </c>
    </row>
    <row r="225" spans="1:12" hidden="1" x14ac:dyDescent="0.25">
      <c r="A225" s="15">
        <v>46247</v>
      </c>
      <c r="B225">
        <v>25</v>
      </c>
      <c r="C225" t="s">
        <v>11</v>
      </c>
      <c r="D225">
        <v>75</v>
      </c>
      <c r="E225" t="s">
        <v>165</v>
      </c>
      <c r="F225" s="16">
        <v>46247.9375</v>
      </c>
      <c r="G225" s="16">
        <v>46248.25</v>
      </c>
      <c r="H225" t="s">
        <v>210</v>
      </c>
      <c r="I225" t="s">
        <v>210</v>
      </c>
      <c r="J225">
        <v>0</v>
      </c>
      <c r="K225">
        <v>0</v>
      </c>
      <c r="L225">
        <v>7.5</v>
      </c>
    </row>
    <row r="226" spans="1:12" hidden="1" x14ac:dyDescent="0.25">
      <c r="A226" s="15">
        <v>46247</v>
      </c>
      <c r="B226">
        <v>25</v>
      </c>
      <c r="C226" t="s">
        <v>11</v>
      </c>
      <c r="D226">
        <v>75</v>
      </c>
      <c r="E226" t="s">
        <v>32</v>
      </c>
      <c r="F226" s="16">
        <v>46247.9375</v>
      </c>
      <c r="G226" s="16">
        <v>46248.25</v>
      </c>
      <c r="H226" t="s">
        <v>210</v>
      </c>
      <c r="I226" t="s">
        <v>210</v>
      </c>
      <c r="J226">
        <v>1.842696629213483</v>
      </c>
      <c r="K226">
        <v>13.820224719101123</v>
      </c>
      <c r="L226">
        <v>7.5</v>
      </c>
    </row>
    <row r="227" spans="1:12" x14ac:dyDescent="0.25">
      <c r="A227" s="15">
        <v>46248</v>
      </c>
      <c r="B227">
        <v>26</v>
      </c>
      <c r="C227" t="s">
        <v>3</v>
      </c>
      <c r="D227">
        <v>76</v>
      </c>
      <c r="E227" t="s">
        <v>31</v>
      </c>
      <c r="F227" s="16">
        <v>46248.25</v>
      </c>
      <c r="G227" s="16">
        <v>46248.583333333336</v>
      </c>
      <c r="H227" t="s">
        <v>210</v>
      </c>
      <c r="I227" t="s">
        <v>210</v>
      </c>
      <c r="J227">
        <v>9.3231825817714675</v>
      </c>
      <c r="K227">
        <v>74.58546065417174</v>
      </c>
      <c r="L227">
        <v>8</v>
      </c>
    </row>
    <row r="228" spans="1:12" hidden="1" x14ac:dyDescent="0.25">
      <c r="A228" s="15">
        <v>46248</v>
      </c>
      <c r="B228">
        <v>26</v>
      </c>
      <c r="C228" t="s">
        <v>3</v>
      </c>
      <c r="D228">
        <v>76</v>
      </c>
      <c r="E228" t="s">
        <v>165</v>
      </c>
      <c r="F228" s="16">
        <v>46248.25</v>
      </c>
      <c r="G228" s="16">
        <v>46248.583333333336</v>
      </c>
      <c r="H228" t="s">
        <v>210</v>
      </c>
      <c r="I228" t="s">
        <v>210</v>
      </c>
      <c r="J228">
        <v>1.912447709081327</v>
      </c>
      <c r="K228">
        <v>15.299581672650616</v>
      </c>
      <c r="L228">
        <v>8</v>
      </c>
    </row>
    <row r="229" spans="1:12" hidden="1" x14ac:dyDescent="0.25">
      <c r="A229" s="15">
        <v>46248</v>
      </c>
      <c r="B229">
        <v>26</v>
      </c>
      <c r="C229" t="s">
        <v>3</v>
      </c>
      <c r="D229">
        <v>76</v>
      </c>
      <c r="E229" t="s">
        <v>32</v>
      </c>
      <c r="F229" s="16">
        <v>46248.25</v>
      </c>
      <c r="G229" s="16">
        <v>46248.583333333336</v>
      </c>
      <c r="H229" t="s">
        <v>210</v>
      </c>
      <c r="I229" t="s">
        <v>210</v>
      </c>
      <c r="J229">
        <v>5.1825842696629216</v>
      </c>
      <c r="K229">
        <v>41.460674157303373</v>
      </c>
      <c r="L229">
        <v>8</v>
      </c>
    </row>
    <row r="230" spans="1:12" x14ac:dyDescent="0.25">
      <c r="A230" s="15">
        <v>46248</v>
      </c>
      <c r="B230">
        <v>26</v>
      </c>
      <c r="C230" t="s">
        <v>10</v>
      </c>
      <c r="D230">
        <v>77</v>
      </c>
      <c r="E230" t="s">
        <v>31</v>
      </c>
      <c r="F230" s="16">
        <v>46248.583333333336</v>
      </c>
      <c r="G230" s="16">
        <v>46248.916666666664</v>
      </c>
      <c r="H230" t="s">
        <v>210</v>
      </c>
      <c r="I230" t="s">
        <v>210</v>
      </c>
      <c r="J230">
        <v>7.4107348726901421</v>
      </c>
      <c r="K230">
        <v>59.285878981521137</v>
      </c>
      <c r="L230">
        <v>8</v>
      </c>
    </row>
    <row r="231" spans="1:12" hidden="1" x14ac:dyDescent="0.25">
      <c r="A231" s="15">
        <v>46248</v>
      </c>
      <c r="B231">
        <v>26</v>
      </c>
      <c r="C231" t="s">
        <v>10</v>
      </c>
      <c r="D231">
        <v>77</v>
      </c>
      <c r="E231" t="s">
        <v>165</v>
      </c>
      <c r="F231" s="16">
        <v>46248.583333333336</v>
      </c>
      <c r="G231" s="16">
        <v>46248.9375</v>
      </c>
      <c r="H231" t="s">
        <v>210</v>
      </c>
      <c r="I231" t="s">
        <v>210</v>
      </c>
      <c r="J231">
        <v>0</v>
      </c>
      <c r="K231">
        <v>0</v>
      </c>
      <c r="L231">
        <v>8.5</v>
      </c>
    </row>
    <row r="232" spans="1:12" hidden="1" x14ac:dyDescent="0.25">
      <c r="A232" s="15">
        <v>46248</v>
      </c>
      <c r="B232">
        <v>26</v>
      </c>
      <c r="C232" t="s">
        <v>10</v>
      </c>
      <c r="D232">
        <v>77</v>
      </c>
      <c r="E232" t="s">
        <v>32</v>
      </c>
      <c r="F232" s="16">
        <v>46248.583333333336</v>
      </c>
      <c r="G232" s="16">
        <v>46248.9375</v>
      </c>
      <c r="H232" t="s">
        <v>210</v>
      </c>
      <c r="I232" t="s">
        <v>210</v>
      </c>
      <c r="J232">
        <v>2.6014540647719762</v>
      </c>
      <c r="K232">
        <v>22.112359550561798</v>
      </c>
      <c r="L232">
        <v>8.5</v>
      </c>
    </row>
    <row r="233" spans="1:12" x14ac:dyDescent="0.25">
      <c r="A233" s="15">
        <v>46248</v>
      </c>
      <c r="B233">
        <v>26</v>
      </c>
      <c r="C233" t="s">
        <v>11</v>
      </c>
      <c r="D233">
        <v>78</v>
      </c>
      <c r="E233" t="s">
        <v>31</v>
      </c>
      <c r="F233" s="16">
        <v>46248.916666666664</v>
      </c>
      <c r="G233" s="16">
        <v>46249.25</v>
      </c>
      <c r="H233" t="s">
        <v>210</v>
      </c>
      <c r="I233" t="s">
        <v>210</v>
      </c>
      <c r="J233">
        <v>3.824895418162654</v>
      </c>
      <c r="K233">
        <v>30.599163345301232</v>
      </c>
      <c r="L233">
        <v>8</v>
      </c>
    </row>
    <row r="234" spans="1:12" hidden="1" x14ac:dyDescent="0.25">
      <c r="A234" s="15">
        <v>46248</v>
      </c>
      <c r="B234">
        <v>26</v>
      </c>
      <c r="C234" t="s">
        <v>11</v>
      </c>
      <c r="D234">
        <v>78</v>
      </c>
      <c r="E234" t="s">
        <v>165</v>
      </c>
      <c r="F234" s="16">
        <v>46248.9375</v>
      </c>
      <c r="G234" s="16">
        <v>46249.25</v>
      </c>
      <c r="H234" t="s">
        <v>210</v>
      </c>
      <c r="I234" t="s">
        <v>210</v>
      </c>
      <c r="J234">
        <v>0</v>
      </c>
      <c r="K234">
        <v>0</v>
      </c>
      <c r="L234">
        <v>7.5</v>
      </c>
    </row>
    <row r="235" spans="1:12" hidden="1" x14ac:dyDescent="0.25">
      <c r="A235" s="15">
        <v>46248</v>
      </c>
      <c r="B235">
        <v>26</v>
      </c>
      <c r="C235" t="s">
        <v>11</v>
      </c>
      <c r="D235">
        <v>78</v>
      </c>
      <c r="E235" t="s">
        <v>32</v>
      </c>
      <c r="F235" s="16">
        <v>46248.9375</v>
      </c>
      <c r="G235" s="16">
        <v>46249.25</v>
      </c>
      <c r="H235" t="s">
        <v>210</v>
      </c>
      <c r="I235" t="s">
        <v>210</v>
      </c>
      <c r="J235">
        <v>1.842696629213483</v>
      </c>
      <c r="K235">
        <v>13.820224719101123</v>
      </c>
      <c r="L235">
        <v>7.5</v>
      </c>
    </row>
    <row r="236" spans="1:12" x14ac:dyDescent="0.25">
      <c r="A236" s="15">
        <v>46249</v>
      </c>
      <c r="B236">
        <v>27</v>
      </c>
      <c r="C236" t="s">
        <v>3</v>
      </c>
      <c r="D236">
        <v>79</v>
      </c>
      <c r="E236" t="s">
        <v>31</v>
      </c>
      <c r="F236" s="16">
        <v>46249.25</v>
      </c>
      <c r="G236" s="16">
        <v>46249.583333333336</v>
      </c>
      <c r="H236" t="s">
        <v>210</v>
      </c>
      <c r="I236" t="s">
        <v>210</v>
      </c>
      <c r="J236">
        <v>10.279406436312133</v>
      </c>
      <c r="K236">
        <v>82.235251490497063</v>
      </c>
      <c r="L236">
        <v>8</v>
      </c>
    </row>
    <row r="237" spans="1:12" hidden="1" x14ac:dyDescent="0.25">
      <c r="A237" s="15">
        <v>46249</v>
      </c>
      <c r="B237">
        <v>27</v>
      </c>
      <c r="C237" t="s">
        <v>3</v>
      </c>
      <c r="D237">
        <v>79</v>
      </c>
      <c r="E237" t="s">
        <v>165</v>
      </c>
      <c r="F237" s="16">
        <v>46249.25</v>
      </c>
      <c r="G237" s="16">
        <v>46249.583333333336</v>
      </c>
      <c r="H237" t="s">
        <v>210</v>
      </c>
      <c r="I237" t="s">
        <v>210</v>
      </c>
      <c r="J237">
        <v>0</v>
      </c>
      <c r="K237">
        <v>0</v>
      </c>
      <c r="L237">
        <v>8</v>
      </c>
    </row>
    <row r="238" spans="1:12" hidden="1" x14ac:dyDescent="0.25">
      <c r="A238" s="15">
        <v>46249</v>
      </c>
      <c r="B238">
        <v>27</v>
      </c>
      <c r="C238" t="s">
        <v>3</v>
      </c>
      <c r="D238">
        <v>79</v>
      </c>
      <c r="E238" t="s">
        <v>32</v>
      </c>
      <c r="F238" s="16">
        <v>46249.25</v>
      </c>
      <c r="G238" s="16">
        <v>46249.583333333336</v>
      </c>
      <c r="H238" t="s">
        <v>210</v>
      </c>
      <c r="I238" t="s">
        <v>210</v>
      </c>
      <c r="J238">
        <v>1.3820224719101124</v>
      </c>
      <c r="K238">
        <v>11.056179775280899</v>
      </c>
      <c r="L238">
        <v>8</v>
      </c>
    </row>
    <row r="239" spans="1:12" x14ac:dyDescent="0.25">
      <c r="A239" s="15">
        <v>46249</v>
      </c>
      <c r="B239">
        <v>27</v>
      </c>
      <c r="C239" t="s">
        <v>10</v>
      </c>
      <c r="D239">
        <v>80</v>
      </c>
      <c r="E239" t="s">
        <v>31</v>
      </c>
      <c r="F239" s="16">
        <v>46249.583333333336</v>
      </c>
      <c r="G239" s="16">
        <v>46249.916666666664</v>
      </c>
      <c r="H239" t="s">
        <v>210</v>
      </c>
      <c r="I239" t="s">
        <v>210</v>
      </c>
      <c r="J239">
        <v>7.4107348726901421</v>
      </c>
      <c r="K239">
        <v>59.285878981521137</v>
      </c>
      <c r="L239">
        <v>8</v>
      </c>
    </row>
    <row r="240" spans="1:12" hidden="1" x14ac:dyDescent="0.25">
      <c r="A240" s="15">
        <v>46249</v>
      </c>
      <c r="B240">
        <v>27</v>
      </c>
      <c r="C240" t="s">
        <v>10</v>
      </c>
      <c r="D240">
        <v>80</v>
      </c>
      <c r="E240" t="s">
        <v>165</v>
      </c>
      <c r="F240" s="16">
        <v>46249.583333333336</v>
      </c>
      <c r="G240" s="16">
        <v>46249.9375</v>
      </c>
      <c r="H240" t="s">
        <v>210</v>
      </c>
      <c r="I240" t="s">
        <v>210</v>
      </c>
      <c r="J240">
        <v>0</v>
      </c>
      <c r="K240">
        <v>0</v>
      </c>
      <c r="L240">
        <v>8.5</v>
      </c>
    </row>
    <row r="241" spans="1:12" hidden="1" x14ac:dyDescent="0.25">
      <c r="A241" s="15">
        <v>46249</v>
      </c>
      <c r="B241">
        <v>27</v>
      </c>
      <c r="C241" t="s">
        <v>10</v>
      </c>
      <c r="D241">
        <v>80</v>
      </c>
      <c r="E241" t="s">
        <v>32</v>
      </c>
      <c r="F241" s="16">
        <v>46249.583333333336</v>
      </c>
      <c r="G241" s="16">
        <v>46249.9375</v>
      </c>
      <c r="H241" t="s">
        <v>210</v>
      </c>
      <c r="I241" t="s">
        <v>210</v>
      </c>
      <c r="J241">
        <v>2.2762723066754793</v>
      </c>
      <c r="K241">
        <v>19.348314606741575</v>
      </c>
      <c r="L241">
        <v>8.5</v>
      </c>
    </row>
    <row r="242" spans="1:12" x14ac:dyDescent="0.25">
      <c r="A242" s="15">
        <v>46249</v>
      </c>
      <c r="B242">
        <v>27</v>
      </c>
      <c r="C242" t="s">
        <v>11</v>
      </c>
      <c r="D242">
        <v>81</v>
      </c>
      <c r="E242" t="s">
        <v>31</v>
      </c>
      <c r="F242" s="16">
        <v>46249.916666666664</v>
      </c>
      <c r="G242" s="16">
        <v>46250.25</v>
      </c>
      <c r="H242" t="s">
        <v>210</v>
      </c>
      <c r="I242" t="s">
        <v>210</v>
      </c>
      <c r="J242">
        <v>3.5858394545274885</v>
      </c>
      <c r="K242">
        <v>28.686715636219908</v>
      </c>
      <c r="L242">
        <v>8</v>
      </c>
    </row>
    <row r="243" spans="1:12" hidden="1" x14ac:dyDescent="0.25">
      <c r="A243" s="15">
        <v>46249</v>
      </c>
      <c r="B243">
        <v>27</v>
      </c>
      <c r="C243" t="s">
        <v>11</v>
      </c>
      <c r="D243">
        <v>81</v>
      </c>
      <c r="E243" t="s">
        <v>165</v>
      </c>
      <c r="F243" s="16">
        <v>46249.9375</v>
      </c>
      <c r="G243" s="16">
        <v>46250.25</v>
      </c>
      <c r="H243" t="s">
        <v>210</v>
      </c>
      <c r="I243" t="s">
        <v>210</v>
      </c>
      <c r="J243">
        <v>0</v>
      </c>
      <c r="K243">
        <v>0</v>
      </c>
      <c r="L243">
        <v>7.5</v>
      </c>
    </row>
    <row r="244" spans="1:12" hidden="1" x14ac:dyDescent="0.25">
      <c r="A244" s="15">
        <v>46249</v>
      </c>
      <c r="B244">
        <v>27</v>
      </c>
      <c r="C244" t="s">
        <v>11</v>
      </c>
      <c r="D244">
        <v>81</v>
      </c>
      <c r="E244" t="s">
        <v>32</v>
      </c>
      <c r="F244" s="16">
        <v>46249.9375</v>
      </c>
      <c r="G244" s="16">
        <v>46250.25</v>
      </c>
      <c r="H244" t="s">
        <v>210</v>
      </c>
      <c r="I244" t="s">
        <v>210</v>
      </c>
      <c r="J244">
        <v>1.842696629213483</v>
      </c>
      <c r="K244">
        <v>13.820224719101123</v>
      </c>
      <c r="L244">
        <v>7.5</v>
      </c>
    </row>
    <row r="245" spans="1:12" x14ac:dyDescent="0.25">
      <c r="A245" s="15">
        <v>46250</v>
      </c>
      <c r="B245">
        <v>28</v>
      </c>
      <c r="C245" t="s">
        <v>3</v>
      </c>
      <c r="D245">
        <v>82</v>
      </c>
      <c r="E245" t="s">
        <v>31</v>
      </c>
      <c r="F245" s="16">
        <v>46250.25</v>
      </c>
      <c r="G245" s="16">
        <v>46250.583333333336</v>
      </c>
      <c r="H245" t="s">
        <v>210</v>
      </c>
      <c r="I245" t="s">
        <v>210</v>
      </c>
      <c r="J245">
        <v>10.279406436312133</v>
      </c>
      <c r="K245">
        <v>82.235251490497063</v>
      </c>
      <c r="L245">
        <v>8</v>
      </c>
    </row>
    <row r="246" spans="1:12" hidden="1" x14ac:dyDescent="0.25">
      <c r="A246" s="15">
        <v>46250</v>
      </c>
      <c r="B246">
        <v>28</v>
      </c>
      <c r="C246" t="s">
        <v>3</v>
      </c>
      <c r="D246">
        <v>82</v>
      </c>
      <c r="E246" t="s">
        <v>165</v>
      </c>
      <c r="F246" s="16">
        <v>46250.25</v>
      </c>
      <c r="G246" s="16">
        <v>46250.583333333336</v>
      </c>
      <c r="H246" t="s">
        <v>210</v>
      </c>
      <c r="I246" t="s">
        <v>210</v>
      </c>
      <c r="J246">
        <v>0.47811192727033175</v>
      </c>
      <c r="K246">
        <v>3.824895418162654</v>
      </c>
      <c r="L246">
        <v>8</v>
      </c>
    </row>
    <row r="247" spans="1:12" hidden="1" x14ac:dyDescent="0.25">
      <c r="A247" s="15">
        <v>46250</v>
      </c>
      <c r="B247">
        <v>28</v>
      </c>
      <c r="C247" t="s">
        <v>3</v>
      </c>
      <c r="D247">
        <v>82</v>
      </c>
      <c r="E247" t="s">
        <v>32</v>
      </c>
      <c r="F247" s="16">
        <v>46250.25</v>
      </c>
      <c r="G247" s="16">
        <v>46250.583333333336</v>
      </c>
      <c r="H247" t="s">
        <v>210</v>
      </c>
      <c r="I247" t="s">
        <v>210</v>
      </c>
      <c r="J247">
        <v>1.3820224719101124</v>
      </c>
      <c r="K247">
        <v>11.056179775280899</v>
      </c>
      <c r="L247">
        <v>8</v>
      </c>
    </row>
    <row r="248" spans="1:12" x14ac:dyDescent="0.25">
      <c r="A248" s="15">
        <v>46250</v>
      </c>
      <c r="B248">
        <v>28</v>
      </c>
      <c r="C248" t="s">
        <v>10</v>
      </c>
      <c r="D248">
        <v>83</v>
      </c>
      <c r="E248" t="s">
        <v>31</v>
      </c>
      <c r="F248" s="16">
        <v>46250.583333333336</v>
      </c>
      <c r="G248" s="16">
        <v>46250.916666666664</v>
      </c>
      <c r="H248" t="s">
        <v>210</v>
      </c>
      <c r="I248" t="s">
        <v>210</v>
      </c>
      <c r="J248">
        <v>7.4107348726901421</v>
      </c>
      <c r="K248">
        <v>59.285878981521137</v>
      </c>
      <c r="L248">
        <v>8</v>
      </c>
    </row>
    <row r="249" spans="1:12" hidden="1" x14ac:dyDescent="0.25">
      <c r="A249" s="15">
        <v>46250</v>
      </c>
      <c r="B249">
        <v>28</v>
      </c>
      <c r="C249" t="s">
        <v>10</v>
      </c>
      <c r="D249">
        <v>83</v>
      </c>
      <c r="E249" t="s">
        <v>165</v>
      </c>
      <c r="F249" s="16">
        <v>46250.583333333336</v>
      </c>
      <c r="G249" s="16">
        <v>46250.9375</v>
      </c>
      <c r="H249" t="s">
        <v>210</v>
      </c>
      <c r="I249" t="s">
        <v>210</v>
      </c>
      <c r="J249">
        <v>0</v>
      </c>
      <c r="K249">
        <v>0</v>
      </c>
      <c r="L249">
        <v>8.5</v>
      </c>
    </row>
    <row r="250" spans="1:12" hidden="1" x14ac:dyDescent="0.25">
      <c r="A250" s="15">
        <v>46250</v>
      </c>
      <c r="B250">
        <v>28</v>
      </c>
      <c r="C250" t="s">
        <v>10</v>
      </c>
      <c r="D250">
        <v>83</v>
      </c>
      <c r="E250" t="s">
        <v>32</v>
      </c>
      <c r="F250" s="16">
        <v>46250.583333333336</v>
      </c>
      <c r="G250" s="16">
        <v>46250.9375</v>
      </c>
      <c r="H250" t="s">
        <v>210</v>
      </c>
      <c r="I250" t="s">
        <v>210</v>
      </c>
      <c r="J250">
        <v>2.6014540647719762</v>
      </c>
      <c r="K250">
        <v>22.112359550561798</v>
      </c>
      <c r="L250">
        <v>8.5</v>
      </c>
    </row>
    <row r="251" spans="1:12" x14ac:dyDescent="0.25">
      <c r="A251" s="15">
        <v>46250</v>
      </c>
      <c r="B251">
        <v>28</v>
      </c>
      <c r="C251" t="s">
        <v>11</v>
      </c>
      <c r="D251">
        <v>84</v>
      </c>
      <c r="E251" t="s">
        <v>31</v>
      </c>
      <c r="F251" s="16">
        <v>46250.916666666664</v>
      </c>
      <c r="G251" s="16">
        <v>46251.25</v>
      </c>
      <c r="H251" t="s">
        <v>210</v>
      </c>
      <c r="I251" t="s">
        <v>210</v>
      </c>
      <c r="J251">
        <v>3.824895418162654</v>
      </c>
      <c r="K251">
        <v>30.599163345301232</v>
      </c>
      <c r="L251">
        <v>8</v>
      </c>
    </row>
    <row r="252" spans="1:12" hidden="1" x14ac:dyDescent="0.25">
      <c r="A252" s="15">
        <v>46250</v>
      </c>
      <c r="B252">
        <v>28</v>
      </c>
      <c r="C252" t="s">
        <v>11</v>
      </c>
      <c r="D252">
        <v>84</v>
      </c>
      <c r="E252" t="s">
        <v>165</v>
      </c>
      <c r="F252" s="16">
        <v>46250.9375</v>
      </c>
      <c r="G252" s="16">
        <v>46251.25</v>
      </c>
      <c r="H252" t="s">
        <v>210</v>
      </c>
      <c r="I252" t="s">
        <v>210</v>
      </c>
      <c r="J252">
        <v>0</v>
      </c>
      <c r="K252">
        <v>0</v>
      </c>
      <c r="L252">
        <v>7.5</v>
      </c>
    </row>
    <row r="253" spans="1:12" hidden="1" x14ac:dyDescent="0.25">
      <c r="A253" s="15">
        <v>46250</v>
      </c>
      <c r="B253">
        <v>28</v>
      </c>
      <c r="C253" t="s">
        <v>11</v>
      </c>
      <c r="D253">
        <v>84</v>
      </c>
      <c r="E253" t="s">
        <v>32</v>
      </c>
      <c r="F253" s="16">
        <v>46250.9375</v>
      </c>
      <c r="G253" s="16">
        <v>46251.25</v>
      </c>
      <c r="H253" t="s">
        <v>210</v>
      </c>
      <c r="I253" t="s">
        <v>210</v>
      </c>
      <c r="J253">
        <v>1.842696629213483</v>
      </c>
      <c r="K253">
        <v>13.820224719101123</v>
      </c>
      <c r="L253">
        <v>7.5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1640D2E2-575A-421F-B639-1DDD073FDA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51D4F3-7867-4635-BAF2-386EBD37F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542A80-B521-4B82-81D5-5025DA7D6DCD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be0b85a-8471-4f10-b038-505fde09e598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5A2C6245-B0D7-4DC3-84BC-6CA2DAEFD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IMPORT Distributed FTE Workbook</vt:lpstr>
      <vt:lpstr>Unit1Path</vt:lpstr>
      <vt:lpstr>FILEPATH</vt:lpstr>
      <vt:lpstr>ShiftUnitDemandHRS</vt:lpstr>
      <vt:lpstr>FILEPATH!Client</vt:lpstr>
      <vt:lpstr>Unit1Path!Client</vt:lpstr>
      <vt:lpstr>FILEPATH!Date</vt:lpstr>
      <vt:lpstr>FilePathUrl</vt:lpstr>
      <vt:lpstr>Unit1Path!Role</vt:lpstr>
      <vt:lpstr>FILEPATH!Type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2023-06-07T02:21:12Z</dcterms:created>
  <dcterms:modified xsi:type="dcterms:W3CDTF">2026-10-01T06:40:53Z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