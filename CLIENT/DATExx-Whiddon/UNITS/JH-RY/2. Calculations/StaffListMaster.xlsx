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136DEF6A-646E-48C7-BC15-D1F55AB96D78}" xr6:coauthVersionLast="47" xr6:coauthVersionMax="47" xr10:uidLastSave="{00000000-0000-0000-0000-000000000000}"/>
  <bookViews>
    <workbookView xWindow="-885" yWindow="1785" windowWidth="19410" windowHeight="15285" firstSheet="1" activeTab="4" xr2:uid="{4685FBBF-A427-4CB9-88C1-6A63ABC5A0A9}"/>
  </bookViews>
  <sheets>
    <sheet name="Unit1Path" sheetId="21" r:id="rId1"/>
    <sheet name="ResourceContract_CHECK" sheetId="23" r:id="rId2"/>
    <sheet name="Masterlist_Base" sheetId="24" r:id="rId3"/>
    <sheet name="Misaligned Join" sheetId="26" r:id="rId4"/>
    <sheet name="Masterlist" sheetId="2" r:id="rId5"/>
  </sheets>
  <externalReferences>
    <externalReference r:id="rId6"/>
    <externalReference r:id="rId7"/>
    <externalReference r:id="rId8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Masterlist!$A$1:$Y$52</definedName>
    <definedName name="ExternalData_1" localSheetId="0" hidden="1">Unit1Path!$A$3:$B$9</definedName>
    <definedName name="ExternalData_2" localSheetId="4" hidden="1">Masterlist!#REF!</definedName>
    <definedName name="ExternalData_2" localSheetId="2" hidden="1">Masterlist_Base!$A$1:$O$52</definedName>
    <definedName name="ExternalData_2" localSheetId="3" hidden="1">'Misaligned Join'!$A$1:$M$47</definedName>
    <definedName name="ExternalData_3" localSheetId="1" hidden="1">'ResourceContract_CHECK'!$A$1:$D$13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95DB5F3B-BF7B-4B4F-9C24-67D5BAC81625}" keepAlive="1" name="Query - Masterlist_Base" description="Connection to the 'Masterlist_Base' query in the workbook." type="5" refreshedVersion="8" background="1" saveData="1">
    <dbPr connection="Provider=Microsoft.Mashup.OleDb.1;Data Source=$Workbook$;Location=Masterlist_Base;Extended Properties=&quot;&quot;" command="SELECT * FROM [Masterlist_Base]"/>
  </connection>
  <connection id="11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2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3" xr16:uid="{494DE8BD-4917-4657-9A21-7F9DBA14354D}" keepAlive="1" name="Query - ResourceContract" description="Connection to the 'ResourceContract' query in the workbook." type="5" refreshedVersion="0" background="1">
    <dbPr connection="Provider=Microsoft.Mashup.OleDb.1;Data Source=$Workbook$;Location=ResourceContract;Extended Properties=&quot;&quot;" command="SELECT * FROM [ResourceContract]"/>
  </connection>
  <connection id="14" xr16:uid="{7FDA1757-F8DF-4E61-92CC-E54894324D86}" keepAlive="1" name="Query - ResourceContract_CHECK" description="Connection to the 'ResourceContract_CHECK' query in the workbook." type="5" refreshedVersion="8" background="1" saveData="1">
    <dbPr connection="Provider=Microsoft.Mashup.OleDb.1;Data Source=$Workbook$;Location=ResourceContract_CHECK;Extended Properties=&quot;&quot;" command="SELECT * FROM [ResourceContract_CHECK]"/>
  </connection>
  <connection id="15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<sst xmlns="http://schemas.openxmlformats.org/spreadsheetml/2006/main" count="1519" uniqueCount="250">
  <si>
    <t>Name</t>
  </si>
  <si>
    <t>Role</t>
  </si>
  <si>
    <t>Double Up with some MEDS removed</t>
  </si>
  <si>
    <t>SharedPath</t>
  </si>
  <si>
    <t>Client</t>
  </si>
  <si>
    <t>Resource</t>
  </si>
  <si>
    <t>AIN</t>
  </si>
  <si>
    <t>RN</t>
  </si>
  <si>
    <t>Date</t>
  </si>
  <si>
    <t>Misalignment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</si>
  <si>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</si>
  <si>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</si>
  <si>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</si>
  <si>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</si>
  <si>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</si>
  <si>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</si>
  <si>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</si>
  <si>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</si>
  <si>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Alex</t>
  </si>
  <si>
    <t>DATExx-Whiddon</t>
  </si>
  <si>
    <t>EmployeeID</t>
  </si>
  <si>
    <t>Facility-Abbrev</t>
  </si>
  <si>
    <t>PreferredRole</t>
  </si>
  <si>
    <t>EmploymentType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</si>
  <si>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</si>
  <si>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</si>
  <si>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</si>
  <si>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</si>
  <si>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</si>
  <si>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</si>
  <si>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</si>
  <si>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</si>
  <si>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</si>
  <si>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</si>
  <si>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Check</t>
  </si>
  <si>
    <t>Status</t>
  </si>
  <si>
    <t>Failures</t>
  </si>
  <si>
    <t>Details</t>
  </si>
  <si>
    <t>Valid roster and cap settings</t>
  </si>
  <si>
    <t>Pass</t>
  </si>
  <si>
    <t>Unique Resource rows</t>
  </si>
  <si>
    <t>Populated Resource identifiers</t>
  </si>
  <si>
    <t>Unique availability employee and facility input</t>
  </si>
  <si>
    <t>Unique availability names</t>
  </si>
  <si>
    <t>Unique preferred employee and facility resources</t>
  </si>
  <si>
    <t>Complete availability employee mapping</t>
  </si>
  <si>
    <t>Calculated resource contract caps</t>
  </si>
  <si>
    <t>Source</t>
  </si>
  <si>
    <t>Worker Record Status</t>
  </si>
  <si>
    <t>Worker Contract Issue</t>
  </si>
  <si>
    <t>Found</t>
  </si>
  <si>
    <t>EN</t>
  </si>
  <si>
    <t>Availability-StaffList.Name</t>
  </si>
  <si>
    <t>Availability-StaffList.Role</t>
  </si>
  <si>
    <t>Custom</t>
  </si>
  <si>
    <t>Misaligned-Name</t>
  </si>
  <si>
    <t>Misaligned-Role</t>
  </si>
  <si>
    <t>Misaligned</t>
  </si>
  <si>
    <t>Reconciliation is the only worker source</t>
  </si>
  <si>
    <t>Positive contracts for every worker</t>
  </si>
  <si>
    <t>Settings fallback supplies maximum fortnightly hours</t>
  </si>
  <si>
    <t>Workers using Settings contract fallback</t>
  </si>
  <si>
    <t>Filter Table_Masterlist where Contract Source = Settings maximum fallback.</t>
  </si>
  <si>
    <t>In Allocation</t>
  </si>
  <si>
    <t>In Records</t>
  </si>
  <si>
    <t>Worker Membership</t>
  </si>
  <si>
    <t>Contract Source</t>
  </si>
  <si>
    <t>19672</t>
  </si>
  <si>
    <t>C:\Users\Alex\CentriNOTSYNC\ResidentialCare\CLIENT\DATExx-Whiddon\UNITS\JH-RY\2. Calculations</t>
  </si>
  <si>
    <t>JH-RY</t>
  </si>
  <si>
    <t>15701</t>
  </si>
  <si>
    <t>Ange Anderson</t>
  </si>
  <si>
    <t>Allocation</t>
  </si>
  <si>
    <t>Allocated Only</t>
  </si>
  <si>
    <t>26054</t>
  </si>
  <si>
    <t>Anjali Kunwar</t>
  </si>
  <si>
    <t>24893</t>
  </si>
  <si>
    <t>Ashna Maria Mat</t>
  </si>
  <si>
    <t>26548</t>
  </si>
  <si>
    <t>Bhuwan Basnet</t>
  </si>
  <si>
    <t>11129</t>
  </si>
  <si>
    <t>Catherine Pitma</t>
  </si>
  <si>
    <t>24821</t>
  </si>
  <si>
    <t>Chathuri Arumap</t>
  </si>
  <si>
    <t>25363</t>
  </si>
  <si>
    <t>Cherelyn Malali</t>
  </si>
  <si>
    <t>Darcie Ray McCl</t>
  </si>
  <si>
    <t>26516</t>
  </si>
  <si>
    <t>Dayne Campbell</t>
  </si>
  <si>
    <t>26390</t>
  </si>
  <si>
    <t>Diamond Thapa</t>
  </si>
  <si>
    <t>25236</t>
  </si>
  <si>
    <t>Dona John</t>
  </si>
  <si>
    <t>23897</t>
  </si>
  <si>
    <t>Donna Martin</t>
  </si>
  <si>
    <t>18063</t>
  </si>
  <si>
    <t>Elmira Lawty</t>
  </si>
  <si>
    <t>26564</t>
  </si>
  <si>
    <t>Emily Fuller</t>
  </si>
  <si>
    <t>24668</t>
  </si>
  <si>
    <t>Emma Redfern</t>
  </si>
  <si>
    <t>25367</t>
  </si>
  <si>
    <t>Fielpeljane Alc</t>
  </si>
  <si>
    <t>25949</t>
  </si>
  <si>
    <t>Fiona Latimore-</t>
  </si>
  <si>
    <t>23134</t>
  </si>
  <si>
    <t>Funchu Thing</t>
  </si>
  <si>
    <t>24999</t>
  </si>
  <si>
    <t>Garima Saru Ran</t>
  </si>
  <si>
    <t>24648</t>
  </si>
  <si>
    <t>Guriqbal Singh</t>
  </si>
  <si>
    <t>21749</t>
  </si>
  <si>
    <t>Gurjit Kaur</t>
  </si>
  <si>
    <t>22298</t>
  </si>
  <si>
    <t>Jacquelyn Richa</t>
  </si>
  <si>
    <t>25938</t>
  </si>
  <si>
    <t>Jharana Shahi</t>
  </si>
  <si>
    <t>15719</t>
  </si>
  <si>
    <t>Jill Baguley</t>
  </si>
  <si>
    <t>24530</t>
  </si>
  <si>
    <t>Joicy Mathew</t>
  </si>
  <si>
    <t>25645</t>
  </si>
  <si>
    <t>Joy Alamezie</t>
  </si>
  <si>
    <t>18158</t>
  </si>
  <si>
    <t>Joy Dee Alvarez</t>
  </si>
  <si>
    <t>21876</t>
  </si>
  <si>
    <t>Kira Lorraine O</t>
  </si>
  <si>
    <t>21354</t>
  </si>
  <si>
    <t>Latoya Huggins</t>
  </si>
  <si>
    <t>15718</t>
  </si>
  <si>
    <t>Leanne McCann</t>
  </si>
  <si>
    <t>22883</t>
  </si>
  <si>
    <t>Lillian Purvis</t>
  </si>
  <si>
    <t>18460</t>
  </si>
  <si>
    <t>Madison Lee Rya</t>
  </si>
  <si>
    <t>24888</t>
  </si>
  <si>
    <t>Merlin Karikoda</t>
  </si>
  <si>
    <t>24890</t>
  </si>
  <si>
    <t>Michaella Isah</t>
  </si>
  <si>
    <t>25887</t>
  </si>
  <si>
    <t>Neelam Rani</t>
  </si>
  <si>
    <t>23133</t>
  </si>
  <si>
    <t>Neema Rai</t>
  </si>
  <si>
    <t>15697</t>
  </si>
  <si>
    <t>Patricia Bruce</t>
  </si>
  <si>
    <t>14044</t>
  </si>
  <si>
    <t>Pernelle Jansso</t>
  </si>
  <si>
    <t>26386</t>
  </si>
  <si>
    <t>Prabina Khatri</t>
  </si>
  <si>
    <t>26068</t>
  </si>
  <si>
    <t>Rajani Parajuli</t>
  </si>
  <si>
    <t>25247</t>
  </si>
  <si>
    <t>Rama Khanal</t>
  </si>
  <si>
    <t>25437</t>
  </si>
  <si>
    <t>Ramesh Bhattara</t>
  </si>
  <si>
    <t>23867</t>
  </si>
  <si>
    <t>Ranjita Adhikar</t>
  </si>
  <si>
    <t>26070</t>
  </si>
  <si>
    <t>Rebecca Devine</t>
  </si>
  <si>
    <t>24475</t>
  </si>
  <si>
    <t>Rehanamol Eetta</t>
  </si>
  <si>
    <t>24816</t>
  </si>
  <si>
    <t>Rekha Mehta</t>
  </si>
  <si>
    <t>17219</t>
  </si>
  <si>
    <t>Rhea Quimada</t>
  </si>
  <si>
    <t>24694</t>
  </si>
  <si>
    <t>Riefy Saji</t>
  </si>
  <si>
    <t>26532</t>
  </si>
  <si>
    <t>Sally Whan</t>
  </si>
  <si>
    <t>24056</t>
  </si>
  <si>
    <t>Samantha Kim Ca</t>
  </si>
  <si>
    <t>26058</t>
  </si>
  <si>
    <t>Sangita Mehta</t>
  </si>
  <si>
    <t>23424</t>
  </si>
  <si>
    <t>Sarah Mae Cabli</t>
  </si>
  <si>
    <t>13187</t>
  </si>
  <si>
    <t>Shaun Waugh</t>
  </si>
  <si>
    <t>24310</t>
  </si>
  <si>
    <t>Sheetal Prasai</t>
  </si>
  <si>
    <t>22976</t>
  </si>
  <si>
    <t>Sita Puri</t>
  </si>
  <si>
    <t>15933</t>
  </si>
  <si>
    <t>Stephanie Tribe</t>
  </si>
  <si>
    <t>24897</t>
  </si>
  <si>
    <t>Sushma Ghimire</t>
  </si>
  <si>
    <t>24761</t>
  </si>
  <si>
    <t>Thalia Orman</t>
  </si>
  <si>
    <t>13794</t>
  </si>
  <si>
    <t>Therese Ann Tai</t>
  </si>
  <si>
    <t>20844</t>
  </si>
  <si>
    <t>Tracy Gold</t>
  </si>
  <si>
    <t>17262</t>
  </si>
  <si>
    <t>Wendy Bullen</t>
  </si>
  <si>
    <t>Warning</t>
  </si>
  <si>
    <t>Part-Time</t>
  </si>
  <si>
    <t>Both</t>
  </si>
  <si>
    <t>Availability</t>
  </si>
  <si>
    <t>Full-Time</t>
  </si>
  <si>
    <t>Allocation only</t>
  </si>
  <si>
    <t>Casual</t>
  </si>
  <si>
    <t>Records only</t>
  </si>
  <si>
    <t>Angela Ruth Anderson</t>
  </si>
  <si>
    <t>23200</t>
  </si>
  <si>
    <t>Alice Dzung Kieu Pham</t>
  </si>
  <si>
    <t>Available Only</t>
  </si>
  <si>
    <t>23933</t>
  </si>
  <si>
    <t>Alina Shrestha</t>
  </si>
  <si>
    <t>23571</t>
  </si>
  <si>
    <t>Ruth Rock Tambol Daluyen</t>
  </si>
  <si>
    <t>26397</t>
  </si>
  <si>
    <t>Rojin Robert</t>
  </si>
  <si>
    <t>25682</t>
  </si>
  <si>
    <t>Apurbo Kumar Paul</t>
  </si>
  <si>
    <t>25774</t>
  </si>
  <si>
    <t>Maria Starr</t>
  </si>
  <si>
    <t>19709</t>
  </si>
  <si>
    <t>Aurelia Aribado</t>
  </si>
  <si>
    <t>24693</t>
  </si>
  <si>
    <t>Rebecca Louise Cross</t>
  </si>
  <si>
    <t>18970</t>
  </si>
  <si>
    <t>Baljit Kaur</t>
  </si>
  <si>
    <t>25869</t>
  </si>
  <si>
    <t>Cassidy Leanne Warner</t>
  </si>
  <si>
    <t>20834</t>
  </si>
  <si>
    <t>Krisitna Nichol</t>
  </si>
  <si>
    <t>25545</t>
  </si>
  <si>
    <t>Kusum Thapa</t>
  </si>
  <si>
    <t>24186</t>
  </si>
  <si>
    <t>Eloise Samala Purnell</t>
  </si>
  <si>
    <t>26462</t>
  </si>
  <si>
    <t>Lowanna Bloomfield</t>
  </si>
  <si>
    <t>21639</t>
  </si>
  <si>
    <t>Aida Jones</t>
  </si>
  <si>
    <t>Ange AndersonAngela Ruth Anderson</t>
  </si>
  <si>
    <t>AINAIN</t>
  </si>
  <si>
    <t>ERROR</t>
  </si>
  <si>
    <t>Worker record</t>
  </si>
  <si>
    <t>Contracted shifts</t>
  </si>
  <si>
    <t>Settings maximum fallback</t>
  </si>
  <si>
    <t>Settings maximum</t>
  </si>
  <si>
    <t>23868</t>
  </si>
  <si>
    <t>Feba George</t>
  </si>
  <si>
    <t>15357</t>
  </si>
  <si>
    <t>Joy Espinoza De</t>
  </si>
  <si>
    <t>25537</t>
  </si>
  <si>
    <t>Khantey Yim</t>
  </si>
  <si>
    <t>15636</t>
  </si>
  <si>
    <t>Samantha Jane R</t>
  </si>
  <si>
    <t>23132</t>
  </si>
  <si>
    <t>Shramika Niraul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</si>
</sst>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1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14" fontId="0" fillId="0" borderId="0" xfId="0" applyNumberFormat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19">
    <dxf>
      <numFmt numFmtId="19" formatCode="d/mm/yyyy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6DE6B68C-AED5-49E5-9EFD-7DE783A6A343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56B23D3-544A-4201-BBAB-96BAAC3A3CD0}" autoFormatId="16" applyNumberFormats="0" applyBorderFormats="0" applyFontFormats="0" applyPatternFormats="0" applyAlignmentFormats="0" applyWidthHeightFormats="0">
  <queryTableRefresh nextId="19">
    <queryTableFields count="15">
      <queryTableField id="1" name="EmployeeID" tableColumnId="1"/>
      <queryTableField id="2" name="Facility-Abbrev" tableColumnId="2"/>
      <queryTableField id="3" name="Role" tableColumnId="3"/>
      <queryTableField id="4" name="PreferredRole" tableColumnId="4"/>
      <queryTableField id="5" name="EmploymentType" tableColumnId="5"/>
      <queryTableField id="6" name="Contracted FN Hours" tableColumnId="6"/>
      <queryTableField id="13" name="In Allocation" tableColumnId="13"/>
      <queryTableField id="14" name="In Records" tableColumnId="14"/>
      <queryTableField id="15" name="Worker Membership" tableColumnId="15"/>
      <queryTableField id="7" name="Source" tableColumnId="7"/>
      <queryTableField id="8" name="Worker Record Status" tableColumnId="8"/>
      <queryTableField id="9" name="Worker Contract Issue" tableColumnId="9"/>
      <queryTableField id="10" name="Name" tableColumnId="10"/>
      <queryTableField id="11" name="Resource" tableColumnId="11"/>
      <queryTableField id="12" name="Misalignme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7BB5CD8-A1B7-45E5-9947-073CD84BC93E}" autoFormatId="16" applyNumberFormats="0" applyBorderFormats="0" applyFontFormats="0" applyPatternFormats="0" applyAlignmentFormats="0" applyWidthHeightFormats="0">
  <queryTableRefresh nextId="14">
    <queryTableFields count="13">
      <queryTableField id="1" name="EmployeeID" tableColumnId="1"/>
      <queryTableField id="2" name="Name" tableColumnId="2"/>
      <queryTableField id="3" name="Role" tableColumnId="3"/>
      <queryTableField id="4" name="Contracted FN Hours" tableColumnId="4"/>
      <queryTableField id="5" name="Worker Contract Issue" tableColumnId="5"/>
      <queryTableField id="6" name="Worker Record Status" tableColumnId="6"/>
      <queryTableField id="7" name="Source" tableColumnId="7"/>
      <queryTableField id="8" name="Availability-StaffList.Name" tableColumnId="8"/>
      <queryTableField id="9" name="Availability-StaffList.Role" tableColumnId="9"/>
      <queryTableField id="10" name="Custom" tableColumnId="10"/>
      <queryTableField id="11" name="Misaligned-Name" tableColumnId="11"/>
      <queryTableField id="12" name="Misaligned-Role" tableColumnId="12"/>
      <queryTableField id="13" name="Misalignment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54">
    <queryTableFields count="25">
      <queryTableField id="14" name="Name" tableColumnId="10"/>
      <queryTableField id="15" name="Role" tableColumnId="11"/>
      <queryTableField id="22" name="Resource" tableColumnId="2"/>
      <queryTableField id="24" name="Misalignment" tableColumnId="1"/>
      <queryTableField id="40" name="Source" tableColumnId="19"/>
      <queryTableField id="25" name="EmployeeID" tableColumnId="3"/>
      <queryTableField id="26" name="Facility-Abbrev" tableColumnId="4"/>
      <queryTableField id="27" name="EmploymentType" tableColumnId="5"/>
      <queryTableField id="28" name="PreferredRole" tableColumnId="6"/>
      <queryTableField id="46" name="In Allocation" tableColumnId="22"/>
      <queryTableField id="47" name="In Records" tableColumnId="23"/>
      <queryTableField id="48" name="Worker Membership" tableColumnId="24"/>
      <queryTableField id="41" name="Worker Record Status" tableColumnId="20"/>
      <queryTableField id="42" name="Worker Contract Issue" tableColumnId="21"/>
      <queryTableField id="49" name="Contract Source" tableColumnId="25"/>
      <queryTableField id="29" name="Contracted FN Hours" tableColumnId="7"/>
      <queryTableField id="30" name="Roster Start" tableColumnId="8"/>
      <queryTableField id="31" name="Roster End" tableColumnId="9"/>
      <queryTableField id="32" name="Roster Fortnights" tableColumnId="12"/>
      <queryTableField id="33" name="Contracted Roster Hours" tableColumnId="13"/>
      <queryTableField id="34" name="Contracted Shift Equivalent" tableColumnId="14"/>
      <queryTableField id="35" name="Contracted Shifts" tableColumnId="15"/>
      <queryTableField id="36" name="Settings Max Availability" tableColumnId="16"/>
      <queryTableField id="37" name="Effective Shift Cap" tableColumnId="17"/>
      <queryTableField id="38" name="Limit Basi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18" dataDxfId="17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3" dataCellStyle="Normal 2"/>
    <tableColumn id="2" xr3:uid="{34643223-2DE1-498D-99FB-A27E62227706}" uniqueName="2" name="Value" queryTableFieldId="2" dataDxfId="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C6F4B6-44F2-42F4-8936-34A8B237BC05}" name="ResourceContract_CHECK" displayName="ResourceContract_CHECK" ref="A1:D13" tableType="queryTable" totalsRowShown="0">
  <autoFilter ref="A1:D13" xr:uid="{8FC6F4B6-44F2-42F4-8936-34A8B237BC05}"/>
  <tableColumns count="4">
    <tableColumn id="1" xr3:uid="{2C0D706A-6EA2-4970-A05D-521797C10826}" uniqueName="1" name="Check" queryTableFieldId="1" dataDxfId="16"/>
    <tableColumn id="2" xr3:uid="{862382EF-A28D-44DF-B395-B223BCED01AA}" uniqueName="2" name="Status" queryTableFieldId="2" dataDxfId="15"/>
    <tableColumn id="3" xr3:uid="{7F47E64E-2E7E-4FAE-850E-CC547AE92B8B}" uniqueName="3" name="Failures" queryTableFieldId="3"/>
    <tableColumn id="4" xr3:uid="{4E7072AD-1375-4513-B738-C2511D69473F}" uniqueName="4" name="Details" queryTableFieldId="4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145D4-93E6-4285-B1C3-FA6CFAE9ED76}" name="Masterlist_Base" displayName="Masterlist_Base" ref="A1:O52" tableType="queryTable" totalsRowShown="0">
  <autoFilter ref="A1:O52" xr:uid="{8BA145D4-93E6-4285-B1C3-FA6CFAE9ED76}"/>
  <tableColumns count="15">
    <tableColumn id="1" xr3:uid="{44E6B8C6-F898-467A-B4F6-47AF3415598B}" uniqueName="1" name="EmployeeID" queryTableFieldId="1"/>
    <tableColumn id="2" xr3:uid="{0D909FFE-85E1-40AC-B981-DEE50FC94513}" uniqueName="2" name="Facility-Abbrev" queryTableFieldId="2"/>
    <tableColumn id="3" xr3:uid="{3F9418C5-9F7F-4C66-9032-47422DF228B8}" uniqueName="3" name="Role" queryTableFieldId="3"/>
    <tableColumn id="4" xr3:uid="{87100EF6-3375-44A6-9EC8-EAB0ABB03A2F}" uniqueName="4" name="PreferredRole" queryTableFieldId="4"/>
    <tableColumn id="5" xr3:uid="{936B757B-4CE7-482A-BD2A-351C426F100C}" uniqueName="5" name="EmploymentType" queryTableFieldId="5"/>
    <tableColumn id="6" xr3:uid="{C4D442EF-2C7F-4EE6-A305-0400BB2EF42F}" uniqueName="6" name="Contracted FN Hours" queryTableFieldId="6"/>
    <tableColumn id="13" xr3:uid="{71EBC373-1670-4D77-ABEB-88883105C2BA}" uniqueName="13" name="In Allocation" queryTableFieldId="13"/>
    <tableColumn id="14" xr3:uid="{0B94216D-19A9-4F8F-B5C8-B03EDD10EA1D}" uniqueName="14" name="In Records" queryTableFieldId="14"/>
    <tableColumn id="15" xr3:uid="{957A0696-34CD-42A3-A078-EFB287C5657C}" uniqueName="15" name="Worker Membership" queryTableFieldId="15"/>
    <tableColumn id="7" xr3:uid="{323E57D3-6020-413C-9D16-755402F04BED}" uniqueName="7" name="Source" queryTableFieldId="7"/>
    <tableColumn id="8" xr3:uid="{29B8E0E4-A647-4E08-931C-8DDECE68FC79}" uniqueName="8" name="Worker Record Status" queryTableFieldId="8"/>
    <tableColumn id="9" xr3:uid="{B13D01D9-0F60-4A4B-B951-C4BD179BF85C}" uniqueName="9" name="Worker Contract Issue" queryTableFieldId="9"/>
    <tableColumn id="10" xr3:uid="{D2212AFE-3C1B-4D17-9BF0-D28FDE2236AB}" uniqueName="10" name="Name" queryTableFieldId="10"/>
    <tableColumn id="11" xr3:uid="{9C88EC97-AD78-464B-B09B-D182FB9DB841}" uniqueName="11" name="Resource" queryTableFieldId="11"/>
    <tableColumn id="12" xr3:uid="{02D08663-C197-4982-B99E-1457346590F1}" uniqueName="12" name="Misalignme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8BCE01-163F-43AA-88B4-BC165F07A71C}" name="Misaligned_Join" displayName="Misaligned_Join" ref="A1:M47" tableType="queryTable" totalsRowShown="0">
  <autoFilter ref="A1:M47" xr:uid="{A88BCE01-163F-43AA-88B4-BC165F07A71C}"/>
  <tableColumns count="13">
    <tableColumn id="1" xr3:uid="{2F49A213-8231-40C0-8B96-7800FF045428}" uniqueName="1" name="EmployeeID" queryTableFieldId="1" dataDxfId="13"/>
    <tableColumn id="2" xr3:uid="{BCF2F261-FB71-42CA-9C30-FD53DBB08636}" uniqueName="2" name="Name" queryTableFieldId="2" dataDxfId="12"/>
    <tableColumn id="3" xr3:uid="{D2EB9A46-A57C-4CB1-8EB7-9526688CD6EB}" uniqueName="3" name="Role" queryTableFieldId="3" dataDxfId="11"/>
    <tableColumn id="4" xr3:uid="{00249B05-BE21-40C8-A167-D5AE78003AD2}" uniqueName="4" name="Contracted FN Hours" queryTableFieldId="4"/>
    <tableColumn id="5" xr3:uid="{5EA575A9-ED5E-4C91-A482-C2282FF6BBDD}" uniqueName="5" name="Worker Contract Issue" queryTableFieldId="5" dataDxfId="10"/>
    <tableColumn id="6" xr3:uid="{0F642148-3CAA-4176-B8A5-EF88809DB485}" uniqueName="6" name="Worker Record Status" queryTableFieldId="6" dataDxfId="9"/>
    <tableColumn id="7" xr3:uid="{3FD370F2-D088-46FE-B1BF-F958A6FF45EB}" uniqueName="7" name="Source" queryTableFieldId="7" dataDxfId="8"/>
    <tableColumn id="8" xr3:uid="{14ADB14B-4D0E-46FE-92CD-E6EDD975EC40}" uniqueName="8" name="Availability-StaffList.Name" queryTableFieldId="8" dataDxfId="7"/>
    <tableColumn id="9" xr3:uid="{F4927517-FE5E-4A6D-A657-16B91DDDF5F6}" uniqueName="9" name="Availability-StaffList.Role" queryTableFieldId="9" dataDxfId="6"/>
    <tableColumn id="10" xr3:uid="{40DED55E-6C3E-425F-AB8E-A1CA0B2DF1DD}" uniqueName="10" name="Custom" queryTableFieldId="10"/>
    <tableColumn id="11" xr3:uid="{0838C908-1DAE-4A61-B2CE-D3F3C86A7E08}" uniqueName="11" name="Misaligned-Name" queryTableFieldId="11" dataDxfId="5"/>
    <tableColumn id="12" xr3:uid="{76361F1F-D8C9-4C4D-95D1-4B953BF7213E}" uniqueName="12" name="Misaligned-Role" queryTableFieldId="12" dataDxfId="4"/>
    <tableColumn id="13" xr3:uid="{BC23645C-CD5C-4DEA-9846-739E355DC368}" uniqueName="13" name="Misalignment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Y52" tableType="queryTable" totalsRowShown="0">
  <autoFilter ref="A1:Y52" xr:uid="{55D78678-09D6-4588-8F6D-C8202ADBB717}"/>
  <tableColumns count="25">
    <tableColumn id="10" xr3:uid="{18DCCFFB-E1C0-4610-8C26-D2846FE132D1}" uniqueName="10" name="Name" queryTableFieldId="14"/>
    <tableColumn id="11" xr3:uid="{35C5765C-025F-4898-961E-2453177CC8F3}" uniqueName="11" name="Role" queryTableFieldId="15"/>
    <tableColumn id="2" xr3:uid="{9AEFAB87-9974-4B41-8A0C-97B04C1BF864}" uniqueName="2" name="Resource" queryTableFieldId="22"/>
    <tableColumn id="1" xr3:uid="{57EC650C-A07B-4659-8422-656BC888FE1D}" uniqueName="1" name="Misalignment" queryTableFieldId="24"/>
    <tableColumn id="19" xr3:uid="{24070CC6-CD7C-43D0-87EE-1D66C5302AEB}" uniqueName="19" name="Source" queryTableFieldId="40"/>
    <tableColumn id="3" xr3:uid="{60A37C5E-5843-4D35-92AD-DD4A5EC7D77B}" uniqueName="3" name="EmployeeID" queryTableFieldId="25"/>
    <tableColumn id="4" xr3:uid="{803A106E-FE55-4AA6-9B1C-4E30206D0D8C}" uniqueName="4" name="Facility-Abbrev" queryTableFieldId="26"/>
    <tableColumn id="5" xr3:uid="{DFD41C02-E457-4C70-84C0-068A7678EC16}" uniqueName="5" name="EmploymentType" queryTableFieldId="27"/>
    <tableColumn id="6" xr3:uid="{31801C91-4806-4811-AB4B-7CFFD738277A}" uniqueName="6" name="PreferredRole" queryTableFieldId="28"/>
    <tableColumn id="22" xr3:uid="{2342F7F6-D02D-4459-849E-F6AAE9569604}" uniqueName="22" name="In Allocation" queryTableFieldId="46"/>
    <tableColumn id="23" xr3:uid="{E1C8E3F1-4CE2-46AA-B14A-9F67B71C19C1}" uniqueName="23" name="In Records" queryTableFieldId="47"/>
    <tableColumn id="24" xr3:uid="{B4607F24-610E-4C76-916B-F230B15A3C5A}" uniqueName="24" name="Worker Membership" queryTableFieldId="48"/>
    <tableColumn id="20" xr3:uid="{D6DDAEAC-405C-44D9-A9BC-898731506126}" uniqueName="20" name="Worker Record Status" queryTableFieldId="41"/>
    <tableColumn id="21" xr3:uid="{E7E1FAA9-C149-420A-AB58-9783B95F2CC4}" uniqueName="21" name="Worker Contract Issue" queryTableFieldId="42"/>
    <tableColumn id="25" xr3:uid="{08DCB05B-8D92-43D0-BCF4-10FDBF368469}" uniqueName="25" name="Contract Source" queryTableFieldId="49"/>
    <tableColumn id="7" xr3:uid="{6D93D647-025F-4359-9094-D0F72A6E40A9}" uniqueName="7" name="Contracted FN Hours" queryTableFieldId="29"/>
    <tableColumn id="8" xr3:uid="{1291F377-6A1B-4135-A37C-B57CC4506988}" uniqueName="8" name="Roster Start" queryTableFieldId="30" dataDxfId="1"/>
    <tableColumn id="9" xr3:uid="{FDC4ED54-DF97-4FF0-A19D-D52D90A8B8C6}" uniqueName="9" name="Roster End" queryTableFieldId="31" dataDxfId="0"/>
    <tableColumn id="12" xr3:uid="{F1D8C114-E99F-4BC6-B1F7-A4913EDE82EC}" uniqueName="12" name="Roster Fortnights" queryTableFieldId="32"/>
    <tableColumn id="13" xr3:uid="{B2716850-0C80-4B7B-8CA1-936A3B43C3AE}" uniqueName="13" name="Contracted Roster Hours" queryTableFieldId="33"/>
    <tableColumn id="14" xr3:uid="{2A43E309-6ABD-476C-871B-9331C4D551E9}" uniqueName="14" name="Contracted Shift Equivalent" queryTableFieldId="34"/>
    <tableColumn id="15" xr3:uid="{1F1F2CBB-45BA-4272-BC56-6850499ACC4C}" uniqueName="15" name="Contracted Shifts" queryTableFieldId="35"/>
    <tableColumn id="16" xr3:uid="{26526071-4A11-45DE-A549-D464C5F8B6B0}" uniqueName="16" name="Settings Max Availability" queryTableFieldId="36"/>
    <tableColumn id="17" xr3:uid="{595E29ED-19BF-4832-9AD8-71B9E2B9B252}" uniqueName="17" name="Effective Shift Cap" queryTableFieldId="37"/>
    <tableColumn id="18" xr3:uid="{731BADD2-719A-482B-B455-6A36CE1F7EFC}" uniqueName="18" name="Limit Basis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Q17" sqref="Q17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3</v>
      </c>
      <c r="B1" s="6" t="str" cm="1">
        <f t="array" aca="1" ref="B1" ca="1">CELL("filename")</f>
        <v>C:\Users\Alex\CentriNOTSYNC\ResidentialCare\CLIENT\DATExx-Whiddon\UNITS\JH-RY\2. Calculations\[StaffListMaster.xlsx]Masterlist</v>
      </c>
    </row>
    <row r="2" spans="1:4" x14ac:dyDescent="0.25">
      <c r="A2" s="2"/>
      <c r="B2" s="2"/>
    </row>
    <row r="3" spans="1:4" x14ac:dyDescent="0.25">
      <c r="A3" s="1" t="s">
        <v>10</v>
      </c>
      <c r="B3" s="1" t="s">
        <v>11</v>
      </c>
    </row>
    <row r="4" spans="1:4" x14ac:dyDescent="0.25">
      <c r="A4" s="1" t="s">
        <v>12</v>
      </c>
      <c r="B4" s="1" t="s">
        <v>18</v>
      </c>
    </row>
    <row r="5" spans="1:4" x14ac:dyDescent="0.25">
      <c r="A5" s="1" t="s">
        <v>13</v>
      </c>
      <c r="B5" s="1" t="s">
        <v>68</v>
      </c>
    </row>
    <row r="6" spans="1:4" x14ac:dyDescent="0.25">
      <c r="A6" s="1" t="s">
        <v>4</v>
      </c>
      <c r="B6" s="1" t="s">
        <v>16</v>
      </c>
    </row>
    <row r="7" spans="1:4" x14ac:dyDescent="0.25">
      <c r="A7" s="1" t="s">
        <v>8</v>
      </c>
      <c r="B7" s="1" t="s">
        <v>19</v>
      </c>
    </row>
    <row r="8" spans="1:4" x14ac:dyDescent="0.25">
      <c r="A8" s="1" t="s">
        <v>14</v>
      </c>
      <c r="B8" s="1" t="s">
        <v>69</v>
      </c>
    </row>
    <row r="9" spans="1:4" x14ac:dyDescent="0.25">
      <c r="A9" s="1" t="s">
        <v>15</v>
      </c>
      <c r="B9" s="1" t="s">
        <v>17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A72F-8D93-4A93-861C-5A6E4683BFEA}">
  <sheetPr>
    <tabColor theme="5"/>
  </sheetPr>
  <dimension ref="A1:D13"/>
  <sheetViews>
    <sheetView workbookViewId="0">
      <selection activeCell="D21" sqref="D21"/>
    </sheetView>
  </sheetViews>
  <sheetFormatPr defaultRowHeight="15" x14ac:dyDescent="0.25"/>
  <cols>
    <col min="1" max="1" width="49.140625" bestFit="1" customWidth="1"/>
    <col min="2" max="2" width="8.7109375" bestFit="1" customWidth="1"/>
    <col min="3" max="3" width="10.28515625" bestFit="1" customWidth="1"/>
    <col min="4" max="4" width="69.42578125" bestFit="1" customWidth="1"/>
  </cols>
  <sheetData>
    <row r="1" spans="1:4" x14ac:dyDescent="0.25">
      <c r="A1" t="s">
        <v>34</v>
      </c>
      <c r="B1" t="s">
        <v>35</v>
      </c>
      <c r="C1" t="s">
        <v>36</v>
      </c>
      <c r="D1" t="s">
        <v>37</v>
      </c>
    </row>
    <row r="2" spans="1:4" x14ac:dyDescent="0.25">
      <c r="A2" t="s">
        <v>38</v>
      </c>
      <c r="B2" t="s">
        <v>39</v>
      </c>
      <c r="C2">
        <v>0</v>
      </c>
    </row>
    <row r="3" spans="1:4" x14ac:dyDescent="0.25">
      <c r="A3" t="s">
        <v>40</v>
      </c>
      <c r="B3" t="s">
        <v>39</v>
      </c>
      <c r="C3">
        <v>0</v>
      </c>
    </row>
    <row r="4" spans="1:4" x14ac:dyDescent="0.25">
      <c r="A4" t="s">
        <v>41</v>
      </c>
      <c r="B4" t="s">
        <v>39</v>
      </c>
      <c r="C4">
        <v>0</v>
      </c>
    </row>
    <row r="5" spans="1:4" x14ac:dyDescent="0.25">
      <c r="A5" t="s">
        <v>42</v>
      </c>
      <c r="B5" t="s">
        <v>39</v>
      </c>
      <c r="C5">
        <v>0</v>
      </c>
    </row>
    <row r="6" spans="1:4" x14ac:dyDescent="0.25">
      <c r="A6" t="s">
        <v>43</v>
      </c>
      <c r="B6" t="s">
        <v>39</v>
      </c>
      <c r="C6">
        <v>0</v>
      </c>
    </row>
    <row r="7" spans="1:4" x14ac:dyDescent="0.25">
      <c r="A7" t="s">
        <v>44</v>
      </c>
      <c r="B7" t="s">
        <v>39</v>
      </c>
      <c r="C7">
        <v>0</v>
      </c>
    </row>
    <row r="8" spans="1:4" x14ac:dyDescent="0.25">
      <c r="A8" t="s">
        <v>45</v>
      </c>
      <c r="B8" t="s">
        <v>39</v>
      </c>
      <c r="C8">
        <v>0</v>
      </c>
    </row>
    <row r="9" spans="1:4" x14ac:dyDescent="0.25">
      <c r="A9" t="s">
        <v>58</v>
      </c>
      <c r="B9" t="s">
        <v>39</v>
      </c>
      <c r="C9">
        <v>0</v>
      </c>
    </row>
    <row r="10" spans="1:4" x14ac:dyDescent="0.25">
      <c r="A10" t="s">
        <v>59</v>
      </c>
      <c r="B10" t="s">
        <v>39</v>
      </c>
      <c r="C10">
        <v>0</v>
      </c>
    </row>
    <row r="11" spans="1:4" x14ac:dyDescent="0.25">
      <c r="A11" t="s">
        <v>60</v>
      </c>
      <c r="B11" t="s">
        <v>39</v>
      </c>
      <c r="C11">
        <v>0</v>
      </c>
    </row>
    <row r="12" spans="1:4" x14ac:dyDescent="0.25">
      <c r="A12" t="s">
        <v>46</v>
      </c>
      <c r="B12" t="s">
        <v>39</v>
      </c>
      <c r="C12">
        <v>0</v>
      </c>
    </row>
    <row r="13" spans="1:4" x14ac:dyDescent="0.25">
      <c r="A13" t="s">
        <v>61</v>
      </c>
      <c r="B13" t="s">
        <v>193</v>
      </c>
      <c r="C13">
        <v>15</v>
      </c>
      <c r="D13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552F-A7D1-43C7-ACA0-E6BEE1DD101D}">
  <sheetPr>
    <tabColor theme="5"/>
  </sheetPr>
  <dimension ref="A1:O52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6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11" bestFit="1" customWidth="1"/>
    <col min="11" max="11" width="22.7109375" bestFit="1" customWidth="1"/>
    <col min="12" max="12" width="23.140625" bestFit="1" customWidth="1"/>
    <col min="13" max="13" width="24.85546875" bestFit="1" customWidth="1"/>
    <col min="14" max="14" width="11.42578125" bestFit="1" customWidth="1"/>
    <col min="15" max="15" width="15.7109375" customWidth="1"/>
  </cols>
  <sheetData>
    <row r="1" spans="1:15" x14ac:dyDescent="0.25">
      <c r="A1" t="s">
        <v>20</v>
      </c>
      <c r="B1" t="s">
        <v>21</v>
      </c>
      <c r="C1" t="s">
        <v>1</v>
      </c>
      <c r="D1" t="s">
        <v>22</v>
      </c>
      <c r="E1" t="s">
        <v>23</v>
      </c>
      <c r="F1" t="s">
        <v>24</v>
      </c>
      <c r="G1" t="s">
        <v>63</v>
      </c>
      <c r="H1" t="s">
        <v>64</v>
      </c>
      <c r="I1" t="s">
        <v>65</v>
      </c>
      <c r="J1" t="s">
        <v>47</v>
      </c>
      <c r="K1" t="s">
        <v>48</v>
      </c>
      <c r="L1" t="s">
        <v>49</v>
      </c>
      <c r="M1" t="s">
        <v>0</v>
      </c>
      <c r="N1" t="s">
        <v>5</v>
      </c>
      <c r="O1" t="s">
        <v>9</v>
      </c>
    </row>
    <row r="2" spans="1:15" x14ac:dyDescent="0.25">
      <c r="A2" t="s">
        <v>125</v>
      </c>
      <c r="B2" t="s">
        <v>69</v>
      </c>
      <c r="C2" t="s">
        <v>6</v>
      </c>
      <c r="D2" t="s">
        <v>6</v>
      </c>
      <c r="E2" t="s">
        <v>194</v>
      </c>
      <c r="F2">
        <v>64</v>
      </c>
      <c r="G2" t="b">
        <v>1</v>
      </c>
      <c r="H2" t="b">
        <v>1</v>
      </c>
      <c r="I2" t="s">
        <v>195</v>
      </c>
      <c r="J2" t="s">
        <v>196</v>
      </c>
      <c r="K2" t="s">
        <v>50</v>
      </c>
      <c r="M2" t="s">
        <v>126</v>
      </c>
      <c r="N2">
        <v>26</v>
      </c>
    </row>
    <row r="3" spans="1:15" x14ac:dyDescent="0.25">
      <c r="A3" t="s">
        <v>123</v>
      </c>
      <c r="B3" t="s">
        <v>69</v>
      </c>
      <c r="C3" t="s">
        <v>7</v>
      </c>
      <c r="D3" t="s">
        <v>7</v>
      </c>
      <c r="E3" t="s">
        <v>194</v>
      </c>
      <c r="F3">
        <v>72</v>
      </c>
      <c r="G3" t="b">
        <v>1</v>
      </c>
      <c r="H3" t="b">
        <v>1</v>
      </c>
      <c r="I3" t="s">
        <v>195</v>
      </c>
      <c r="J3" t="s">
        <v>196</v>
      </c>
      <c r="K3" t="s">
        <v>50</v>
      </c>
      <c r="M3" t="s">
        <v>124</v>
      </c>
      <c r="N3">
        <v>25</v>
      </c>
    </row>
    <row r="4" spans="1:15" x14ac:dyDescent="0.25">
      <c r="A4" t="s">
        <v>181</v>
      </c>
      <c r="B4" t="s">
        <v>69</v>
      </c>
      <c r="C4" t="s">
        <v>6</v>
      </c>
      <c r="D4" t="s">
        <v>6</v>
      </c>
      <c r="E4" t="s">
        <v>194</v>
      </c>
      <c r="F4">
        <v>40</v>
      </c>
      <c r="G4" t="b">
        <v>1</v>
      </c>
      <c r="H4" t="b">
        <v>1</v>
      </c>
      <c r="I4" t="s">
        <v>195</v>
      </c>
      <c r="J4" t="s">
        <v>196</v>
      </c>
      <c r="K4" t="s">
        <v>50</v>
      </c>
      <c r="M4" t="s">
        <v>182</v>
      </c>
      <c r="N4">
        <v>50</v>
      </c>
    </row>
    <row r="5" spans="1:15" x14ac:dyDescent="0.25">
      <c r="A5" t="s">
        <v>129</v>
      </c>
      <c r="B5" t="s">
        <v>69</v>
      </c>
      <c r="C5" t="s">
        <v>6</v>
      </c>
      <c r="D5" t="s">
        <v>6</v>
      </c>
      <c r="E5" t="s">
        <v>194</v>
      </c>
      <c r="F5">
        <v>64</v>
      </c>
      <c r="G5" t="b">
        <v>1</v>
      </c>
      <c r="H5" t="b">
        <v>1</v>
      </c>
      <c r="I5" t="s">
        <v>195</v>
      </c>
      <c r="J5" t="s">
        <v>196</v>
      </c>
      <c r="K5" t="s">
        <v>50</v>
      </c>
      <c r="M5" t="s">
        <v>130</v>
      </c>
      <c r="N5">
        <v>29</v>
      </c>
    </row>
    <row r="6" spans="1:15" x14ac:dyDescent="0.25">
      <c r="A6" t="s">
        <v>131</v>
      </c>
      <c r="B6" t="s">
        <v>69</v>
      </c>
      <c r="C6" t="s">
        <v>6</v>
      </c>
      <c r="D6" t="s">
        <v>6</v>
      </c>
      <c r="E6" t="s">
        <v>194</v>
      </c>
      <c r="F6">
        <v>64</v>
      </c>
      <c r="G6" t="b">
        <v>1</v>
      </c>
      <c r="H6" t="b">
        <v>1</v>
      </c>
      <c r="I6" t="s">
        <v>195</v>
      </c>
      <c r="J6" t="s">
        <v>196</v>
      </c>
      <c r="K6" t="s">
        <v>50</v>
      </c>
      <c r="M6" t="s">
        <v>132</v>
      </c>
      <c r="N6">
        <v>30</v>
      </c>
    </row>
    <row r="7" spans="1:15" x14ac:dyDescent="0.25">
      <c r="A7" t="s">
        <v>133</v>
      </c>
      <c r="B7" t="s">
        <v>69</v>
      </c>
      <c r="C7" t="s">
        <v>6</v>
      </c>
      <c r="D7" t="s">
        <v>6</v>
      </c>
      <c r="E7" t="s">
        <v>194</v>
      </c>
      <c r="F7">
        <v>30</v>
      </c>
      <c r="G7" t="b">
        <v>1</v>
      </c>
      <c r="H7" t="b">
        <v>1</v>
      </c>
      <c r="I7" t="s">
        <v>195</v>
      </c>
      <c r="J7" t="s">
        <v>196</v>
      </c>
      <c r="K7" t="s">
        <v>50</v>
      </c>
      <c r="M7" t="s">
        <v>134</v>
      </c>
      <c r="N7">
        <v>32</v>
      </c>
    </row>
    <row r="8" spans="1:15" x14ac:dyDescent="0.25">
      <c r="A8" t="s">
        <v>137</v>
      </c>
      <c r="B8" t="s">
        <v>69</v>
      </c>
      <c r="C8" t="s">
        <v>6</v>
      </c>
      <c r="D8" t="s">
        <v>6</v>
      </c>
      <c r="E8" t="s">
        <v>197</v>
      </c>
      <c r="F8">
        <v>76</v>
      </c>
      <c r="G8" t="b">
        <v>1</v>
      </c>
      <c r="H8" t="b">
        <v>1</v>
      </c>
      <c r="I8" t="s">
        <v>195</v>
      </c>
      <c r="J8" t="s">
        <v>196</v>
      </c>
      <c r="K8" t="s">
        <v>50</v>
      </c>
      <c r="M8" t="s">
        <v>138</v>
      </c>
      <c r="N8">
        <v>34</v>
      </c>
    </row>
    <row r="9" spans="1:15" x14ac:dyDescent="0.25">
      <c r="A9" t="s">
        <v>139</v>
      </c>
      <c r="B9" t="s">
        <v>69</v>
      </c>
      <c r="C9" t="s">
        <v>6</v>
      </c>
      <c r="D9" t="s">
        <v>6</v>
      </c>
      <c r="E9" t="s">
        <v>194</v>
      </c>
      <c r="F9">
        <v>40</v>
      </c>
      <c r="G9" t="b">
        <v>1</v>
      </c>
      <c r="H9" t="b">
        <v>0</v>
      </c>
      <c r="I9" t="s">
        <v>198</v>
      </c>
      <c r="J9" t="s">
        <v>196</v>
      </c>
      <c r="K9" t="s">
        <v>50</v>
      </c>
      <c r="M9" t="s">
        <v>140</v>
      </c>
      <c r="N9">
        <v>35</v>
      </c>
    </row>
    <row r="10" spans="1:15" x14ac:dyDescent="0.25">
      <c r="A10" t="s">
        <v>143</v>
      </c>
      <c r="B10" t="s">
        <v>69</v>
      </c>
      <c r="C10" t="s">
        <v>51</v>
      </c>
      <c r="D10" t="s">
        <v>51</v>
      </c>
      <c r="E10" t="s">
        <v>194</v>
      </c>
      <c r="F10">
        <v>68</v>
      </c>
      <c r="G10" t="b">
        <v>1</v>
      </c>
      <c r="H10" t="b">
        <v>1</v>
      </c>
      <c r="I10" t="s">
        <v>195</v>
      </c>
      <c r="J10" t="s">
        <v>196</v>
      </c>
      <c r="K10" t="s">
        <v>50</v>
      </c>
      <c r="M10" t="s">
        <v>144</v>
      </c>
      <c r="N10">
        <v>36</v>
      </c>
    </row>
    <row r="11" spans="1:15" x14ac:dyDescent="0.25">
      <c r="A11" t="s">
        <v>121</v>
      </c>
      <c r="B11" t="s">
        <v>69</v>
      </c>
      <c r="C11" t="s">
        <v>7</v>
      </c>
      <c r="D11" t="s">
        <v>7</v>
      </c>
      <c r="E11" t="s">
        <v>197</v>
      </c>
      <c r="F11">
        <v>76</v>
      </c>
      <c r="G11" t="b">
        <v>1</v>
      </c>
      <c r="H11" t="b">
        <v>1</v>
      </c>
      <c r="I11" t="s">
        <v>195</v>
      </c>
      <c r="J11" t="s">
        <v>196</v>
      </c>
      <c r="K11" t="s">
        <v>50</v>
      </c>
      <c r="M11" t="s">
        <v>122</v>
      </c>
      <c r="N11">
        <v>24</v>
      </c>
    </row>
    <row r="12" spans="1:15" x14ac:dyDescent="0.25">
      <c r="A12" t="s">
        <v>147</v>
      </c>
      <c r="B12" t="s">
        <v>69</v>
      </c>
      <c r="C12" t="s">
        <v>6</v>
      </c>
      <c r="D12" t="s">
        <v>6</v>
      </c>
      <c r="E12" t="s">
        <v>194</v>
      </c>
      <c r="F12">
        <v>64</v>
      </c>
      <c r="G12" t="b">
        <v>1</v>
      </c>
      <c r="H12" t="b">
        <v>0</v>
      </c>
      <c r="I12" t="s">
        <v>198</v>
      </c>
      <c r="J12" t="s">
        <v>196</v>
      </c>
      <c r="K12" t="s">
        <v>50</v>
      </c>
      <c r="M12" t="s">
        <v>148</v>
      </c>
      <c r="N12">
        <v>37</v>
      </c>
    </row>
    <row r="13" spans="1:15" x14ac:dyDescent="0.25">
      <c r="A13" t="s">
        <v>153</v>
      </c>
      <c r="B13" t="s">
        <v>69</v>
      </c>
      <c r="C13" t="s">
        <v>6</v>
      </c>
      <c r="D13" t="s">
        <v>6</v>
      </c>
      <c r="E13" t="s">
        <v>194</v>
      </c>
      <c r="F13">
        <v>72</v>
      </c>
      <c r="G13" t="b">
        <v>1</v>
      </c>
      <c r="H13" t="b">
        <v>1</v>
      </c>
      <c r="I13" t="s">
        <v>195</v>
      </c>
      <c r="J13" t="s">
        <v>196</v>
      </c>
      <c r="K13" t="s">
        <v>50</v>
      </c>
      <c r="M13" t="s">
        <v>154</v>
      </c>
      <c r="N13">
        <v>39</v>
      </c>
    </row>
    <row r="14" spans="1:15" x14ac:dyDescent="0.25">
      <c r="A14" t="s">
        <v>159</v>
      </c>
      <c r="B14" t="s">
        <v>69</v>
      </c>
      <c r="C14" t="s">
        <v>7</v>
      </c>
      <c r="D14" t="s">
        <v>7</v>
      </c>
      <c r="E14" t="s">
        <v>197</v>
      </c>
      <c r="F14">
        <v>76</v>
      </c>
      <c r="G14" t="b">
        <v>1</v>
      </c>
      <c r="H14" t="b">
        <v>0</v>
      </c>
      <c r="I14" t="s">
        <v>198</v>
      </c>
      <c r="J14" t="s">
        <v>196</v>
      </c>
      <c r="K14" t="s">
        <v>50</v>
      </c>
      <c r="M14" t="s">
        <v>160</v>
      </c>
      <c r="N14">
        <v>41</v>
      </c>
    </row>
    <row r="15" spans="1:15" x14ac:dyDescent="0.25">
      <c r="A15" t="s">
        <v>163</v>
      </c>
      <c r="B15" t="s">
        <v>69</v>
      </c>
      <c r="C15" t="s">
        <v>7</v>
      </c>
      <c r="D15" t="s">
        <v>7</v>
      </c>
      <c r="E15" t="s">
        <v>194</v>
      </c>
      <c r="F15">
        <v>72</v>
      </c>
      <c r="G15" t="b">
        <v>1</v>
      </c>
      <c r="H15" t="b">
        <v>1</v>
      </c>
      <c r="I15" t="s">
        <v>195</v>
      </c>
      <c r="J15" t="s">
        <v>196</v>
      </c>
      <c r="K15" t="s">
        <v>50</v>
      </c>
      <c r="M15" t="s">
        <v>164</v>
      </c>
      <c r="N15">
        <v>42</v>
      </c>
    </row>
    <row r="16" spans="1:15" x14ac:dyDescent="0.25">
      <c r="A16" t="s">
        <v>165</v>
      </c>
      <c r="B16" t="s">
        <v>69</v>
      </c>
      <c r="C16" t="s">
        <v>7</v>
      </c>
      <c r="D16" t="s">
        <v>7</v>
      </c>
      <c r="E16" t="s">
        <v>197</v>
      </c>
      <c r="F16">
        <v>76</v>
      </c>
      <c r="G16" t="b">
        <v>1</v>
      </c>
      <c r="H16" t="b">
        <v>1</v>
      </c>
      <c r="I16" t="s">
        <v>195</v>
      </c>
      <c r="J16" t="s">
        <v>196</v>
      </c>
      <c r="K16" t="s">
        <v>50</v>
      </c>
      <c r="M16" t="s">
        <v>166</v>
      </c>
      <c r="N16">
        <v>43</v>
      </c>
    </row>
    <row r="17" spans="1:14" x14ac:dyDescent="0.25">
      <c r="A17" t="s">
        <v>167</v>
      </c>
      <c r="B17" t="s">
        <v>69</v>
      </c>
      <c r="C17" t="s">
        <v>6</v>
      </c>
      <c r="D17" t="s">
        <v>6</v>
      </c>
      <c r="E17" t="s">
        <v>199</v>
      </c>
      <c r="G17" t="b">
        <v>1</v>
      </c>
      <c r="H17" t="b">
        <v>0</v>
      </c>
      <c r="I17" t="s">
        <v>198</v>
      </c>
      <c r="J17" t="s">
        <v>196</v>
      </c>
      <c r="K17" t="s">
        <v>50</v>
      </c>
      <c r="M17" t="s">
        <v>168</v>
      </c>
      <c r="N17">
        <v>46</v>
      </c>
    </row>
    <row r="18" spans="1:14" x14ac:dyDescent="0.25">
      <c r="A18" t="s">
        <v>173</v>
      </c>
      <c r="B18" t="s">
        <v>69</v>
      </c>
      <c r="C18" t="s">
        <v>6</v>
      </c>
      <c r="D18" t="s">
        <v>6</v>
      </c>
      <c r="E18" t="s">
        <v>194</v>
      </c>
      <c r="F18">
        <v>60</v>
      </c>
      <c r="G18" t="b">
        <v>1</v>
      </c>
      <c r="H18" t="b">
        <v>0</v>
      </c>
      <c r="I18" t="s">
        <v>198</v>
      </c>
      <c r="J18" t="s">
        <v>196</v>
      </c>
      <c r="K18" t="s">
        <v>50</v>
      </c>
      <c r="M18" t="s">
        <v>174</v>
      </c>
      <c r="N18">
        <v>47</v>
      </c>
    </row>
    <row r="19" spans="1:14" x14ac:dyDescent="0.25">
      <c r="A19" t="s">
        <v>177</v>
      </c>
      <c r="B19" t="s">
        <v>69</v>
      </c>
      <c r="C19" t="s">
        <v>6</v>
      </c>
      <c r="D19" t="s">
        <v>6</v>
      </c>
      <c r="E19" t="s">
        <v>194</v>
      </c>
      <c r="F19">
        <v>64</v>
      </c>
      <c r="G19" t="b">
        <v>1</v>
      </c>
      <c r="H19" t="b">
        <v>1</v>
      </c>
      <c r="I19" t="s">
        <v>195</v>
      </c>
      <c r="J19" t="s">
        <v>196</v>
      </c>
      <c r="K19" t="s">
        <v>50</v>
      </c>
      <c r="M19" t="s">
        <v>178</v>
      </c>
      <c r="N19">
        <v>48</v>
      </c>
    </row>
    <row r="20" spans="1:14" x14ac:dyDescent="0.25">
      <c r="A20" t="s">
        <v>179</v>
      </c>
      <c r="B20" t="s">
        <v>69</v>
      </c>
      <c r="C20" t="s">
        <v>6</v>
      </c>
      <c r="D20" t="s">
        <v>6</v>
      </c>
      <c r="E20" t="s">
        <v>197</v>
      </c>
      <c r="F20">
        <v>76</v>
      </c>
      <c r="G20" t="b">
        <v>1</v>
      </c>
      <c r="H20" t="b">
        <v>1</v>
      </c>
      <c r="I20" t="s">
        <v>195</v>
      </c>
      <c r="J20" t="s">
        <v>196</v>
      </c>
      <c r="K20" t="s">
        <v>50</v>
      </c>
      <c r="M20" t="s">
        <v>180</v>
      </c>
      <c r="N20">
        <v>49</v>
      </c>
    </row>
    <row r="21" spans="1:14" x14ac:dyDescent="0.25">
      <c r="A21" t="s">
        <v>149</v>
      </c>
      <c r="B21" t="s">
        <v>69</v>
      </c>
      <c r="C21" t="s">
        <v>6</v>
      </c>
      <c r="D21" t="s">
        <v>6</v>
      </c>
      <c r="E21" t="s">
        <v>199</v>
      </c>
      <c r="F21">
        <v>0</v>
      </c>
      <c r="G21" t="b">
        <v>1</v>
      </c>
      <c r="H21" t="b">
        <v>0</v>
      </c>
      <c r="I21" t="s">
        <v>198</v>
      </c>
      <c r="J21" t="s">
        <v>196</v>
      </c>
      <c r="K21" t="s">
        <v>50</v>
      </c>
      <c r="M21" t="s">
        <v>150</v>
      </c>
      <c r="N21">
        <v>38</v>
      </c>
    </row>
    <row r="22" spans="1:14" x14ac:dyDescent="0.25">
      <c r="A22" t="s">
        <v>117</v>
      </c>
      <c r="B22" t="s">
        <v>69</v>
      </c>
      <c r="C22" t="s">
        <v>51</v>
      </c>
      <c r="D22" t="s">
        <v>51</v>
      </c>
      <c r="E22" t="s">
        <v>194</v>
      </c>
      <c r="F22">
        <v>38</v>
      </c>
      <c r="G22" t="b">
        <v>1</v>
      </c>
      <c r="H22" t="b">
        <v>1</v>
      </c>
      <c r="I22" t="s">
        <v>195</v>
      </c>
      <c r="J22" t="s">
        <v>196</v>
      </c>
      <c r="K22" t="s">
        <v>50</v>
      </c>
      <c r="M22" t="s">
        <v>118</v>
      </c>
      <c r="N22">
        <v>23</v>
      </c>
    </row>
    <row r="23" spans="1:14" x14ac:dyDescent="0.25">
      <c r="A23" t="s">
        <v>183</v>
      </c>
      <c r="B23" t="s">
        <v>69</v>
      </c>
      <c r="C23" t="s">
        <v>6</v>
      </c>
      <c r="D23" t="s">
        <v>6</v>
      </c>
      <c r="E23" t="s">
        <v>197</v>
      </c>
      <c r="F23">
        <v>76</v>
      </c>
      <c r="G23" t="b">
        <v>0</v>
      </c>
      <c r="H23" t="b">
        <v>1</v>
      </c>
      <c r="I23" t="s">
        <v>200</v>
      </c>
      <c r="J23" t="s">
        <v>196</v>
      </c>
      <c r="K23" t="s">
        <v>50</v>
      </c>
      <c r="M23" t="s">
        <v>184</v>
      </c>
      <c r="N23">
        <v>51</v>
      </c>
    </row>
    <row r="24" spans="1:14" x14ac:dyDescent="0.25">
      <c r="A24" t="s">
        <v>111</v>
      </c>
      <c r="B24" t="s">
        <v>69</v>
      </c>
      <c r="C24" t="s">
        <v>6</v>
      </c>
      <c r="D24" t="s">
        <v>6</v>
      </c>
      <c r="E24" t="s">
        <v>197</v>
      </c>
      <c r="F24">
        <v>76</v>
      </c>
      <c r="G24" t="b">
        <v>1</v>
      </c>
      <c r="H24" t="b">
        <v>1</v>
      </c>
      <c r="I24" t="s">
        <v>195</v>
      </c>
      <c r="J24" t="s">
        <v>196</v>
      </c>
      <c r="K24" t="s">
        <v>50</v>
      </c>
      <c r="M24" t="s">
        <v>112</v>
      </c>
      <c r="N24">
        <v>21</v>
      </c>
    </row>
    <row r="25" spans="1:14" x14ac:dyDescent="0.25">
      <c r="A25" t="s">
        <v>70</v>
      </c>
      <c r="B25" t="s">
        <v>69</v>
      </c>
      <c r="C25" t="s">
        <v>6</v>
      </c>
      <c r="D25" t="s">
        <v>6</v>
      </c>
      <c r="E25" t="s">
        <v>194</v>
      </c>
      <c r="F25">
        <v>30</v>
      </c>
      <c r="G25" t="b">
        <v>0</v>
      </c>
      <c r="H25" t="b">
        <v>1</v>
      </c>
      <c r="I25" t="s">
        <v>200</v>
      </c>
      <c r="J25" t="s">
        <v>196</v>
      </c>
      <c r="K25" t="s">
        <v>50</v>
      </c>
      <c r="M25" t="s">
        <v>201</v>
      </c>
      <c r="N25">
        <v>4</v>
      </c>
    </row>
    <row r="26" spans="1:14" x14ac:dyDescent="0.25">
      <c r="A26" t="s">
        <v>74</v>
      </c>
      <c r="B26" t="s">
        <v>69</v>
      </c>
      <c r="C26" t="s">
        <v>6</v>
      </c>
      <c r="D26" t="s">
        <v>6</v>
      </c>
      <c r="E26" t="s">
        <v>199</v>
      </c>
      <c r="F26">
        <v>0</v>
      </c>
      <c r="G26" t="b">
        <v>1</v>
      </c>
      <c r="H26" t="b">
        <v>0</v>
      </c>
      <c r="I26" t="s">
        <v>198</v>
      </c>
      <c r="J26" t="s">
        <v>196</v>
      </c>
      <c r="K26" t="s">
        <v>50</v>
      </c>
      <c r="M26" t="s">
        <v>75</v>
      </c>
      <c r="N26">
        <v>5</v>
      </c>
    </row>
    <row r="27" spans="1:14" x14ac:dyDescent="0.25">
      <c r="A27" t="s">
        <v>76</v>
      </c>
      <c r="B27" t="s">
        <v>69</v>
      </c>
      <c r="C27" t="s">
        <v>7</v>
      </c>
      <c r="D27" t="s">
        <v>7</v>
      </c>
      <c r="E27" t="s">
        <v>197</v>
      </c>
      <c r="F27">
        <v>76</v>
      </c>
      <c r="G27" t="b">
        <v>1</v>
      </c>
      <c r="H27" t="b">
        <v>1</v>
      </c>
      <c r="I27" t="s">
        <v>195</v>
      </c>
      <c r="J27" t="s">
        <v>196</v>
      </c>
      <c r="K27" t="s">
        <v>50</v>
      </c>
      <c r="M27" t="s">
        <v>77</v>
      </c>
      <c r="N27">
        <v>7</v>
      </c>
    </row>
    <row r="28" spans="1:14" x14ac:dyDescent="0.25">
      <c r="A28" t="s">
        <v>113</v>
      </c>
      <c r="B28" t="s">
        <v>69</v>
      </c>
      <c r="C28" t="s">
        <v>6</v>
      </c>
      <c r="D28" t="s">
        <v>6</v>
      </c>
      <c r="E28" t="s">
        <v>199</v>
      </c>
      <c r="F28">
        <v>0</v>
      </c>
      <c r="G28" t="b">
        <v>1</v>
      </c>
      <c r="H28" t="b">
        <v>1</v>
      </c>
      <c r="I28" t="s">
        <v>195</v>
      </c>
      <c r="J28" t="s">
        <v>196</v>
      </c>
      <c r="K28" t="s">
        <v>50</v>
      </c>
      <c r="M28" t="s">
        <v>114</v>
      </c>
      <c r="N28">
        <v>22</v>
      </c>
    </row>
    <row r="29" spans="1:14" x14ac:dyDescent="0.25">
      <c r="A29" t="s">
        <v>84</v>
      </c>
      <c r="B29" t="s">
        <v>69</v>
      </c>
      <c r="C29" t="s">
        <v>6</v>
      </c>
      <c r="D29" t="s">
        <v>6</v>
      </c>
      <c r="E29" t="s">
        <v>194</v>
      </c>
      <c r="F29">
        <v>64</v>
      </c>
      <c r="G29" t="b">
        <v>1</v>
      </c>
      <c r="H29" t="b">
        <v>1</v>
      </c>
      <c r="I29" t="s">
        <v>195</v>
      </c>
      <c r="J29" t="s">
        <v>196</v>
      </c>
      <c r="K29" t="s">
        <v>50</v>
      </c>
      <c r="M29" t="s">
        <v>85</v>
      </c>
      <c r="N29">
        <v>12</v>
      </c>
    </row>
    <row r="30" spans="1:14" x14ac:dyDescent="0.25">
      <c r="A30" t="s">
        <v>89</v>
      </c>
      <c r="B30" t="s">
        <v>69</v>
      </c>
      <c r="C30" t="s">
        <v>6</v>
      </c>
      <c r="D30" t="s">
        <v>6</v>
      </c>
      <c r="E30" t="s">
        <v>194</v>
      </c>
      <c r="F30">
        <v>64</v>
      </c>
      <c r="G30" t="b">
        <v>1</v>
      </c>
      <c r="H30" t="b">
        <v>0</v>
      </c>
      <c r="I30" t="s">
        <v>198</v>
      </c>
      <c r="J30" t="s">
        <v>196</v>
      </c>
      <c r="K30" t="s">
        <v>50</v>
      </c>
      <c r="M30" t="s">
        <v>90</v>
      </c>
      <c r="N30">
        <v>13</v>
      </c>
    </row>
    <row r="31" spans="1:14" x14ac:dyDescent="0.25">
      <c r="A31" t="s">
        <v>93</v>
      </c>
      <c r="B31" t="s">
        <v>69</v>
      </c>
      <c r="C31" t="s">
        <v>6</v>
      </c>
      <c r="D31" t="s">
        <v>6</v>
      </c>
      <c r="E31" t="s">
        <v>194</v>
      </c>
      <c r="F31">
        <v>40</v>
      </c>
      <c r="G31" t="b">
        <v>1</v>
      </c>
      <c r="H31" t="b">
        <v>1</v>
      </c>
      <c r="I31" t="s">
        <v>195</v>
      </c>
      <c r="J31" t="s">
        <v>196</v>
      </c>
      <c r="K31" t="s">
        <v>50</v>
      </c>
      <c r="M31" t="s">
        <v>94</v>
      </c>
      <c r="N31">
        <v>14</v>
      </c>
    </row>
    <row r="32" spans="1:14" x14ac:dyDescent="0.25">
      <c r="A32" t="s">
        <v>95</v>
      </c>
      <c r="B32" t="s">
        <v>69</v>
      </c>
      <c r="C32" t="s">
        <v>6</v>
      </c>
      <c r="D32" t="s">
        <v>6</v>
      </c>
      <c r="E32" t="s">
        <v>194</v>
      </c>
      <c r="F32">
        <v>64</v>
      </c>
      <c r="G32" t="b">
        <v>1</v>
      </c>
      <c r="H32" t="b">
        <v>1</v>
      </c>
      <c r="I32" t="s">
        <v>195</v>
      </c>
      <c r="J32" t="s">
        <v>196</v>
      </c>
      <c r="K32" t="s">
        <v>50</v>
      </c>
      <c r="M32" t="s">
        <v>96</v>
      </c>
      <c r="N32">
        <v>15</v>
      </c>
    </row>
    <row r="33" spans="1:15" x14ac:dyDescent="0.25">
      <c r="A33" t="s">
        <v>82</v>
      </c>
      <c r="B33" t="s">
        <v>69</v>
      </c>
      <c r="C33" t="s">
        <v>6</v>
      </c>
      <c r="D33" t="s">
        <v>6</v>
      </c>
      <c r="E33" t="s">
        <v>197</v>
      </c>
      <c r="F33">
        <v>76</v>
      </c>
      <c r="G33" t="b">
        <v>1</v>
      </c>
      <c r="H33" t="b">
        <v>0</v>
      </c>
      <c r="I33" t="s">
        <v>198</v>
      </c>
      <c r="J33" t="s">
        <v>196</v>
      </c>
      <c r="K33" t="s">
        <v>50</v>
      </c>
      <c r="M33" t="s">
        <v>83</v>
      </c>
      <c r="N33">
        <v>11</v>
      </c>
    </row>
    <row r="34" spans="1:15" x14ac:dyDescent="0.25">
      <c r="A34" t="s">
        <v>101</v>
      </c>
      <c r="B34" t="s">
        <v>69</v>
      </c>
      <c r="C34" t="s">
        <v>6</v>
      </c>
      <c r="D34" t="s">
        <v>6</v>
      </c>
      <c r="E34" t="s">
        <v>199</v>
      </c>
      <c r="F34">
        <v>0</v>
      </c>
      <c r="G34" t="b">
        <v>1</v>
      </c>
      <c r="H34" t="b">
        <v>0</v>
      </c>
      <c r="I34" t="s">
        <v>198</v>
      </c>
      <c r="J34" t="s">
        <v>196</v>
      </c>
      <c r="K34" t="s">
        <v>50</v>
      </c>
      <c r="M34" t="s">
        <v>102</v>
      </c>
      <c r="N34">
        <v>18</v>
      </c>
    </row>
    <row r="35" spans="1:15" x14ac:dyDescent="0.25">
      <c r="A35" t="s">
        <v>99</v>
      </c>
      <c r="B35" t="s">
        <v>69</v>
      </c>
      <c r="C35" t="s">
        <v>6</v>
      </c>
      <c r="D35" t="s">
        <v>6</v>
      </c>
      <c r="E35" t="s">
        <v>194</v>
      </c>
      <c r="F35">
        <v>40</v>
      </c>
      <c r="G35" t="b">
        <v>1</v>
      </c>
      <c r="H35" t="b">
        <v>1</v>
      </c>
      <c r="I35" t="s">
        <v>195</v>
      </c>
      <c r="J35" t="s">
        <v>196</v>
      </c>
      <c r="K35" t="s">
        <v>50</v>
      </c>
      <c r="M35" t="s">
        <v>100</v>
      </c>
      <c r="N35">
        <v>17</v>
      </c>
    </row>
    <row r="36" spans="1:15" x14ac:dyDescent="0.25">
      <c r="A36" t="s">
        <v>109</v>
      </c>
      <c r="B36" t="s">
        <v>69</v>
      </c>
      <c r="C36" t="s">
        <v>6</v>
      </c>
      <c r="D36" t="s">
        <v>6</v>
      </c>
      <c r="E36" t="s">
        <v>197</v>
      </c>
      <c r="F36">
        <v>76</v>
      </c>
      <c r="G36" t="b">
        <v>1</v>
      </c>
      <c r="H36" t="b">
        <v>1</v>
      </c>
      <c r="I36" t="s">
        <v>195</v>
      </c>
      <c r="J36" t="s">
        <v>196</v>
      </c>
      <c r="K36" t="s">
        <v>50</v>
      </c>
      <c r="M36" t="s">
        <v>110</v>
      </c>
      <c r="N36">
        <v>20</v>
      </c>
    </row>
    <row r="37" spans="1:15" x14ac:dyDescent="0.25">
      <c r="A37" t="s">
        <v>105</v>
      </c>
      <c r="B37" t="s">
        <v>69</v>
      </c>
      <c r="C37" t="s">
        <v>6</v>
      </c>
      <c r="D37" t="s">
        <v>6</v>
      </c>
      <c r="E37" t="s">
        <v>197</v>
      </c>
      <c r="F37">
        <v>76</v>
      </c>
      <c r="G37" t="b">
        <v>1</v>
      </c>
      <c r="H37" t="b">
        <v>1</v>
      </c>
      <c r="I37" t="s">
        <v>195</v>
      </c>
      <c r="J37" t="s">
        <v>196</v>
      </c>
      <c r="K37" t="s">
        <v>50</v>
      </c>
      <c r="M37" t="s">
        <v>106</v>
      </c>
      <c r="N37">
        <v>19</v>
      </c>
    </row>
    <row r="38" spans="1:15" x14ac:dyDescent="0.25">
      <c r="A38" t="s">
        <v>202</v>
      </c>
      <c r="B38" t="s">
        <v>69</v>
      </c>
      <c r="C38" t="s">
        <v>6</v>
      </c>
      <c r="D38" t="s">
        <v>6</v>
      </c>
      <c r="E38" t="s">
        <v>199</v>
      </c>
      <c r="F38">
        <v>0</v>
      </c>
      <c r="G38" t="b">
        <v>0</v>
      </c>
      <c r="H38" t="b">
        <v>1</v>
      </c>
      <c r="I38" t="s">
        <v>200</v>
      </c>
      <c r="J38" t="s">
        <v>196</v>
      </c>
      <c r="K38" t="s">
        <v>50</v>
      </c>
      <c r="M38" t="s">
        <v>203</v>
      </c>
      <c r="N38">
        <v>2</v>
      </c>
      <c r="O38" t="s">
        <v>204</v>
      </c>
    </row>
    <row r="39" spans="1:15" x14ac:dyDescent="0.25">
      <c r="A39" t="s">
        <v>205</v>
      </c>
      <c r="B39" t="s">
        <v>69</v>
      </c>
      <c r="C39" t="s">
        <v>6</v>
      </c>
      <c r="D39" t="s">
        <v>6</v>
      </c>
      <c r="E39" t="s">
        <v>199</v>
      </c>
      <c r="F39">
        <v>0</v>
      </c>
      <c r="G39" t="b">
        <v>0</v>
      </c>
      <c r="H39" t="b">
        <v>1</v>
      </c>
      <c r="I39" t="s">
        <v>200</v>
      </c>
      <c r="J39" t="s">
        <v>196</v>
      </c>
      <c r="K39" t="s">
        <v>50</v>
      </c>
      <c r="M39" t="s">
        <v>206</v>
      </c>
      <c r="N39">
        <v>3</v>
      </c>
      <c r="O39" t="s">
        <v>204</v>
      </c>
    </row>
    <row r="40" spans="1:15" x14ac:dyDescent="0.25">
      <c r="A40" t="s">
        <v>207</v>
      </c>
      <c r="B40" t="s">
        <v>69</v>
      </c>
      <c r="C40" t="s">
        <v>6</v>
      </c>
      <c r="D40" t="s">
        <v>6</v>
      </c>
      <c r="E40" t="s">
        <v>197</v>
      </c>
      <c r="F40">
        <v>76</v>
      </c>
      <c r="G40" t="b">
        <v>0</v>
      </c>
      <c r="H40" t="b">
        <v>1</v>
      </c>
      <c r="I40" t="s">
        <v>200</v>
      </c>
      <c r="J40" t="s">
        <v>196</v>
      </c>
      <c r="K40" t="s">
        <v>50</v>
      </c>
      <c r="M40" t="s">
        <v>208</v>
      </c>
      <c r="N40">
        <v>45</v>
      </c>
      <c r="O40" t="s">
        <v>204</v>
      </c>
    </row>
    <row r="41" spans="1:15" x14ac:dyDescent="0.25">
      <c r="A41" t="s">
        <v>209</v>
      </c>
      <c r="B41" t="s">
        <v>69</v>
      </c>
      <c r="C41" t="s">
        <v>6</v>
      </c>
      <c r="D41" t="s">
        <v>6</v>
      </c>
      <c r="E41" t="s">
        <v>199</v>
      </c>
      <c r="F41">
        <v>0</v>
      </c>
      <c r="G41" t="b">
        <v>0</v>
      </c>
      <c r="H41" t="b">
        <v>1</v>
      </c>
      <c r="I41" t="s">
        <v>200</v>
      </c>
      <c r="J41" t="s">
        <v>196</v>
      </c>
      <c r="K41" t="s">
        <v>50</v>
      </c>
      <c r="M41" t="s">
        <v>210</v>
      </c>
      <c r="N41">
        <v>44</v>
      </c>
      <c r="O41" t="s">
        <v>204</v>
      </c>
    </row>
    <row r="42" spans="1:15" x14ac:dyDescent="0.25">
      <c r="A42" t="s">
        <v>211</v>
      </c>
      <c r="B42" t="s">
        <v>69</v>
      </c>
      <c r="C42" t="s">
        <v>6</v>
      </c>
      <c r="D42" t="s">
        <v>6</v>
      </c>
      <c r="E42" t="s">
        <v>199</v>
      </c>
      <c r="F42">
        <v>0</v>
      </c>
      <c r="G42" t="b">
        <v>0</v>
      </c>
      <c r="H42" t="b">
        <v>1</v>
      </c>
      <c r="I42" t="s">
        <v>200</v>
      </c>
      <c r="J42" t="s">
        <v>196</v>
      </c>
      <c r="K42" t="s">
        <v>50</v>
      </c>
      <c r="M42" t="s">
        <v>212</v>
      </c>
      <c r="N42">
        <v>6</v>
      </c>
      <c r="O42" t="s">
        <v>204</v>
      </c>
    </row>
    <row r="43" spans="1:15" x14ac:dyDescent="0.25">
      <c r="A43" t="s">
        <v>213</v>
      </c>
      <c r="B43" t="s">
        <v>69</v>
      </c>
      <c r="C43" t="s">
        <v>6</v>
      </c>
      <c r="D43" t="s">
        <v>6</v>
      </c>
      <c r="E43" t="s">
        <v>194</v>
      </c>
      <c r="F43">
        <v>32</v>
      </c>
      <c r="G43" t="b">
        <v>0</v>
      </c>
      <c r="H43" t="b">
        <v>1</v>
      </c>
      <c r="I43" t="s">
        <v>200</v>
      </c>
      <c r="J43" t="s">
        <v>196</v>
      </c>
      <c r="K43" t="s">
        <v>50</v>
      </c>
      <c r="M43" t="s">
        <v>214</v>
      </c>
      <c r="N43">
        <v>33</v>
      </c>
      <c r="O43" t="s">
        <v>204</v>
      </c>
    </row>
    <row r="44" spans="1:15" x14ac:dyDescent="0.25">
      <c r="A44" t="s">
        <v>215</v>
      </c>
      <c r="B44" t="s">
        <v>69</v>
      </c>
      <c r="C44" t="s">
        <v>6</v>
      </c>
      <c r="D44" t="s">
        <v>6</v>
      </c>
      <c r="E44" t="s">
        <v>194</v>
      </c>
      <c r="F44">
        <v>72.5</v>
      </c>
      <c r="G44" t="b">
        <v>0</v>
      </c>
      <c r="H44" t="b">
        <v>1</v>
      </c>
      <c r="I44" t="s">
        <v>200</v>
      </c>
      <c r="J44" t="s">
        <v>196</v>
      </c>
      <c r="K44" t="s">
        <v>50</v>
      </c>
      <c r="M44" t="s">
        <v>216</v>
      </c>
      <c r="N44">
        <v>8</v>
      </c>
      <c r="O44" t="s">
        <v>204</v>
      </c>
    </row>
    <row r="45" spans="1:15" x14ac:dyDescent="0.25">
      <c r="A45" t="s">
        <v>217</v>
      </c>
      <c r="B45" t="s">
        <v>69</v>
      </c>
      <c r="C45" t="s">
        <v>6</v>
      </c>
      <c r="D45" t="s">
        <v>6</v>
      </c>
      <c r="E45" t="s">
        <v>199</v>
      </c>
      <c r="F45">
        <v>0</v>
      </c>
      <c r="G45" t="b">
        <v>0</v>
      </c>
      <c r="H45" t="b">
        <v>1</v>
      </c>
      <c r="I45" t="s">
        <v>200</v>
      </c>
      <c r="J45" t="s">
        <v>196</v>
      </c>
      <c r="K45" t="s">
        <v>50</v>
      </c>
      <c r="M45" t="s">
        <v>218</v>
      </c>
      <c r="N45">
        <v>40</v>
      </c>
      <c r="O45" t="s">
        <v>204</v>
      </c>
    </row>
    <row r="46" spans="1:15" x14ac:dyDescent="0.25">
      <c r="A46" t="s">
        <v>219</v>
      </c>
      <c r="B46" t="s">
        <v>69</v>
      </c>
      <c r="C46" t="s">
        <v>6</v>
      </c>
      <c r="D46" t="s">
        <v>6</v>
      </c>
      <c r="E46" t="s">
        <v>199</v>
      </c>
      <c r="F46">
        <v>0</v>
      </c>
      <c r="G46" t="b">
        <v>0</v>
      </c>
      <c r="H46" t="b">
        <v>1</v>
      </c>
      <c r="I46" t="s">
        <v>200</v>
      </c>
      <c r="J46" t="s">
        <v>196</v>
      </c>
      <c r="K46" t="s">
        <v>50</v>
      </c>
      <c r="M46" t="s">
        <v>220</v>
      </c>
      <c r="N46">
        <v>9</v>
      </c>
      <c r="O46" t="s">
        <v>204</v>
      </c>
    </row>
    <row r="47" spans="1:15" x14ac:dyDescent="0.25">
      <c r="A47" t="s">
        <v>221</v>
      </c>
      <c r="B47" t="s">
        <v>69</v>
      </c>
      <c r="C47" t="s">
        <v>6</v>
      </c>
      <c r="D47" t="s">
        <v>6</v>
      </c>
      <c r="E47" t="s">
        <v>199</v>
      </c>
      <c r="F47">
        <v>0</v>
      </c>
      <c r="G47" t="b">
        <v>0</v>
      </c>
      <c r="H47" t="b">
        <v>1</v>
      </c>
      <c r="I47" t="s">
        <v>200</v>
      </c>
      <c r="J47" t="s">
        <v>196</v>
      </c>
      <c r="K47" t="s">
        <v>50</v>
      </c>
      <c r="M47" t="s">
        <v>222</v>
      </c>
      <c r="N47">
        <v>10</v>
      </c>
      <c r="O47" t="s">
        <v>204</v>
      </c>
    </row>
    <row r="48" spans="1:15" x14ac:dyDescent="0.25">
      <c r="A48" t="s">
        <v>223</v>
      </c>
      <c r="B48" t="s">
        <v>69</v>
      </c>
      <c r="C48" t="s">
        <v>6</v>
      </c>
      <c r="D48" t="s">
        <v>6</v>
      </c>
      <c r="E48" t="s">
        <v>194</v>
      </c>
      <c r="F48">
        <v>40</v>
      </c>
      <c r="G48" t="b">
        <v>1</v>
      </c>
      <c r="H48" t="b">
        <v>1</v>
      </c>
      <c r="I48" t="s">
        <v>195</v>
      </c>
      <c r="J48" t="s">
        <v>196</v>
      </c>
      <c r="K48" t="s">
        <v>50</v>
      </c>
      <c r="M48" t="s">
        <v>224</v>
      </c>
      <c r="N48">
        <v>27</v>
      </c>
      <c r="O48" t="s">
        <v>204</v>
      </c>
    </row>
    <row r="49" spans="1:15" x14ac:dyDescent="0.25">
      <c r="A49" t="s">
        <v>225</v>
      </c>
      <c r="B49" t="s">
        <v>69</v>
      </c>
      <c r="C49" t="s">
        <v>6</v>
      </c>
      <c r="D49" t="s">
        <v>6</v>
      </c>
      <c r="E49" t="s">
        <v>199</v>
      </c>
      <c r="F49">
        <v>0</v>
      </c>
      <c r="G49" t="b">
        <v>0</v>
      </c>
      <c r="H49" t="b">
        <v>1</v>
      </c>
      <c r="I49" t="s">
        <v>200</v>
      </c>
      <c r="J49" t="s">
        <v>196</v>
      </c>
      <c r="K49" t="s">
        <v>50</v>
      </c>
      <c r="M49" t="s">
        <v>226</v>
      </c>
      <c r="N49">
        <v>28</v>
      </c>
      <c r="O49" t="s">
        <v>204</v>
      </c>
    </row>
    <row r="50" spans="1:15" x14ac:dyDescent="0.25">
      <c r="A50" t="s">
        <v>227</v>
      </c>
      <c r="B50" t="s">
        <v>69</v>
      </c>
      <c r="C50" t="s">
        <v>6</v>
      </c>
      <c r="D50" t="s">
        <v>6</v>
      </c>
      <c r="E50" t="s">
        <v>199</v>
      </c>
      <c r="F50">
        <v>0</v>
      </c>
      <c r="G50" t="b">
        <v>0</v>
      </c>
      <c r="H50" t="b">
        <v>1</v>
      </c>
      <c r="I50" t="s">
        <v>200</v>
      </c>
      <c r="J50" t="s">
        <v>196</v>
      </c>
      <c r="K50" t="s">
        <v>50</v>
      </c>
      <c r="M50" t="s">
        <v>228</v>
      </c>
      <c r="N50">
        <v>16</v>
      </c>
      <c r="O50" t="s">
        <v>204</v>
      </c>
    </row>
    <row r="51" spans="1:15" x14ac:dyDescent="0.25">
      <c r="A51" t="s">
        <v>229</v>
      </c>
      <c r="B51" t="s">
        <v>69</v>
      </c>
      <c r="C51" t="s">
        <v>6</v>
      </c>
      <c r="D51" t="s">
        <v>6</v>
      </c>
      <c r="E51" t="s">
        <v>199</v>
      </c>
      <c r="F51">
        <v>0</v>
      </c>
      <c r="G51" t="b">
        <v>0</v>
      </c>
      <c r="H51" t="b">
        <v>1</v>
      </c>
      <c r="I51" t="s">
        <v>200</v>
      </c>
      <c r="J51" t="s">
        <v>196</v>
      </c>
      <c r="K51" t="s">
        <v>50</v>
      </c>
      <c r="M51" t="s">
        <v>230</v>
      </c>
      <c r="N51">
        <v>31</v>
      </c>
      <c r="O51" t="s">
        <v>204</v>
      </c>
    </row>
    <row r="52" spans="1:15" x14ac:dyDescent="0.25">
      <c r="A52" t="s">
        <v>231</v>
      </c>
      <c r="B52" t="s">
        <v>69</v>
      </c>
      <c r="C52" t="s">
        <v>6</v>
      </c>
      <c r="D52" t="s">
        <v>6</v>
      </c>
      <c r="E52" t="s">
        <v>194</v>
      </c>
      <c r="F52">
        <v>72.5</v>
      </c>
      <c r="G52" t="b">
        <v>0</v>
      </c>
      <c r="H52" t="b">
        <v>1</v>
      </c>
      <c r="I52" t="s">
        <v>200</v>
      </c>
      <c r="J52" t="s">
        <v>196</v>
      </c>
      <c r="K52" t="s">
        <v>50</v>
      </c>
      <c r="M52" t="s">
        <v>232</v>
      </c>
      <c r="N52">
        <v>1</v>
      </c>
      <c r="O52" t="s">
        <v>204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10FF-EE9B-494F-8D6E-9377B4E18B38}">
  <sheetPr>
    <tabColor theme="5"/>
  </sheetPr>
  <dimension ref="A1:M47"/>
  <sheetViews>
    <sheetView workbookViewId="0">
      <selection activeCell="G33" sqref="G33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7.28515625" bestFit="1" customWidth="1"/>
    <col min="4" max="4" width="21.7109375" bestFit="1" customWidth="1"/>
    <col min="5" max="5" width="23.140625" bestFit="1" customWidth="1"/>
    <col min="6" max="6" width="22.7109375" bestFit="1" customWidth="1"/>
    <col min="7" max="7" width="10" bestFit="1" customWidth="1"/>
    <col min="8" max="8" width="27.42578125" bestFit="1" customWidth="1"/>
    <col min="9" max="9" width="26.140625" bestFit="1" customWidth="1"/>
    <col min="10" max="10" width="10.7109375" bestFit="1" customWidth="1"/>
    <col min="11" max="11" width="35.140625" bestFit="1" customWidth="1"/>
    <col min="12" max="12" width="18" bestFit="1" customWidth="1"/>
    <col min="13" max="13" width="15.710937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24</v>
      </c>
      <c r="E1" t="s">
        <v>49</v>
      </c>
      <c r="F1" t="s">
        <v>48</v>
      </c>
      <c r="G1" t="s">
        <v>47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9</v>
      </c>
    </row>
    <row r="2" spans="1:13" x14ac:dyDescent="0.25">
      <c r="H2" t="s">
        <v>232</v>
      </c>
      <c r="I2" t="s">
        <v>6</v>
      </c>
      <c r="J2" t="s">
        <v>57</v>
      </c>
      <c r="K2" t="s">
        <v>232</v>
      </c>
      <c r="L2" t="s">
        <v>6</v>
      </c>
      <c r="M2" t="s">
        <v>204</v>
      </c>
    </row>
    <row r="3" spans="1:13" x14ac:dyDescent="0.25">
      <c r="H3" t="s">
        <v>203</v>
      </c>
      <c r="I3" t="s">
        <v>6</v>
      </c>
      <c r="J3" t="s">
        <v>57</v>
      </c>
      <c r="K3" t="s">
        <v>203</v>
      </c>
      <c r="L3" t="s">
        <v>6</v>
      </c>
      <c r="M3" t="s">
        <v>204</v>
      </c>
    </row>
    <row r="4" spans="1:13" x14ac:dyDescent="0.25">
      <c r="H4" t="s">
        <v>206</v>
      </c>
      <c r="I4" t="s">
        <v>6</v>
      </c>
      <c r="J4" t="s">
        <v>57</v>
      </c>
      <c r="K4" t="s">
        <v>206</v>
      </c>
      <c r="L4" t="s">
        <v>6</v>
      </c>
      <c r="M4" t="s">
        <v>204</v>
      </c>
    </row>
    <row r="5" spans="1:13" x14ac:dyDescent="0.25">
      <c r="H5" t="s">
        <v>212</v>
      </c>
      <c r="I5" t="s">
        <v>6</v>
      </c>
      <c r="J5" t="s">
        <v>57</v>
      </c>
      <c r="K5" t="s">
        <v>212</v>
      </c>
      <c r="L5" t="s">
        <v>6</v>
      </c>
      <c r="M5" t="s">
        <v>204</v>
      </c>
    </row>
    <row r="6" spans="1:13" x14ac:dyDescent="0.25">
      <c r="H6" t="s">
        <v>216</v>
      </c>
      <c r="I6" t="s">
        <v>6</v>
      </c>
      <c r="J6" t="s">
        <v>57</v>
      </c>
      <c r="K6" t="s">
        <v>216</v>
      </c>
      <c r="L6" t="s">
        <v>6</v>
      </c>
      <c r="M6" t="s">
        <v>204</v>
      </c>
    </row>
    <row r="7" spans="1:13" x14ac:dyDescent="0.25">
      <c r="H7" t="s">
        <v>220</v>
      </c>
      <c r="I7" t="s">
        <v>6</v>
      </c>
      <c r="J7" t="s">
        <v>57</v>
      </c>
      <c r="K7" t="s">
        <v>220</v>
      </c>
      <c r="L7" t="s">
        <v>6</v>
      </c>
      <c r="M7" t="s">
        <v>204</v>
      </c>
    </row>
    <row r="8" spans="1:13" x14ac:dyDescent="0.25">
      <c r="H8" t="s">
        <v>222</v>
      </c>
      <c r="I8" t="s">
        <v>6</v>
      </c>
      <c r="J8" t="s">
        <v>57</v>
      </c>
      <c r="K8" t="s">
        <v>222</v>
      </c>
      <c r="L8" t="s">
        <v>6</v>
      </c>
      <c r="M8" t="s">
        <v>204</v>
      </c>
    </row>
    <row r="9" spans="1:13" x14ac:dyDescent="0.25">
      <c r="H9" t="s">
        <v>228</v>
      </c>
      <c r="I9" t="s">
        <v>6</v>
      </c>
      <c r="J9" t="s">
        <v>57</v>
      </c>
      <c r="K9" t="s">
        <v>228</v>
      </c>
      <c r="L9" t="s">
        <v>6</v>
      </c>
      <c r="M9" t="s">
        <v>204</v>
      </c>
    </row>
    <row r="10" spans="1:13" x14ac:dyDescent="0.25">
      <c r="H10" t="s">
        <v>224</v>
      </c>
      <c r="I10" t="s">
        <v>6</v>
      </c>
      <c r="J10" t="s">
        <v>57</v>
      </c>
      <c r="K10" t="s">
        <v>224</v>
      </c>
      <c r="L10" t="s">
        <v>6</v>
      </c>
      <c r="M10" t="s">
        <v>204</v>
      </c>
    </row>
    <row r="11" spans="1:13" x14ac:dyDescent="0.25">
      <c r="H11" t="s">
        <v>226</v>
      </c>
      <c r="I11" t="s">
        <v>6</v>
      </c>
      <c r="J11" t="s">
        <v>57</v>
      </c>
      <c r="K11" t="s">
        <v>226</v>
      </c>
      <c r="L11" t="s">
        <v>6</v>
      </c>
      <c r="M11" t="s">
        <v>204</v>
      </c>
    </row>
    <row r="12" spans="1:13" x14ac:dyDescent="0.25">
      <c r="H12" t="s">
        <v>230</v>
      </c>
      <c r="I12" t="s">
        <v>6</v>
      </c>
      <c r="J12" t="s">
        <v>57</v>
      </c>
      <c r="K12" t="s">
        <v>230</v>
      </c>
      <c r="L12" t="s">
        <v>6</v>
      </c>
      <c r="M12" t="s">
        <v>204</v>
      </c>
    </row>
    <row r="13" spans="1:13" x14ac:dyDescent="0.25">
      <c r="H13" t="s">
        <v>214</v>
      </c>
      <c r="I13" t="s">
        <v>6</v>
      </c>
      <c r="J13" t="s">
        <v>57</v>
      </c>
      <c r="K13" t="s">
        <v>214</v>
      </c>
      <c r="L13" t="s">
        <v>6</v>
      </c>
      <c r="M13" t="s">
        <v>204</v>
      </c>
    </row>
    <row r="14" spans="1:13" x14ac:dyDescent="0.25">
      <c r="H14" t="s">
        <v>218</v>
      </c>
      <c r="I14" t="s">
        <v>6</v>
      </c>
      <c r="J14" t="s">
        <v>57</v>
      </c>
      <c r="K14" t="s">
        <v>218</v>
      </c>
      <c r="L14" t="s">
        <v>6</v>
      </c>
      <c r="M14" t="s">
        <v>204</v>
      </c>
    </row>
    <row r="15" spans="1:13" x14ac:dyDescent="0.25">
      <c r="H15" t="s">
        <v>210</v>
      </c>
      <c r="I15" t="s">
        <v>6</v>
      </c>
      <c r="J15" t="s">
        <v>57</v>
      </c>
      <c r="K15" t="s">
        <v>210</v>
      </c>
      <c r="L15" t="s">
        <v>6</v>
      </c>
      <c r="M15" t="s">
        <v>204</v>
      </c>
    </row>
    <row r="16" spans="1:13" x14ac:dyDescent="0.25">
      <c r="H16" t="s">
        <v>208</v>
      </c>
      <c r="I16" t="s">
        <v>6</v>
      </c>
      <c r="J16" t="s">
        <v>57</v>
      </c>
      <c r="K16" t="s">
        <v>208</v>
      </c>
      <c r="L16" t="s">
        <v>6</v>
      </c>
      <c r="M16" t="s">
        <v>204</v>
      </c>
    </row>
    <row r="17" spans="1:13" x14ac:dyDescent="0.25">
      <c r="A17" t="s">
        <v>70</v>
      </c>
      <c r="B17" t="s">
        <v>71</v>
      </c>
      <c r="C17" t="s">
        <v>6</v>
      </c>
      <c r="D17">
        <v>30</v>
      </c>
      <c r="F17" t="s">
        <v>50</v>
      </c>
      <c r="G17" t="s">
        <v>72</v>
      </c>
      <c r="H17" t="s">
        <v>201</v>
      </c>
      <c r="I17" t="s">
        <v>6</v>
      </c>
      <c r="J17" t="s">
        <v>57</v>
      </c>
      <c r="K17" t="s">
        <v>233</v>
      </c>
      <c r="L17" t="s">
        <v>234</v>
      </c>
      <c r="M17" t="s">
        <v>235</v>
      </c>
    </row>
    <row r="18" spans="1:13" x14ac:dyDescent="0.25">
      <c r="A18" t="s">
        <v>78</v>
      </c>
      <c r="B18" t="s">
        <v>79</v>
      </c>
      <c r="C18" t="s">
        <v>6</v>
      </c>
      <c r="D18">
        <v>0</v>
      </c>
      <c r="F18" t="s">
        <v>50</v>
      </c>
      <c r="G18" t="s">
        <v>72</v>
      </c>
      <c r="J18" t="s">
        <v>57</v>
      </c>
      <c r="K18" t="s">
        <v>79</v>
      </c>
      <c r="L18" t="s">
        <v>6</v>
      </c>
      <c r="M18" t="s">
        <v>73</v>
      </c>
    </row>
    <row r="19" spans="1:13" x14ac:dyDescent="0.25">
      <c r="A19" t="s">
        <v>80</v>
      </c>
      <c r="B19" t="s">
        <v>81</v>
      </c>
      <c r="C19" t="s">
        <v>6</v>
      </c>
      <c r="D19">
        <v>56</v>
      </c>
      <c r="F19" t="s">
        <v>50</v>
      </c>
      <c r="G19" t="s">
        <v>72</v>
      </c>
      <c r="J19" t="s">
        <v>57</v>
      </c>
      <c r="K19" t="s">
        <v>81</v>
      </c>
      <c r="L19" t="s">
        <v>6</v>
      </c>
      <c r="M19" t="s">
        <v>73</v>
      </c>
    </row>
    <row r="20" spans="1:13" x14ac:dyDescent="0.25">
      <c r="A20" t="s">
        <v>67</v>
      </c>
      <c r="B20" t="s">
        <v>86</v>
      </c>
      <c r="C20" t="s">
        <v>6</v>
      </c>
      <c r="D20">
        <v>46</v>
      </c>
      <c r="F20" t="s">
        <v>50</v>
      </c>
      <c r="G20" t="s">
        <v>72</v>
      </c>
      <c r="J20" t="s">
        <v>57</v>
      </c>
      <c r="K20" t="s">
        <v>86</v>
      </c>
      <c r="L20" t="s">
        <v>6</v>
      </c>
      <c r="M20" t="s">
        <v>73</v>
      </c>
    </row>
    <row r="21" spans="1:13" x14ac:dyDescent="0.25">
      <c r="A21" t="s">
        <v>87</v>
      </c>
      <c r="B21" t="s">
        <v>88</v>
      </c>
      <c r="C21" t="s">
        <v>6</v>
      </c>
      <c r="D21">
        <v>0</v>
      </c>
      <c r="F21" t="s">
        <v>50</v>
      </c>
      <c r="G21" t="s">
        <v>72</v>
      </c>
      <c r="J21" t="s">
        <v>57</v>
      </c>
      <c r="K21" t="s">
        <v>88</v>
      </c>
      <c r="L21" t="s">
        <v>6</v>
      </c>
      <c r="M21" t="s">
        <v>73</v>
      </c>
    </row>
    <row r="22" spans="1:13" x14ac:dyDescent="0.25">
      <c r="A22" t="s">
        <v>91</v>
      </c>
      <c r="B22" t="s">
        <v>92</v>
      </c>
      <c r="C22" t="s">
        <v>7</v>
      </c>
      <c r="D22">
        <v>76</v>
      </c>
      <c r="F22" t="s">
        <v>50</v>
      </c>
      <c r="G22" t="s">
        <v>72</v>
      </c>
      <c r="J22" t="s">
        <v>57</v>
      </c>
      <c r="K22" t="s">
        <v>92</v>
      </c>
      <c r="L22" t="s">
        <v>7</v>
      </c>
      <c r="M22" t="s">
        <v>73</v>
      </c>
    </row>
    <row r="23" spans="1:13" x14ac:dyDescent="0.25">
      <c r="A23" t="s">
        <v>97</v>
      </c>
      <c r="B23" t="s">
        <v>98</v>
      </c>
      <c r="C23" t="s">
        <v>6</v>
      </c>
      <c r="D23">
        <v>0</v>
      </c>
      <c r="F23" t="s">
        <v>50</v>
      </c>
      <c r="G23" t="s">
        <v>72</v>
      </c>
      <c r="J23" t="s">
        <v>57</v>
      </c>
      <c r="K23" t="s">
        <v>98</v>
      </c>
      <c r="L23" t="s">
        <v>6</v>
      </c>
      <c r="M23" t="s">
        <v>73</v>
      </c>
    </row>
    <row r="24" spans="1:13" x14ac:dyDescent="0.25">
      <c r="A24" t="s">
        <v>240</v>
      </c>
      <c r="B24" t="s">
        <v>241</v>
      </c>
      <c r="C24" t="s">
        <v>6</v>
      </c>
      <c r="D24">
        <v>76</v>
      </c>
      <c r="F24" t="s">
        <v>50</v>
      </c>
      <c r="G24" t="s">
        <v>72</v>
      </c>
      <c r="J24" t="s">
        <v>57</v>
      </c>
      <c r="K24" t="s">
        <v>241</v>
      </c>
      <c r="L24" t="s">
        <v>6</v>
      </c>
      <c r="M24" t="s">
        <v>73</v>
      </c>
    </row>
    <row r="25" spans="1:13" x14ac:dyDescent="0.25">
      <c r="A25" t="s">
        <v>103</v>
      </c>
      <c r="B25" t="s">
        <v>104</v>
      </c>
      <c r="C25" t="s">
        <v>6</v>
      </c>
      <c r="D25">
        <v>0</v>
      </c>
      <c r="F25" t="s">
        <v>50</v>
      </c>
      <c r="G25" t="s">
        <v>72</v>
      </c>
      <c r="J25" t="s">
        <v>57</v>
      </c>
      <c r="K25" t="s">
        <v>104</v>
      </c>
      <c r="L25" t="s">
        <v>6</v>
      </c>
      <c r="M25" t="s">
        <v>73</v>
      </c>
    </row>
    <row r="26" spans="1:13" x14ac:dyDescent="0.25">
      <c r="A26" t="s">
        <v>107</v>
      </c>
      <c r="B26" t="s">
        <v>108</v>
      </c>
      <c r="C26" t="s">
        <v>6</v>
      </c>
      <c r="D26">
        <v>76</v>
      </c>
      <c r="F26" t="s">
        <v>50</v>
      </c>
      <c r="G26" t="s">
        <v>72</v>
      </c>
      <c r="J26" t="s">
        <v>57</v>
      </c>
      <c r="K26" t="s">
        <v>108</v>
      </c>
      <c r="L26" t="s">
        <v>6</v>
      </c>
      <c r="M26" t="s">
        <v>73</v>
      </c>
    </row>
    <row r="27" spans="1:13" x14ac:dyDescent="0.25">
      <c r="A27" t="s">
        <v>115</v>
      </c>
      <c r="B27" t="s">
        <v>116</v>
      </c>
      <c r="C27" t="s">
        <v>6</v>
      </c>
      <c r="D27">
        <v>0</v>
      </c>
      <c r="F27" t="s">
        <v>50</v>
      </c>
      <c r="G27" t="s">
        <v>72</v>
      </c>
      <c r="J27" t="s">
        <v>57</v>
      </c>
      <c r="K27" t="s">
        <v>116</v>
      </c>
      <c r="L27" t="s">
        <v>6</v>
      </c>
      <c r="M27" t="s">
        <v>73</v>
      </c>
    </row>
    <row r="28" spans="1:13" x14ac:dyDescent="0.25">
      <c r="A28" t="s">
        <v>119</v>
      </c>
      <c r="B28" t="s">
        <v>120</v>
      </c>
      <c r="C28" t="s">
        <v>7</v>
      </c>
      <c r="D28">
        <v>76</v>
      </c>
      <c r="F28" t="s">
        <v>50</v>
      </c>
      <c r="G28" t="s">
        <v>72</v>
      </c>
      <c r="J28" t="s">
        <v>57</v>
      </c>
      <c r="K28" t="s">
        <v>120</v>
      </c>
      <c r="L28" t="s">
        <v>7</v>
      </c>
      <c r="M28" t="s">
        <v>73</v>
      </c>
    </row>
    <row r="29" spans="1:13" x14ac:dyDescent="0.25">
      <c r="A29" t="s">
        <v>242</v>
      </c>
      <c r="B29" t="s">
        <v>243</v>
      </c>
      <c r="C29" t="s">
        <v>6</v>
      </c>
      <c r="D29">
        <v>68</v>
      </c>
      <c r="F29" t="s">
        <v>50</v>
      </c>
      <c r="G29" t="s">
        <v>72</v>
      </c>
      <c r="J29" t="s">
        <v>57</v>
      </c>
      <c r="K29" t="s">
        <v>243</v>
      </c>
      <c r="L29" t="s">
        <v>6</v>
      </c>
      <c r="M29" t="s">
        <v>73</v>
      </c>
    </row>
    <row r="30" spans="1:13" x14ac:dyDescent="0.25">
      <c r="A30" t="s">
        <v>244</v>
      </c>
      <c r="B30" t="s">
        <v>245</v>
      </c>
      <c r="C30" t="s">
        <v>6</v>
      </c>
      <c r="D30">
        <v>40</v>
      </c>
      <c r="F30" t="s">
        <v>50</v>
      </c>
      <c r="G30" t="s">
        <v>72</v>
      </c>
      <c r="J30" t="s">
        <v>57</v>
      </c>
      <c r="K30" t="s">
        <v>245</v>
      </c>
      <c r="L30" t="s">
        <v>6</v>
      </c>
      <c r="M30" t="s">
        <v>73</v>
      </c>
    </row>
    <row r="31" spans="1:13" x14ac:dyDescent="0.25">
      <c r="A31" t="s">
        <v>127</v>
      </c>
      <c r="B31" t="s">
        <v>128</v>
      </c>
      <c r="C31" t="s">
        <v>6</v>
      </c>
      <c r="D31">
        <v>56</v>
      </c>
      <c r="F31" t="s">
        <v>50</v>
      </c>
      <c r="G31" t="s">
        <v>72</v>
      </c>
      <c r="J31" t="s">
        <v>57</v>
      </c>
      <c r="K31" t="s">
        <v>128</v>
      </c>
      <c r="L31" t="s">
        <v>6</v>
      </c>
      <c r="M31" t="s">
        <v>73</v>
      </c>
    </row>
    <row r="32" spans="1:13" x14ac:dyDescent="0.25">
      <c r="A32" t="s">
        <v>135</v>
      </c>
      <c r="B32" t="s">
        <v>136</v>
      </c>
      <c r="C32" t="s">
        <v>7</v>
      </c>
      <c r="D32">
        <v>76</v>
      </c>
      <c r="F32" t="s">
        <v>50</v>
      </c>
      <c r="G32" t="s">
        <v>72</v>
      </c>
      <c r="J32" t="s">
        <v>57</v>
      </c>
      <c r="K32" t="s">
        <v>136</v>
      </c>
      <c r="L32" t="s">
        <v>7</v>
      </c>
      <c r="M32" t="s">
        <v>73</v>
      </c>
    </row>
    <row r="33" spans="1:13" x14ac:dyDescent="0.25">
      <c r="A33" t="s">
        <v>141</v>
      </c>
      <c r="B33" t="s">
        <v>142</v>
      </c>
      <c r="C33" t="s">
        <v>6</v>
      </c>
      <c r="D33">
        <v>76</v>
      </c>
      <c r="F33" t="s">
        <v>50</v>
      </c>
      <c r="G33" t="s">
        <v>72</v>
      </c>
      <c r="J33" t="s">
        <v>57</v>
      </c>
      <c r="K33" t="s">
        <v>142</v>
      </c>
      <c r="L33" t="s">
        <v>6</v>
      </c>
      <c r="M33" t="s">
        <v>73</v>
      </c>
    </row>
    <row r="34" spans="1:13" x14ac:dyDescent="0.25">
      <c r="A34" t="s">
        <v>145</v>
      </c>
      <c r="B34" t="s">
        <v>146</v>
      </c>
      <c r="C34" t="s">
        <v>51</v>
      </c>
      <c r="D34">
        <v>15</v>
      </c>
      <c r="F34" t="s">
        <v>50</v>
      </c>
      <c r="G34" t="s">
        <v>72</v>
      </c>
      <c r="J34" t="s">
        <v>57</v>
      </c>
      <c r="K34" t="s">
        <v>146</v>
      </c>
      <c r="L34" t="s">
        <v>51</v>
      </c>
      <c r="M34" t="s">
        <v>73</v>
      </c>
    </row>
    <row r="35" spans="1:13" x14ac:dyDescent="0.25">
      <c r="A35" t="s">
        <v>151</v>
      </c>
      <c r="B35" t="s">
        <v>152</v>
      </c>
      <c r="C35" t="s">
        <v>6</v>
      </c>
      <c r="D35">
        <v>64</v>
      </c>
      <c r="F35" t="s">
        <v>50</v>
      </c>
      <c r="G35" t="s">
        <v>72</v>
      </c>
      <c r="J35" t="s">
        <v>57</v>
      </c>
      <c r="K35" t="s">
        <v>152</v>
      </c>
      <c r="L35" t="s">
        <v>6</v>
      </c>
      <c r="M35" t="s">
        <v>73</v>
      </c>
    </row>
    <row r="36" spans="1:13" x14ac:dyDescent="0.25">
      <c r="A36" t="s">
        <v>155</v>
      </c>
      <c r="B36" t="s">
        <v>156</v>
      </c>
      <c r="C36" t="s">
        <v>6</v>
      </c>
      <c r="D36">
        <v>76</v>
      </c>
      <c r="F36" t="s">
        <v>50</v>
      </c>
      <c r="G36" t="s">
        <v>72</v>
      </c>
      <c r="J36" t="s">
        <v>57</v>
      </c>
      <c r="K36" t="s">
        <v>156</v>
      </c>
      <c r="L36" t="s">
        <v>6</v>
      </c>
      <c r="M36" t="s">
        <v>73</v>
      </c>
    </row>
    <row r="37" spans="1:13" x14ac:dyDescent="0.25">
      <c r="A37" t="s">
        <v>157</v>
      </c>
      <c r="B37" t="s">
        <v>158</v>
      </c>
      <c r="C37" t="s">
        <v>6</v>
      </c>
      <c r="D37">
        <v>0</v>
      </c>
      <c r="F37" t="s">
        <v>50</v>
      </c>
      <c r="G37" t="s">
        <v>72</v>
      </c>
      <c r="J37" t="s">
        <v>57</v>
      </c>
      <c r="K37" t="s">
        <v>158</v>
      </c>
      <c r="L37" t="s">
        <v>6</v>
      </c>
      <c r="M37" t="s">
        <v>73</v>
      </c>
    </row>
    <row r="38" spans="1:13" x14ac:dyDescent="0.25">
      <c r="A38" t="s">
        <v>161</v>
      </c>
      <c r="B38" t="s">
        <v>162</v>
      </c>
      <c r="C38" t="s">
        <v>6</v>
      </c>
      <c r="D38">
        <v>76</v>
      </c>
      <c r="F38" t="s">
        <v>50</v>
      </c>
      <c r="G38" t="s">
        <v>72</v>
      </c>
      <c r="J38" t="s">
        <v>57</v>
      </c>
      <c r="K38" t="s">
        <v>162</v>
      </c>
      <c r="L38" t="s">
        <v>6</v>
      </c>
      <c r="M38" t="s">
        <v>73</v>
      </c>
    </row>
    <row r="39" spans="1:13" x14ac:dyDescent="0.25">
      <c r="A39" t="s">
        <v>246</v>
      </c>
      <c r="B39" t="s">
        <v>247</v>
      </c>
      <c r="C39" t="s">
        <v>6</v>
      </c>
      <c r="D39">
        <v>56</v>
      </c>
      <c r="F39" t="s">
        <v>50</v>
      </c>
      <c r="G39" t="s">
        <v>72</v>
      </c>
      <c r="J39" t="s">
        <v>57</v>
      </c>
      <c r="K39" t="s">
        <v>247</v>
      </c>
      <c r="L39" t="s">
        <v>6</v>
      </c>
      <c r="M39" t="s">
        <v>73</v>
      </c>
    </row>
    <row r="40" spans="1:13" x14ac:dyDescent="0.25">
      <c r="A40" t="s">
        <v>169</v>
      </c>
      <c r="B40" t="s">
        <v>170</v>
      </c>
      <c r="C40" t="s">
        <v>6</v>
      </c>
      <c r="D40">
        <v>76</v>
      </c>
      <c r="F40" t="s">
        <v>50</v>
      </c>
      <c r="G40" t="s">
        <v>72</v>
      </c>
      <c r="J40" t="s">
        <v>57</v>
      </c>
      <c r="K40" t="s">
        <v>170</v>
      </c>
      <c r="L40" t="s">
        <v>6</v>
      </c>
      <c r="M40" t="s">
        <v>73</v>
      </c>
    </row>
    <row r="41" spans="1:13" x14ac:dyDescent="0.25">
      <c r="A41" t="s">
        <v>171</v>
      </c>
      <c r="B41" t="s">
        <v>172</v>
      </c>
      <c r="C41" t="s">
        <v>6</v>
      </c>
      <c r="D41">
        <v>32</v>
      </c>
      <c r="F41" t="s">
        <v>50</v>
      </c>
      <c r="G41" t="s">
        <v>72</v>
      </c>
      <c r="J41" t="s">
        <v>57</v>
      </c>
      <c r="K41" t="s">
        <v>172</v>
      </c>
      <c r="L41" t="s">
        <v>6</v>
      </c>
      <c r="M41" t="s">
        <v>73</v>
      </c>
    </row>
    <row r="42" spans="1:13" x14ac:dyDescent="0.25">
      <c r="A42" t="s">
        <v>175</v>
      </c>
      <c r="B42" t="s">
        <v>176</v>
      </c>
      <c r="C42" t="s">
        <v>6</v>
      </c>
      <c r="D42">
        <v>64</v>
      </c>
      <c r="F42" t="s">
        <v>50</v>
      </c>
      <c r="G42" t="s">
        <v>72</v>
      </c>
      <c r="J42" t="s">
        <v>57</v>
      </c>
      <c r="K42" t="s">
        <v>176</v>
      </c>
      <c r="L42" t="s">
        <v>6</v>
      </c>
      <c r="M42" t="s">
        <v>73</v>
      </c>
    </row>
    <row r="43" spans="1:13" x14ac:dyDescent="0.25">
      <c r="A43" t="s">
        <v>248</v>
      </c>
      <c r="B43" t="s">
        <v>249</v>
      </c>
      <c r="C43" t="s">
        <v>6</v>
      </c>
      <c r="D43">
        <v>76</v>
      </c>
      <c r="F43" t="s">
        <v>50</v>
      </c>
      <c r="G43" t="s">
        <v>72</v>
      </c>
      <c r="J43" t="s">
        <v>57</v>
      </c>
      <c r="K43" t="s">
        <v>249</v>
      </c>
      <c r="L43" t="s">
        <v>6</v>
      </c>
      <c r="M43" t="s">
        <v>73</v>
      </c>
    </row>
    <row r="44" spans="1:13" x14ac:dyDescent="0.25">
      <c r="A44" t="s">
        <v>185</v>
      </c>
      <c r="B44" t="s">
        <v>186</v>
      </c>
      <c r="C44" t="s">
        <v>6</v>
      </c>
      <c r="D44">
        <v>40</v>
      </c>
      <c r="F44" t="s">
        <v>50</v>
      </c>
      <c r="G44" t="s">
        <v>72</v>
      </c>
      <c r="J44" t="s">
        <v>57</v>
      </c>
      <c r="K44" t="s">
        <v>186</v>
      </c>
      <c r="L44" t="s">
        <v>6</v>
      </c>
      <c r="M44" t="s">
        <v>73</v>
      </c>
    </row>
    <row r="45" spans="1:13" x14ac:dyDescent="0.25">
      <c r="A45" t="s">
        <v>187</v>
      </c>
      <c r="B45" t="s">
        <v>188</v>
      </c>
      <c r="C45" t="s">
        <v>51</v>
      </c>
      <c r="D45">
        <v>48</v>
      </c>
      <c r="F45" t="s">
        <v>50</v>
      </c>
      <c r="G45" t="s">
        <v>72</v>
      </c>
      <c r="J45" t="s">
        <v>57</v>
      </c>
      <c r="K45" t="s">
        <v>188</v>
      </c>
      <c r="L45" t="s">
        <v>51</v>
      </c>
      <c r="M45" t="s">
        <v>73</v>
      </c>
    </row>
    <row r="46" spans="1:13" x14ac:dyDescent="0.25">
      <c r="A46" t="s">
        <v>189</v>
      </c>
      <c r="B46" t="s">
        <v>190</v>
      </c>
      <c r="C46" t="s">
        <v>6</v>
      </c>
      <c r="D46">
        <v>40</v>
      </c>
      <c r="F46" t="s">
        <v>50</v>
      </c>
      <c r="G46" t="s">
        <v>72</v>
      </c>
      <c r="J46" t="s">
        <v>57</v>
      </c>
      <c r="K46" t="s">
        <v>190</v>
      </c>
      <c r="L46" t="s">
        <v>6</v>
      </c>
      <c r="M46" t="s">
        <v>73</v>
      </c>
    </row>
    <row r="47" spans="1:13" x14ac:dyDescent="0.25">
      <c r="A47" t="s">
        <v>191</v>
      </c>
      <c r="B47" t="s">
        <v>192</v>
      </c>
      <c r="C47" t="s">
        <v>51</v>
      </c>
      <c r="D47">
        <v>50</v>
      </c>
      <c r="F47" t="s">
        <v>50</v>
      </c>
      <c r="G47" t="s">
        <v>72</v>
      </c>
      <c r="J47" t="s">
        <v>57</v>
      </c>
      <c r="K47" t="s">
        <v>192</v>
      </c>
      <c r="L47" t="s">
        <v>51</v>
      </c>
      <c r="M47" t="s">
        <v>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sheetPr>
    <tabColor theme="5"/>
  </sheetPr>
  <dimension ref="A1:AA52"/>
  <sheetViews>
    <sheetView tabSelected="1" workbookViewId="0">
      <selection activeCell="I24" sqref="I24"/>
    </sheetView>
  </sheetViews>
  <sheetFormatPr defaultRowHeight="15" x14ac:dyDescent="0.25"/>
  <cols>
    <col min="1" max="1" width="24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14.42578125" bestFit="1" customWidth="1"/>
    <col min="11" max="11" width="12.42578125" bestFit="1" customWidth="1"/>
    <col min="12" max="12" width="22.140625" bestFit="1" customWidth="1"/>
    <col min="13" max="13" width="22.7109375" bestFit="1" customWidth="1"/>
    <col min="14" max="14" width="23.140625" bestFit="1" customWidth="1"/>
    <col min="15" max="15" width="25.140625" bestFit="1" customWidth="1"/>
    <col min="16" max="16" width="21.7109375" bestFit="1" customWidth="1"/>
    <col min="17" max="17" width="13.5703125" bestFit="1" customWidth="1"/>
    <col min="18" max="18" width="12.7109375" bestFit="1" customWidth="1"/>
    <col min="19" max="19" width="18.5703125" bestFit="1" customWidth="1"/>
    <col min="20" max="20" width="25.140625" bestFit="1" customWidth="1"/>
    <col min="21" max="21" width="28" bestFit="1" customWidth="1"/>
    <col min="22" max="22" width="18.5703125" bestFit="1" customWidth="1"/>
    <col min="23" max="23" width="25.5703125" bestFit="1" customWidth="1"/>
    <col min="24" max="24" width="19.7109375" bestFit="1" customWidth="1"/>
    <col min="25" max="25" width="25.140625" bestFit="1" customWidth="1"/>
    <col min="26" max="26" width="19.5703125" bestFit="1" customWidth="1"/>
    <col min="27" max="27" width="11" bestFit="1" customWidth="1"/>
    <col min="28" max="28" width="28" bestFit="1" customWidth="1"/>
    <col min="29" max="29" width="8.42578125" bestFit="1" customWidth="1"/>
    <col min="30" max="30" width="13.28515625" customWidth="1"/>
    <col min="31" max="31" width="11.42578125" bestFit="1" customWidth="1"/>
    <col min="32" max="33" width="13.28515625" bestFit="1" customWidth="1"/>
    <col min="34" max="34" width="10.85546875" customWidth="1"/>
    <col min="35" max="35" width="13.28515625" bestFit="1" customWidth="1"/>
  </cols>
  <sheetData>
    <row r="1" spans="1:27" x14ac:dyDescent="0.25">
      <c r="A1" t="s">
        <v>0</v>
      </c>
      <c r="B1" t="s">
        <v>1</v>
      </c>
      <c r="C1" t="s">
        <v>5</v>
      </c>
      <c r="D1" t="s">
        <v>9</v>
      </c>
      <c r="E1" t="s">
        <v>47</v>
      </c>
      <c r="F1" t="s">
        <v>20</v>
      </c>
      <c r="G1" t="s">
        <v>21</v>
      </c>
      <c r="H1" t="s">
        <v>23</v>
      </c>
      <c r="I1" t="s">
        <v>22</v>
      </c>
      <c r="J1" t="s">
        <v>63</v>
      </c>
      <c r="K1" t="s">
        <v>64</v>
      </c>
      <c r="L1" t="s">
        <v>65</v>
      </c>
      <c r="M1" t="s">
        <v>48</v>
      </c>
      <c r="N1" t="s">
        <v>49</v>
      </c>
      <c r="O1" t="s">
        <v>66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AA1" t="s">
        <v>2</v>
      </c>
    </row>
    <row r="2" spans="1:27" x14ac:dyDescent="0.25">
      <c r="A2" t="s">
        <v>232</v>
      </c>
      <c r="B2" t="s">
        <v>6</v>
      </c>
      <c r="C2">
        <v>1</v>
      </c>
      <c r="D2" t="s">
        <v>204</v>
      </c>
      <c r="E2" t="s">
        <v>196</v>
      </c>
      <c r="F2" t="s">
        <v>231</v>
      </c>
      <c r="G2" t="s">
        <v>69</v>
      </c>
      <c r="H2" t="s">
        <v>194</v>
      </c>
      <c r="I2" t="s">
        <v>6</v>
      </c>
      <c r="J2" t="b">
        <v>0</v>
      </c>
      <c r="K2" t="b">
        <v>1</v>
      </c>
      <c r="L2" t="s">
        <v>200</v>
      </c>
      <c r="M2" t="s">
        <v>50</v>
      </c>
      <c r="O2" t="s">
        <v>236</v>
      </c>
      <c r="P2">
        <v>72.5</v>
      </c>
      <c r="Q2" s="10">
        <v>46223</v>
      </c>
      <c r="R2" s="10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237</v>
      </c>
    </row>
    <row r="3" spans="1:27" x14ac:dyDescent="0.25">
      <c r="A3" t="s">
        <v>203</v>
      </c>
      <c r="B3" t="s">
        <v>6</v>
      </c>
      <c r="C3">
        <v>2</v>
      </c>
      <c r="D3" t="s">
        <v>204</v>
      </c>
      <c r="E3" t="s">
        <v>196</v>
      </c>
      <c r="F3" t="s">
        <v>202</v>
      </c>
      <c r="G3" t="s">
        <v>69</v>
      </c>
      <c r="H3" t="s">
        <v>199</v>
      </c>
      <c r="I3" t="s">
        <v>6</v>
      </c>
      <c r="J3" t="b">
        <v>0</v>
      </c>
      <c r="K3" t="b">
        <v>1</v>
      </c>
      <c r="L3" t="s">
        <v>200</v>
      </c>
      <c r="M3" t="s">
        <v>50</v>
      </c>
      <c r="O3" t="s">
        <v>238</v>
      </c>
      <c r="P3">
        <v>76</v>
      </c>
      <c r="Q3" s="10">
        <v>46223</v>
      </c>
      <c r="R3" s="10">
        <v>46250</v>
      </c>
      <c r="S3">
        <v>2</v>
      </c>
      <c r="T3">
        <v>152</v>
      </c>
      <c r="U3">
        <v>20</v>
      </c>
      <c r="V3">
        <v>20</v>
      </c>
      <c r="W3">
        <v>20</v>
      </c>
      <c r="X3">
        <v>20</v>
      </c>
      <c r="Y3" t="s">
        <v>238</v>
      </c>
    </row>
    <row r="4" spans="1:27" x14ac:dyDescent="0.25">
      <c r="A4" t="s">
        <v>206</v>
      </c>
      <c r="B4" t="s">
        <v>6</v>
      </c>
      <c r="C4">
        <v>3</v>
      </c>
      <c r="D4" t="s">
        <v>204</v>
      </c>
      <c r="E4" t="s">
        <v>196</v>
      </c>
      <c r="F4" t="s">
        <v>205</v>
      </c>
      <c r="G4" t="s">
        <v>69</v>
      </c>
      <c r="H4" t="s">
        <v>199</v>
      </c>
      <c r="I4" t="s">
        <v>6</v>
      </c>
      <c r="J4" t="b">
        <v>0</v>
      </c>
      <c r="K4" t="b">
        <v>1</v>
      </c>
      <c r="L4" t="s">
        <v>200</v>
      </c>
      <c r="M4" t="s">
        <v>50</v>
      </c>
      <c r="O4" t="s">
        <v>238</v>
      </c>
      <c r="P4">
        <v>76</v>
      </c>
      <c r="Q4" s="10">
        <v>46223</v>
      </c>
      <c r="R4" s="10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238</v>
      </c>
    </row>
    <row r="5" spans="1:27" x14ac:dyDescent="0.25">
      <c r="A5" t="s">
        <v>201</v>
      </c>
      <c r="B5" t="s">
        <v>6</v>
      </c>
      <c r="C5">
        <v>4</v>
      </c>
      <c r="E5" t="s">
        <v>196</v>
      </c>
      <c r="F5" t="s">
        <v>70</v>
      </c>
      <c r="G5" t="s">
        <v>69</v>
      </c>
      <c r="H5" t="s">
        <v>194</v>
      </c>
      <c r="I5" t="s">
        <v>6</v>
      </c>
      <c r="J5" t="b">
        <v>0</v>
      </c>
      <c r="K5" t="b">
        <v>1</v>
      </c>
      <c r="L5" t="s">
        <v>200</v>
      </c>
      <c r="M5" t="s">
        <v>50</v>
      </c>
      <c r="O5" t="s">
        <v>236</v>
      </c>
      <c r="P5">
        <v>30</v>
      </c>
      <c r="Q5" s="10">
        <v>46223</v>
      </c>
      <c r="R5" s="10">
        <v>46250</v>
      </c>
      <c r="S5">
        <v>2</v>
      </c>
      <c r="T5">
        <v>60</v>
      </c>
      <c r="U5">
        <v>7.8947368421052637</v>
      </c>
      <c r="V5">
        <v>7</v>
      </c>
      <c r="W5">
        <v>20</v>
      </c>
      <c r="X5">
        <v>7</v>
      </c>
      <c r="Y5" t="s">
        <v>237</v>
      </c>
    </row>
    <row r="6" spans="1:27" x14ac:dyDescent="0.25">
      <c r="A6" t="s">
        <v>75</v>
      </c>
      <c r="B6" t="s">
        <v>6</v>
      </c>
      <c r="C6">
        <v>5</v>
      </c>
      <c r="E6" t="s">
        <v>196</v>
      </c>
      <c r="F6" t="s">
        <v>74</v>
      </c>
      <c r="G6" t="s">
        <v>69</v>
      </c>
      <c r="H6" t="s">
        <v>199</v>
      </c>
      <c r="I6" t="s">
        <v>6</v>
      </c>
      <c r="J6" t="b">
        <v>1</v>
      </c>
      <c r="K6" t="b">
        <v>0</v>
      </c>
      <c r="L6" t="s">
        <v>198</v>
      </c>
      <c r="M6" t="s">
        <v>50</v>
      </c>
      <c r="O6" t="s">
        <v>238</v>
      </c>
      <c r="P6">
        <v>76</v>
      </c>
      <c r="Q6" s="10">
        <v>46223</v>
      </c>
      <c r="R6" s="10">
        <v>46250</v>
      </c>
      <c r="S6">
        <v>2</v>
      </c>
      <c r="T6">
        <v>152</v>
      </c>
      <c r="U6">
        <v>20</v>
      </c>
      <c r="V6">
        <v>20</v>
      </c>
      <c r="W6">
        <v>20</v>
      </c>
      <c r="X6">
        <v>20</v>
      </c>
      <c r="Y6" t="s">
        <v>238</v>
      </c>
    </row>
    <row r="7" spans="1:27" x14ac:dyDescent="0.25">
      <c r="A7" t="s">
        <v>212</v>
      </c>
      <c r="B7" t="s">
        <v>6</v>
      </c>
      <c r="C7">
        <v>6</v>
      </c>
      <c r="D7" t="s">
        <v>204</v>
      </c>
      <c r="E7" t="s">
        <v>196</v>
      </c>
      <c r="F7" t="s">
        <v>211</v>
      </c>
      <c r="G7" t="s">
        <v>69</v>
      </c>
      <c r="H7" t="s">
        <v>199</v>
      </c>
      <c r="I7" t="s">
        <v>6</v>
      </c>
      <c r="J7" t="b">
        <v>0</v>
      </c>
      <c r="K7" t="b">
        <v>1</v>
      </c>
      <c r="L7" t="s">
        <v>200</v>
      </c>
      <c r="M7" t="s">
        <v>50</v>
      </c>
      <c r="O7" t="s">
        <v>238</v>
      </c>
      <c r="P7">
        <v>76</v>
      </c>
      <c r="Q7" s="10">
        <v>46223</v>
      </c>
      <c r="R7" s="10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238</v>
      </c>
    </row>
    <row r="8" spans="1:27" x14ac:dyDescent="0.25">
      <c r="A8" t="s">
        <v>77</v>
      </c>
      <c r="B8" t="s">
        <v>7</v>
      </c>
      <c r="C8">
        <v>7</v>
      </c>
      <c r="E8" t="s">
        <v>196</v>
      </c>
      <c r="F8" t="s">
        <v>76</v>
      </c>
      <c r="G8" t="s">
        <v>69</v>
      </c>
      <c r="H8" t="s">
        <v>197</v>
      </c>
      <c r="I8" t="s">
        <v>7</v>
      </c>
      <c r="J8" t="b">
        <v>1</v>
      </c>
      <c r="K8" t="b">
        <v>1</v>
      </c>
      <c r="L8" t="s">
        <v>195</v>
      </c>
      <c r="M8" t="s">
        <v>50</v>
      </c>
      <c r="O8" t="s">
        <v>236</v>
      </c>
      <c r="P8">
        <v>76</v>
      </c>
      <c r="Q8" s="10">
        <v>46223</v>
      </c>
      <c r="R8" s="10">
        <v>46250</v>
      </c>
      <c r="S8">
        <v>2</v>
      </c>
      <c r="T8">
        <v>152</v>
      </c>
      <c r="U8">
        <v>20</v>
      </c>
      <c r="V8">
        <v>20</v>
      </c>
      <c r="W8">
        <v>20</v>
      </c>
      <c r="X8">
        <v>20</v>
      </c>
      <c r="Y8" t="s">
        <v>239</v>
      </c>
    </row>
    <row r="9" spans="1:27" x14ac:dyDescent="0.25">
      <c r="A9" t="s">
        <v>216</v>
      </c>
      <c r="B9" t="s">
        <v>6</v>
      </c>
      <c r="C9">
        <v>8</v>
      </c>
      <c r="D9" t="s">
        <v>204</v>
      </c>
      <c r="E9" t="s">
        <v>196</v>
      </c>
      <c r="F9" t="s">
        <v>215</v>
      </c>
      <c r="G9" t="s">
        <v>69</v>
      </c>
      <c r="H9" t="s">
        <v>194</v>
      </c>
      <c r="I9" t="s">
        <v>6</v>
      </c>
      <c r="J9" t="b">
        <v>0</v>
      </c>
      <c r="K9" t="b">
        <v>1</v>
      </c>
      <c r="L9" t="s">
        <v>200</v>
      </c>
      <c r="M9" t="s">
        <v>50</v>
      </c>
      <c r="O9" t="s">
        <v>236</v>
      </c>
      <c r="P9">
        <v>72.5</v>
      </c>
      <c r="Q9" s="10">
        <v>46223</v>
      </c>
      <c r="R9" s="10">
        <v>46250</v>
      </c>
      <c r="S9">
        <v>2</v>
      </c>
      <c r="T9">
        <v>145</v>
      </c>
      <c r="U9">
        <v>19.078947368421055</v>
      </c>
      <c r="V9">
        <v>19</v>
      </c>
      <c r="W9">
        <v>20</v>
      </c>
      <c r="X9">
        <v>19</v>
      </c>
      <c r="Y9" t="s">
        <v>237</v>
      </c>
    </row>
    <row r="10" spans="1:27" x14ac:dyDescent="0.25">
      <c r="A10" t="s">
        <v>220</v>
      </c>
      <c r="B10" t="s">
        <v>6</v>
      </c>
      <c r="C10">
        <v>9</v>
      </c>
      <c r="D10" t="s">
        <v>204</v>
      </c>
      <c r="E10" t="s">
        <v>196</v>
      </c>
      <c r="F10" t="s">
        <v>219</v>
      </c>
      <c r="G10" t="s">
        <v>69</v>
      </c>
      <c r="H10" t="s">
        <v>199</v>
      </c>
      <c r="I10" t="s">
        <v>6</v>
      </c>
      <c r="J10" t="b">
        <v>0</v>
      </c>
      <c r="K10" t="b">
        <v>1</v>
      </c>
      <c r="L10" t="s">
        <v>200</v>
      </c>
      <c r="M10" t="s">
        <v>50</v>
      </c>
      <c r="O10" t="s">
        <v>238</v>
      </c>
      <c r="P10">
        <v>76</v>
      </c>
      <c r="Q10" s="10">
        <v>46223</v>
      </c>
      <c r="R10" s="10">
        <v>46250</v>
      </c>
      <c r="S10">
        <v>2</v>
      </c>
      <c r="T10">
        <v>152</v>
      </c>
      <c r="U10">
        <v>20</v>
      </c>
      <c r="V10">
        <v>20</v>
      </c>
      <c r="W10">
        <v>20</v>
      </c>
      <c r="X10">
        <v>20</v>
      </c>
      <c r="Y10" t="s">
        <v>238</v>
      </c>
    </row>
    <row r="11" spans="1:27" x14ac:dyDescent="0.25">
      <c r="A11" t="s">
        <v>222</v>
      </c>
      <c r="B11" t="s">
        <v>6</v>
      </c>
      <c r="C11">
        <v>10</v>
      </c>
      <c r="D11" t="s">
        <v>204</v>
      </c>
      <c r="E11" t="s">
        <v>196</v>
      </c>
      <c r="F11" t="s">
        <v>221</v>
      </c>
      <c r="G11" t="s">
        <v>69</v>
      </c>
      <c r="H11" t="s">
        <v>199</v>
      </c>
      <c r="I11" t="s">
        <v>6</v>
      </c>
      <c r="J11" t="b">
        <v>0</v>
      </c>
      <c r="K11" t="b">
        <v>1</v>
      </c>
      <c r="L11" t="s">
        <v>200</v>
      </c>
      <c r="M11" t="s">
        <v>50</v>
      </c>
      <c r="O11" t="s">
        <v>238</v>
      </c>
      <c r="P11">
        <v>76</v>
      </c>
      <c r="Q11" s="10">
        <v>46223</v>
      </c>
      <c r="R11" s="10">
        <v>46250</v>
      </c>
      <c r="S11">
        <v>2</v>
      </c>
      <c r="T11">
        <v>152</v>
      </c>
      <c r="U11">
        <v>20</v>
      </c>
      <c r="V11">
        <v>20</v>
      </c>
      <c r="W11">
        <v>20</v>
      </c>
      <c r="X11">
        <v>20</v>
      </c>
      <c r="Y11" t="s">
        <v>238</v>
      </c>
    </row>
    <row r="12" spans="1:27" x14ac:dyDescent="0.25">
      <c r="A12" t="s">
        <v>83</v>
      </c>
      <c r="B12" t="s">
        <v>6</v>
      </c>
      <c r="C12">
        <v>11</v>
      </c>
      <c r="E12" t="s">
        <v>196</v>
      </c>
      <c r="F12" t="s">
        <v>82</v>
      </c>
      <c r="G12" t="s">
        <v>69</v>
      </c>
      <c r="H12" t="s">
        <v>197</v>
      </c>
      <c r="I12" t="s">
        <v>6</v>
      </c>
      <c r="J12" t="b">
        <v>1</v>
      </c>
      <c r="K12" t="b">
        <v>0</v>
      </c>
      <c r="L12" t="s">
        <v>198</v>
      </c>
      <c r="M12" t="s">
        <v>50</v>
      </c>
      <c r="O12" t="s">
        <v>236</v>
      </c>
      <c r="P12">
        <v>76</v>
      </c>
      <c r="Q12" s="10">
        <v>46223</v>
      </c>
      <c r="R12" s="10">
        <v>46250</v>
      </c>
      <c r="S12">
        <v>2</v>
      </c>
      <c r="T12">
        <v>152</v>
      </c>
      <c r="U12">
        <v>20</v>
      </c>
      <c r="V12">
        <v>20</v>
      </c>
      <c r="W12">
        <v>20</v>
      </c>
      <c r="X12">
        <v>20</v>
      </c>
      <c r="Y12" t="s">
        <v>239</v>
      </c>
    </row>
    <row r="13" spans="1:27" x14ac:dyDescent="0.25">
      <c r="A13" t="s">
        <v>85</v>
      </c>
      <c r="B13" t="s">
        <v>6</v>
      </c>
      <c r="C13">
        <v>12</v>
      </c>
      <c r="E13" t="s">
        <v>196</v>
      </c>
      <c r="F13" t="s">
        <v>84</v>
      </c>
      <c r="G13" t="s">
        <v>69</v>
      </c>
      <c r="H13" t="s">
        <v>194</v>
      </c>
      <c r="I13" t="s">
        <v>6</v>
      </c>
      <c r="J13" t="b">
        <v>1</v>
      </c>
      <c r="K13" t="b">
        <v>1</v>
      </c>
      <c r="L13" t="s">
        <v>195</v>
      </c>
      <c r="M13" t="s">
        <v>50</v>
      </c>
      <c r="O13" t="s">
        <v>236</v>
      </c>
      <c r="P13">
        <v>64</v>
      </c>
      <c r="Q13" s="10">
        <v>46223</v>
      </c>
      <c r="R13" s="10">
        <v>46250</v>
      </c>
      <c r="S13">
        <v>2</v>
      </c>
      <c r="T13">
        <v>128</v>
      </c>
      <c r="U13">
        <v>16.842105263157894</v>
      </c>
      <c r="V13">
        <v>16</v>
      </c>
      <c r="W13">
        <v>20</v>
      </c>
      <c r="X13">
        <v>16</v>
      </c>
      <c r="Y13" t="s">
        <v>237</v>
      </c>
    </row>
    <row r="14" spans="1:27" x14ac:dyDescent="0.25">
      <c r="A14" t="s">
        <v>90</v>
      </c>
      <c r="B14" t="s">
        <v>6</v>
      </c>
      <c r="C14">
        <v>13</v>
      </c>
      <c r="E14" t="s">
        <v>196</v>
      </c>
      <c r="F14" t="s">
        <v>89</v>
      </c>
      <c r="G14" t="s">
        <v>69</v>
      </c>
      <c r="H14" t="s">
        <v>194</v>
      </c>
      <c r="I14" t="s">
        <v>6</v>
      </c>
      <c r="J14" t="b">
        <v>1</v>
      </c>
      <c r="K14" t="b">
        <v>0</v>
      </c>
      <c r="L14" t="s">
        <v>198</v>
      </c>
      <c r="M14" t="s">
        <v>50</v>
      </c>
      <c r="O14" t="s">
        <v>236</v>
      </c>
      <c r="P14">
        <v>64</v>
      </c>
      <c r="Q14" s="10">
        <v>46223</v>
      </c>
      <c r="R14" s="10">
        <v>46250</v>
      </c>
      <c r="S14">
        <v>2</v>
      </c>
      <c r="T14">
        <v>128</v>
      </c>
      <c r="U14">
        <v>16.842105263157894</v>
      </c>
      <c r="V14">
        <v>16</v>
      </c>
      <c r="W14">
        <v>20</v>
      </c>
      <c r="X14">
        <v>16</v>
      </c>
      <c r="Y14" t="s">
        <v>237</v>
      </c>
    </row>
    <row r="15" spans="1:27" x14ac:dyDescent="0.25">
      <c r="A15" t="s">
        <v>94</v>
      </c>
      <c r="B15" t="s">
        <v>6</v>
      </c>
      <c r="C15">
        <v>14</v>
      </c>
      <c r="E15" t="s">
        <v>196</v>
      </c>
      <c r="F15" t="s">
        <v>93</v>
      </c>
      <c r="G15" t="s">
        <v>69</v>
      </c>
      <c r="H15" t="s">
        <v>194</v>
      </c>
      <c r="I15" t="s">
        <v>6</v>
      </c>
      <c r="J15" t="b">
        <v>1</v>
      </c>
      <c r="K15" t="b">
        <v>1</v>
      </c>
      <c r="L15" t="s">
        <v>195</v>
      </c>
      <c r="M15" t="s">
        <v>50</v>
      </c>
      <c r="O15" t="s">
        <v>236</v>
      </c>
      <c r="P15">
        <v>40</v>
      </c>
      <c r="Q15" s="10">
        <v>46223</v>
      </c>
      <c r="R15" s="10">
        <v>46250</v>
      </c>
      <c r="S15">
        <v>2</v>
      </c>
      <c r="T15">
        <v>80</v>
      </c>
      <c r="U15">
        <v>10.526315789473685</v>
      </c>
      <c r="V15">
        <v>10</v>
      </c>
      <c r="W15">
        <v>20</v>
      </c>
      <c r="X15">
        <v>10</v>
      </c>
      <c r="Y15" t="s">
        <v>237</v>
      </c>
    </row>
    <row r="16" spans="1:27" x14ac:dyDescent="0.25">
      <c r="A16" t="s">
        <v>96</v>
      </c>
      <c r="B16" t="s">
        <v>6</v>
      </c>
      <c r="C16">
        <v>15</v>
      </c>
      <c r="E16" t="s">
        <v>196</v>
      </c>
      <c r="F16" t="s">
        <v>95</v>
      </c>
      <c r="G16" t="s">
        <v>69</v>
      </c>
      <c r="H16" t="s">
        <v>194</v>
      </c>
      <c r="I16" t="s">
        <v>6</v>
      </c>
      <c r="J16" t="b">
        <v>1</v>
      </c>
      <c r="K16" t="b">
        <v>1</v>
      </c>
      <c r="L16" t="s">
        <v>195</v>
      </c>
      <c r="M16" t="s">
        <v>50</v>
      </c>
      <c r="O16" t="s">
        <v>236</v>
      </c>
      <c r="P16">
        <v>64</v>
      </c>
      <c r="Q16" s="10">
        <v>46223</v>
      </c>
      <c r="R16" s="10">
        <v>46250</v>
      </c>
      <c r="S16">
        <v>2</v>
      </c>
      <c r="T16">
        <v>128</v>
      </c>
      <c r="U16">
        <v>16.842105263157894</v>
      </c>
      <c r="V16">
        <v>16</v>
      </c>
      <c r="W16">
        <v>20</v>
      </c>
      <c r="X16">
        <v>16</v>
      </c>
      <c r="Y16" t="s">
        <v>237</v>
      </c>
    </row>
    <row r="17" spans="1:25" x14ac:dyDescent="0.25">
      <c r="A17" t="s">
        <v>228</v>
      </c>
      <c r="B17" t="s">
        <v>6</v>
      </c>
      <c r="C17">
        <v>16</v>
      </c>
      <c r="D17" t="s">
        <v>204</v>
      </c>
      <c r="E17" t="s">
        <v>196</v>
      </c>
      <c r="F17" t="s">
        <v>227</v>
      </c>
      <c r="G17" t="s">
        <v>69</v>
      </c>
      <c r="H17" t="s">
        <v>199</v>
      </c>
      <c r="I17" t="s">
        <v>6</v>
      </c>
      <c r="J17" t="b">
        <v>0</v>
      </c>
      <c r="K17" t="b">
        <v>1</v>
      </c>
      <c r="L17" t="s">
        <v>200</v>
      </c>
      <c r="M17" t="s">
        <v>50</v>
      </c>
      <c r="O17" t="s">
        <v>238</v>
      </c>
      <c r="P17">
        <v>76</v>
      </c>
      <c r="Q17" s="10">
        <v>46223</v>
      </c>
      <c r="R17" s="10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238</v>
      </c>
    </row>
    <row r="18" spans="1:25" x14ac:dyDescent="0.25">
      <c r="A18" t="s">
        <v>100</v>
      </c>
      <c r="B18" t="s">
        <v>6</v>
      </c>
      <c r="C18">
        <v>17</v>
      </c>
      <c r="E18" t="s">
        <v>196</v>
      </c>
      <c r="F18" t="s">
        <v>99</v>
      </c>
      <c r="G18" t="s">
        <v>69</v>
      </c>
      <c r="H18" t="s">
        <v>194</v>
      </c>
      <c r="I18" t="s">
        <v>6</v>
      </c>
      <c r="J18" t="b">
        <v>1</v>
      </c>
      <c r="K18" t="b">
        <v>1</v>
      </c>
      <c r="L18" t="s">
        <v>195</v>
      </c>
      <c r="M18" t="s">
        <v>50</v>
      </c>
      <c r="O18" t="s">
        <v>236</v>
      </c>
      <c r="P18">
        <v>40</v>
      </c>
      <c r="Q18" s="10">
        <v>46223</v>
      </c>
      <c r="R18" s="10">
        <v>46250</v>
      </c>
      <c r="S18">
        <v>2</v>
      </c>
      <c r="T18">
        <v>80</v>
      </c>
      <c r="U18">
        <v>10.526315789473685</v>
      </c>
      <c r="V18">
        <v>10</v>
      </c>
      <c r="W18">
        <v>20</v>
      </c>
      <c r="X18">
        <v>10</v>
      </c>
      <c r="Y18" t="s">
        <v>237</v>
      </c>
    </row>
    <row r="19" spans="1:25" x14ac:dyDescent="0.25">
      <c r="A19" t="s">
        <v>102</v>
      </c>
      <c r="B19" t="s">
        <v>6</v>
      </c>
      <c r="C19">
        <v>18</v>
      </c>
      <c r="E19" t="s">
        <v>196</v>
      </c>
      <c r="F19" t="s">
        <v>101</v>
      </c>
      <c r="G19" t="s">
        <v>69</v>
      </c>
      <c r="H19" t="s">
        <v>199</v>
      </c>
      <c r="I19" t="s">
        <v>6</v>
      </c>
      <c r="J19" t="b">
        <v>1</v>
      </c>
      <c r="K19" t="b">
        <v>0</v>
      </c>
      <c r="L19" t="s">
        <v>198</v>
      </c>
      <c r="M19" t="s">
        <v>50</v>
      </c>
      <c r="O19" t="s">
        <v>238</v>
      </c>
      <c r="P19">
        <v>76</v>
      </c>
      <c r="Q19" s="10">
        <v>46223</v>
      </c>
      <c r="R19" s="10">
        <v>46250</v>
      </c>
      <c r="S19">
        <v>2</v>
      </c>
      <c r="T19">
        <v>152</v>
      </c>
      <c r="U19">
        <v>20</v>
      </c>
      <c r="V19">
        <v>20</v>
      </c>
      <c r="W19">
        <v>20</v>
      </c>
      <c r="X19">
        <v>20</v>
      </c>
      <c r="Y19" t="s">
        <v>238</v>
      </c>
    </row>
    <row r="20" spans="1:25" x14ac:dyDescent="0.25">
      <c r="A20" t="s">
        <v>106</v>
      </c>
      <c r="B20" t="s">
        <v>6</v>
      </c>
      <c r="C20">
        <v>19</v>
      </c>
      <c r="E20" t="s">
        <v>196</v>
      </c>
      <c r="F20" t="s">
        <v>105</v>
      </c>
      <c r="G20" t="s">
        <v>69</v>
      </c>
      <c r="H20" t="s">
        <v>197</v>
      </c>
      <c r="I20" t="s">
        <v>6</v>
      </c>
      <c r="J20" t="b">
        <v>1</v>
      </c>
      <c r="K20" t="b">
        <v>1</v>
      </c>
      <c r="L20" t="s">
        <v>195</v>
      </c>
      <c r="M20" t="s">
        <v>50</v>
      </c>
      <c r="O20" t="s">
        <v>236</v>
      </c>
      <c r="P20">
        <v>76</v>
      </c>
      <c r="Q20" s="10">
        <v>46223</v>
      </c>
      <c r="R20" s="10">
        <v>46250</v>
      </c>
      <c r="S20">
        <v>2</v>
      </c>
      <c r="T20">
        <v>152</v>
      </c>
      <c r="U20">
        <v>20</v>
      </c>
      <c r="V20">
        <v>20</v>
      </c>
      <c r="W20">
        <v>20</v>
      </c>
      <c r="X20">
        <v>20</v>
      </c>
      <c r="Y20" t="s">
        <v>239</v>
      </c>
    </row>
    <row r="21" spans="1:25" x14ac:dyDescent="0.25">
      <c r="A21" t="s">
        <v>110</v>
      </c>
      <c r="B21" t="s">
        <v>6</v>
      </c>
      <c r="C21">
        <v>20</v>
      </c>
      <c r="E21" t="s">
        <v>196</v>
      </c>
      <c r="F21" t="s">
        <v>109</v>
      </c>
      <c r="G21" t="s">
        <v>69</v>
      </c>
      <c r="H21" t="s">
        <v>197</v>
      </c>
      <c r="I21" t="s">
        <v>6</v>
      </c>
      <c r="J21" t="b">
        <v>1</v>
      </c>
      <c r="K21" t="b">
        <v>1</v>
      </c>
      <c r="L21" t="s">
        <v>195</v>
      </c>
      <c r="M21" t="s">
        <v>50</v>
      </c>
      <c r="O21" t="s">
        <v>236</v>
      </c>
      <c r="P21">
        <v>76</v>
      </c>
      <c r="Q21" s="10">
        <v>46223</v>
      </c>
      <c r="R21" s="10">
        <v>46250</v>
      </c>
      <c r="S21">
        <v>2</v>
      </c>
      <c r="T21">
        <v>152</v>
      </c>
      <c r="U21">
        <v>20</v>
      </c>
      <c r="V21">
        <v>20</v>
      </c>
      <c r="W21">
        <v>20</v>
      </c>
      <c r="X21">
        <v>20</v>
      </c>
      <c r="Y21" t="s">
        <v>239</v>
      </c>
    </row>
    <row r="22" spans="1:25" x14ac:dyDescent="0.25">
      <c r="A22" t="s">
        <v>112</v>
      </c>
      <c r="B22" t="s">
        <v>6</v>
      </c>
      <c r="C22">
        <v>21</v>
      </c>
      <c r="E22" t="s">
        <v>196</v>
      </c>
      <c r="F22" t="s">
        <v>111</v>
      </c>
      <c r="G22" t="s">
        <v>69</v>
      </c>
      <c r="H22" t="s">
        <v>197</v>
      </c>
      <c r="I22" t="s">
        <v>6</v>
      </c>
      <c r="J22" t="b">
        <v>1</v>
      </c>
      <c r="K22" t="b">
        <v>1</v>
      </c>
      <c r="L22" t="s">
        <v>195</v>
      </c>
      <c r="M22" t="s">
        <v>50</v>
      </c>
      <c r="O22" t="s">
        <v>236</v>
      </c>
      <c r="P22">
        <v>76</v>
      </c>
      <c r="Q22" s="10">
        <v>46223</v>
      </c>
      <c r="R22" s="10">
        <v>46250</v>
      </c>
      <c r="S22">
        <v>2</v>
      </c>
      <c r="T22">
        <v>152</v>
      </c>
      <c r="U22">
        <v>20</v>
      </c>
      <c r="V22">
        <v>20</v>
      </c>
      <c r="W22">
        <v>20</v>
      </c>
      <c r="X22">
        <v>20</v>
      </c>
      <c r="Y22" t="s">
        <v>239</v>
      </c>
    </row>
    <row r="23" spans="1:25" x14ac:dyDescent="0.25">
      <c r="A23" t="s">
        <v>114</v>
      </c>
      <c r="B23" t="s">
        <v>6</v>
      </c>
      <c r="C23">
        <v>22</v>
      </c>
      <c r="E23" t="s">
        <v>196</v>
      </c>
      <c r="F23" t="s">
        <v>113</v>
      </c>
      <c r="G23" t="s">
        <v>69</v>
      </c>
      <c r="H23" t="s">
        <v>199</v>
      </c>
      <c r="I23" t="s">
        <v>6</v>
      </c>
      <c r="J23" t="b">
        <v>1</v>
      </c>
      <c r="K23" t="b">
        <v>1</v>
      </c>
      <c r="L23" t="s">
        <v>195</v>
      </c>
      <c r="M23" t="s">
        <v>50</v>
      </c>
      <c r="O23" t="s">
        <v>238</v>
      </c>
      <c r="P23">
        <v>76</v>
      </c>
      <c r="Q23" s="10">
        <v>46223</v>
      </c>
      <c r="R23" s="10">
        <v>46250</v>
      </c>
      <c r="S23">
        <v>2</v>
      </c>
      <c r="T23">
        <v>152</v>
      </c>
      <c r="U23">
        <v>20</v>
      </c>
      <c r="V23">
        <v>20</v>
      </c>
      <c r="W23">
        <v>20</v>
      </c>
      <c r="X23">
        <v>20</v>
      </c>
      <c r="Y23" t="s">
        <v>238</v>
      </c>
    </row>
    <row r="24" spans="1:25" x14ac:dyDescent="0.25">
      <c r="A24" t="s">
        <v>118</v>
      </c>
      <c r="B24" t="s">
        <v>51</v>
      </c>
      <c r="C24">
        <v>23</v>
      </c>
      <c r="E24" t="s">
        <v>196</v>
      </c>
      <c r="F24" t="s">
        <v>117</v>
      </c>
      <c r="G24" t="s">
        <v>69</v>
      </c>
      <c r="H24" t="s">
        <v>194</v>
      </c>
      <c r="I24" t="s">
        <v>51</v>
      </c>
      <c r="J24" t="b">
        <v>1</v>
      </c>
      <c r="K24" t="b">
        <v>1</v>
      </c>
      <c r="L24" t="s">
        <v>195</v>
      </c>
      <c r="M24" t="s">
        <v>50</v>
      </c>
      <c r="O24" t="s">
        <v>236</v>
      </c>
      <c r="P24">
        <v>38</v>
      </c>
      <c r="Q24" s="10">
        <v>46223</v>
      </c>
      <c r="R24" s="10">
        <v>46250</v>
      </c>
      <c r="S24">
        <v>2</v>
      </c>
      <c r="T24">
        <v>76</v>
      </c>
      <c r="U24">
        <v>10</v>
      </c>
      <c r="V24">
        <v>10</v>
      </c>
      <c r="W24">
        <v>20</v>
      </c>
      <c r="X24">
        <v>10</v>
      </c>
      <c r="Y24" t="s">
        <v>237</v>
      </c>
    </row>
    <row r="25" spans="1:25" x14ac:dyDescent="0.25">
      <c r="A25" t="s">
        <v>122</v>
      </c>
      <c r="B25" t="s">
        <v>7</v>
      </c>
      <c r="C25">
        <v>24</v>
      </c>
      <c r="E25" t="s">
        <v>196</v>
      </c>
      <c r="F25" t="s">
        <v>121</v>
      </c>
      <c r="G25" t="s">
        <v>69</v>
      </c>
      <c r="H25" t="s">
        <v>197</v>
      </c>
      <c r="I25" t="s">
        <v>7</v>
      </c>
      <c r="J25" t="b">
        <v>1</v>
      </c>
      <c r="K25" t="b">
        <v>1</v>
      </c>
      <c r="L25" t="s">
        <v>195</v>
      </c>
      <c r="M25" t="s">
        <v>50</v>
      </c>
      <c r="O25" t="s">
        <v>236</v>
      </c>
      <c r="P25">
        <v>76</v>
      </c>
      <c r="Q25" s="10">
        <v>46223</v>
      </c>
      <c r="R25" s="10">
        <v>46250</v>
      </c>
      <c r="S25">
        <v>2</v>
      </c>
      <c r="T25">
        <v>152</v>
      </c>
      <c r="U25">
        <v>20</v>
      </c>
      <c r="V25">
        <v>20</v>
      </c>
      <c r="W25">
        <v>20</v>
      </c>
      <c r="X25">
        <v>20</v>
      </c>
      <c r="Y25" t="s">
        <v>239</v>
      </c>
    </row>
    <row r="26" spans="1:25" x14ac:dyDescent="0.25">
      <c r="A26" t="s">
        <v>124</v>
      </c>
      <c r="B26" t="s">
        <v>7</v>
      </c>
      <c r="C26">
        <v>25</v>
      </c>
      <c r="E26" t="s">
        <v>196</v>
      </c>
      <c r="F26" t="s">
        <v>123</v>
      </c>
      <c r="G26" t="s">
        <v>69</v>
      </c>
      <c r="H26" t="s">
        <v>194</v>
      </c>
      <c r="I26" t="s">
        <v>7</v>
      </c>
      <c r="J26" t="b">
        <v>1</v>
      </c>
      <c r="K26" t="b">
        <v>1</v>
      </c>
      <c r="L26" t="s">
        <v>195</v>
      </c>
      <c r="M26" t="s">
        <v>50</v>
      </c>
      <c r="O26" t="s">
        <v>236</v>
      </c>
      <c r="P26">
        <v>72</v>
      </c>
      <c r="Q26" s="10">
        <v>46223</v>
      </c>
      <c r="R26" s="10">
        <v>46250</v>
      </c>
      <c r="S26">
        <v>2</v>
      </c>
      <c r="T26">
        <v>144</v>
      </c>
      <c r="U26">
        <v>18.947368421052634</v>
      </c>
      <c r="V26">
        <v>18</v>
      </c>
      <c r="W26">
        <v>20</v>
      </c>
      <c r="X26">
        <v>18</v>
      </c>
      <c r="Y26" t="s">
        <v>237</v>
      </c>
    </row>
    <row r="27" spans="1:25" x14ac:dyDescent="0.25">
      <c r="A27" t="s">
        <v>126</v>
      </c>
      <c r="B27" t="s">
        <v>6</v>
      </c>
      <c r="C27">
        <v>26</v>
      </c>
      <c r="E27" t="s">
        <v>196</v>
      </c>
      <c r="F27" t="s">
        <v>125</v>
      </c>
      <c r="G27" t="s">
        <v>69</v>
      </c>
      <c r="H27" t="s">
        <v>194</v>
      </c>
      <c r="I27" t="s">
        <v>6</v>
      </c>
      <c r="J27" t="b">
        <v>1</v>
      </c>
      <c r="K27" t="b">
        <v>1</v>
      </c>
      <c r="L27" t="s">
        <v>195</v>
      </c>
      <c r="M27" t="s">
        <v>50</v>
      </c>
      <c r="O27" t="s">
        <v>236</v>
      </c>
      <c r="P27">
        <v>64</v>
      </c>
      <c r="Q27" s="10">
        <v>46223</v>
      </c>
      <c r="R27" s="10">
        <v>46250</v>
      </c>
      <c r="S27">
        <v>2</v>
      </c>
      <c r="T27">
        <v>128</v>
      </c>
      <c r="U27">
        <v>16.842105263157894</v>
      </c>
      <c r="V27">
        <v>16</v>
      </c>
      <c r="W27">
        <v>20</v>
      </c>
      <c r="X27">
        <v>16</v>
      </c>
      <c r="Y27" t="s">
        <v>237</v>
      </c>
    </row>
    <row r="28" spans="1:25" x14ac:dyDescent="0.25">
      <c r="A28" t="s">
        <v>224</v>
      </c>
      <c r="B28" t="s">
        <v>6</v>
      </c>
      <c r="C28">
        <v>27</v>
      </c>
      <c r="D28" t="s">
        <v>204</v>
      </c>
      <c r="E28" t="s">
        <v>196</v>
      </c>
      <c r="F28" t="s">
        <v>223</v>
      </c>
      <c r="G28" t="s">
        <v>69</v>
      </c>
      <c r="H28" t="s">
        <v>194</v>
      </c>
      <c r="I28" t="s">
        <v>6</v>
      </c>
      <c r="J28" t="b">
        <v>1</v>
      </c>
      <c r="K28" t="b">
        <v>1</v>
      </c>
      <c r="L28" t="s">
        <v>195</v>
      </c>
      <c r="M28" t="s">
        <v>50</v>
      </c>
      <c r="O28" t="s">
        <v>236</v>
      </c>
      <c r="P28">
        <v>40</v>
      </c>
      <c r="Q28" s="10">
        <v>46223</v>
      </c>
      <c r="R28" s="10">
        <v>46250</v>
      </c>
      <c r="S28">
        <v>2</v>
      </c>
      <c r="T28">
        <v>80</v>
      </c>
      <c r="U28">
        <v>10.526315789473685</v>
      </c>
      <c r="V28">
        <v>10</v>
      </c>
      <c r="W28">
        <v>20</v>
      </c>
      <c r="X28">
        <v>10</v>
      </c>
      <c r="Y28" t="s">
        <v>237</v>
      </c>
    </row>
    <row r="29" spans="1:25" x14ac:dyDescent="0.25">
      <c r="A29" t="s">
        <v>226</v>
      </c>
      <c r="B29" t="s">
        <v>6</v>
      </c>
      <c r="C29">
        <v>28</v>
      </c>
      <c r="D29" t="s">
        <v>204</v>
      </c>
      <c r="E29" t="s">
        <v>196</v>
      </c>
      <c r="F29" t="s">
        <v>225</v>
      </c>
      <c r="G29" t="s">
        <v>69</v>
      </c>
      <c r="H29" t="s">
        <v>199</v>
      </c>
      <c r="I29" t="s">
        <v>6</v>
      </c>
      <c r="J29" t="b">
        <v>0</v>
      </c>
      <c r="K29" t="b">
        <v>1</v>
      </c>
      <c r="L29" t="s">
        <v>200</v>
      </c>
      <c r="M29" t="s">
        <v>50</v>
      </c>
      <c r="O29" t="s">
        <v>238</v>
      </c>
      <c r="P29">
        <v>76</v>
      </c>
      <c r="Q29" s="10">
        <v>46223</v>
      </c>
      <c r="R29" s="10">
        <v>46250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238</v>
      </c>
    </row>
    <row r="30" spans="1:25" x14ac:dyDescent="0.25">
      <c r="A30" t="s">
        <v>130</v>
      </c>
      <c r="B30" t="s">
        <v>6</v>
      </c>
      <c r="C30">
        <v>29</v>
      </c>
      <c r="E30" t="s">
        <v>196</v>
      </c>
      <c r="F30" t="s">
        <v>129</v>
      </c>
      <c r="G30" t="s">
        <v>69</v>
      </c>
      <c r="H30" t="s">
        <v>194</v>
      </c>
      <c r="I30" t="s">
        <v>6</v>
      </c>
      <c r="J30" t="b">
        <v>1</v>
      </c>
      <c r="K30" t="b">
        <v>1</v>
      </c>
      <c r="L30" t="s">
        <v>195</v>
      </c>
      <c r="M30" t="s">
        <v>50</v>
      </c>
      <c r="O30" t="s">
        <v>236</v>
      </c>
      <c r="P30">
        <v>64</v>
      </c>
      <c r="Q30" s="10">
        <v>46223</v>
      </c>
      <c r="R30" s="10">
        <v>46250</v>
      </c>
      <c r="S30">
        <v>2</v>
      </c>
      <c r="T30">
        <v>128</v>
      </c>
      <c r="U30">
        <v>16.842105263157894</v>
      </c>
      <c r="V30">
        <v>16</v>
      </c>
      <c r="W30">
        <v>20</v>
      </c>
      <c r="X30">
        <v>16</v>
      </c>
      <c r="Y30" t="s">
        <v>237</v>
      </c>
    </row>
    <row r="31" spans="1:25" x14ac:dyDescent="0.25">
      <c r="A31" t="s">
        <v>132</v>
      </c>
      <c r="B31" t="s">
        <v>6</v>
      </c>
      <c r="C31">
        <v>30</v>
      </c>
      <c r="E31" t="s">
        <v>196</v>
      </c>
      <c r="F31" t="s">
        <v>131</v>
      </c>
      <c r="G31" t="s">
        <v>69</v>
      </c>
      <c r="H31" t="s">
        <v>194</v>
      </c>
      <c r="I31" t="s">
        <v>6</v>
      </c>
      <c r="J31" t="b">
        <v>1</v>
      </c>
      <c r="K31" t="b">
        <v>1</v>
      </c>
      <c r="L31" t="s">
        <v>195</v>
      </c>
      <c r="M31" t="s">
        <v>50</v>
      </c>
      <c r="O31" t="s">
        <v>236</v>
      </c>
      <c r="P31">
        <v>64</v>
      </c>
      <c r="Q31" s="10">
        <v>46223</v>
      </c>
      <c r="R31" s="10">
        <v>46250</v>
      </c>
      <c r="S31">
        <v>2</v>
      </c>
      <c r="T31">
        <v>128</v>
      </c>
      <c r="U31">
        <v>16.842105263157894</v>
      </c>
      <c r="V31">
        <v>16</v>
      </c>
      <c r="W31">
        <v>20</v>
      </c>
      <c r="X31">
        <v>16</v>
      </c>
      <c r="Y31" t="s">
        <v>237</v>
      </c>
    </row>
    <row r="32" spans="1:25" x14ac:dyDescent="0.25">
      <c r="A32" t="s">
        <v>230</v>
      </c>
      <c r="B32" t="s">
        <v>6</v>
      </c>
      <c r="C32">
        <v>31</v>
      </c>
      <c r="D32" t="s">
        <v>204</v>
      </c>
      <c r="E32" t="s">
        <v>196</v>
      </c>
      <c r="F32" t="s">
        <v>229</v>
      </c>
      <c r="G32" t="s">
        <v>69</v>
      </c>
      <c r="H32" t="s">
        <v>199</v>
      </c>
      <c r="I32" t="s">
        <v>6</v>
      </c>
      <c r="J32" t="b">
        <v>0</v>
      </c>
      <c r="K32" t="b">
        <v>1</v>
      </c>
      <c r="L32" t="s">
        <v>200</v>
      </c>
      <c r="M32" t="s">
        <v>50</v>
      </c>
      <c r="O32" t="s">
        <v>238</v>
      </c>
      <c r="P32">
        <v>76</v>
      </c>
      <c r="Q32" s="10">
        <v>46223</v>
      </c>
      <c r="R32" s="10">
        <v>46250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238</v>
      </c>
    </row>
    <row r="33" spans="1:25" x14ac:dyDescent="0.25">
      <c r="A33" t="s">
        <v>134</v>
      </c>
      <c r="B33" t="s">
        <v>6</v>
      </c>
      <c r="C33">
        <v>32</v>
      </c>
      <c r="E33" t="s">
        <v>196</v>
      </c>
      <c r="F33" t="s">
        <v>133</v>
      </c>
      <c r="G33" t="s">
        <v>69</v>
      </c>
      <c r="H33" t="s">
        <v>194</v>
      </c>
      <c r="I33" t="s">
        <v>6</v>
      </c>
      <c r="J33" t="b">
        <v>1</v>
      </c>
      <c r="K33" t="b">
        <v>1</v>
      </c>
      <c r="L33" t="s">
        <v>195</v>
      </c>
      <c r="M33" t="s">
        <v>50</v>
      </c>
      <c r="O33" t="s">
        <v>236</v>
      </c>
      <c r="P33">
        <v>30</v>
      </c>
      <c r="Q33" s="10">
        <v>46223</v>
      </c>
      <c r="R33" s="10">
        <v>46250</v>
      </c>
      <c r="S33">
        <v>2</v>
      </c>
      <c r="T33">
        <v>60</v>
      </c>
      <c r="U33">
        <v>7.8947368421052637</v>
      </c>
      <c r="V33">
        <v>7</v>
      </c>
      <c r="W33">
        <v>20</v>
      </c>
      <c r="X33">
        <v>7</v>
      </c>
      <c r="Y33" t="s">
        <v>237</v>
      </c>
    </row>
    <row r="34" spans="1:25" x14ac:dyDescent="0.25">
      <c r="A34" t="s">
        <v>214</v>
      </c>
      <c r="B34" t="s">
        <v>6</v>
      </c>
      <c r="C34">
        <v>33</v>
      </c>
      <c r="D34" t="s">
        <v>204</v>
      </c>
      <c r="E34" t="s">
        <v>196</v>
      </c>
      <c r="F34" t="s">
        <v>213</v>
      </c>
      <c r="G34" t="s">
        <v>69</v>
      </c>
      <c r="H34" t="s">
        <v>194</v>
      </c>
      <c r="I34" t="s">
        <v>6</v>
      </c>
      <c r="J34" t="b">
        <v>0</v>
      </c>
      <c r="K34" t="b">
        <v>1</v>
      </c>
      <c r="L34" t="s">
        <v>200</v>
      </c>
      <c r="M34" t="s">
        <v>50</v>
      </c>
      <c r="O34" t="s">
        <v>236</v>
      </c>
      <c r="P34">
        <v>32</v>
      </c>
      <c r="Q34" s="10">
        <v>46223</v>
      </c>
      <c r="R34" s="10">
        <v>46250</v>
      </c>
      <c r="S34">
        <v>2</v>
      </c>
      <c r="T34">
        <v>64</v>
      </c>
      <c r="U34">
        <v>8.4210526315789469</v>
      </c>
      <c r="V34">
        <v>8</v>
      </c>
      <c r="W34">
        <v>20</v>
      </c>
      <c r="X34">
        <v>8</v>
      </c>
      <c r="Y34" t="s">
        <v>237</v>
      </c>
    </row>
    <row r="35" spans="1:25" x14ac:dyDescent="0.25">
      <c r="A35" t="s">
        <v>138</v>
      </c>
      <c r="B35" t="s">
        <v>6</v>
      </c>
      <c r="C35">
        <v>34</v>
      </c>
      <c r="E35" t="s">
        <v>196</v>
      </c>
      <c r="F35" t="s">
        <v>137</v>
      </c>
      <c r="G35" t="s">
        <v>69</v>
      </c>
      <c r="H35" t="s">
        <v>197</v>
      </c>
      <c r="I35" t="s">
        <v>6</v>
      </c>
      <c r="J35" t="b">
        <v>1</v>
      </c>
      <c r="K35" t="b">
        <v>1</v>
      </c>
      <c r="L35" t="s">
        <v>195</v>
      </c>
      <c r="M35" t="s">
        <v>50</v>
      </c>
      <c r="O35" t="s">
        <v>236</v>
      </c>
      <c r="P35">
        <v>76</v>
      </c>
      <c r="Q35" s="10">
        <v>46223</v>
      </c>
      <c r="R35" s="10">
        <v>46250</v>
      </c>
      <c r="S35">
        <v>2</v>
      </c>
      <c r="T35">
        <v>152</v>
      </c>
      <c r="U35">
        <v>20</v>
      </c>
      <c r="V35">
        <v>20</v>
      </c>
      <c r="W35">
        <v>20</v>
      </c>
      <c r="X35">
        <v>20</v>
      </c>
      <c r="Y35" t="s">
        <v>239</v>
      </c>
    </row>
    <row r="36" spans="1:25" x14ac:dyDescent="0.25">
      <c r="A36" t="s">
        <v>140</v>
      </c>
      <c r="B36" t="s">
        <v>6</v>
      </c>
      <c r="C36">
        <v>35</v>
      </c>
      <c r="E36" t="s">
        <v>196</v>
      </c>
      <c r="F36" t="s">
        <v>139</v>
      </c>
      <c r="G36" t="s">
        <v>69</v>
      </c>
      <c r="H36" t="s">
        <v>194</v>
      </c>
      <c r="I36" t="s">
        <v>6</v>
      </c>
      <c r="J36" t="b">
        <v>1</v>
      </c>
      <c r="K36" t="b">
        <v>0</v>
      </c>
      <c r="L36" t="s">
        <v>198</v>
      </c>
      <c r="M36" t="s">
        <v>50</v>
      </c>
      <c r="O36" t="s">
        <v>236</v>
      </c>
      <c r="P36">
        <v>40</v>
      </c>
      <c r="Q36" s="10">
        <v>46223</v>
      </c>
      <c r="R36" s="10">
        <v>46250</v>
      </c>
      <c r="S36">
        <v>2</v>
      </c>
      <c r="T36">
        <v>80</v>
      </c>
      <c r="U36">
        <v>10.526315789473685</v>
      </c>
      <c r="V36">
        <v>10</v>
      </c>
      <c r="W36">
        <v>20</v>
      </c>
      <c r="X36">
        <v>10</v>
      </c>
      <c r="Y36" t="s">
        <v>237</v>
      </c>
    </row>
    <row r="37" spans="1:25" x14ac:dyDescent="0.25">
      <c r="A37" t="s">
        <v>144</v>
      </c>
      <c r="B37" t="s">
        <v>51</v>
      </c>
      <c r="C37">
        <v>36</v>
      </c>
      <c r="E37" t="s">
        <v>196</v>
      </c>
      <c r="F37" t="s">
        <v>143</v>
      </c>
      <c r="G37" t="s">
        <v>69</v>
      </c>
      <c r="H37" t="s">
        <v>194</v>
      </c>
      <c r="I37" t="s">
        <v>51</v>
      </c>
      <c r="J37" t="b">
        <v>1</v>
      </c>
      <c r="K37" t="b">
        <v>1</v>
      </c>
      <c r="L37" t="s">
        <v>195</v>
      </c>
      <c r="M37" t="s">
        <v>50</v>
      </c>
      <c r="O37" t="s">
        <v>236</v>
      </c>
      <c r="P37">
        <v>68</v>
      </c>
      <c r="Q37" s="10">
        <v>46223</v>
      </c>
      <c r="R37" s="10">
        <v>46250</v>
      </c>
      <c r="S37">
        <v>2</v>
      </c>
      <c r="T37">
        <v>136</v>
      </c>
      <c r="U37">
        <v>17.894736842105264</v>
      </c>
      <c r="V37">
        <v>17</v>
      </c>
      <c r="W37">
        <v>20</v>
      </c>
      <c r="X37">
        <v>17</v>
      </c>
      <c r="Y37" t="s">
        <v>237</v>
      </c>
    </row>
    <row r="38" spans="1:25" x14ac:dyDescent="0.25">
      <c r="A38" t="s">
        <v>148</v>
      </c>
      <c r="B38" t="s">
        <v>6</v>
      </c>
      <c r="C38">
        <v>37</v>
      </c>
      <c r="E38" t="s">
        <v>196</v>
      </c>
      <c r="F38" t="s">
        <v>147</v>
      </c>
      <c r="G38" t="s">
        <v>69</v>
      </c>
      <c r="H38" t="s">
        <v>194</v>
      </c>
      <c r="I38" t="s">
        <v>6</v>
      </c>
      <c r="J38" t="b">
        <v>1</v>
      </c>
      <c r="K38" t="b">
        <v>0</v>
      </c>
      <c r="L38" t="s">
        <v>198</v>
      </c>
      <c r="M38" t="s">
        <v>50</v>
      </c>
      <c r="O38" t="s">
        <v>236</v>
      </c>
      <c r="P38">
        <v>64</v>
      </c>
      <c r="Q38" s="10">
        <v>46223</v>
      </c>
      <c r="R38" s="10">
        <v>46250</v>
      </c>
      <c r="S38">
        <v>2</v>
      </c>
      <c r="T38">
        <v>128</v>
      </c>
      <c r="U38">
        <v>16.842105263157894</v>
      </c>
      <c r="V38">
        <v>16</v>
      </c>
      <c r="W38">
        <v>20</v>
      </c>
      <c r="X38">
        <v>16</v>
      </c>
      <c r="Y38" t="s">
        <v>237</v>
      </c>
    </row>
    <row r="39" spans="1:25" x14ac:dyDescent="0.25">
      <c r="A39" t="s">
        <v>150</v>
      </c>
      <c r="B39" t="s">
        <v>6</v>
      </c>
      <c r="C39">
        <v>38</v>
      </c>
      <c r="E39" t="s">
        <v>196</v>
      </c>
      <c r="F39" t="s">
        <v>149</v>
      </c>
      <c r="G39" t="s">
        <v>69</v>
      </c>
      <c r="H39" t="s">
        <v>199</v>
      </c>
      <c r="I39" t="s">
        <v>6</v>
      </c>
      <c r="J39" t="b">
        <v>1</v>
      </c>
      <c r="K39" t="b">
        <v>0</v>
      </c>
      <c r="L39" t="s">
        <v>198</v>
      </c>
      <c r="M39" t="s">
        <v>50</v>
      </c>
      <c r="O39" t="s">
        <v>238</v>
      </c>
      <c r="P39">
        <v>76</v>
      </c>
      <c r="Q39" s="10">
        <v>46223</v>
      </c>
      <c r="R39" s="10">
        <v>46250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238</v>
      </c>
    </row>
    <row r="40" spans="1:25" x14ac:dyDescent="0.25">
      <c r="A40" t="s">
        <v>154</v>
      </c>
      <c r="B40" t="s">
        <v>6</v>
      </c>
      <c r="C40">
        <v>39</v>
      </c>
      <c r="E40" t="s">
        <v>196</v>
      </c>
      <c r="F40" t="s">
        <v>153</v>
      </c>
      <c r="G40" t="s">
        <v>69</v>
      </c>
      <c r="H40" t="s">
        <v>194</v>
      </c>
      <c r="I40" t="s">
        <v>6</v>
      </c>
      <c r="J40" t="b">
        <v>1</v>
      </c>
      <c r="K40" t="b">
        <v>1</v>
      </c>
      <c r="L40" t="s">
        <v>195</v>
      </c>
      <c r="M40" t="s">
        <v>50</v>
      </c>
      <c r="O40" t="s">
        <v>236</v>
      </c>
      <c r="P40">
        <v>72</v>
      </c>
      <c r="Q40" s="10">
        <v>46223</v>
      </c>
      <c r="R40" s="10">
        <v>46250</v>
      </c>
      <c r="S40">
        <v>2</v>
      </c>
      <c r="T40">
        <v>144</v>
      </c>
      <c r="U40">
        <v>18.947368421052634</v>
      </c>
      <c r="V40">
        <v>18</v>
      </c>
      <c r="W40">
        <v>20</v>
      </c>
      <c r="X40">
        <v>18</v>
      </c>
      <c r="Y40" t="s">
        <v>237</v>
      </c>
    </row>
    <row r="41" spans="1:25" x14ac:dyDescent="0.25">
      <c r="A41" t="s">
        <v>218</v>
      </c>
      <c r="B41" t="s">
        <v>6</v>
      </c>
      <c r="C41">
        <v>40</v>
      </c>
      <c r="D41" t="s">
        <v>204</v>
      </c>
      <c r="E41" t="s">
        <v>196</v>
      </c>
      <c r="F41" t="s">
        <v>217</v>
      </c>
      <c r="G41" t="s">
        <v>69</v>
      </c>
      <c r="H41" t="s">
        <v>199</v>
      </c>
      <c r="I41" t="s">
        <v>6</v>
      </c>
      <c r="J41" t="b">
        <v>0</v>
      </c>
      <c r="K41" t="b">
        <v>1</v>
      </c>
      <c r="L41" t="s">
        <v>200</v>
      </c>
      <c r="M41" t="s">
        <v>50</v>
      </c>
      <c r="O41" t="s">
        <v>238</v>
      </c>
      <c r="P41">
        <v>76</v>
      </c>
      <c r="Q41" s="10">
        <v>46223</v>
      </c>
      <c r="R41" s="10">
        <v>46250</v>
      </c>
      <c r="S41">
        <v>2</v>
      </c>
      <c r="T41">
        <v>152</v>
      </c>
      <c r="U41">
        <v>20</v>
      </c>
      <c r="V41">
        <v>20</v>
      </c>
      <c r="W41">
        <v>20</v>
      </c>
      <c r="X41">
        <v>20</v>
      </c>
      <c r="Y41" t="s">
        <v>238</v>
      </c>
    </row>
    <row r="42" spans="1:25" x14ac:dyDescent="0.25">
      <c r="A42" t="s">
        <v>160</v>
      </c>
      <c r="B42" t="s">
        <v>7</v>
      </c>
      <c r="C42">
        <v>41</v>
      </c>
      <c r="E42" t="s">
        <v>196</v>
      </c>
      <c r="F42" t="s">
        <v>159</v>
      </c>
      <c r="G42" t="s">
        <v>69</v>
      </c>
      <c r="H42" t="s">
        <v>197</v>
      </c>
      <c r="I42" t="s">
        <v>7</v>
      </c>
      <c r="J42" t="b">
        <v>1</v>
      </c>
      <c r="K42" t="b">
        <v>0</v>
      </c>
      <c r="L42" t="s">
        <v>198</v>
      </c>
      <c r="M42" t="s">
        <v>50</v>
      </c>
      <c r="O42" t="s">
        <v>236</v>
      </c>
      <c r="P42">
        <v>76</v>
      </c>
      <c r="Q42" s="10">
        <v>46223</v>
      </c>
      <c r="R42" s="10">
        <v>46250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239</v>
      </c>
    </row>
    <row r="43" spans="1:25" x14ac:dyDescent="0.25">
      <c r="A43" t="s">
        <v>164</v>
      </c>
      <c r="B43" t="s">
        <v>7</v>
      </c>
      <c r="C43">
        <v>42</v>
      </c>
      <c r="E43" t="s">
        <v>196</v>
      </c>
      <c r="F43" t="s">
        <v>163</v>
      </c>
      <c r="G43" t="s">
        <v>69</v>
      </c>
      <c r="H43" t="s">
        <v>194</v>
      </c>
      <c r="I43" t="s">
        <v>7</v>
      </c>
      <c r="J43" t="b">
        <v>1</v>
      </c>
      <c r="K43" t="b">
        <v>1</v>
      </c>
      <c r="L43" t="s">
        <v>195</v>
      </c>
      <c r="M43" t="s">
        <v>50</v>
      </c>
      <c r="O43" t="s">
        <v>236</v>
      </c>
      <c r="P43">
        <v>72</v>
      </c>
      <c r="Q43" s="10">
        <v>46223</v>
      </c>
      <c r="R43" s="10">
        <v>46250</v>
      </c>
      <c r="S43">
        <v>2</v>
      </c>
      <c r="T43">
        <v>144</v>
      </c>
      <c r="U43">
        <v>18.947368421052634</v>
      </c>
      <c r="V43">
        <v>18</v>
      </c>
      <c r="W43">
        <v>20</v>
      </c>
      <c r="X43">
        <v>18</v>
      </c>
      <c r="Y43" t="s">
        <v>237</v>
      </c>
    </row>
    <row r="44" spans="1:25" x14ac:dyDescent="0.25">
      <c r="A44" t="s">
        <v>166</v>
      </c>
      <c r="B44" t="s">
        <v>7</v>
      </c>
      <c r="C44">
        <v>43</v>
      </c>
      <c r="E44" t="s">
        <v>196</v>
      </c>
      <c r="F44" t="s">
        <v>165</v>
      </c>
      <c r="G44" t="s">
        <v>69</v>
      </c>
      <c r="H44" t="s">
        <v>197</v>
      </c>
      <c r="I44" t="s">
        <v>7</v>
      </c>
      <c r="J44" t="b">
        <v>1</v>
      </c>
      <c r="K44" t="b">
        <v>1</v>
      </c>
      <c r="L44" t="s">
        <v>195</v>
      </c>
      <c r="M44" t="s">
        <v>50</v>
      </c>
      <c r="O44" t="s">
        <v>236</v>
      </c>
      <c r="P44">
        <v>76</v>
      </c>
      <c r="Q44" s="10">
        <v>46223</v>
      </c>
      <c r="R44" s="10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239</v>
      </c>
    </row>
    <row r="45" spans="1:25" x14ac:dyDescent="0.25">
      <c r="A45" t="s">
        <v>210</v>
      </c>
      <c r="B45" t="s">
        <v>6</v>
      </c>
      <c r="C45">
        <v>44</v>
      </c>
      <c r="D45" t="s">
        <v>204</v>
      </c>
      <c r="E45" t="s">
        <v>196</v>
      </c>
      <c r="F45" t="s">
        <v>209</v>
      </c>
      <c r="G45" t="s">
        <v>69</v>
      </c>
      <c r="H45" t="s">
        <v>199</v>
      </c>
      <c r="I45" t="s">
        <v>6</v>
      </c>
      <c r="J45" t="b">
        <v>0</v>
      </c>
      <c r="K45" t="b">
        <v>1</v>
      </c>
      <c r="L45" t="s">
        <v>200</v>
      </c>
      <c r="M45" t="s">
        <v>50</v>
      </c>
      <c r="O45" t="s">
        <v>238</v>
      </c>
      <c r="P45">
        <v>76</v>
      </c>
      <c r="Q45" s="10">
        <v>46223</v>
      </c>
      <c r="R45" s="10">
        <v>46250</v>
      </c>
      <c r="S45">
        <v>2</v>
      </c>
      <c r="T45">
        <v>152</v>
      </c>
      <c r="U45">
        <v>20</v>
      </c>
      <c r="V45">
        <v>20</v>
      </c>
      <c r="W45">
        <v>20</v>
      </c>
      <c r="X45">
        <v>20</v>
      </c>
      <c r="Y45" t="s">
        <v>238</v>
      </c>
    </row>
    <row r="46" spans="1:25" x14ac:dyDescent="0.25">
      <c r="A46" t="s">
        <v>208</v>
      </c>
      <c r="B46" t="s">
        <v>6</v>
      </c>
      <c r="C46">
        <v>45</v>
      </c>
      <c r="D46" t="s">
        <v>204</v>
      </c>
      <c r="E46" t="s">
        <v>196</v>
      </c>
      <c r="F46" t="s">
        <v>207</v>
      </c>
      <c r="G46" t="s">
        <v>69</v>
      </c>
      <c r="H46" t="s">
        <v>197</v>
      </c>
      <c r="I46" t="s">
        <v>6</v>
      </c>
      <c r="J46" t="b">
        <v>0</v>
      </c>
      <c r="K46" t="b">
        <v>1</v>
      </c>
      <c r="L46" t="s">
        <v>200</v>
      </c>
      <c r="M46" t="s">
        <v>50</v>
      </c>
      <c r="O46" t="s">
        <v>236</v>
      </c>
      <c r="P46">
        <v>76</v>
      </c>
      <c r="Q46" s="10">
        <v>46223</v>
      </c>
      <c r="R46" s="10">
        <v>46250</v>
      </c>
      <c r="S46">
        <v>2</v>
      </c>
      <c r="T46">
        <v>152</v>
      </c>
      <c r="U46">
        <v>20</v>
      </c>
      <c r="V46">
        <v>20</v>
      </c>
      <c r="W46">
        <v>20</v>
      </c>
      <c r="X46">
        <v>20</v>
      </c>
      <c r="Y46" t="s">
        <v>239</v>
      </c>
    </row>
    <row r="47" spans="1:25" x14ac:dyDescent="0.25">
      <c r="A47" t="s">
        <v>168</v>
      </c>
      <c r="B47" t="s">
        <v>6</v>
      </c>
      <c r="C47">
        <v>46</v>
      </c>
      <c r="E47" t="s">
        <v>196</v>
      </c>
      <c r="F47" t="s">
        <v>167</v>
      </c>
      <c r="G47" t="s">
        <v>69</v>
      </c>
      <c r="H47" t="s">
        <v>199</v>
      </c>
      <c r="I47" t="s">
        <v>6</v>
      </c>
      <c r="J47" t="b">
        <v>1</v>
      </c>
      <c r="K47" t="b">
        <v>0</v>
      </c>
      <c r="L47" t="s">
        <v>198</v>
      </c>
      <c r="M47" t="s">
        <v>50</v>
      </c>
      <c r="O47" t="s">
        <v>238</v>
      </c>
      <c r="P47">
        <v>76</v>
      </c>
      <c r="Q47" s="10">
        <v>46223</v>
      </c>
      <c r="R47" s="10">
        <v>46250</v>
      </c>
      <c r="S47">
        <v>2</v>
      </c>
      <c r="T47">
        <v>152</v>
      </c>
      <c r="U47">
        <v>20</v>
      </c>
      <c r="V47">
        <v>20</v>
      </c>
      <c r="W47">
        <v>20</v>
      </c>
      <c r="X47">
        <v>20</v>
      </c>
      <c r="Y47" t="s">
        <v>238</v>
      </c>
    </row>
    <row r="48" spans="1:25" x14ac:dyDescent="0.25">
      <c r="A48" t="s">
        <v>174</v>
      </c>
      <c r="B48" t="s">
        <v>6</v>
      </c>
      <c r="C48">
        <v>47</v>
      </c>
      <c r="E48" t="s">
        <v>196</v>
      </c>
      <c r="F48" t="s">
        <v>173</v>
      </c>
      <c r="G48" t="s">
        <v>69</v>
      </c>
      <c r="H48" t="s">
        <v>194</v>
      </c>
      <c r="I48" t="s">
        <v>6</v>
      </c>
      <c r="J48" t="b">
        <v>1</v>
      </c>
      <c r="K48" t="b">
        <v>0</v>
      </c>
      <c r="L48" t="s">
        <v>198</v>
      </c>
      <c r="M48" t="s">
        <v>50</v>
      </c>
      <c r="O48" t="s">
        <v>236</v>
      </c>
      <c r="P48">
        <v>60</v>
      </c>
      <c r="Q48" s="10">
        <v>46223</v>
      </c>
      <c r="R48" s="10">
        <v>46250</v>
      </c>
      <c r="S48">
        <v>2</v>
      </c>
      <c r="T48">
        <v>120</v>
      </c>
      <c r="U48">
        <v>15.789473684210527</v>
      </c>
      <c r="V48">
        <v>15</v>
      </c>
      <c r="W48">
        <v>20</v>
      </c>
      <c r="X48">
        <v>15</v>
      </c>
      <c r="Y48" t="s">
        <v>237</v>
      </c>
    </row>
    <row r="49" spans="1:25" x14ac:dyDescent="0.25">
      <c r="A49" t="s">
        <v>178</v>
      </c>
      <c r="B49" t="s">
        <v>6</v>
      </c>
      <c r="C49">
        <v>48</v>
      </c>
      <c r="E49" t="s">
        <v>196</v>
      </c>
      <c r="F49" t="s">
        <v>177</v>
      </c>
      <c r="G49" t="s">
        <v>69</v>
      </c>
      <c r="H49" t="s">
        <v>194</v>
      </c>
      <c r="I49" t="s">
        <v>6</v>
      </c>
      <c r="J49" t="b">
        <v>1</v>
      </c>
      <c r="K49" t="b">
        <v>1</v>
      </c>
      <c r="L49" t="s">
        <v>195</v>
      </c>
      <c r="M49" t="s">
        <v>50</v>
      </c>
      <c r="O49" t="s">
        <v>236</v>
      </c>
      <c r="P49">
        <v>64</v>
      </c>
      <c r="Q49" s="10">
        <v>46223</v>
      </c>
      <c r="R49" s="10">
        <v>46250</v>
      </c>
      <c r="S49">
        <v>2</v>
      </c>
      <c r="T49">
        <v>128</v>
      </c>
      <c r="U49">
        <v>16.842105263157894</v>
      </c>
      <c r="V49">
        <v>16</v>
      </c>
      <c r="W49">
        <v>20</v>
      </c>
      <c r="X49">
        <v>16</v>
      </c>
      <c r="Y49" t="s">
        <v>237</v>
      </c>
    </row>
    <row r="50" spans="1:25" x14ac:dyDescent="0.25">
      <c r="A50" t="s">
        <v>180</v>
      </c>
      <c r="B50" t="s">
        <v>6</v>
      </c>
      <c r="C50">
        <v>49</v>
      </c>
      <c r="E50" t="s">
        <v>196</v>
      </c>
      <c r="F50" t="s">
        <v>179</v>
      </c>
      <c r="G50" t="s">
        <v>69</v>
      </c>
      <c r="H50" t="s">
        <v>197</v>
      </c>
      <c r="I50" t="s">
        <v>6</v>
      </c>
      <c r="J50" t="b">
        <v>1</v>
      </c>
      <c r="K50" t="b">
        <v>1</v>
      </c>
      <c r="L50" t="s">
        <v>195</v>
      </c>
      <c r="M50" t="s">
        <v>50</v>
      </c>
      <c r="O50" t="s">
        <v>236</v>
      </c>
      <c r="P50">
        <v>76</v>
      </c>
      <c r="Q50" s="10">
        <v>46223</v>
      </c>
      <c r="R50" s="10">
        <v>46250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239</v>
      </c>
    </row>
    <row r="51" spans="1:25" x14ac:dyDescent="0.25">
      <c r="A51" t="s">
        <v>182</v>
      </c>
      <c r="B51" t="s">
        <v>6</v>
      </c>
      <c r="C51">
        <v>50</v>
      </c>
      <c r="E51" t="s">
        <v>196</v>
      </c>
      <c r="F51" t="s">
        <v>181</v>
      </c>
      <c r="G51" t="s">
        <v>69</v>
      </c>
      <c r="H51" t="s">
        <v>194</v>
      </c>
      <c r="I51" t="s">
        <v>6</v>
      </c>
      <c r="J51" t="b">
        <v>1</v>
      </c>
      <c r="K51" t="b">
        <v>1</v>
      </c>
      <c r="L51" t="s">
        <v>195</v>
      </c>
      <c r="M51" t="s">
        <v>50</v>
      </c>
      <c r="O51" t="s">
        <v>236</v>
      </c>
      <c r="P51">
        <v>40</v>
      </c>
      <c r="Q51" s="10">
        <v>46223</v>
      </c>
      <c r="R51" s="10">
        <v>46250</v>
      </c>
      <c r="S51">
        <v>2</v>
      </c>
      <c r="T51">
        <v>80</v>
      </c>
      <c r="U51">
        <v>10.526315789473685</v>
      </c>
      <c r="V51">
        <v>10</v>
      </c>
      <c r="W51">
        <v>20</v>
      </c>
      <c r="X51">
        <v>10</v>
      </c>
      <c r="Y51" t="s">
        <v>237</v>
      </c>
    </row>
    <row r="52" spans="1:25" x14ac:dyDescent="0.25">
      <c r="A52" t="s">
        <v>184</v>
      </c>
      <c r="B52" t="s">
        <v>6</v>
      </c>
      <c r="C52">
        <v>51</v>
      </c>
      <c r="E52" t="s">
        <v>196</v>
      </c>
      <c r="F52" t="s">
        <v>183</v>
      </c>
      <c r="G52" t="s">
        <v>69</v>
      </c>
      <c r="H52" t="s">
        <v>197</v>
      </c>
      <c r="I52" t="s">
        <v>6</v>
      </c>
      <c r="J52" t="b">
        <v>0</v>
      </c>
      <c r="K52" t="b">
        <v>1</v>
      </c>
      <c r="L52" t="s">
        <v>200</v>
      </c>
      <c r="M52" t="s">
        <v>50</v>
      </c>
      <c r="O52" t="s">
        <v>236</v>
      </c>
      <c r="P52">
        <v>76</v>
      </c>
      <c r="Q52" s="10">
        <v>46223</v>
      </c>
      <c r="R52" s="10">
        <v>46250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239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purl.org/dc/dcmitype/"/>
    <ds:schemaRef ds:uri="http://purl.org/dc/terms/"/>
    <ds:schemaRef ds:uri="3be0b85a-8471-4f10-b038-505fde09e59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82d1b6b-c0e6-44b0-99a2-d357b2d5089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ResourceContract_CHECK</vt:lpstr>
      <vt:lpstr>Masterlist_Base</vt:lpstr>
      <vt:lpstr>Misaligned Join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2026-10-10T06:04:26Z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