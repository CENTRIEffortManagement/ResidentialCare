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8096956B-3166-496A-91A0-CFEF5B980586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'C###TABLE'!$A$1:$F$5797</definedName>
    <definedName name="ExternalData_18" localSheetId="4" hidden="1">'C###MATRIX'!$A$1:$CJ$70</definedName>
    <definedName name="ExternalData_18" localSheetId="2" hidden="1">'C##TABLE'!$A$1:$D$5797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1" l="1"/>
  <c r="F71" i="21"/>
  <c r="G71" i="21"/>
  <c r="H71" i="21"/>
  <c r="I71" i="21"/>
  <c r="J71" i="21"/>
  <c r="K71" i="21"/>
  <c r="L71" i="21"/>
  <c r="M71" i="21"/>
  <c r="N71" i="21"/>
  <c r="O71" i="21"/>
  <c r="P71" i="21"/>
  <c r="Q71" i="21"/>
  <c r="R71" i="21"/>
  <c r="S71" i="21"/>
  <c r="T71" i="21"/>
  <c r="U71" i="21"/>
  <c r="V71" i="21"/>
  <c r="W71" i="21"/>
  <c r="X71" i="21"/>
  <c r="Y71" i="21"/>
  <c r="Z71" i="21"/>
  <c r="AA71" i="21"/>
  <c r="AB71" i="21"/>
  <c r="AC71" i="21"/>
  <c r="AD71" i="21"/>
  <c r="AE71" i="21"/>
  <c r="AF71" i="21"/>
  <c r="AG71" i="21"/>
  <c r="AH71" i="21"/>
  <c r="AI71" i="21"/>
  <c r="AJ71" i="21"/>
  <c r="AK71" i="21"/>
  <c r="AL71" i="21"/>
  <c r="AM71" i="21"/>
  <c r="AN71" i="21"/>
  <c r="AO71" i="21"/>
  <c r="AP71" i="21"/>
  <c r="AQ71" i="21"/>
  <c r="AR71" i="21"/>
  <c r="AS71" i="21"/>
  <c r="AT71" i="21"/>
  <c r="AU71" i="21"/>
  <c r="AV71" i="21"/>
  <c r="AW71" i="21"/>
  <c r="AX71" i="21"/>
  <c r="AY71" i="21"/>
  <c r="AZ71" i="21"/>
  <c r="BA71" i="21"/>
  <c r="BB71" i="21"/>
  <c r="BC71" i="21"/>
  <c r="BD71" i="21"/>
  <c r="BE71" i="21"/>
  <c r="BF71" i="21"/>
  <c r="BG71" i="21"/>
  <c r="BH71" i="21"/>
  <c r="BI71" i="21"/>
  <c r="BJ71" i="21"/>
  <c r="BK71" i="21"/>
  <c r="BL71" i="21"/>
  <c r="BM71" i="21"/>
  <c r="BN71" i="21"/>
  <c r="BO71" i="21"/>
  <c r="BP71" i="21"/>
  <c r="BQ71" i="21"/>
  <c r="BR71" i="21"/>
  <c r="BS71" i="21"/>
  <c r="BT71" i="21"/>
  <c r="BU71" i="21"/>
  <c r="BV71" i="21"/>
  <c r="BW71" i="21"/>
  <c r="BX71" i="21"/>
  <c r="BY71" i="21"/>
  <c r="BZ71" i="21"/>
  <c r="CA71" i="21"/>
  <c r="CB71" i="21"/>
  <c r="CC71" i="21"/>
  <c r="CD71" i="21"/>
  <c r="CE71" i="21"/>
  <c r="CF71" i="21"/>
  <c r="CG71" i="21"/>
  <c r="CH71" i="21"/>
  <c r="CI71" i="21"/>
  <c r="CJ71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<sst xmlns="http://schemas.openxmlformats.org/spreadsheetml/2006/main" count="12035" uniqueCount="116">
  <si>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</si>
  <si>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</si>
  <si>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</si>
  <si>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</si>
  <si>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</si>
  <si>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</si>
  <si>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</si>
  <si>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</si>
  <si>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</si>
  <si>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</si>
  <si>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</si>
  <si>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</si>
  <si>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</si>
  <si>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</si>
  <si>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</si>
  <si>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</si>
  <si>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</si>
  <si>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</si>
  <si>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</si>
  <si>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</si>
  <si>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AIN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</si>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</sst>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4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797" tableType="queryTable" totalsRowShown="0">
  <autoFilter ref="A1:D57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3"/>
    <tableColumn id="2" xr3:uid="{6B8F84BC-8395-45FE-98E9-C055AAA957FC}" uniqueName="2" name="Status" queryTableFieldId="2" dataDxfId="2"/>
    <tableColumn id="3" xr3:uid="{664A9F8D-FFBA-49DD-B404-F263CF8F56BD}" uniqueName="3" name="Failures" queryTableFieldId="3"/>
    <tableColumn id="4" xr3:uid="{401A24AA-E402-4B55-8F68-1EB608329197}" uniqueName="4" name="Details" queryTableFieldId="4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1" tableType="queryTable" totalsRowCount="1">
  <autoFilter ref="A1:CK70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13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2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797" tableType="queryTable" totalsRowShown="0">
  <autoFilter ref="A1:F5797" xr:uid="{4A17EBE8-A77D-40C4-8615-776D0BD73364}">
    <filterColumn colId="1">
      <filters>
        <filter val="9"/>
      </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C30" sqref="C30"/>
    </sheetView>
  </sheetViews>
  <sheetFormatPr defaultColWidth="8" defaultRowHeight="12.75" x14ac:dyDescent="0.25"/>
  <cols>
    <col min="1" max="1" width="14.85546875" style="2" bestFit="1" customWidth="1"/>
    <col min="2" max="2" width="7.8554687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Calculations\AIN\[CapacityDistrib(B)-shifts.xlsx]C###MATRIX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/>
    </row>
    <row r="5" spans="1:4" ht="15" x14ac:dyDescent="0.25">
      <c r="A5" t="s">
        <v>16</v>
      </c>
      <c r="B5"/>
    </row>
    <row r="6" spans="1:4" ht="15" x14ac:dyDescent="0.25">
      <c r="A6" t="s">
        <v>6</v>
      </c>
      <c r="B6"/>
    </row>
    <row r="7" spans="1:4" ht="15" x14ac:dyDescent="0.25">
      <c r="A7" t="s">
        <v>9</v>
      </c>
      <c r="B7"/>
    </row>
    <row r="8" spans="1:4" ht="15" x14ac:dyDescent="0.25">
      <c r="A8" t="s">
        <v>19</v>
      </c>
      <c r="B8"/>
    </row>
    <row r="9" spans="1:4" ht="15" x14ac:dyDescent="0.25">
      <c r="A9" t="s">
        <v>7</v>
      </c>
      <c r="B9"/>
    </row>
    <row r="10" spans="1:4" ht="15" x14ac:dyDescent="0.25">
      <c r="A10" t="s">
        <v>17</v>
      </c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20</v>
      </c>
      <c r="C2" t="s">
        <v>21</v>
      </c>
      <c r="D2" s="6">
        <v>46223</v>
      </c>
      <c r="E2">
        <v>1</v>
      </c>
    </row>
    <row r="3" spans="1:5" x14ac:dyDescent="0.25">
      <c r="A3" t="s">
        <v>10</v>
      </c>
      <c r="B3" t="s">
        <v>20</v>
      </c>
      <c r="C3" t="s">
        <v>21</v>
      </c>
      <c r="D3" s="6">
        <v>46223</v>
      </c>
      <c r="E3">
        <v>3</v>
      </c>
    </row>
    <row r="4" spans="1:5" x14ac:dyDescent="0.25">
      <c r="A4" t="s">
        <v>4</v>
      </c>
      <c r="B4" t="s">
        <v>20</v>
      </c>
      <c r="C4" t="s">
        <v>21</v>
      </c>
      <c r="D4" s="6">
        <v>46223</v>
      </c>
      <c r="E4">
        <v>2</v>
      </c>
    </row>
    <row r="5" spans="1:5" x14ac:dyDescent="0.25">
      <c r="A5" t="s">
        <v>3</v>
      </c>
      <c r="B5" t="s">
        <v>20</v>
      </c>
      <c r="C5" t="s">
        <v>21</v>
      </c>
      <c r="D5" s="6">
        <v>46224</v>
      </c>
      <c r="E5">
        <v>4</v>
      </c>
    </row>
    <row r="6" spans="1:5" x14ac:dyDescent="0.25">
      <c r="A6" t="s">
        <v>10</v>
      </c>
      <c r="B6" t="s">
        <v>20</v>
      </c>
      <c r="C6" t="s">
        <v>21</v>
      </c>
      <c r="D6" s="6">
        <v>46224</v>
      </c>
      <c r="E6">
        <v>6</v>
      </c>
    </row>
    <row r="7" spans="1:5" x14ac:dyDescent="0.25">
      <c r="A7" t="s">
        <v>4</v>
      </c>
      <c r="B7" t="s">
        <v>20</v>
      </c>
      <c r="C7" t="s">
        <v>21</v>
      </c>
      <c r="D7" s="6">
        <v>46224</v>
      </c>
      <c r="E7">
        <v>5</v>
      </c>
    </row>
    <row r="8" spans="1:5" x14ac:dyDescent="0.25">
      <c r="A8" t="s">
        <v>3</v>
      </c>
      <c r="B8" t="s">
        <v>20</v>
      </c>
      <c r="C8" t="s">
        <v>21</v>
      </c>
      <c r="D8" s="6">
        <v>46225</v>
      </c>
      <c r="E8">
        <v>7</v>
      </c>
    </row>
    <row r="9" spans="1:5" x14ac:dyDescent="0.25">
      <c r="A9" t="s">
        <v>10</v>
      </c>
      <c r="B9" t="s">
        <v>20</v>
      </c>
      <c r="C9" t="s">
        <v>21</v>
      </c>
      <c r="D9" s="6">
        <v>46225</v>
      </c>
      <c r="E9">
        <v>9</v>
      </c>
    </row>
    <row r="10" spans="1:5" x14ac:dyDescent="0.25">
      <c r="A10" t="s">
        <v>4</v>
      </c>
      <c r="B10" t="s">
        <v>20</v>
      </c>
      <c r="C10" t="s">
        <v>21</v>
      </c>
      <c r="D10" s="6">
        <v>46225</v>
      </c>
      <c r="E10">
        <v>8</v>
      </c>
    </row>
    <row r="11" spans="1:5" x14ac:dyDescent="0.25">
      <c r="A11" t="s">
        <v>3</v>
      </c>
      <c r="B11" t="s">
        <v>20</v>
      </c>
      <c r="C11" t="s">
        <v>21</v>
      </c>
      <c r="D11" s="6">
        <v>46226</v>
      </c>
      <c r="E11">
        <v>10</v>
      </c>
    </row>
    <row r="12" spans="1:5" x14ac:dyDescent="0.25">
      <c r="A12" t="s">
        <v>10</v>
      </c>
      <c r="B12" t="s">
        <v>20</v>
      </c>
      <c r="C12" t="s">
        <v>21</v>
      </c>
      <c r="D12" s="6">
        <v>46226</v>
      </c>
      <c r="E12">
        <v>12</v>
      </c>
    </row>
    <row r="13" spans="1:5" x14ac:dyDescent="0.25">
      <c r="A13" t="s">
        <v>4</v>
      </c>
      <c r="B13" t="s">
        <v>20</v>
      </c>
      <c r="C13" t="s">
        <v>21</v>
      </c>
      <c r="D13" s="6">
        <v>46226</v>
      </c>
      <c r="E13">
        <v>11</v>
      </c>
    </row>
    <row r="14" spans="1:5" x14ac:dyDescent="0.25">
      <c r="A14" t="s">
        <v>3</v>
      </c>
      <c r="B14" t="s">
        <v>20</v>
      </c>
      <c r="C14" t="s">
        <v>21</v>
      </c>
      <c r="D14" s="6">
        <v>46227</v>
      </c>
      <c r="E14">
        <v>13</v>
      </c>
    </row>
    <row r="15" spans="1:5" x14ac:dyDescent="0.25">
      <c r="A15" t="s">
        <v>10</v>
      </c>
      <c r="B15" t="s">
        <v>20</v>
      </c>
      <c r="C15" t="s">
        <v>21</v>
      </c>
      <c r="D15" s="6">
        <v>46227</v>
      </c>
      <c r="E15">
        <v>15</v>
      </c>
    </row>
    <row r="16" spans="1:5" x14ac:dyDescent="0.25">
      <c r="A16" t="s">
        <v>4</v>
      </c>
      <c r="B16" t="s">
        <v>20</v>
      </c>
      <c r="C16" t="s">
        <v>21</v>
      </c>
      <c r="D16" s="6">
        <v>46227</v>
      </c>
      <c r="E16">
        <v>14</v>
      </c>
    </row>
    <row r="17" spans="1:5" x14ac:dyDescent="0.25">
      <c r="A17" t="s">
        <v>3</v>
      </c>
      <c r="B17" t="s">
        <v>20</v>
      </c>
      <c r="C17" t="s">
        <v>21</v>
      </c>
      <c r="D17" s="6">
        <v>46228</v>
      </c>
      <c r="E17">
        <v>16</v>
      </c>
    </row>
    <row r="18" spans="1:5" x14ac:dyDescent="0.25">
      <c r="A18" t="s">
        <v>10</v>
      </c>
      <c r="B18" t="s">
        <v>20</v>
      </c>
      <c r="C18" t="s">
        <v>21</v>
      </c>
      <c r="D18" s="6">
        <v>46228</v>
      </c>
      <c r="E18">
        <v>18</v>
      </c>
    </row>
    <row r="19" spans="1:5" x14ac:dyDescent="0.25">
      <c r="A19" t="s">
        <v>4</v>
      </c>
      <c r="B19" t="s">
        <v>20</v>
      </c>
      <c r="C19" t="s">
        <v>21</v>
      </c>
      <c r="D19" s="6">
        <v>46228</v>
      </c>
      <c r="E19">
        <v>17</v>
      </c>
    </row>
    <row r="20" spans="1:5" x14ac:dyDescent="0.25">
      <c r="A20" t="s">
        <v>3</v>
      </c>
      <c r="B20" t="s">
        <v>20</v>
      </c>
      <c r="C20" t="s">
        <v>21</v>
      </c>
      <c r="D20" s="6">
        <v>46229</v>
      </c>
      <c r="E20">
        <v>19</v>
      </c>
    </row>
    <row r="21" spans="1:5" x14ac:dyDescent="0.25">
      <c r="A21" t="s">
        <v>10</v>
      </c>
      <c r="B21" t="s">
        <v>20</v>
      </c>
      <c r="C21" t="s">
        <v>21</v>
      </c>
      <c r="D21" s="6">
        <v>46229</v>
      </c>
      <c r="E21">
        <v>21</v>
      </c>
    </row>
    <row r="22" spans="1:5" x14ac:dyDescent="0.25">
      <c r="A22" t="s">
        <v>4</v>
      </c>
      <c r="B22" t="s">
        <v>20</v>
      </c>
      <c r="C22" t="s">
        <v>21</v>
      </c>
      <c r="D22" s="6">
        <v>46229</v>
      </c>
      <c r="E22">
        <v>20</v>
      </c>
    </row>
    <row r="23" spans="1:5" x14ac:dyDescent="0.25">
      <c r="A23" t="s">
        <v>3</v>
      </c>
      <c r="B23" t="s">
        <v>20</v>
      </c>
      <c r="C23" t="s">
        <v>21</v>
      </c>
      <c r="D23" s="6">
        <v>46230</v>
      </c>
      <c r="E23">
        <v>22</v>
      </c>
    </row>
    <row r="24" spans="1:5" x14ac:dyDescent="0.25">
      <c r="A24" t="s">
        <v>10</v>
      </c>
      <c r="B24" t="s">
        <v>20</v>
      </c>
      <c r="C24" t="s">
        <v>21</v>
      </c>
      <c r="D24" s="6">
        <v>46230</v>
      </c>
      <c r="E24">
        <v>24</v>
      </c>
    </row>
    <row r="25" spans="1:5" x14ac:dyDescent="0.25">
      <c r="A25" t="s">
        <v>4</v>
      </c>
      <c r="B25" t="s">
        <v>20</v>
      </c>
      <c r="C25" t="s">
        <v>21</v>
      </c>
      <c r="D25" s="6">
        <v>46230</v>
      </c>
      <c r="E25">
        <v>23</v>
      </c>
    </row>
    <row r="26" spans="1:5" x14ac:dyDescent="0.25">
      <c r="A26" t="s">
        <v>3</v>
      </c>
      <c r="B26" t="s">
        <v>20</v>
      </c>
      <c r="C26" t="s">
        <v>21</v>
      </c>
      <c r="D26" s="6">
        <v>46231</v>
      </c>
      <c r="E26">
        <v>25</v>
      </c>
    </row>
    <row r="27" spans="1:5" x14ac:dyDescent="0.25">
      <c r="A27" t="s">
        <v>10</v>
      </c>
      <c r="B27" t="s">
        <v>20</v>
      </c>
      <c r="C27" t="s">
        <v>21</v>
      </c>
      <c r="D27" s="6">
        <v>46231</v>
      </c>
      <c r="E27">
        <v>27</v>
      </c>
    </row>
    <row r="28" spans="1:5" x14ac:dyDescent="0.25">
      <c r="A28" t="s">
        <v>4</v>
      </c>
      <c r="B28" t="s">
        <v>20</v>
      </c>
      <c r="C28" t="s">
        <v>21</v>
      </c>
      <c r="D28" s="6">
        <v>46231</v>
      </c>
      <c r="E28">
        <v>26</v>
      </c>
    </row>
    <row r="29" spans="1:5" x14ac:dyDescent="0.25">
      <c r="A29" t="s">
        <v>3</v>
      </c>
      <c r="B29" t="s">
        <v>20</v>
      </c>
      <c r="C29" t="s">
        <v>21</v>
      </c>
      <c r="D29" s="6">
        <v>46232</v>
      </c>
      <c r="E29">
        <v>28</v>
      </c>
    </row>
    <row r="30" spans="1:5" x14ac:dyDescent="0.25">
      <c r="A30" t="s">
        <v>10</v>
      </c>
      <c r="B30" t="s">
        <v>20</v>
      </c>
      <c r="C30" t="s">
        <v>21</v>
      </c>
      <c r="D30" s="6">
        <v>46232</v>
      </c>
      <c r="E30">
        <v>30</v>
      </c>
    </row>
    <row r="31" spans="1:5" x14ac:dyDescent="0.25">
      <c r="A31" t="s">
        <v>4</v>
      </c>
      <c r="B31" t="s">
        <v>20</v>
      </c>
      <c r="C31" t="s">
        <v>21</v>
      </c>
      <c r="D31" s="6">
        <v>46232</v>
      </c>
      <c r="E31">
        <v>29</v>
      </c>
    </row>
    <row r="32" spans="1:5" x14ac:dyDescent="0.25">
      <c r="A32" t="s">
        <v>3</v>
      </c>
      <c r="B32" t="s">
        <v>20</v>
      </c>
      <c r="C32" t="s">
        <v>21</v>
      </c>
      <c r="D32" s="6">
        <v>46233</v>
      </c>
      <c r="E32">
        <v>31</v>
      </c>
    </row>
    <row r="33" spans="1:5" x14ac:dyDescent="0.25">
      <c r="A33" t="s">
        <v>10</v>
      </c>
      <c r="B33" t="s">
        <v>20</v>
      </c>
      <c r="C33" t="s">
        <v>21</v>
      </c>
      <c r="D33" s="6">
        <v>46233</v>
      </c>
      <c r="E33">
        <v>33</v>
      </c>
    </row>
    <row r="34" spans="1:5" x14ac:dyDescent="0.25">
      <c r="A34" t="s">
        <v>4</v>
      </c>
      <c r="B34" t="s">
        <v>20</v>
      </c>
      <c r="C34" t="s">
        <v>21</v>
      </c>
      <c r="D34" s="6">
        <v>46233</v>
      </c>
      <c r="E34">
        <v>32</v>
      </c>
    </row>
    <row r="35" spans="1:5" x14ac:dyDescent="0.25">
      <c r="A35" t="s">
        <v>3</v>
      </c>
      <c r="B35" t="s">
        <v>20</v>
      </c>
      <c r="C35" t="s">
        <v>21</v>
      </c>
      <c r="D35" s="6">
        <v>46234</v>
      </c>
      <c r="E35">
        <v>34</v>
      </c>
    </row>
    <row r="36" spans="1:5" x14ac:dyDescent="0.25">
      <c r="A36" t="s">
        <v>10</v>
      </c>
      <c r="B36" t="s">
        <v>20</v>
      </c>
      <c r="C36" t="s">
        <v>21</v>
      </c>
      <c r="D36" s="6">
        <v>46234</v>
      </c>
      <c r="E36">
        <v>36</v>
      </c>
    </row>
    <row r="37" spans="1:5" x14ac:dyDescent="0.25">
      <c r="A37" t="s">
        <v>4</v>
      </c>
      <c r="B37" t="s">
        <v>20</v>
      </c>
      <c r="C37" t="s">
        <v>21</v>
      </c>
      <c r="D37" s="6">
        <v>46234</v>
      </c>
      <c r="E37">
        <v>35</v>
      </c>
    </row>
    <row r="38" spans="1:5" x14ac:dyDescent="0.25">
      <c r="A38" t="s">
        <v>3</v>
      </c>
      <c r="B38" t="s">
        <v>20</v>
      </c>
      <c r="C38" t="s">
        <v>21</v>
      </c>
      <c r="D38" s="6">
        <v>46235</v>
      </c>
      <c r="E38">
        <v>37</v>
      </c>
    </row>
    <row r="39" spans="1:5" x14ac:dyDescent="0.25">
      <c r="A39" t="s">
        <v>10</v>
      </c>
      <c r="B39" t="s">
        <v>20</v>
      </c>
      <c r="C39" t="s">
        <v>21</v>
      </c>
      <c r="D39" s="6">
        <v>46235</v>
      </c>
      <c r="E39">
        <v>39</v>
      </c>
    </row>
    <row r="40" spans="1:5" x14ac:dyDescent="0.25">
      <c r="A40" t="s">
        <v>4</v>
      </c>
      <c r="B40" t="s">
        <v>20</v>
      </c>
      <c r="C40" t="s">
        <v>21</v>
      </c>
      <c r="D40" s="6">
        <v>46235</v>
      </c>
      <c r="E40">
        <v>38</v>
      </c>
    </row>
    <row r="41" spans="1:5" x14ac:dyDescent="0.25">
      <c r="A41" t="s">
        <v>3</v>
      </c>
      <c r="B41" t="s">
        <v>20</v>
      </c>
      <c r="C41" t="s">
        <v>21</v>
      </c>
      <c r="D41" s="6">
        <v>46236</v>
      </c>
      <c r="E41">
        <v>40</v>
      </c>
    </row>
    <row r="42" spans="1:5" x14ac:dyDescent="0.25">
      <c r="A42" t="s">
        <v>10</v>
      </c>
      <c r="B42" t="s">
        <v>20</v>
      </c>
      <c r="C42" t="s">
        <v>21</v>
      </c>
      <c r="D42" s="6">
        <v>46236</v>
      </c>
      <c r="E42">
        <v>42</v>
      </c>
    </row>
    <row r="43" spans="1:5" x14ac:dyDescent="0.25">
      <c r="A43" t="s">
        <v>4</v>
      </c>
      <c r="B43" t="s">
        <v>20</v>
      </c>
      <c r="C43" t="s">
        <v>21</v>
      </c>
      <c r="D43" s="6">
        <v>46236</v>
      </c>
      <c r="E43">
        <v>41</v>
      </c>
    </row>
    <row r="44" spans="1:5" x14ac:dyDescent="0.25">
      <c r="A44" t="s">
        <v>3</v>
      </c>
      <c r="B44" t="s">
        <v>20</v>
      </c>
      <c r="C44" t="s">
        <v>21</v>
      </c>
      <c r="D44" s="6">
        <v>46237</v>
      </c>
      <c r="E44">
        <v>43</v>
      </c>
    </row>
    <row r="45" spans="1:5" x14ac:dyDescent="0.25">
      <c r="A45" t="s">
        <v>10</v>
      </c>
      <c r="B45" t="s">
        <v>20</v>
      </c>
      <c r="C45" t="s">
        <v>21</v>
      </c>
      <c r="D45" s="6">
        <v>46237</v>
      </c>
      <c r="E45">
        <v>45</v>
      </c>
    </row>
    <row r="46" spans="1:5" x14ac:dyDescent="0.25">
      <c r="A46" t="s">
        <v>4</v>
      </c>
      <c r="B46" t="s">
        <v>20</v>
      </c>
      <c r="C46" t="s">
        <v>21</v>
      </c>
      <c r="D46" s="6">
        <v>46237</v>
      </c>
      <c r="E46">
        <v>44</v>
      </c>
    </row>
    <row r="47" spans="1:5" x14ac:dyDescent="0.25">
      <c r="A47" t="s">
        <v>3</v>
      </c>
      <c r="B47" t="s">
        <v>20</v>
      </c>
      <c r="C47" t="s">
        <v>21</v>
      </c>
      <c r="D47" s="6">
        <v>46238</v>
      </c>
      <c r="E47">
        <v>46</v>
      </c>
    </row>
    <row r="48" spans="1:5" x14ac:dyDescent="0.25">
      <c r="A48" t="s">
        <v>10</v>
      </c>
      <c r="B48" t="s">
        <v>20</v>
      </c>
      <c r="C48" t="s">
        <v>21</v>
      </c>
      <c r="D48" s="6">
        <v>46238</v>
      </c>
      <c r="E48">
        <v>48</v>
      </c>
    </row>
    <row r="49" spans="1:5" x14ac:dyDescent="0.25">
      <c r="A49" t="s">
        <v>4</v>
      </c>
      <c r="B49" t="s">
        <v>20</v>
      </c>
      <c r="C49" t="s">
        <v>21</v>
      </c>
      <c r="D49" s="6">
        <v>46238</v>
      </c>
      <c r="E49">
        <v>47</v>
      </c>
    </row>
    <row r="50" spans="1:5" x14ac:dyDescent="0.25">
      <c r="A50" t="s">
        <v>3</v>
      </c>
      <c r="B50" t="s">
        <v>20</v>
      </c>
      <c r="C50" t="s">
        <v>21</v>
      </c>
      <c r="D50" s="6">
        <v>46239</v>
      </c>
      <c r="E50">
        <v>49</v>
      </c>
    </row>
    <row r="51" spans="1:5" x14ac:dyDescent="0.25">
      <c r="A51" t="s">
        <v>10</v>
      </c>
      <c r="B51" t="s">
        <v>20</v>
      </c>
      <c r="C51" t="s">
        <v>21</v>
      </c>
      <c r="D51" s="6">
        <v>46239</v>
      </c>
      <c r="E51">
        <v>51</v>
      </c>
    </row>
    <row r="52" spans="1:5" x14ac:dyDescent="0.25">
      <c r="A52" t="s">
        <v>4</v>
      </c>
      <c r="B52" t="s">
        <v>20</v>
      </c>
      <c r="C52" t="s">
        <v>21</v>
      </c>
      <c r="D52" s="6">
        <v>46239</v>
      </c>
      <c r="E52">
        <v>50</v>
      </c>
    </row>
    <row r="53" spans="1:5" x14ac:dyDescent="0.25">
      <c r="A53" t="s">
        <v>3</v>
      </c>
      <c r="B53" t="s">
        <v>20</v>
      </c>
      <c r="C53" t="s">
        <v>21</v>
      </c>
      <c r="D53" s="6">
        <v>46240</v>
      </c>
      <c r="E53">
        <v>52</v>
      </c>
    </row>
    <row r="54" spans="1:5" x14ac:dyDescent="0.25">
      <c r="A54" t="s">
        <v>10</v>
      </c>
      <c r="B54" t="s">
        <v>20</v>
      </c>
      <c r="C54" t="s">
        <v>21</v>
      </c>
      <c r="D54" s="6">
        <v>46240</v>
      </c>
      <c r="E54">
        <v>54</v>
      </c>
    </row>
    <row r="55" spans="1:5" x14ac:dyDescent="0.25">
      <c r="A55" t="s">
        <v>4</v>
      </c>
      <c r="B55" t="s">
        <v>20</v>
      </c>
      <c r="C55" t="s">
        <v>21</v>
      </c>
      <c r="D55" s="6">
        <v>46240</v>
      </c>
      <c r="E55">
        <v>53</v>
      </c>
    </row>
    <row r="56" spans="1:5" x14ac:dyDescent="0.25">
      <c r="A56" t="s">
        <v>3</v>
      </c>
      <c r="B56" t="s">
        <v>20</v>
      </c>
      <c r="C56" t="s">
        <v>21</v>
      </c>
      <c r="D56" s="6">
        <v>46241</v>
      </c>
      <c r="E56">
        <v>55</v>
      </c>
    </row>
    <row r="57" spans="1:5" x14ac:dyDescent="0.25">
      <c r="A57" t="s">
        <v>10</v>
      </c>
      <c r="B57" t="s">
        <v>20</v>
      </c>
      <c r="C57" t="s">
        <v>21</v>
      </c>
      <c r="D57" s="6">
        <v>46241</v>
      </c>
      <c r="E57">
        <v>57</v>
      </c>
    </row>
    <row r="58" spans="1:5" x14ac:dyDescent="0.25">
      <c r="A58" t="s">
        <v>4</v>
      </c>
      <c r="B58" t="s">
        <v>20</v>
      </c>
      <c r="C58" t="s">
        <v>21</v>
      </c>
      <c r="D58" s="6">
        <v>46241</v>
      </c>
      <c r="E58">
        <v>56</v>
      </c>
    </row>
    <row r="59" spans="1:5" x14ac:dyDescent="0.25">
      <c r="A59" t="s">
        <v>3</v>
      </c>
      <c r="B59" t="s">
        <v>20</v>
      </c>
      <c r="C59" t="s">
        <v>21</v>
      </c>
      <c r="D59" s="6">
        <v>46242</v>
      </c>
      <c r="E59">
        <v>58</v>
      </c>
    </row>
    <row r="60" spans="1:5" x14ac:dyDescent="0.25">
      <c r="A60" t="s">
        <v>10</v>
      </c>
      <c r="B60" t="s">
        <v>20</v>
      </c>
      <c r="C60" t="s">
        <v>21</v>
      </c>
      <c r="D60" s="6">
        <v>46242</v>
      </c>
      <c r="E60">
        <v>60</v>
      </c>
    </row>
    <row r="61" spans="1:5" x14ac:dyDescent="0.25">
      <c r="A61" t="s">
        <v>4</v>
      </c>
      <c r="B61" t="s">
        <v>20</v>
      </c>
      <c r="C61" t="s">
        <v>21</v>
      </c>
      <c r="D61" s="6">
        <v>46242</v>
      </c>
      <c r="E61">
        <v>59</v>
      </c>
    </row>
    <row r="62" spans="1:5" x14ac:dyDescent="0.25">
      <c r="A62" t="s">
        <v>3</v>
      </c>
      <c r="B62" t="s">
        <v>20</v>
      </c>
      <c r="C62" t="s">
        <v>21</v>
      </c>
      <c r="D62" s="6">
        <v>46243</v>
      </c>
      <c r="E62">
        <v>61</v>
      </c>
    </row>
    <row r="63" spans="1:5" x14ac:dyDescent="0.25">
      <c r="A63" t="s">
        <v>10</v>
      </c>
      <c r="B63" t="s">
        <v>20</v>
      </c>
      <c r="C63" t="s">
        <v>21</v>
      </c>
      <c r="D63" s="6">
        <v>46243</v>
      </c>
      <c r="E63">
        <v>63</v>
      </c>
    </row>
    <row r="64" spans="1:5" x14ac:dyDescent="0.25">
      <c r="A64" t="s">
        <v>4</v>
      </c>
      <c r="B64" t="s">
        <v>20</v>
      </c>
      <c r="C64" t="s">
        <v>21</v>
      </c>
      <c r="D64" s="6">
        <v>46243</v>
      </c>
      <c r="E64">
        <v>62</v>
      </c>
    </row>
    <row r="65" spans="1:5" x14ac:dyDescent="0.25">
      <c r="A65" t="s">
        <v>3</v>
      </c>
      <c r="B65" t="s">
        <v>20</v>
      </c>
      <c r="C65" t="s">
        <v>21</v>
      </c>
      <c r="D65" s="6">
        <v>46244</v>
      </c>
      <c r="E65">
        <v>64</v>
      </c>
    </row>
    <row r="66" spans="1:5" x14ac:dyDescent="0.25">
      <c r="A66" t="s">
        <v>10</v>
      </c>
      <c r="B66" t="s">
        <v>20</v>
      </c>
      <c r="C66" t="s">
        <v>21</v>
      </c>
      <c r="D66" s="6">
        <v>46244</v>
      </c>
      <c r="E66">
        <v>66</v>
      </c>
    </row>
    <row r="67" spans="1:5" x14ac:dyDescent="0.25">
      <c r="A67" t="s">
        <v>4</v>
      </c>
      <c r="B67" t="s">
        <v>20</v>
      </c>
      <c r="C67" t="s">
        <v>21</v>
      </c>
      <c r="D67" s="6">
        <v>46244</v>
      </c>
      <c r="E67">
        <v>65</v>
      </c>
    </row>
    <row r="68" spans="1:5" x14ac:dyDescent="0.25">
      <c r="A68" t="s">
        <v>3</v>
      </c>
      <c r="B68" t="s">
        <v>20</v>
      </c>
      <c r="C68" t="s">
        <v>21</v>
      </c>
      <c r="D68" s="6">
        <v>46245</v>
      </c>
      <c r="E68">
        <v>67</v>
      </c>
    </row>
    <row r="69" spans="1:5" x14ac:dyDescent="0.25">
      <c r="A69" t="s">
        <v>10</v>
      </c>
      <c r="B69" t="s">
        <v>20</v>
      </c>
      <c r="C69" t="s">
        <v>21</v>
      </c>
      <c r="D69" s="6">
        <v>46245</v>
      </c>
      <c r="E69">
        <v>69</v>
      </c>
    </row>
    <row r="70" spans="1:5" x14ac:dyDescent="0.25">
      <c r="A70" t="s">
        <v>4</v>
      </c>
      <c r="B70" t="s">
        <v>20</v>
      </c>
      <c r="C70" t="s">
        <v>21</v>
      </c>
      <c r="D70" s="6">
        <v>46245</v>
      </c>
      <c r="E70">
        <v>68</v>
      </c>
    </row>
    <row r="71" spans="1:5" x14ac:dyDescent="0.25">
      <c r="A71" t="s">
        <v>3</v>
      </c>
      <c r="B71" t="s">
        <v>20</v>
      </c>
      <c r="C71" t="s">
        <v>21</v>
      </c>
      <c r="D71" s="6">
        <v>46246</v>
      </c>
      <c r="E71">
        <v>70</v>
      </c>
    </row>
    <row r="72" spans="1:5" x14ac:dyDescent="0.25">
      <c r="A72" t="s">
        <v>10</v>
      </c>
      <c r="B72" t="s">
        <v>20</v>
      </c>
      <c r="C72" t="s">
        <v>21</v>
      </c>
      <c r="D72" s="6">
        <v>46246</v>
      </c>
      <c r="E72">
        <v>72</v>
      </c>
    </row>
    <row r="73" spans="1:5" x14ac:dyDescent="0.25">
      <c r="A73" t="s">
        <v>4</v>
      </c>
      <c r="B73" t="s">
        <v>20</v>
      </c>
      <c r="C73" t="s">
        <v>21</v>
      </c>
      <c r="D73" s="6">
        <v>46246</v>
      </c>
      <c r="E73">
        <v>71</v>
      </c>
    </row>
    <row r="74" spans="1:5" x14ac:dyDescent="0.25">
      <c r="A74" t="s">
        <v>3</v>
      </c>
      <c r="B74" t="s">
        <v>20</v>
      </c>
      <c r="C74" t="s">
        <v>21</v>
      </c>
      <c r="D74" s="6">
        <v>46247</v>
      </c>
      <c r="E74">
        <v>73</v>
      </c>
    </row>
    <row r="75" spans="1:5" x14ac:dyDescent="0.25">
      <c r="A75" t="s">
        <v>10</v>
      </c>
      <c r="B75" t="s">
        <v>20</v>
      </c>
      <c r="C75" t="s">
        <v>21</v>
      </c>
      <c r="D75" s="6">
        <v>46247</v>
      </c>
      <c r="E75">
        <v>75</v>
      </c>
    </row>
    <row r="76" spans="1:5" x14ac:dyDescent="0.25">
      <c r="A76" t="s">
        <v>4</v>
      </c>
      <c r="B76" t="s">
        <v>20</v>
      </c>
      <c r="C76" t="s">
        <v>21</v>
      </c>
      <c r="D76" s="6">
        <v>46247</v>
      </c>
      <c r="E76">
        <v>74</v>
      </c>
    </row>
    <row r="77" spans="1:5" x14ac:dyDescent="0.25">
      <c r="A77" t="s">
        <v>3</v>
      </c>
      <c r="B77" t="s">
        <v>20</v>
      </c>
      <c r="C77" t="s">
        <v>21</v>
      </c>
      <c r="D77" s="6">
        <v>46248</v>
      </c>
      <c r="E77">
        <v>76</v>
      </c>
    </row>
    <row r="78" spans="1:5" x14ac:dyDescent="0.25">
      <c r="A78" t="s">
        <v>10</v>
      </c>
      <c r="B78" t="s">
        <v>20</v>
      </c>
      <c r="C78" t="s">
        <v>21</v>
      </c>
      <c r="D78" s="6">
        <v>46248</v>
      </c>
      <c r="E78">
        <v>78</v>
      </c>
    </row>
    <row r="79" spans="1:5" x14ac:dyDescent="0.25">
      <c r="A79" t="s">
        <v>4</v>
      </c>
      <c r="B79" t="s">
        <v>20</v>
      </c>
      <c r="C79" t="s">
        <v>21</v>
      </c>
      <c r="D79" s="6">
        <v>46248</v>
      </c>
      <c r="E79">
        <v>77</v>
      </c>
    </row>
    <row r="80" spans="1:5" x14ac:dyDescent="0.25">
      <c r="A80" t="s">
        <v>3</v>
      </c>
      <c r="B80" t="s">
        <v>20</v>
      </c>
      <c r="C80" t="s">
        <v>21</v>
      </c>
      <c r="D80" s="6">
        <v>46249</v>
      </c>
      <c r="E80">
        <v>79</v>
      </c>
    </row>
    <row r="81" spans="1:5" x14ac:dyDescent="0.25">
      <c r="A81" t="s">
        <v>10</v>
      </c>
      <c r="B81" t="s">
        <v>20</v>
      </c>
      <c r="C81" t="s">
        <v>21</v>
      </c>
      <c r="D81" s="6">
        <v>46249</v>
      </c>
      <c r="E81">
        <v>81</v>
      </c>
    </row>
    <row r="82" spans="1:5" x14ac:dyDescent="0.25">
      <c r="A82" t="s">
        <v>4</v>
      </c>
      <c r="B82" t="s">
        <v>20</v>
      </c>
      <c r="C82" t="s">
        <v>21</v>
      </c>
      <c r="D82" s="6">
        <v>46249</v>
      </c>
      <c r="E82">
        <v>80</v>
      </c>
    </row>
    <row r="83" spans="1:5" x14ac:dyDescent="0.25">
      <c r="A83" t="s">
        <v>3</v>
      </c>
      <c r="B83" t="s">
        <v>20</v>
      </c>
      <c r="C83" t="s">
        <v>21</v>
      </c>
      <c r="D83" s="6">
        <v>46250</v>
      </c>
      <c r="E83">
        <v>82</v>
      </c>
    </row>
    <row r="84" spans="1:5" x14ac:dyDescent="0.25">
      <c r="A84" t="s">
        <v>10</v>
      </c>
      <c r="B84" t="s">
        <v>20</v>
      </c>
      <c r="C84" t="s">
        <v>21</v>
      </c>
      <c r="D84" s="6">
        <v>46250</v>
      </c>
      <c r="E84">
        <v>84</v>
      </c>
    </row>
    <row r="85" spans="1:5" x14ac:dyDescent="0.25">
      <c r="A85" t="s">
        <v>4</v>
      </c>
      <c r="B85" t="s">
        <v>20</v>
      </c>
      <c r="C85" t="s">
        <v>21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797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20</v>
      </c>
      <c r="B2">
        <v>2</v>
      </c>
      <c r="C2">
        <v>1</v>
      </c>
      <c r="D2">
        <v>1</v>
      </c>
    </row>
    <row r="3" spans="1:4" x14ac:dyDescent="0.25">
      <c r="A3" t="s">
        <v>20</v>
      </c>
      <c r="B3">
        <v>2</v>
      </c>
      <c r="C3">
        <v>2</v>
      </c>
    </row>
    <row r="4" spans="1:4" x14ac:dyDescent="0.25">
      <c r="A4" t="s">
        <v>20</v>
      </c>
      <c r="B4">
        <v>2</v>
      </c>
      <c r="C4">
        <v>3</v>
      </c>
    </row>
    <row r="5" spans="1:4" x14ac:dyDescent="0.25">
      <c r="A5" t="s">
        <v>20</v>
      </c>
      <c r="B5">
        <v>2</v>
      </c>
      <c r="C5">
        <v>4</v>
      </c>
      <c r="D5">
        <v>1</v>
      </c>
    </row>
    <row r="6" spans="1:4" x14ac:dyDescent="0.25">
      <c r="A6" t="s">
        <v>20</v>
      </c>
      <c r="B6">
        <v>2</v>
      </c>
      <c r="C6">
        <v>5</v>
      </c>
    </row>
    <row r="7" spans="1:4" x14ac:dyDescent="0.25">
      <c r="A7" t="s">
        <v>20</v>
      </c>
      <c r="B7">
        <v>2</v>
      </c>
      <c r="C7">
        <v>6</v>
      </c>
    </row>
    <row r="8" spans="1:4" x14ac:dyDescent="0.25">
      <c r="A8" t="s">
        <v>20</v>
      </c>
      <c r="B8">
        <v>2</v>
      </c>
      <c r="C8">
        <v>7</v>
      </c>
      <c r="D8">
        <v>1</v>
      </c>
    </row>
    <row r="9" spans="1:4" x14ac:dyDescent="0.25">
      <c r="A9" t="s">
        <v>20</v>
      </c>
      <c r="B9">
        <v>2</v>
      </c>
      <c r="C9">
        <v>8</v>
      </c>
    </row>
    <row r="10" spans="1:4" x14ac:dyDescent="0.25">
      <c r="A10" t="s">
        <v>20</v>
      </c>
      <c r="B10">
        <v>2</v>
      </c>
      <c r="C10">
        <v>9</v>
      </c>
    </row>
    <row r="11" spans="1:4" x14ac:dyDescent="0.25">
      <c r="A11" t="s">
        <v>20</v>
      </c>
      <c r="B11">
        <v>2</v>
      </c>
      <c r="C11">
        <v>10</v>
      </c>
      <c r="D11">
        <v>1</v>
      </c>
    </row>
    <row r="12" spans="1:4" x14ac:dyDescent="0.25">
      <c r="A12" t="s">
        <v>20</v>
      </c>
      <c r="B12">
        <v>2</v>
      </c>
      <c r="C12">
        <v>11</v>
      </c>
    </row>
    <row r="13" spans="1:4" x14ac:dyDescent="0.25">
      <c r="A13" t="s">
        <v>20</v>
      </c>
      <c r="B13">
        <v>2</v>
      </c>
      <c r="C13">
        <v>12</v>
      </c>
    </row>
    <row r="14" spans="1:4" x14ac:dyDescent="0.25">
      <c r="A14" t="s">
        <v>20</v>
      </c>
      <c r="B14">
        <v>2</v>
      </c>
      <c r="C14">
        <v>13</v>
      </c>
      <c r="D14">
        <v>1</v>
      </c>
    </row>
    <row r="15" spans="1:4" x14ac:dyDescent="0.25">
      <c r="A15" t="s">
        <v>20</v>
      </c>
      <c r="B15">
        <v>2</v>
      </c>
      <c r="C15">
        <v>14</v>
      </c>
    </row>
    <row r="16" spans="1:4" x14ac:dyDescent="0.25">
      <c r="A16" t="s">
        <v>20</v>
      </c>
      <c r="B16">
        <v>2</v>
      </c>
      <c r="C16">
        <v>15</v>
      </c>
    </row>
    <row r="17" spans="1:4" x14ac:dyDescent="0.25">
      <c r="A17" t="s">
        <v>20</v>
      </c>
      <c r="B17">
        <v>2</v>
      </c>
      <c r="C17">
        <v>16</v>
      </c>
    </row>
    <row r="18" spans="1:4" x14ac:dyDescent="0.25">
      <c r="A18" t="s">
        <v>20</v>
      </c>
      <c r="B18">
        <v>2</v>
      </c>
      <c r="C18">
        <v>17</v>
      </c>
    </row>
    <row r="19" spans="1:4" x14ac:dyDescent="0.25">
      <c r="A19" t="s">
        <v>20</v>
      </c>
      <c r="B19">
        <v>2</v>
      </c>
      <c r="C19">
        <v>18</v>
      </c>
    </row>
    <row r="20" spans="1:4" x14ac:dyDescent="0.25">
      <c r="A20" t="s">
        <v>20</v>
      </c>
      <c r="B20">
        <v>2</v>
      </c>
      <c r="C20">
        <v>19</v>
      </c>
    </row>
    <row r="21" spans="1:4" x14ac:dyDescent="0.25">
      <c r="A21" t="s">
        <v>20</v>
      </c>
      <c r="B21">
        <v>2</v>
      </c>
      <c r="C21">
        <v>20</v>
      </c>
    </row>
    <row r="22" spans="1:4" x14ac:dyDescent="0.25">
      <c r="A22" t="s">
        <v>20</v>
      </c>
      <c r="B22">
        <v>2</v>
      </c>
      <c r="C22">
        <v>21</v>
      </c>
    </row>
    <row r="23" spans="1:4" x14ac:dyDescent="0.25">
      <c r="A23" t="s">
        <v>20</v>
      </c>
      <c r="B23">
        <v>2</v>
      </c>
      <c r="C23">
        <v>22</v>
      </c>
      <c r="D23">
        <v>1</v>
      </c>
    </row>
    <row r="24" spans="1:4" x14ac:dyDescent="0.25">
      <c r="A24" t="s">
        <v>20</v>
      </c>
      <c r="B24">
        <v>2</v>
      </c>
      <c r="C24">
        <v>23</v>
      </c>
    </row>
    <row r="25" spans="1:4" x14ac:dyDescent="0.25">
      <c r="A25" t="s">
        <v>20</v>
      </c>
      <c r="B25">
        <v>2</v>
      </c>
      <c r="C25">
        <v>24</v>
      </c>
    </row>
    <row r="26" spans="1:4" x14ac:dyDescent="0.25">
      <c r="A26" t="s">
        <v>20</v>
      </c>
      <c r="B26">
        <v>2</v>
      </c>
      <c r="C26">
        <v>25</v>
      </c>
      <c r="D26">
        <v>1</v>
      </c>
    </row>
    <row r="27" spans="1:4" x14ac:dyDescent="0.25">
      <c r="A27" t="s">
        <v>20</v>
      </c>
      <c r="B27">
        <v>2</v>
      </c>
      <c r="C27">
        <v>26</v>
      </c>
    </row>
    <row r="28" spans="1:4" x14ac:dyDescent="0.25">
      <c r="A28" t="s">
        <v>20</v>
      </c>
      <c r="B28">
        <v>2</v>
      </c>
      <c r="C28">
        <v>27</v>
      </c>
    </row>
    <row r="29" spans="1:4" x14ac:dyDescent="0.25">
      <c r="A29" t="s">
        <v>20</v>
      </c>
      <c r="B29">
        <v>2</v>
      </c>
      <c r="C29">
        <v>28</v>
      </c>
      <c r="D29">
        <v>1</v>
      </c>
    </row>
    <row r="30" spans="1:4" x14ac:dyDescent="0.25">
      <c r="A30" t="s">
        <v>20</v>
      </c>
      <c r="B30">
        <v>2</v>
      </c>
      <c r="C30">
        <v>29</v>
      </c>
    </row>
    <row r="31" spans="1:4" x14ac:dyDescent="0.25">
      <c r="A31" t="s">
        <v>20</v>
      </c>
      <c r="B31">
        <v>2</v>
      </c>
      <c r="C31">
        <v>30</v>
      </c>
    </row>
    <row r="32" spans="1:4" x14ac:dyDescent="0.25">
      <c r="A32" t="s">
        <v>20</v>
      </c>
      <c r="B32">
        <v>2</v>
      </c>
      <c r="C32">
        <v>31</v>
      </c>
      <c r="D32">
        <v>1</v>
      </c>
    </row>
    <row r="33" spans="1:4" x14ac:dyDescent="0.25">
      <c r="A33" t="s">
        <v>20</v>
      </c>
      <c r="B33">
        <v>2</v>
      </c>
      <c r="C33">
        <v>32</v>
      </c>
    </row>
    <row r="34" spans="1:4" x14ac:dyDescent="0.25">
      <c r="A34" t="s">
        <v>20</v>
      </c>
      <c r="B34">
        <v>2</v>
      </c>
      <c r="C34">
        <v>33</v>
      </c>
    </row>
    <row r="35" spans="1:4" x14ac:dyDescent="0.25">
      <c r="A35" t="s">
        <v>20</v>
      </c>
      <c r="B35">
        <v>2</v>
      </c>
      <c r="C35">
        <v>34</v>
      </c>
      <c r="D35">
        <v>1</v>
      </c>
    </row>
    <row r="36" spans="1:4" x14ac:dyDescent="0.25">
      <c r="A36" t="s">
        <v>20</v>
      </c>
      <c r="B36">
        <v>2</v>
      </c>
      <c r="C36">
        <v>35</v>
      </c>
    </row>
    <row r="37" spans="1:4" x14ac:dyDescent="0.25">
      <c r="A37" t="s">
        <v>20</v>
      </c>
      <c r="B37">
        <v>4</v>
      </c>
      <c r="C37">
        <v>20</v>
      </c>
    </row>
    <row r="38" spans="1:4" x14ac:dyDescent="0.25">
      <c r="A38" t="s">
        <v>20</v>
      </c>
      <c r="B38">
        <v>2</v>
      </c>
      <c r="C38">
        <v>36</v>
      </c>
    </row>
    <row r="39" spans="1:4" x14ac:dyDescent="0.25">
      <c r="A39" t="s">
        <v>20</v>
      </c>
      <c r="B39">
        <v>2</v>
      </c>
      <c r="C39">
        <v>37</v>
      </c>
      <c r="D39">
        <v>1</v>
      </c>
    </row>
    <row r="40" spans="1:4" x14ac:dyDescent="0.25">
      <c r="A40" t="s">
        <v>20</v>
      </c>
      <c r="B40">
        <v>2</v>
      </c>
      <c r="C40">
        <v>38</v>
      </c>
    </row>
    <row r="41" spans="1:4" x14ac:dyDescent="0.25">
      <c r="A41" t="s">
        <v>20</v>
      </c>
      <c r="B41">
        <v>2</v>
      </c>
      <c r="C41">
        <v>39</v>
      </c>
    </row>
    <row r="42" spans="1:4" x14ac:dyDescent="0.25">
      <c r="A42" t="s">
        <v>20</v>
      </c>
      <c r="B42">
        <v>2</v>
      </c>
      <c r="C42">
        <v>40</v>
      </c>
      <c r="D42">
        <v>1</v>
      </c>
    </row>
    <row r="43" spans="1:4" x14ac:dyDescent="0.25">
      <c r="A43" t="s">
        <v>20</v>
      </c>
      <c r="B43">
        <v>2</v>
      </c>
      <c r="C43">
        <v>41</v>
      </c>
    </row>
    <row r="44" spans="1:4" x14ac:dyDescent="0.25">
      <c r="A44" t="s">
        <v>20</v>
      </c>
      <c r="B44">
        <v>2</v>
      </c>
      <c r="C44">
        <v>42</v>
      </c>
    </row>
    <row r="45" spans="1:4" x14ac:dyDescent="0.25">
      <c r="A45" t="s">
        <v>20</v>
      </c>
      <c r="B45">
        <v>2</v>
      </c>
      <c r="C45">
        <v>43</v>
      </c>
    </row>
    <row r="46" spans="1:4" x14ac:dyDescent="0.25">
      <c r="A46" t="s">
        <v>20</v>
      </c>
      <c r="B46">
        <v>2</v>
      </c>
      <c r="C46">
        <v>44</v>
      </c>
    </row>
    <row r="47" spans="1:4" x14ac:dyDescent="0.25">
      <c r="A47" t="s">
        <v>20</v>
      </c>
      <c r="B47">
        <v>2</v>
      </c>
      <c r="C47">
        <v>45</v>
      </c>
    </row>
    <row r="48" spans="1:4" x14ac:dyDescent="0.25">
      <c r="A48" t="s">
        <v>20</v>
      </c>
      <c r="B48">
        <v>2</v>
      </c>
      <c r="C48">
        <v>46</v>
      </c>
      <c r="D48">
        <v>1</v>
      </c>
    </row>
    <row r="49" spans="1:4" x14ac:dyDescent="0.25">
      <c r="A49" t="s">
        <v>20</v>
      </c>
      <c r="B49">
        <v>2</v>
      </c>
      <c r="C49">
        <v>47</v>
      </c>
    </row>
    <row r="50" spans="1:4" x14ac:dyDescent="0.25">
      <c r="A50" t="s">
        <v>20</v>
      </c>
      <c r="B50">
        <v>2</v>
      </c>
      <c r="C50">
        <v>48</v>
      </c>
    </row>
    <row r="51" spans="1:4" x14ac:dyDescent="0.25">
      <c r="A51" t="s">
        <v>20</v>
      </c>
      <c r="B51">
        <v>2</v>
      </c>
      <c r="C51">
        <v>49</v>
      </c>
      <c r="D51">
        <v>1</v>
      </c>
    </row>
    <row r="52" spans="1:4" x14ac:dyDescent="0.25">
      <c r="A52" t="s">
        <v>20</v>
      </c>
      <c r="B52">
        <v>2</v>
      </c>
      <c r="C52">
        <v>50</v>
      </c>
    </row>
    <row r="53" spans="1:4" x14ac:dyDescent="0.25">
      <c r="A53" t="s">
        <v>20</v>
      </c>
      <c r="B53">
        <v>2</v>
      </c>
      <c r="C53">
        <v>51</v>
      </c>
    </row>
    <row r="54" spans="1:4" x14ac:dyDescent="0.25">
      <c r="A54" t="s">
        <v>20</v>
      </c>
      <c r="B54">
        <v>2</v>
      </c>
      <c r="C54">
        <v>52</v>
      </c>
      <c r="D54">
        <v>1</v>
      </c>
    </row>
    <row r="55" spans="1:4" x14ac:dyDescent="0.25">
      <c r="A55" t="s">
        <v>20</v>
      </c>
      <c r="B55">
        <v>2</v>
      </c>
      <c r="C55">
        <v>53</v>
      </c>
    </row>
    <row r="56" spans="1:4" x14ac:dyDescent="0.25">
      <c r="A56" t="s">
        <v>20</v>
      </c>
      <c r="B56">
        <v>4</v>
      </c>
      <c r="C56">
        <v>29</v>
      </c>
    </row>
    <row r="57" spans="1:4" x14ac:dyDescent="0.25">
      <c r="A57" t="s">
        <v>20</v>
      </c>
      <c r="B57">
        <v>2</v>
      </c>
      <c r="C57">
        <v>54</v>
      </c>
    </row>
    <row r="58" spans="1:4" x14ac:dyDescent="0.25">
      <c r="A58" t="s">
        <v>20</v>
      </c>
      <c r="B58">
        <v>2</v>
      </c>
      <c r="C58">
        <v>55</v>
      </c>
      <c r="D58">
        <v>1</v>
      </c>
    </row>
    <row r="59" spans="1:4" x14ac:dyDescent="0.25">
      <c r="A59" t="s">
        <v>20</v>
      </c>
      <c r="B59">
        <v>2</v>
      </c>
      <c r="C59">
        <v>56</v>
      </c>
    </row>
    <row r="60" spans="1:4" x14ac:dyDescent="0.25">
      <c r="A60" t="s">
        <v>20</v>
      </c>
      <c r="B60">
        <v>2</v>
      </c>
      <c r="C60">
        <v>57</v>
      </c>
    </row>
    <row r="61" spans="1:4" x14ac:dyDescent="0.25">
      <c r="A61" t="s">
        <v>20</v>
      </c>
      <c r="B61">
        <v>2</v>
      </c>
      <c r="C61">
        <v>58</v>
      </c>
    </row>
    <row r="62" spans="1:4" x14ac:dyDescent="0.25">
      <c r="A62" t="s">
        <v>20</v>
      </c>
      <c r="B62">
        <v>2</v>
      </c>
      <c r="C62">
        <v>59</v>
      </c>
    </row>
    <row r="63" spans="1:4" x14ac:dyDescent="0.25">
      <c r="A63" t="s">
        <v>20</v>
      </c>
      <c r="B63">
        <v>2</v>
      </c>
      <c r="C63">
        <v>60</v>
      </c>
    </row>
    <row r="64" spans="1:4" x14ac:dyDescent="0.25">
      <c r="A64" t="s">
        <v>20</v>
      </c>
      <c r="B64">
        <v>2</v>
      </c>
      <c r="C64">
        <v>61</v>
      </c>
    </row>
    <row r="65" spans="1:4" x14ac:dyDescent="0.25">
      <c r="A65" t="s">
        <v>20</v>
      </c>
      <c r="B65">
        <v>2</v>
      </c>
      <c r="C65">
        <v>62</v>
      </c>
      <c r="D65">
        <v>1</v>
      </c>
    </row>
    <row r="66" spans="1:4" x14ac:dyDescent="0.25">
      <c r="A66" t="s">
        <v>20</v>
      </c>
      <c r="B66">
        <v>2</v>
      </c>
      <c r="C66">
        <v>63</v>
      </c>
    </row>
    <row r="67" spans="1:4" x14ac:dyDescent="0.25">
      <c r="A67" t="s">
        <v>20</v>
      </c>
      <c r="B67">
        <v>2</v>
      </c>
      <c r="C67">
        <v>64</v>
      </c>
      <c r="D67">
        <v>1</v>
      </c>
    </row>
    <row r="68" spans="1:4" x14ac:dyDescent="0.25">
      <c r="A68" t="s">
        <v>20</v>
      </c>
      <c r="B68">
        <v>2</v>
      </c>
      <c r="C68">
        <v>65</v>
      </c>
    </row>
    <row r="69" spans="1:4" x14ac:dyDescent="0.25">
      <c r="A69" t="s">
        <v>20</v>
      </c>
      <c r="B69">
        <v>2</v>
      </c>
      <c r="C69">
        <v>66</v>
      </c>
    </row>
    <row r="70" spans="1:4" x14ac:dyDescent="0.25">
      <c r="A70" t="s">
        <v>20</v>
      </c>
      <c r="B70">
        <v>2</v>
      </c>
      <c r="C70">
        <v>67</v>
      </c>
      <c r="D70">
        <v>1</v>
      </c>
    </row>
    <row r="71" spans="1:4" x14ac:dyDescent="0.25">
      <c r="A71" t="s">
        <v>20</v>
      </c>
      <c r="B71">
        <v>2</v>
      </c>
      <c r="C71">
        <v>68</v>
      </c>
    </row>
    <row r="72" spans="1:4" x14ac:dyDescent="0.25">
      <c r="A72" t="s">
        <v>20</v>
      </c>
      <c r="B72">
        <v>2</v>
      </c>
      <c r="C72">
        <v>69</v>
      </c>
    </row>
    <row r="73" spans="1:4" x14ac:dyDescent="0.25">
      <c r="A73" t="s">
        <v>20</v>
      </c>
      <c r="B73">
        <v>2</v>
      </c>
      <c r="C73">
        <v>70</v>
      </c>
    </row>
    <row r="74" spans="1:4" x14ac:dyDescent="0.25">
      <c r="A74" t="s">
        <v>20</v>
      </c>
      <c r="B74">
        <v>2</v>
      </c>
      <c r="C74">
        <v>71</v>
      </c>
    </row>
    <row r="75" spans="1:4" x14ac:dyDescent="0.25">
      <c r="A75" t="s">
        <v>20</v>
      </c>
      <c r="B75">
        <v>2</v>
      </c>
      <c r="C75">
        <v>72</v>
      </c>
    </row>
    <row r="76" spans="1:4" x14ac:dyDescent="0.25">
      <c r="A76" t="s">
        <v>20</v>
      </c>
      <c r="B76">
        <v>2</v>
      </c>
      <c r="C76">
        <v>73</v>
      </c>
      <c r="D76">
        <v>1</v>
      </c>
    </row>
    <row r="77" spans="1:4" x14ac:dyDescent="0.25">
      <c r="A77" t="s">
        <v>20</v>
      </c>
      <c r="B77">
        <v>2</v>
      </c>
      <c r="C77">
        <v>74</v>
      </c>
    </row>
    <row r="78" spans="1:4" x14ac:dyDescent="0.25">
      <c r="A78" t="s">
        <v>20</v>
      </c>
      <c r="B78">
        <v>2</v>
      </c>
      <c r="C78">
        <v>75</v>
      </c>
    </row>
    <row r="79" spans="1:4" x14ac:dyDescent="0.25">
      <c r="A79" t="s">
        <v>20</v>
      </c>
      <c r="B79">
        <v>2</v>
      </c>
      <c r="C79">
        <v>76</v>
      </c>
      <c r="D79">
        <v>1</v>
      </c>
    </row>
    <row r="80" spans="1:4" x14ac:dyDescent="0.25">
      <c r="A80" t="s">
        <v>20</v>
      </c>
      <c r="B80">
        <v>2</v>
      </c>
      <c r="C80">
        <v>77</v>
      </c>
    </row>
    <row r="81" spans="1:4" x14ac:dyDescent="0.25">
      <c r="A81" t="s">
        <v>20</v>
      </c>
      <c r="B81">
        <v>2</v>
      </c>
      <c r="C81">
        <v>78</v>
      </c>
    </row>
    <row r="82" spans="1:4" x14ac:dyDescent="0.25">
      <c r="A82" t="s">
        <v>20</v>
      </c>
      <c r="B82">
        <v>2</v>
      </c>
      <c r="C82">
        <v>79</v>
      </c>
    </row>
    <row r="83" spans="1:4" x14ac:dyDescent="0.25">
      <c r="A83" t="s">
        <v>20</v>
      </c>
      <c r="B83">
        <v>2</v>
      </c>
      <c r="C83">
        <v>80</v>
      </c>
    </row>
    <row r="84" spans="1:4" x14ac:dyDescent="0.25">
      <c r="A84" t="s">
        <v>20</v>
      </c>
      <c r="B84">
        <v>2</v>
      </c>
      <c r="C84">
        <v>81</v>
      </c>
    </row>
    <row r="85" spans="1:4" x14ac:dyDescent="0.25">
      <c r="A85" t="s">
        <v>20</v>
      </c>
      <c r="B85">
        <v>2</v>
      </c>
      <c r="C85">
        <v>82</v>
      </c>
    </row>
    <row r="86" spans="1:4" x14ac:dyDescent="0.25">
      <c r="A86" t="s">
        <v>20</v>
      </c>
      <c r="B86">
        <v>2</v>
      </c>
      <c r="C86">
        <v>83</v>
      </c>
    </row>
    <row r="87" spans="1:4" x14ac:dyDescent="0.25">
      <c r="A87" t="s">
        <v>20</v>
      </c>
      <c r="B87">
        <v>2</v>
      </c>
      <c r="C87">
        <v>84</v>
      </c>
    </row>
    <row r="88" spans="1:4" x14ac:dyDescent="0.25">
      <c r="A88" t="s">
        <v>20</v>
      </c>
      <c r="B88">
        <v>4</v>
      </c>
      <c r="C88">
        <v>1</v>
      </c>
    </row>
    <row r="89" spans="1:4" x14ac:dyDescent="0.25">
      <c r="A89" t="s">
        <v>20</v>
      </c>
      <c r="B89">
        <v>4</v>
      </c>
      <c r="C89">
        <v>2</v>
      </c>
      <c r="D89">
        <v>1</v>
      </c>
    </row>
    <row r="90" spans="1:4" x14ac:dyDescent="0.25">
      <c r="A90" t="s">
        <v>20</v>
      </c>
      <c r="B90">
        <v>4</v>
      </c>
      <c r="C90">
        <v>3</v>
      </c>
    </row>
    <row r="91" spans="1:4" x14ac:dyDescent="0.25">
      <c r="A91" t="s">
        <v>20</v>
      </c>
      <c r="B91">
        <v>4</v>
      </c>
      <c r="C91">
        <v>4</v>
      </c>
    </row>
    <row r="92" spans="1:4" x14ac:dyDescent="0.25">
      <c r="A92" t="s">
        <v>20</v>
      </c>
      <c r="B92">
        <v>4</v>
      </c>
      <c r="C92">
        <v>5</v>
      </c>
      <c r="D92">
        <v>1</v>
      </c>
    </row>
    <row r="93" spans="1:4" x14ac:dyDescent="0.25">
      <c r="A93" t="s">
        <v>20</v>
      </c>
      <c r="B93">
        <v>4</v>
      </c>
      <c r="C93">
        <v>6</v>
      </c>
    </row>
    <row r="94" spans="1:4" x14ac:dyDescent="0.25">
      <c r="A94" t="s">
        <v>20</v>
      </c>
      <c r="B94">
        <v>4</v>
      </c>
      <c r="C94">
        <v>7</v>
      </c>
    </row>
    <row r="95" spans="1:4" x14ac:dyDescent="0.25">
      <c r="A95" t="s">
        <v>20</v>
      </c>
      <c r="B95">
        <v>4</v>
      </c>
      <c r="C95">
        <v>8</v>
      </c>
      <c r="D95">
        <v>1</v>
      </c>
    </row>
    <row r="96" spans="1:4" x14ac:dyDescent="0.25">
      <c r="A96" t="s">
        <v>20</v>
      </c>
      <c r="B96">
        <v>4</v>
      </c>
      <c r="C96">
        <v>9</v>
      </c>
    </row>
    <row r="97" spans="1:4" x14ac:dyDescent="0.25">
      <c r="A97" t="s">
        <v>20</v>
      </c>
      <c r="B97">
        <v>4</v>
      </c>
      <c r="C97">
        <v>10</v>
      </c>
    </row>
    <row r="98" spans="1:4" x14ac:dyDescent="0.25">
      <c r="A98" t="s">
        <v>20</v>
      </c>
      <c r="B98">
        <v>4</v>
      </c>
      <c r="C98">
        <v>11</v>
      </c>
      <c r="D98">
        <v>1</v>
      </c>
    </row>
    <row r="99" spans="1:4" x14ac:dyDescent="0.25">
      <c r="A99" t="s">
        <v>20</v>
      </c>
      <c r="B99">
        <v>4</v>
      </c>
      <c r="C99">
        <v>12</v>
      </c>
    </row>
    <row r="100" spans="1:4" x14ac:dyDescent="0.25">
      <c r="A100" t="s">
        <v>20</v>
      </c>
      <c r="B100">
        <v>4</v>
      </c>
      <c r="C100">
        <v>13</v>
      </c>
    </row>
    <row r="101" spans="1:4" x14ac:dyDescent="0.25">
      <c r="A101" t="s">
        <v>20</v>
      </c>
      <c r="B101">
        <v>4</v>
      </c>
      <c r="C101">
        <v>14</v>
      </c>
      <c r="D101">
        <v>1</v>
      </c>
    </row>
    <row r="102" spans="1:4" x14ac:dyDescent="0.25">
      <c r="A102" t="s">
        <v>20</v>
      </c>
      <c r="B102">
        <v>4</v>
      </c>
      <c r="C102">
        <v>15</v>
      </c>
    </row>
    <row r="103" spans="1:4" x14ac:dyDescent="0.25">
      <c r="A103" t="s">
        <v>20</v>
      </c>
      <c r="B103">
        <v>4</v>
      </c>
      <c r="C103">
        <v>16</v>
      </c>
    </row>
    <row r="104" spans="1:4" x14ac:dyDescent="0.25">
      <c r="A104" t="s">
        <v>20</v>
      </c>
      <c r="B104">
        <v>4</v>
      </c>
      <c r="C104">
        <v>17</v>
      </c>
    </row>
    <row r="105" spans="1:4" x14ac:dyDescent="0.25">
      <c r="A105" t="s">
        <v>20</v>
      </c>
      <c r="B105">
        <v>4</v>
      </c>
      <c r="C105">
        <v>18</v>
      </c>
    </row>
    <row r="106" spans="1:4" x14ac:dyDescent="0.25">
      <c r="A106" t="s">
        <v>20</v>
      </c>
      <c r="B106">
        <v>4</v>
      </c>
      <c r="C106">
        <v>19</v>
      </c>
    </row>
    <row r="107" spans="1:4" x14ac:dyDescent="0.25">
      <c r="A107" t="s">
        <v>20</v>
      </c>
      <c r="B107">
        <v>4</v>
      </c>
      <c r="C107">
        <v>21</v>
      </c>
    </row>
    <row r="108" spans="1:4" x14ac:dyDescent="0.25">
      <c r="A108" t="s">
        <v>20</v>
      </c>
      <c r="B108">
        <v>4</v>
      </c>
      <c r="C108">
        <v>22</v>
      </c>
    </row>
    <row r="109" spans="1:4" x14ac:dyDescent="0.25">
      <c r="A109" t="s">
        <v>20</v>
      </c>
      <c r="B109">
        <v>4</v>
      </c>
      <c r="C109">
        <v>23</v>
      </c>
    </row>
    <row r="110" spans="1:4" x14ac:dyDescent="0.25">
      <c r="A110" t="s">
        <v>20</v>
      </c>
      <c r="B110">
        <v>4</v>
      </c>
      <c r="C110">
        <v>24</v>
      </c>
    </row>
    <row r="111" spans="1:4" x14ac:dyDescent="0.25">
      <c r="A111" t="s">
        <v>20</v>
      </c>
      <c r="B111">
        <v>4</v>
      </c>
      <c r="C111">
        <v>25</v>
      </c>
    </row>
    <row r="112" spans="1:4" x14ac:dyDescent="0.25">
      <c r="A112" t="s">
        <v>20</v>
      </c>
      <c r="B112">
        <v>4</v>
      </c>
      <c r="C112">
        <v>26</v>
      </c>
      <c r="D112">
        <v>1</v>
      </c>
    </row>
    <row r="113" spans="1:4" x14ac:dyDescent="0.25">
      <c r="A113" t="s">
        <v>20</v>
      </c>
      <c r="B113">
        <v>4</v>
      </c>
      <c r="C113">
        <v>27</v>
      </c>
    </row>
    <row r="114" spans="1:4" x14ac:dyDescent="0.25">
      <c r="A114" t="s">
        <v>20</v>
      </c>
      <c r="B114">
        <v>4</v>
      </c>
      <c r="C114">
        <v>28</v>
      </c>
    </row>
    <row r="115" spans="1:4" x14ac:dyDescent="0.25">
      <c r="A115" t="s">
        <v>20</v>
      </c>
      <c r="B115">
        <v>4</v>
      </c>
      <c r="C115">
        <v>30</v>
      </c>
    </row>
    <row r="116" spans="1:4" x14ac:dyDescent="0.25">
      <c r="A116" t="s">
        <v>20</v>
      </c>
      <c r="B116">
        <v>4</v>
      </c>
      <c r="C116">
        <v>31</v>
      </c>
    </row>
    <row r="117" spans="1:4" x14ac:dyDescent="0.25">
      <c r="A117" t="s">
        <v>20</v>
      </c>
      <c r="B117">
        <v>4</v>
      </c>
      <c r="C117">
        <v>32</v>
      </c>
      <c r="D117">
        <v>1</v>
      </c>
    </row>
    <row r="118" spans="1:4" x14ac:dyDescent="0.25">
      <c r="A118" t="s">
        <v>20</v>
      </c>
      <c r="B118">
        <v>4</v>
      </c>
      <c r="C118">
        <v>33</v>
      </c>
    </row>
    <row r="119" spans="1:4" x14ac:dyDescent="0.25">
      <c r="A119" t="s">
        <v>20</v>
      </c>
      <c r="B119">
        <v>4</v>
      </c>
      <c r="C119">
        <v>34</v>
      </c>
    </row>
    <row r="120" spans="1:4" x14ac:dyDescent="0.25">
      <c r="A120" t="s">
        <v>20</v>
      </c>
      <c r="B120">
        <v>4</v>
      </c>
      <c r="C120">
        <v>35</v>
      </c>
      <c r="D120">
        <v>1</v>
      </c>
    </row>
    <row r="121" spans="1:4" x14ac:dyDescent="0.25">
      <c r="A121" t="s">
        <v>20</v>
      </c>
      <c r="B121">
        <v>4</v>
      </c>
      <c r="C121">
        <v>36</v>
      </c>
    </row>
    <row r="122" spans="1:4" x14ac:dyDescent="0.25">
      <c r="A122" t="s">
        <v>20</v>
      </c>
      <c r="B122">
        <v>4</v>
      </c>
      <c r="C122">
        <v>37</v>
      </c>
    </row>
    <row r="123" spans="1:4" x14ac:dyDescent="0.25">
      <c r="A123" t="s">
        <v>20</v>
      </c>
      <c r="B123">
        <v>4</v>
      </c>
      <c r="C123">
        <v>38</v>
      </c>
    </row>
    <row r="124" spans="1:4" x14ac:dyDescent="0.25">
      <c r="A124" t="s">
        <v>20</v>
      </c>
      <c r="B124">
        <v>4</v>
      </c>
      <c r="C124">
        <v>39</v>
      </c>
    </row>
    <row r="125" spans="1:4" x14ac:dyDescent="0.25">
      <c r="A125" t="s">
        <v>20</v>
      </c>
      <c r="B125">
        <v>4</v>
      </c>
      <c r="C125">
        <v>40</v>
      </c>
    </row>
    <row r="126" spans="1:4" x14ac:dyDescent="0.25">
      <c r="A126" t="s">
        <v>20</v>
      </c>
      <c r="B126">
        <v>4</v>
      </c>
      <c r="C126">
        <v>41</v>
      </c>
      <c r="D126">
        <v>1</v>
      </c>
    </row>
    <row r="127" spans="1:4" x14ac:dyDescent="0.25">
      <c r="A127" t="s">
        <v>20</v>
      </c>
      <c r="B127">
        <v>4</v>
      </c>
      <c r="C127">
        <v>42</v>
      </c>
    </row>
    <row r="128" spans="1:4" x14ac:dyDescent="0.25">
      <c r="A128" t="s">
        <v>20</v>
      </c>
      <c r="B128">
        <v>4</v>
      </c>
      <c r="C128">
        <v>43</v>
      </c>
    </row>
    <row r="129" spans="1:4" x14ac:dyDescent="0.25">
      <c r="A129" t="s">
        <v>20</v>
      </c>
      <c r="B129">
        <v>4</v>
      </c>
      <c r="C129">
        <v>44</v>
      </c>
      <c r="D129">
        <v>1</v>
      </c>
    </row>
    <row r="130" spans="1:4" x14ac:dyDescent="0.25">
      <c r="A130" t="s">
        <v>20</v>
      </c>
      <c r="B130">
        <v>4</v>
      </c>
      <c r="C130">
        <v>45</v>
      </c>
    </row>
    <row r="131" spans="1:4" x14ac:dyDescent="0.25">
      <c r="A131" t="s">
        <v>20</v>
      </c>
      <c r="B131">
        <v>4</v>
      </c>
      <c r="C131">
        <v>46</v>
      </c>
    </row>
    <row r="132" spans="1:4" x14ac:dyDescent="0.25">
      <c r="A132" t="s">
        <v>20</v>
      </c>
      <c r="B132">
        <v>4</v>
      </c>
      <c r="C132">
        <v>47</v>
      </c>
      <c r="D132">
        <v>1</v>
      </c>
    </row>
    <row r="133" spans="1:4" x14ac:dyDescent="0.25">
      <c r="A133" t="s">
        <v>20</v>
      </c>
      <c r="B133">
        <v>4</v>
      </c>
      <c r="C133">
        <v>48</v>
      </c>
    </row>
    <row r="134" spans="1:4" x14ac:dyDescent="0.25">
      <c r="A134" t="s">
        <v>20</v>
      </c>
      <c r="B134">
        <v>4</v>
      </c>
      <c r="C134">
        <v>49</v>
      </c>
    </row>
    <row r="135" spans="1:4" x14ac:dyDescent="0.25">
      <c r="A135" t="s">
        <v>20</v>
      </c>
      <c r="B135">
        <v>4</v>
      </c>
      <c r="C135">
        <v>50</v>
      </c>
      <c r="D135">
        <v>1</v>
      </c>
    </row>
    <row r="136" spans="1:4" x14ac:dyDescent="0.25">
      <c r="A136" t="s">
        <v>20</v>
      </c>
      <c r="B136">
        <v>4</v>
      </c>
      <c r="C136">
        <v>51</v>
      </c>
    </row>
    <row r="137" spans="1:4" x14ac:dyDescent="0.25">
      <c r="A137" t="s">
        <v>20</v>
      </c>
      <c r="B137">
        <v>4</v>
      </c>
      <c r="C137">
        <v>52</v>
      </c>
    </row>
    <row r="138" spans="1:4" x14ac:dyDescent="0.25">
      <c r="A138" t="s">
        <v>20</v>
      </c>
      <c r="B138">
        <v>4</v>
      </c>
      <c r="C138">
        <v>53</v>
      </c>
      <c r="D138">
        <v>1</v>
      </c>
    </row>
    <row r="139" spans="1:4" x14ac:dyDescent="0.25">
      <c r="A139" t="s">
        <v>20</v>
      </c>
      <c r="B139">
        <v>4</v>
      </c>
      <c r="C139">
        <v>54</v>
      </c>
    </row>
    <row r="140" spans="1:4" x14ac:dyDescent="0.25">
      <c r="A140" t="s">
        <v>20</v>
      </c>
      <c r="B140">
        <v>4</v>
      </c>
      <c r="C140">
        <v>55</v>
      </c>
    </row>
    <row r="141" spans="1:4" x14ac:dyDescent="0.25">
      <c r="A141" t="s">
        <v>20</v>
      </c>
      <c r="B141">
        <v>4</v>
      </c>
      <c r="C141">
        <v>56</v>
      </c>
      <c r="D141">
        <v>1</v>
      </c>
    </row>
    <row r="142" spans="1:4" x14ac:dyDescent="0.25">
      <c r="A142" t="s">
        <v>20</v>
      </c>
      <c r="B142">
        <v>4</v>
      </c>
      <c r="C142">
        <v>57</v>
      </c>
    </row>
    <row r="143" spans="1:4" x14ac:dyDescent="0.25">
      <c r="A143" t="s">
        <v>20</v>
      </c>
      <c r="B143">
        <v>4</v>
      </c>
      <c r="C143">
        <v>58</v>
      </c>
    </row>
    <row r="144" spans="1:4" x14ac:dyDescent="0.25">
      <c r="A144" t="s">
        <v>20</v>
      </c>
      <c r="B144">
        <v>4</v>
      </c>
      <c r="C144">
        <v>59</v>
      </c>
    </row>
    <row r="145" spans="1:4" x14ac:dyDescent="0.25">
      <c r="A145" t="s">
        <v>20</v>
      </c>
      <c r="B145">
        <v>4</v>
      </c>
      <c r="C145">
        <v>60</v>
      </c>
    </row>
    <row r="146" spans="1:4" x14ac:dyDescent="0.25">
      <c r="A146" t="s">
        <v>20</v>
      </c>
      <c r="B146">
        <v>4</v>
      </c>
      <c r="C146">
        <v>61</v>
      </c>
    </row>
    <row r="147" spans="1:4" x14ac:dyDescent="0.25">
      <c r="A147" t="s">
        <v>20</v>
      </c>
      <c r="B147">
        <v>4</v>
      </c>
      <c r="C147">
        <v>62</v>
      </c>
      <c r="D147">
        <v>1</v>
      </c>
    </row>
    <row r="148" spans="1:4" x14ac:dyDescent="0.25">
      <c r="A148" t="s">
        <v>20</v>
      </c>
      <c r="B148">
        <v>4</v>
      </c>
      <c r="C148">
        <v>63</v>
      </c>
    </row>
    <row r="149" spans="1:4" x14ac:dyDescent="0.25">
      <c r="A149" t="s">
        <v>20</v>
      </c>
      <c r="B149">
        <v>4</v>
      </c>
      <c r="C149">
        <v>64</v>
      </c>
    </row>
    <row r="150" spans="1:4" x14ac:dyDescent="0.25">
      <c r="A150" t="s">
        <v>20</v>
      </c>
      <c r="B150">
        <v>4</v>
      </c>
      <c r="C150">
        <v>65</v>
      </c>
      <c r="D150">
        <v>1</v>
      </c>
    </row>
    <row r="151" spans="1:4" x14ac:dyDescent="0.25">
      <c r="A151" t="s">
        <v>20</v>
      </c>
      <c r="B151">
        <v>4</v>
      </c>
      <c r="C151">
        <v>66</v>
      </c>
    </row>
    <row r="152" spans="1:4" x14ac:dyDescent="0.25">
      <c r="A152" t="s">
        <v>20</v>
      </c>
      <c r="B152">
        <v>4</v>
      </c>
      <c r="C152">
        <v>67</v>
      </c>
    </row>
    <row r="153" spans="1:4" x14ac:dyDescent="0.25">
      <c r="A153" t="s">
        <v>20</v>
      </c>
      <c r="B153">
        <v>4</v>
      </c>
      <c r="C153">
        <v>68</v>
      </c>
      <c r="D153">
        <v>1</v>
      </c>
    </row>
    <row r="154" spans="1:4" x14ac:dyDescent="0.25">
      <c r="A154" t="s">
        <v>20</v>
      </c>
      <c r="B154">
        <v>4</v>
      </c>
      <c r="C154">
        <v>69</v>
      </c>
    </row>
    <row r="155" spans="1:4" x14ac:dyDescent="0.25">
      <c r="A155" t="s">
        <v>20</v>
      </c>
      <c r="B155">
        <v>4</v>
      </c>
      <c r="C155">
        <v>70</v>
      </c>
    </row>
    <row r="156" spans="1:4" x14ac:dyDescent="0.25">
      <c r="A156" t="s">
        <v>20</v>
      </c>
      <c r="B156">
        <v>4</v>
      </c>
      <c r="C156">
        <v>71</v>
      </c>
      <c r="D156">
        <v>1</v>
      </c>
    </row>
    <row r="157" spans="1:4" x14ac:dyDescent="0.25">
      <c r="A157" t="s">
        <v>20</v>
      </c>
      <c r="B157">
        <v>4</v>
      </c>
      <c r="C157">
        <v>72</v>
      </c>
    </row>
    <row r="158" spans="1:4" x14ac:dyDescent="0.25">
      <c r="A158" t="s">
        <v>20</v>
      </c>
      <c r="B158">
        <v>4</v>
      </c>
      <c r="C158">
        <v>73</v>
      </c>
    </row>
    <row r="159" spans="1:4" x14ac:dyDescent="0.25">
      <c r="A159" t="s">
        <v>20</v>
      </c>
      <c r="B159">
        <v>4</v>
      </c>
      <c r="C159">
        <v>74</v>
      </c>
      <c r="D159">
        <v>1</v>
      </c>
    </row>
    <row r="160" spans="1:4" x14ac:dyDescent="0.25">
      <c r="A160" t="s">
        <v>20</v>
      </c>
      <c r="B160">
        <v>4</v>
      </c>
      <c r="C160">
        <v>75</v>
      </c>
    </row>
    <row r="161" spans="1:4" x14ac:dyDescent="0.25">
      <c r="A161" t="s">
        <v>20</v>
      </c>
      <c r="B161">
        <v>4</v>
      </c>
      <c r="C161">
        <v>76</v>
      </c>
    </row>
    <row r="162" spans="1:4" x14ac:dyDescent="0.25">
      <c r="A162" t="s">
        <v>20</v>
      </c>
      <c r="B162">
        <v>4</v>
      </c>
      <c r="C162">
        <v>77</v>
      </c>
      <c r="D162">
        <v>1</v>
      </c>
    </row>
    <row r="163" spans="1:4" x14ac:dyDescent="0.25">
      <c r="A163" t="s">
        <v>20</v>
      </c>
      <c r="B163">
        <v>4</v>
      </c>
      <c r="C163">
        <v>78</v>
      </c>
    </row>
    <row r="164" spans="1:4" x14ac:dyDescent="0.25">
      <c r="A164" t="s">
        <v>20</v>
      </c>
      <c r="B164">
        <v>4</v>
      </c>
      <c r="C164">
        <v>79</v>
      </c>
    </row>
    <row r="165" spans="1:4" x14ac:dyDescent="0.25">
      <c r="A165" t="s">
        <v>20</v>
      </c>
      <c r="B165">
        <v>4</v>
      </c>
      <c r="C165">
        <v>80</v>
      </c>
    </row>
    <row r="166" spans="1:4" x14ac:dyDescent="0.25">
      <c r="A166" t="s">
        <v>20</v>
      </c>
      <c r="B166">
        <v>4</v>
      </c>
      <c r="C166">
        <v>81</v>
      </c>
    </row>
    <row r="167" spans="1:4" x14ac:dyDescent="0.25">
      <c r="A167" t="s">
        <v>20</v>
      </c>
      <c r="B167">
        <v>4</v>
      </c>
      <c r="C167">
        <v>82</v>
      </c>
    </row>
    <row r="168" spans="1:4" x14ac:dyDescent="0.25">
      <c r="A168" t="s">
        <v>20</v>
      </c>
      <c r="B168">
        <v>4</v>
      </c>
      <c r="C168">
        <v>83</v>
      </c>
      <c r="D168">
        <v>1</v>
      </c>
    </row>
    <row r="169" spans="1:4" x14ac:dyDescent="0.25">
      <c r="A169" t="s">
        <v>20</v>
      </c>
      <c r="B169">
        <v>4</v>
      </c>
      <c r="C169">
        <v>84</v>
      </c>
    </row>
    <row r="170" spans="1:4" x14ac:dyDescent="0.25">
      <c r="A170" t="s">
        <v>20</v>
      </c>
      <c r="B170">
        <v>5</v>
      </c>
      <c r="C170">
        <v>1</v>
      </c>
      <c r="D170">
        <v>1</v>
      </c>
    </row>
    <row r="171" spans="1:4" x14ac:dyDescent="0.25">
      <c r="A171" t="s">
        <v>20</v>
      </c>
      <c r="B171">
        <v>5</v>
      </c>
      <c r="C171">
        <v>2</v>
      </c>
    </row>
    <row r="172" spans="1:4" x14ac:dyDescent="0.25">
      <c r="A172" t="s">
        <v>20</v>
      </c>
      <c r="B172">
        <v>5</v>
      </c>
      <c r="C172">
        <v>3</v>
      </c>
    </row>
    <row r="173" spans="1:4" x14ac:dyDescent="0.25">
      <c r="A173" t="s">
        <v>20</v>
      </c>
      <c r="B173">
        <v>5</v>
      </c>
      <c r="C173">
        <v>4</v>
      </c>
      <c r="D173">
        <v>1</v>
      </c>
    </row>
    <row r="174" spans="1:4" x14ac:dyDescent="0.25">
      <c r="A174" t="s">
        <v>20</v>
      </c>
      <c r="B174">
        <v>5</v>
      </c>
      <c r="C174">
        <v>5</v>
      </c>
    </row>
    <row r="175" spans="1:4" x14ac:dyDescent="0.25">
      <c r="A175" t="s">
        <v>20</v>
      </c>
      <c r="B175">
        <v>5</v>
      </c>
      <c r="C175">
        <v>6</v>
      </c>
    </row>
    <row r="176" spans="1:4" x14ac:dyDescent="0.25">
      <c r="A176" t="s">
        <v>20</v>
      </c>
      <c r="B176">
        <v>5</v>
      </c>
      <c r="C176">
        <v>7</v>
      </c>
      <c r="D176">
        <v>1</v>
      </c>
    </row>
    <row r="177" spans="1:4" x14ac:dyDescent="0.25">
      <c r="A177" t="s">
        <v>20</v>
      </c>
      <c r="B177">
        <v>5</v>
      </c>
      <c r="C177">
        <v>8</v>
      </c>
    </row>
    <row r="178" spans="1:4" x14ac:dyDescent="0.25">
      <c r="A178" t="s">
        <v>20</v>
      </c>
      <c r="B178">
        <v>5</v>
      </c>
      <c r="C178">
        <v>9</v>
      </c>
    </row>
    <row r="179" spans="1:4" x14ac:dyDescent="0.25">
      <c r="A179" t="s">
        <v>20</v>
      </c>
      <c r="B179">
        <v>5</v>
      </c>
      <c r="C179">
        <v>10</v>
      </c>
      <c r="D179">
        <v>1</v>
      </c>
    </row>
    <row r="180" spans="1:4" x14ac:dyDescent="0.25">
      <c r="A180" t="s">
        <v>20</v>
      </c>
      <c r="B180">
        <v>5</v>
      </c>
      <c r="C180">
        <v>11</v>
      </c>
    </row>
    <row r="181" spans="1:4" x14ac:dyDescent="0.25">
      <c r="A181" t="s">
        <v>20</v>
      </c>
      <c r="B181">
        <v>5</v>
      </c>
      <c r="C181">
        <v>12</v>
      </c>
    </row>
    <row r="182" spans="1:4" x14ac:dyDescent="0.25">
      <c r="A182" t="s">
        <v>20</v>
      </c>
      <c r="B182">
        <v>5</v>
      </c>
      <c r="C182">
        <v>13</v>
      </c>
      <c r="D182">
        <v>1</v>
      </c>
    </row>
    <row r="183" spans="1:4" x14ac:dyDescent="0.25">
      <c r="A183" t="s">
        <v>20</v>
      </c>
      <c r="B183">
        <v>5</v>
      </c>
      <c r="C183">
        <v>14</v>
      </c>
    </row>
    <row r="184" spans="1:4" x14ac:dyDescent="0.25">
      <c r="A184" t="s">
        <v>20</v>
      </c>
      <c r="B184">
        <v>5</v>
      </c>
      <c r="C184">
        <v>15</v>
      </c>
    </row>
    <row r="185" spans="1:4" x14ac:dyDescent="0.25">
      <c r="A185" t="s">
        <v>20</v>
      </c>
      <c r="B185">
        <v>5</v>
      </c>
      <c r="C185">
        <v>16</v>
      </c>
    </row>
    <row r="186" spans="1:4" x14ac:dyDescent="0.25">
      <c r="A186" t="s">
        <v>20</v>
      </c>
      <c r="B186">
        <v>5</v>
      </c>
      <c r="C186">
        <v>17</v>
      </c>
    </row>
    <row r="187" spans="1:4" x14ac:dyDescent="0.25">
      <c r="A187" t="s">
        <v>20</v>
      </c>
      <c r="B187">
        <v>5</v>
      </c>
      <c r="C187">
        <v>18</v>
      </c>
    </row>
    <row r="188" spans="1:4" x14ac:dyDescent="0.25">
      <c r="A188" t="s">
        <v>20</v>
      </c>
      <c r="B188">
        <v>5</v>
      </c>
      <c r="C188">
        <v>19</v>
      </c>
    </row>
    <row r="189" spans="1:4" x14ac:dyDescent="0.25">
      <c r="A189" t="s">
        <v>20</v>
      </c>
      <c r="B189">
        <v>5</v>
      </c>
      <c r="C189">
        <v>20</v>
      </c>
    </row>
    <row r="190" spans="1:4" x14ac:dyDescent="0.25">
      <c r="A190" t="s">
        <v>20</v>
      </c>
      <c r="B190">
        <v>5</v>
      </c>
      <c r="C190">
        <v>21</v>
      </c>
    </row>
    <row r="191" spans="1:4" x14ac:dyDescent="0.25">
      <c r="A191" t="s">
        <v>20</v>
      </c>
      <c r="B191">
        <v>5</v>
      </c>
      <c r="C191">
        <v>22</v>
      </c>
      <c r="D191">
        <v>1</v>
      </c>
    </row>
    <row r="192" spans="1:4" x14ac:dyDescent="0.25">
      <c r="A192" t="s">
        <v>20</v>
      </c>
      <c r="B192">
        <v>5</v>
      </c>
      <c r="C192">
        <v>23</v>
      </c>
    </row>
    <row r="193" spans="1:4" x14ac:dyDescent="0.25">
      <c r="A193" t="s">
        <v>20</v>
      </c>
      <c r="B193">
        <v>5</v>
      </c>
      <c r="C193">
        <v>24</v>
      </c>
    </row>
    <row r="194" spans="1:4" x14ac:dyDescent="0.25">
      <c r="A194" t="s">
        <v>20</v>
      </c>
      <c r="B194">
        <v>5</v>
      </c>
      <c r="C194">
        <v>25</v>
      </c>
      <c r="D194">
        <v>1</v>
      </c>
    </row>
    <row r="195" spans="1:4" x14ac:dyDescent="0.25">
      <c r="A195" t="s">
        <v>20</v>
      </c>
      <c r="B195">
        <v>5</v>
      </c>
      <c r="C195">
        <v>26</v>
      </c>
    </row>
    <row r="196" spans="1:4" x14ac:dyDescent="0.25">
      <c r="A196" t="s">
        <v>20</v>
      </c>
      <c r="B196">
        <v>5</v>
      </c>
      <c r="C196">
        <v>27</v>
      </c>
    </row>
    <row r="197" spans="1:4" x14ac:dyDescent="0.25">
      <c r="A197" t="s">
        <v>20</v>
      </c>
      <c r="B197">
        <v>5</v>
      </c>
      <c r="C197">
        <v>28</v>
      </c>
      <c r="D197">
        <v>1</v>
      </c>
    </row>
    <row r="198" spans="1:4" x14ac:dyDescent="0.25">
      <c r="A198" t="s">
        <v>20</v>
      </c>
      <c r="B198">
        <v>5</v>
      </c>
      <c r="C198">
        <v>29</v>
      </c>
    </row>
    <row r="199" spans="1:4" x14ac:dyDescent="0.25">
      <c r="A199" t="s">
        <v>20</v>
      </c>
      <c r="B199">
        <v>5</v>
      </c>
      <c r="C199">
        <v>30</v>
      </c>
    </row>
    <row r="200" spans="1:4" x14ac:dyDescent="0.25">
      <c r="A200" t="s">
        <v>20</v>
      </c>
      <c r="B200">
        <v>5</v>
      </c>
      <c r="C200">
        <v>31</v>
      </c>
      <c r="D200">
        <v>1</v>
      </c>
    </row>
    <row r="201" spans="1:4" x14ac:dyDescent="0.25">
      <c r="A201" t="s">
        <v>20</v>
      </c>
      <c r="B201">
        <v>5</v>
      </c>
      <c r="C201">
        <v>32</v>
      </c>
    </row>
    <row r="202" spans="1:4" x14ac:dyDescent="0.25">
      <c r="A202" t="s">
        <v>20</v>
      </c>
      <c r="B202">
        <v>5</v>
      </c>
      <c r="C202">
        <v>33</v>
      </c>
    </row>
    <row r="203" spans="1:4" x14ac:dyDescent="0.25">
      <c r="A203" t="s">
        <v>20</v>
      </c>
      <c r="B203">
        <v>5</v>
      </c>
      <c r="C203">
        <v>34</v>
      </c>
      <c r="D203">
        <v>1</v>
      </c>
    </row>
    <row r="204" spans="1:4" x14ac:dyDescent="0.25">
      <c r="A204" t="s">
        <v>20</v>
      </c>
      <c r="B204">
        <v>5</v>
      </c>
      <c r="C204">
        <v>35</v>
      </c>
    </row>
    <row r="205" spans="1:4" x14ac:dyDescent="0.25">
      <c r="A205" t="s">
        <v>20</v>
      </c>
      <c r="B205">
        <v>5</v>
      </c>
      <c r="C205">
        <v>36</v>
      </c>
    </row>
    <row r="206" spans="1:4" x14ac:dyDescent="0.25">
      <c r="A206" t="s">
        <v>20</v>
      </c>
      <c r="B206">
        <v>5</v>
      </c>
      <c r="C206">
        <v>37</v>
      </c>
    </row>
    <row r="207" spans="1:4" x14ac:dyDescent="0.25">
      <c r="A207" t="s">
        <v>20</v>
      </c>
      <c r="B207">
        <v>5</v>
      </c>
      <c r="C207">
        <v>38</v>
      </c>
    </row>
    <row r="208" spans="1:4" x14ac:dyDescent="0.25">
      <c r="A208" t="s">
        <v>20</v>
      </c>
      <c r="B208">
        <v>5</v>
      </c>
      <c r="C208">
        <v>39</v>
      </c>
    </row>
    <row r="209" spans="1:4" x14ac:dyDescent="0.25">
      <c r="A209" t="s">
        <v>20</v>
      </c>
      <c r="B209">
        <v>5</v>
      </c>
      <c r="C209">
        <v>40</v>
      </c>
    </row>
    <row r="210" spans="1:4" x14ac:dyDescent="0.25">
      <c r="A210" t="s">
        <v>20</v>
      </c>
      <c r="B210">
        <v>5</v>
      </c>
      <c r="C210">
        <v>41</v>
      </c>
    </row>
    <row r="211" spans="1:4" x14ac:dyDescent="0.25">
      <c r="A211" t="s">
        <v>20</v>
      </c>
      <c r="B211">
        <v>5</v>
      </c>
      <c r="C211">
        <v>42</v>
      </c>
    </row>
    <row r="212" spans="1:4" x14ac:dyDescent="0.25">
      <c r="A212" t="s">
        <v>20</v>
      </c>
      <c r="B212">
        <v>5</v>
      </c>
      <c r="C212">
        <v>43</v>
      </c>
    </row>
    <row r="213" spans="1:4" x14ac:dyDescent="0.25">
      <c r="A213" t="s">
        <v>20</v>
      </c>
      <c r="B213">
        <v>5</v>
      </c>
      <c r="C213">
        <v>44</v>
      </c>
    </row>
    <row r="214" spans="1:4" x14ac:dyDescent="0.25">
      <c r="A214" t="s">
        <v>20</v>
      </c>
      <c r="B214">
        <v>5</v>
      </c>
      <c r="C214">
        <v>45</v>
      </c>
    </row>
    <row r="215" spans="1:4" x14ac:dyDescent="0.25">
      <c r="A215" t="s">
        <v>20</v>
      </c>
      <c r="B215">
        <v>5</v>
      </c>
      <c r="C215">
        <v>46</v>
      </c>
      <c r="D215">
        <v>1</v>
      </c>
    </row>
    <row r="216" spans="1:4" x14ac:dyDescent="0.25">
      <c r="A216" t="s">
        <v>20</v>
      </c>
      <c r="B216">
        <v>5</v>
      </c>
      <c r="C216">
        <v>47</v>
      </c>
    </row>
    <row r="217" spans="1:4" x14ac:dyDescent="0.25">
      <c r="A217" t="s">
        <v>20</v>
      </c>
      <c r="B217">
        <v>5</v>
      </c>
      <c r="C217">
        <v>48</v>
      </c>
    </row>
    <row r="218" spans="1:4" x14ac:dyDescent="0.25">
      <c r="A218" t="s">
        <v>20</v>
      </c>
      <c r="B218">
        <v>5</v>
      </c>
      <c r="C218">
        <v>49</v>
      </c>
      <c r="D218">
        <v>1</v>
      </c>
    </row>
    <row r="219" spans="1:4" x14ac:dyDescent="0.25">
      <c r="A219" t="s">
        <v>20</v>
      </c>
      <c r="B219">
        <v>5</v>
      </c>
      <c r="C219">
        <v>50</v>
      </c>
    </row>
    <row r="220" spans="1:4" x14ac:dyDescent="0.25">
      <c r="A220" t="s">
        <v>20</v>
      </c>
      <c r="B220">
        <v>5</v>
      </c>
      <c r="C220">
        <v>51</v>
      </c>
    </row>
    <row r="221" spans="1:4" x14ac:dyDescent="0.25">
      <c r="A221" t="s">
        <v>20</v>
      </c>
      <c r="B221">
        <v>5</v>
      </c>
      <c r="C221">
        <v>52</v>
      </c>
      <c r="D221">
        <v>1</v>
      </c>
    </row>
    <row r="222" spans="1:4" x14ac:dyDescent="0.25">
      <c r="A222" t="s">
        <v>20</v>
      </c>
      <c r="B222">
        <v>5</v>
      </c>
      <c r="C222">
        <v>53</v>
      </c>
    </row>
    <row r="223" spans="1:4" x14ac:dyDescent="0.25">
      <c r="A223" t="s">
        <v>20</v>
      </c>
      <c r="B223">
        <v>5</v>
      </c>
      <c r="C223">
        <v>54</v>
      </c>
    </row>
    <row r="224" spans="1:4" x14ac:dyDescent="0.25">
      <c r="A224" t="s">
        <v>20</v>
      </c>
      <c r="B224">
        <v>5</v>
      </c>
      <c r="C224">
        <v>55</v>
      </c>
      <c r="D224">
        <v>1</v>
      </c>
    </row>
    <row r="225" spans="1:4" x14ac:dyDescent="0.25">
      <c r="A225" t="s">
        <v>20</v>
      </c>
      <c r="B225">
        <v>5</v>
      </c>
      <c r="C225">
        <v>56</v>
      </c>
    </row>
    <row r="226" spans="1:4" x14ac:dyDescent="0.25">
      <c r="A226" t="s">
        <v>20</v>
      </c>
      <c r="B226">
        <v>5</v>
      </c>
      <c r="C226">
        <v>57</v>
      </c>
    </row>
    <row r="227" spans="1:4" x14ac:dyDescent="0.25">
      <c r="A227" t="s">
        <v>20</v>
      </c>
      <c r="B227">
        <v>5</v>
      </c>
      <c r="C227">
        <v>58</v>
      </c>
    </row>
    <row r="228" spans="1:4" x14ac:dyDescent="0.25">
      <c r="A228" t="s">
        <v>20</v>
      </c>
      <c r="B228">
        <v>5</v>
      </c>
      <c r="C228">
        <v>59</v>
      </c>
    </row>
    <row r="229" spans="1:4" x14ac:dyDescent="0.25">
      <c r="A229" t="s">
        <v>20</v>
      </c>
      <c r="B229">
        <v>5</v>
      </c>
      <c r="C229">
        <v>60</v>
      </c>
    </row>
    <row r="230" spans="1:4" x14ac:dyDescent="0.25">
      <c r="A230" t="s">
        <v>20</v>
      </c>
      <c r="B230">
        <v>5</v>
      </c>
      <c r="C230">
        <v>61</v>
      </c>
    </row>
    <row r="231" spans="1:4" x14ac:dyDescent="0.25">
      <c r="A231" t="s">
        <v>20</v>
      </c>
      <c r="B231">
        <v>5</v>
      </c>
      <c r="C231">
        <v>62</v>
      </c>
    </row>
    <row r="232" spans="1:4" x14ac:dyDescent="0.25">
      <c r="A232" t="s">
        <v>20</v>
      </c>
      <c r="B232">
        <v>5</v>
      </c>
      <c r="C232">
        <v>63</v>
      </c>
    </row>
    <row r="233" spans="1:4" x14ac:dyDescent="0.25">
      <c r="A233" t="s">
        <v>20</v>
      </c>
      <c r="B233">
        <v>5</v>
      </c>
      <c r="C233">
        <v>64</v>
      </c>
    </row>
    <row r="234" spans="1:4" x14ac:dyDescent="0.25">
      <c r="A234" t="s">
        <v>20</v>
      </c>
      <c r="B234">
        <v>5</v>
      </c>
      <c r="C234">
        <v>65</v>
      </c>
    </row>
    <row r="235" spans="1:4" x14ac:dyDescent="0.25">
      <c r="A235" t="s">
        <v>20</v>
      </c>
      <c r="B235">
        <v>5</v>
      </c>
      <c r="C235">
        <v>66</v>
      </c>
    </row>
    <row r="236" spans="1:4" x14ac:dyDescent="0.25">
      <c r="A236" t="s">
        <v>20</v>
      </c>
      <c r="B236">
        <v>5</v>
      </c>
      <c r="C236">
        <v>67</v>
      </c>
      <c r="D236">
        <v>1</v>
      </c>
    </row>
    <row r="237" spans="1:4" x14ac:dyDescent="0.25">
      <c r="A237" t="s">
        <v>20</v>
      </c>
      <c r="B237">
        <v>5</v>
      </c>
      <c r="C237">
        <v>68</v>
      </c>
    </row>
    <row r="238" spans="1:4" x14ac:dyDescent="0.25">
      <c r="A238" t="s">
        <v>20</v>
      </c>
      <c r="B238">
        <v>5</v>
      </c>
      <c r="C238">
        <v>69</v>
      </c>
    </row>
    <row r="239" spans="1:4" x14ac:dyDescent="0.25">
      <c r="A239" t="s">
        <v>20</v>
      </c>
      <c r="B239">
        <v>5</v>
      </c>
      <c r="C239">
        <v>70</v>
      </c>
      <c r="D239">
        <v>1</v>
      </c>
    </row>
    <row r="240" spans="1:4" x14ac:dyDescent="0.25">
      <c r="A240" t="s">
        <v>20</v>
      </c>
      <c r="B240">
        <v>5</v>
      </c>
      <c r="C240">
        <v>71</v>
      </c>
    </row>
    <row r="241" spans="1:4" x14ac:dyDescent="0.25">
      <c r="A241" t="s">
        <v>20</v>
      </c>
      <c r="B241">
        <v>5</v>
      </c>
      <c r="C241">
        <v>72</v>
      </c>
    </row>
    <row r="242" spans="1:4" x14ac:dyDescent="0.25">
      <c r="A242" t="s">
        <v>20</v>
      </c>
      <c r="B242">
        <v>5</v>
      </c>
      <c r="C242">
        <v>73</v>
      </c>
      <c r="D242">
        <v>1</v>
      </c>
    </row>
    <row r="243" spans="1:4" x14ac:dyDescent="0.25">
      <c r="A243" t="s">
        <v>20</v>
      </c>
      <c r="B243">
        <v>5</v>
      </c>
      <c r="C243">
        <v>74</v>
      </c>
    </row>
    <row r="244" spans="1:4" x14ac:dyDescent="0.25">
      <c r="A244" t="s">
        <v>20</v>
      </c>
      <c r="B244">
        <v>5</v>
      </c>
      <c r="C244">
        <v>75</v>
      </c>
    </row>
    <row r="245" spans="1:4" x14ac:dyDescent="0.25">
      <c r="A245" t="s">
        <v>20</v>
      </c>
      <c r="B245">
        <v>5</v>
      </c>
      <c r="C245">
        <v>76</v>
      </c>
      <c r="D245">
        <v>1</v>
      </c>
    </row>
    <row r="246" spans="1:4" x14ac:dyDescent="0.25">
      <c r="A246" t="s">
        <v>20</v>
      </c>
      <c r="B246">
        <v>5</v>
      </c>
      <c r="C246">
        <v>77</v>
      </c>
    </row>
    <row r="247" spans="1:4" x14ac:dyDescent="0.25">
      <c r="A247" t="s">
        <v>20</v>
      </c>
      <c r="B247">
        <v>5</v>
      </c>
      <c r="C247">
        <v>78</v>
      </c>
    </row>
    <row r="248" spans="1:4" x14ac:dyDescent="0.25">
      <c r="A248" t="s">
        <v>20</v>
      </c>
      <c r="B248">
        <v>5</v>
      </c>
      <c r="C248">
        <v>79</v>
      </c>
    </row>
    <row r="249" spans="1:4" x14ac:dyDescent="0.25">
      <c r="A249" t="s">
        <v>20</v>
      </c>
      <c r="B249">
        <v>5</v>
      </c>
      <c r="C249">
        <v>80</v>
      </c>
    </row>
    <row r="250" spans="1:4" x14ac:dyDescent="0.25">
      <c r="A250" t="s">
        <v>20</v>
      </c>
      <c r="B250">
        <v>5</v>
      </c>
      <c r="C250">
        <v>81</v>
      </c>
    </row>
    <row r="251" spans="1:4" x14ac:dyDescent="0.25">
      <c r="A251" t="s">
        <v>20</v>
      </c>
      <c r="B251">
        <v>5</v>
      </c>
      <c r="C251">
        <v>82</v>
      </c>
    </row>
    <row r="252" spans="1:4" x14ac:dyDescent="0.25">
      <c r="A252" t="s">
        <v>20</v>
      </c>
      <c r="B252">
        <v>5</v>
      </c>
      <c r="C252">
        <v>83</v>
      </c>
    </row>
    <row r="253" spans="1:4" x14ac:dyDescent="0.25">
      <c r="A253" t="s">
        <v>20</v>
      </c>
      <c r="B253">
        <v>5</v>
      </c>
      <c r="C253">
        <v>84</v>
      </c>
    </row>
    <row r="254" spans="1:4" x14ac:dyDescent="0.25">
      <c r="A254" t="s">
        <v>20</v>
      </c>
      <c r="B254">
        <v>6</v>
      </c>
      <c r="C254">
        <v>1</v>
      </c>
    </row>
    <row r="255" spans="1:4" x14ac:dyDescent="0.25">
      <c r="A255" t="s">
        <v>20</v>
      </c>
      <c r="B255">
        <v>6</v>
      </c>
      <c r="C255">
        <v>2</v>
      </c>
      <c r="D255">
        <v>1</v>
      </c>
    </row>
    <row r="256" spans="1:4" x14ac:dyDescent="0.25">
      <c r="A256" t="s">
        <v>20</v>
      </c>
      <c r="B256">
        <v>6</v>
      </c>
      <c r="C256">
        <v>3</v>
      </c>
    </row>
    <row r="257" spans="1:4" x14ac:dyDescent="0.25">
      <c r="A257" t="s">
        <v>20</v>
      </c>
      <c r="B257">
        <v>6</v>
      </c>
      <c r="C257">
        <v>4</v>
      </c>
      <c r="D257">
        <v>1</v>
      </c>
    </row>
    <row r="258" spans="1:4" x14ac:dyDescent="0.25">
      <c r="A258" t="s">
        <v>20</v>
      </c>
      <c r="B258">
        <v>6</v>
      </c>
      <c r="C258">
        <v>5</v>
      </c>
    </row>
    <row r="259" spans="1:4" x14ac:dyDescent="0.25">
      <c r="A259" t="s">
        <v>20</v>
      </c>
      <c r="B259">
        <v>6</v>
      </c>
      <c r="C259">
        <v>6</v>
      </c>
    </row>
    <row r="260" spans="1:4" x14ac:dyDescent="0.25">
      <c r="A260" t="s">
        <v>20</v>
      </c>
      <c r="B260">
        <v>6</v>
      </c>
      <c r="C260">
        <v>7</v>
      </c>
      <c r="D260">
        <v>1</v>
      </c>
    </row>
    <row r="261" spans="1:4" x14ac:dyDescent="0.25">
      <c r="A261" t="s">
        <v>20</v>
      </c>
      <c r="B261">
        <v>6</v>
      </c>
      <c r="C261">
        <v>8</v>
      </c>
    </row>
    <row r="262" spans="1:4" x14ac:dyDescent="0.25">
      <c r="A262" t="s">
        <v>20</v>
      </c>
      <c r="B262">
        <v>6</v>
      </c>
      <c r="C262">
        <v>9</v>
      </c>
    </row>
    <row r="263" spans="1:4" x14ac:dyDescent="0.25">
      <c r="A263" t="s">
        <v>20</v>
      </c>
      <c r="B263">
        <v>6</v>
      </c>
      <c r="C263">
        <v>10</v>
      </c>
    </row>
    <row r="264" spans="1:4" x14ac:dyDescent="0.25">
      <c r="A264" t="s">
        <v>20</v>
      </c>
      <c r="B264">
        <v>6</v>
      </c>
      <c r="C264">
        <v>11</v>
      </c>
      <c r="D264">
        <v>1</v>
      </c>
    </row>
    <row r="265" spans="1:4" x14ac:dyDescent="0.25">
      <c r="A265" t="s">
        <v>20</v>
      </c>
      <c r="B265">
        <v>6</v>
      </c>
      <c r="C265">
        <v>12</v>
      </c>
    </row>
    <row r="266" spans="1:4" x14ac:dyDescent="0.25">
      <c r="A266" t="s">
        <v>20</v>
      </c>
      <c r="B266">
        <v>6</v>
      </c>
      <c r="C266">
        <v>13</v>
      </c>
    </row>
    <row r="267" spans="1:4" x14ac:dyDescent="0.25">
      <c r="A267" t="s">
        <v>20</v>
      </c>
      <c r="B267">
        <v>6</v>
      </c>
      <c r="C267">
        <v>14</v>
      </c>
    </row>
    <row r="268" spans="1:4" x14ac:dyDescent="0.25">
      <c r="A268" t="s">
        <v>20</v>
      </c>
      <c r="B268">
        <v>6</v>
      </c>
      <c r="C268">
        <v>15</v>
      </c>
    </row>
    <row r="269" spans="1:4" x14ac:dyDescent="0.25">
      <c r="A269" t="s">
        <v>20</v>
      </c>
      <c r="B269">
        <v>6</v>
      </c>
      <c r="C269">
        <v>16</v>
      </c>
    </row>
    <row r="270" spans="1:4" x14ac:dyDescent="0.25">
      <c r="A270" t="s">
        <v>20</v>
      </c>
      <c r="B270">
        <v>6</v>
      </c>
      <c r="C270">
        <v>17</v>
      </c>
      <c r="D270">
        <v>1</v>
      </c>
    </row>
    <row r="271" spans="1:4" x14ac:dyDescent="0.25">
      <c r="A271" t="s">
        <v>20</v>
      </c>
      <c r="B271">
        <v>6</v>
      </c>
      <c r="C271">
        <v>18</v>
      </c>
    </row>
    <row r="272" spans="1:4" x14ac:dyDescent="0.25">
      <c r="A272" t="s">
        <v>20</v>
      </c>
      <c r="B272">
        <v>6</v>
      </c>
      <c r="C272">
        <v>19</v>
      </c>
    </row>
    <row r="273" spans="1:4" x14ac:dyDescent="0.25">
      <c r="A273" t="s">
        <v>20</v>
      </c>
      <c r="B273">
        <v>6</v>
      </c>
      <c r="C273">
        <v>20</v>
      </c>
      <c r="D273">
        <v>1</v>
      </c>
    </row>
    <row r="274" spans="1:4" x14ac:dyDescent="0.25">
      <c r="A274" t="s">
        <v>20</v>
      </c>
      <c r="B274">
        <v>6</v>
      </c>
      <c r="C274">
        <v>21</v>
      </c>
    </row>
    <row r="275" spans="1:4" x14ac:dyDescent="0.25">
      <c r="A275" t="s">
        <v>20</v>
      </c>
      <c r="B275">
        <v>6</v>
      </c>
      <c r="C275">
        <v>22</v>
      </c>
    </row>
    <row r="276" spans="1:4" x14ac:dyDescent="0.25">
      <c r="A276" t="s">
        <v>20</v>
      </c>
      <c r="B276">
        <v>6</v>
      </c>
      <c r="C276">
        <v>23</v>
      </c>
    </row>
    <row r="277" spans="1:4" x14ac:dyDescent="0.25">
      <c r="A277" t="s">
        <v>20</v>
      </c>
      <c r="B277">
        <v>6</v>
      </c>
      <c r="C277">
        <v>24</v>
      </c>
    </row>
    <row r="278" spans="1:4" x14ac:dyDescent="0.25">
      <c r="A278" t="s">
        <v>20</v>
      </c>
      <c r="B278">
        <v>6</v>
      </c>
      <c r="C278">
        <v>25</v>
      </c>
    </row>
    <row r="279" spans="1:4" x14ac:dyDescent="0.25">
      <c r="A279" t="s">
        <v>20</v>
      </c>
      <c r="B279">
        <v>6</v>
      </c>
      <c r="C279">
        <v>26</v>
      </c>
    </row>
    <row r="280" spans="1:4" x14ac:dyDescent="0.25">
      <c r="A280" t="s">
        <v>20</v>
      </c>
      <c r="B280">
        <v>6</v>
      </c>
      <c r="C280">
        <v>27</v>
      </c>
    </row>
    <row r="281" spans="1:4" x14ac:dyDescent="0.25">
      <c r="A281" t="s">
        <v>20</v>
      </c>
      <c r="B281">
        <v>6</v>
      </c>
      <c r="C281">
        <v>28</v>
      </c>
      <c r="D281">
        <v>1</v>
      </c>
    </row>
    <row r="282" spans="1:4" x14ac:dyDescent="0.25">
      <c r="A282" t="s">
        <v>20</v>
      </c>
      <c r="B282">
        <v>6</v>
      </c>
      <c r="C282">
        <v>29</v>
      </c>
    </row>
    <row r="283" spans="1:4" x14ac:dyDescent="0.25">
      <c r="A283" t="s">
        <v>20</v>
      </c>
      <c r="B283">
        <v>6</v>
      </c>
      <c r="C283">
        <v>30</v>
      </c>
    </row>
    <row r="284" spans="1:4" x14ac:dyDescent="0.25">
      <c r="A284" t="s">
        <v>20</v>
      </c>
      <c r="B284">
        <v>6</v>
      </c>
      <c r="C284">
        <v>31</v>
      </c>
      <c r="D284">
        <v>1</v>
      </c>
    </row>
    <row r="285" spans="1:4" x14ac:dyDescent="0.25">
      <c r="A285" t="s">
        <v>20</v>
      </c>
      <c r="B285">
        <v>6</v>
      </c>
      <c r="C285">
        <v>32</v>
      </c>
    </row>
    <row r="286" spans="1:4" x14ac:dyDescent="0.25">
      <c r="A286" t="s">
        <v>20</v>
      </c>
      <c r="B286">
        <v>6</v>
      </c>
      <c r="C286">
        <v>33</v>
      </c>
    </row>
    <row r="287" spans="1:4" x14ac:dyDescent="0.25">
      <c r="A287" t="s">
        <v>20</v>
      </c>
      <c r="B287">
        <v>6</v>
      </c>
      <c r="C287">
        <v>34</v>
      </c>
    </row>
    <row r="288" spans="1:4" x14ac:dyDescent="0.25">
      <c r="A288" t="s">
        <v>20</v>
      </c>
      <c r="B288">
        <v>6</v>
      </c>
      <c r="C288">
        <v>35</v>
      </c>
      <c r="D288">
        <v>1</v>
      </c>
    </row>
    <row r="289" spans="1:4" x14ac:dyDescent="0.25">
      <c r="A289" t="s">
        <v>20</v>
      </c>
      <c r="B289">
        <v>6</v>
      </c>
      <c r="C289">
        <v>36</v>
      </c>
    </row>
    <row r="290" spans="1:4" x14ac:dyDescent="0.25">
      <c r="A290" t="s">
        <v>20</v>
      </c>
      <c r="B290">
        <v>6</v>
      </c>
      <c r="C290">
        <v>37</v>
      </c>
    </row>
    <row r="291" spans="1:4" x14ac:dyDescent="0.25">
      <c r="A291" t="s">
        <v>20</v>
      </c>
      <c r="B291">
        <v>6</v>
      </c>
      <c r="C291">
        <v>38</v>
      </c>
      <c r="D291">
        <v>1</v>
      </c>
    </row>
    <row r="292" spans="1:4" x14ac:dyDescent="0.25">
      <c r="A292" t="s">
        <v>20</v>
      </c>
      <c r="B292">
        <v>6</v>
      </c>
      <c r="C292">
        <v>39</v>
      </c>
    </row>
    <row r="293" spans="1:4" x14ac:dyDescent="0.25">
      <c r="A293" t="s">
        <v>20</v>
      </c>
      <c r="B293">
        <v>6</v>
      </c>
      <c r="C293">
        <v>40</v>
      </c>
    </row>
    <row r="294" spans="1:4" x14ac:dyDescent="0.25">
      <c r="A294" t="s">
        <v>20</v>
      </c>
      <c r="B294">
        <v>6</v>
      </c>
      <c r="C294">
        <v>41</v>
      </c>
      <c r="D294">
        <v>1</v>
      </c>
    </row>
    <row r="295" spans="1:4" x14ac:dyDescent="0.25">
      <c r="A295" t="s">
        <v>20</v>
      </c>
      <c r="B295">
        <v>6</v>
      </c>
      <c r="C295">
        <v>42</v>
      </c>
    </row>
    <row r="296" spans="1:4" x14ac:dyDescent="0.25">
      <c r="A296" t="s">
        <v>20</v>
      </c>
      <c r="B296">
        <v>6</v>
      </c>
      <c r="C296">
        <v>43</v>
      </c>
    </row>
    <row r="297" spans="1:4" x14ac:dyDescent="0.25">
      <c r="A297" t="s">
        <v>20</v>
      </c>
      <c r="B297">
        <v>6</v>
      </c>
      <c r="C297">
        <v>44</v>
      </c>
      <c r="D297">
        <v>1</v>
      </c>
    </row>
    <row r="298" spans="1:4" x14ac:dyDescent="0.25">
      <c r="A298" t="s">
        <v>20</v>
      </c>
      <c r="B298">
        <v>6</v>
      </c>
      <c r="C298">
        <v>45</v>
      </c>
    </row>
    <row r="299" spans="1:4" x14ac:dyDescent="0.25">
      <c r="A299" t="s">
        <v>20</v>
      </c>
      <c r="B299">
        <v>6</v>
      </c>
      <c r="C299">
        <v>46</v>
      </c>
      <c r="D299">
        <v>1</v>
      </c>
    </row>
    <row r="300" spans="1:4" x14ac:dyDescent="0.25">
      <c r="A300" t="s">
        <v>20</v>
      </c>
      <c r="B300">
        <v>6</v>
      </c>
      <c r="C300">
        <v>47</v>
      </c>
    </row>
    <row r="301" spans="1:4" x14ac:dyDescent="0.25">
      <c r="A301" t="s">
        <v>20</v>
      </c>
      <c r="B301">
        <v>6</v>
      </c>
      <c r="C301">
        <v>48</v>
      </c>
    </row>
    <row r="302" spans="1:4" x14ac:dyDescent="0.25">
      <c r="A302" t="s">
        <v>20</v>
      </c>
      <c r="B302">
        <v>6</v>
      </c>
      <c r="C302">
        <v>49</v>
      </c>
      <c r="D302">
        <v>1</v>
      </c>
    </row>
    <row r="303" spans="1:4" x14ac:dyDescent="0.25">
      <c r="A303" t="s">
        <v>20</v>
      </c>
      <c r="B303">
        <v>6</v>
      </c>
      <c r="C303">
        <v>50</v>
      </c>
    </row>
    <row r="304" spans="1:4" x14ac:dyDescent="0.25">
      <c r="A304" t="s">
        <v>20</v>
      </c>
      <c r="B304">
        <v>6</v>
      </c>
      <c r="C304">
        <v>51</v>
      </c>
    </row>
    <row r="305" spans="1:4" x14ac:dyDescent="0.25">
      <c r="A305" t="s">
        <v>20</v>
      </c>
      <c r="B305">
        <v>6</v>
      </c>
      <c r="C305">
        <v>52</v>
      </c>
    </row>
    <row r="306" spans="1:4" x14ac:dyDescent="0.25">
      <c r="A306" t="s">
        <v>20</v>
      </c>
      <c r="B306">
        <v>6</v>
      </c>
      <c r="C306">
        <v>53</v>
      </c>
    </row>
    <row r="307" spans="1:4" x14ac:dyDescent="0.25">
      <c r="A307" t="s">
        <v>20</v>
      </c>
      <c r="B307">
        <v>6</v>
      </c>
      <c r="C307">
        <v>54</v>
      </c>
    </row>
    <row r="308" spans="1:4" x14ac:dyDescent="0.25">
      <c r="A308" t="s">
        <v>20</v>
      </c>
      <c r="B308">
        <v>6</v>
      </c>
      <c r="C308">
        <v>55</v>
      </c>
    </row>
    <row r="309" spans="1:4" x14ac:dyDescent="0.25">
      <c r="A309" t="s">
        <v>20</v>
      </c>
      <c r="B309">
        <v>6</v>
      </c>
      <c r="C309">
        <v>56</v>
      </c>
    </row>
    <row r="310" spans="1:4" x14ac:dyDescent="0.25">
      <c r="A310" t="s">
        <v>20</v>
      </c>
      <c r="B310">
        <v>6</v>
      </c>
      <c r="C310">
        <v>57</v>
      </c>
    </row>
    <row r="311" spans="1:4" x14ac:dyDescent="0.25">
      <c r="A311" t="s">
        <v>20</v>
      </c>
      <c r="B311">
        <v>6</v>
      </c>
      <c r="C311">
        <v>58</v>
      </c>
    </row>
    <row r="312" spans="1:4" x14ac:dyDescent="0.25">
      <c r="A312" t="s">
        <v>20</v>
      </c>
      <c r="B312">
        <v>6</v>
      </c>
      <c r="C312">
        <v>59</v>
      </c>
      <c r="D312">
        <v>1</v>
      </c>
    </row>
    <row r="313" spans="1:4" x14ac:dyDescent="0.25">
      <c r="A313" t="s">
        <v>20</v>
      </c>
      <c r="B313">
        <v>6</v>
      </c>
      <c r="C313">
        <v>60</v>
      </c>
    </row>
    <row r="314" spans="1:4" x14ac:dyDescent="0.25">
      <c r="A314" t="s">
        <v>20</v>
      </c>
      <c r="B314">
        <v>6</v>
      </c>
      <c r="C314">
        <v>61</v>
      </c>
    </row>
    <row r="315" spans="1:4" x14ac:dyDescent="0.25">
      <c r="A315" t="s">
        <v>20</v>
      </c>
      <c r="B315">
        <v>6</v>
      </c>
      <c r="C315">
        <v>62</v>
      </c>
      <c r="D315">
        <v>1</v>
      </c>
    </row>
    <row r="316" spans="1:4" x14ac:dyDescent="0.25">
      <c r="A316" t="s">
        <v>20</v>
      </c>
      <c r="B316">
        <v>6</v>
      </c>
      <c r="C316">
        <v>63</v>
      </c>
    </row>
    <row r="317" spans="1:4" x14ac:dyDescent="0.25">
      <c r="A317" t="s">
        <v>20</v>
      </c>
      <c r="B317">
        <v>6</v>
      </c>
      <c r="C317">
        <v>64</v>
      </c>
    </row>
    <row r="318" spans="1:4" x14ac:dyDescent="0.25">
      <c r="A318" t="s">
        <v>20</v>
      </c>
      <c r="B318">
        <v>6</v>
      </c>
      <c r="C318">
        <v>65</v>
      </c>
      <c r="D318">
        <v>1</v>
      </c>
    </row>
    <row r="319" spans="1:4" x14ac:dyDescent="0.25">
      <c r="A319" t="s">
        <v>20</v>
      </c>
      <c r="B319">
        <v>6</v>
      </c>
      <c r="C319">
        <v>66</v>
      </c>
    </row>
    <row r="320" spans="1:4" x14ac:dyDescent="0.25">
      <c r="A320" t="s">
        <v>20</v>
      </c>
      <c r="B320">
        <v>6</v>
      </c>
      <c r="C320">
        <v>67</v>
      </c>
    </row>
    <row r="321" spans="1:4" x14ac:dyDescent="0.25">
      <c r="A321" t="s">
        <v>20</v>
      </c>
      <c r="B321">
        <v>6</v>
      </c>
      <c r="C321">
        <v>68</v>
      </c>
      <c r="D321">
        <v>1</v>
      </c>
    </row>
    <row r="322" spans="1:4" x14ac:dyDescent="0.25">
      <c r="A322" t="s">
        <v>20</v>
      </c>
      <c r="B322">
        <v>6</v>
      </c>
      <c r="C322">
        <v>69</v>
      </c>
    </row>
    <row r="323" spans="1:4" x14ac:dyDescent="0.25">
      <c r="A323" t="s">
        <v>20</v>
      </c>
      <c r="B323">
        <v>6</v>
      </c>
      <c r="C323">
        <v>70</v>
      </c>
      <c r="D323">
        <v>1</v>
      </c>
    </row>
    <row r="324" spans="1:4" x14ac:dyDescent="0.25">
      <c r="A324" t="s">
        <v>20</v>
      </c>
      <c r="B324">
        <v>6</v>
      </c>
      <c r="C324">
        <v>71</v>
      </c>
    </row>
    <row r="325" spans="1:4" x14ac:dyDescent="0.25">
      <c r="A325" t="s">
        <v>20</v>
      </c>
      <c r="B325">
        <v>6</v>
      </c>
      <c r="C325">
        <v>72</v>
      </c>
    </row>
    <row r="326" spans="1:4" x14ac:dyDescent="0.25">
      <c r="A326" t="s">
        <v>20</v>
      </c>
      <c r="B326">
        <v>6</v>
      </c>
      <c r="C326">
        <v>73</v>
      </c>
      <c r="D326">
        <v>1</v>
      </c>
    </row>
    <row r="327" spans="1:4" x14ac:dyDescent="0.25">
      <c r="A327" t="s">
        <v>20</v>
      </c>
      <c r="B327">
        <v>6</v>
      </c>
      <c r="C327">
        <v>74</v>
      </c>
    </row>
    <row r="328" spans="1:4" x14ac:dyDescent="0.25">
      <c r="A328" t="s">
        <v>20</v>
      </c>
      <c r="B328">
        <v>6</v>
      </c>
      <c r="C328">
        <v>75</v>
      </c>
    </row>
    <row r="329" spans="1:4" x14ac:dyDescent="0.25">
      <c r="A329" t="s">
        <v>20</v>
      </c>
      <c r="B329">
        <v>6</v>
      </c>
      <c r="C329">
        <v>76</v>
      </c>
    </row>
    <row r="330" spans="1:4" x14ac:dyDescent="0.25">
      <c r="A330" t="s">
        <v>20</v>
      </c>
      <c r="B330">
        <v>6</v>
      </c>
      <c r="C330">
        <v>77</v>
      </c>
      <c r="D330">
        <v>1</v>
      </c>
    </row>
    <row r="331" spans="1:4" x14ac:dyDescent="0.25">
      <c r="A331" t="s">
        <v>20</v>
      </c>
      <c r="B331">
        <v>6</v>
      </c>
      <c r="C331">
        <v>78</v>
      </c>
    </row>
    <row r="332" spans="1:4" x14ac:dyDescent="0.25">
      <c r="A332" t="s">
        <v>20</v>
      </c>
      <c r="B332">
        <v>6</v>
      </c>
      <c r="C332">
        <v>79</v>
      </c>
    </row>
    <row r="333" spans="1:4" x14ac:dyDescent="0.25">
      <c r="A333" t="s">
        <v>20</v>
      </c>
      <c r="B333">
        <v>6</v>
      </c>
      <c r="C333">
        <v>80</v>
      </c>
      <c r="D333">
        <v>1</v>
      </c>
    </row>
    <row r="334" spans="1:4" x14ac:dyDescent="0.25">
      <c r="A334" t="s">
        <v>20</v>
      </c>
      <c r="B334">
        <v>6</v>
      </c>
      <c r="C334">
        <v>81</v>
      </c>
    </row>
    <row r="335" spans="1:4" x14ac:dyDescent="0.25">
      <c r="A335" t="s">
        <v>20</v>
      </c>
      <c r="B335">
        <v>6</v>
      </c>
      <c r="C335">
        <v>82</v>
      </c>
    </row>
    <row r="336" spans="1:4" x14ac:dyDescent="0.25">
      <c r="A336" t="s">
        <v>20</v>
      </c>
      <c r="B336">
        <v>6</v>
      </c>
      <c r="C336">
        <v>83</v>
      </c>
      <c r="D336">
        <v>1</v>
      </c>
    </row>
    <row r="337" spans="1:4" x14ac:dyDescent="0.25">
      <c r="A337" t="s">
        <v>20</v>
      </c>
      <c r="B337">
        <v>6</v>
      </c>
      <c r="C337">
        <v>84</v>
      </c>
    </row>
    <row r="338" spans="1:4" x14ac:dyDescent="0.25">
      <c r="A338" t="s">
        <v>20</v>
      </c>
      <c r="B338">
        <v>9</v>
      </c>
      <c r="C338">
        <v>1</v>
      </c>
    </row>
    <row r="339" spans="1:4" x14ac:dyDescent="0.25">
      <c r="A339" t="s">
        <v>20</v>
      </c>
      <c r="B339">
        <v>9</v>
      </c>
      <c r="C339">
        <v>2</v>
      </c>
      <c r="D339">
        <v>1</v>
      </c>
    </row>
    <row r="340" spans="1:4" x14ac:dyDescent="0.25">
      <c r="A340" t="s">
        <v>20</v>
      </c>
      <c r="B340">
        <v>9</v>
      </c>
      <c r="C340">
        <v>3</v>
      </c>
    </row>
    <row r="341" spans="1:4" x14ac:dyDescent="0.25">
      <c r="A341" t="s">
        <v>20</v>
      </c>
      <c r="B341">
        <v>9</v>
      </c>
      <c r="C341">
        <v>4</v>
      </c>
    </row>
    <row r="342" spans="1:4" x14ac:dyDescent="0.25">
      <c r="A342" t="s">
        <v>20</v>
      </c>
      <c r="B342">
        <v>9</v>
      </c>
      <c r="C342">
        <v>5</v>
      </c>
      <c r="D342">
        <v>1</v>
      </c>
    </row>
    <row r="343" spans="1:4" x14ac:dyDescent="0.25">
      <c r="A343" t="s">
        <v>20</v>
      </c>
      <c r="B343">
        <v>9</v>
      </c>
      <c r="C343">
        <v>6</v>
      </c>
    </row>
    <row r="344" spans="1:4" x14ac:dyDescent="0.25">
      <c r="A344" t="s">
        <v>20</v>
      </c>
      <c r="B344">
        <v>9</v>
      </c>
      <c r="C344">
        <v>7</v>
      </c>
    </row>
    <row r="345" spans="1:4" x14ac:dyDescent="0.25">
      <c r="A345" t="s">
        <v>20</v>
      </c>
      <c r="B345">
        <v>9</v>
      </c>
      <c r="C345">
        <v>8</v>
      </c>
    </row>
    <row r="346" spans="1:4" x14ac:dyDescent="0.25">
      <c r="A346" t="s">
        <v>20</v>
      </c>
      <c r="B346">
        <v>9</v>
      </c>
      <c r="C346">
        <v>9</v>
      </c>
    </row>
    <row r="347" spans="1:4" x14ac:dyDescent="0.25">
      <c r="A347" t="s">
        <v>20</v>
      </c>
      <c r="B347">
        <v>9</v>
      </c>
      <c r="C347">
        <v>10</v>
      </c>
    </row>
    <row r="348" spans="1:4" x14ac:dyDescent="0.25">
      <c r="A348" t="s">
        <v>20</v>
      </c>
      <c r="B348">
        <v>9</v>
      </c>
      <c r="C348">
        <v>11</v>
      </c>
      <c r="D348">
        <v>1</v>
      </c>
    </row>
    <row r="349" spans="1:4" x14ac:dyDescent="0.25">
      <c r="A349" t="s">
        <v>20</v>
      </c>
      <c r="B349">
        <v>9</v>
      </c>
      <c r="C349">
        <v>12</v>
      </c>
    </row>
    <row r="350" spans="1:4" x14ac:dyDescent="0.25">
      <c r="A350" t="s">
        <v>20</v>
      </c>
      <c r="B350">
        <v>9</v>
      </c>
      <c r="C350">
        <v>13</v>
      </c>
    </row>
    <row r="351" spans="1:4" x14ac:dyDescent="0.25">
      <c r="A351" t="s">
        <v>20</v>
      </c>
      <c r="B351">
        <v>9</v>
      </c>
      <c r="C351">
        <v>14</v>
      </c>
      <c r="D351">
        <v>1</v>
      </c>
    </row>
    <row r="352" spans="1:4" x14ac:dyDescent="0.25">
      <c r="A352" t="s">
        <v>20</v>
      </c>
      <c r="B352">
        <v>9</v>
      </c>
      <c r="C352">
        <v>15</v>
      </c>
    </row>
    <row r="353" spans="1:4" x14ac:dyDescent="0.25">
      <c r="A353" t="s">
        <v>20</v>
      </c>
      <c r="B353">
        <v>9</v>
      </c>
      <c r="C353">
        <v>16</v>
      </c>
      <c r="D353">
        <v>1</v>
      </c>
    </row>
    <row r="354" spans="1:4" x14ac:dyDescent="0.25">
      <c r="A354" t="s">
        <v>20</v>
      </c>
      <c r="B354">
        <v>9</v>
      </c>
      <c r="C354">
        <v>17</v>
      </c>
    </row>
    <row r="355" spans="1:4" x14ac:dyDescent="0.25">
      <c r="A355" t="s">
        <v>20</v>
      </c>
      <c r="B355">
        <v>9</v>
      </c>
      <c r="C355">
        <v>18</v>
      </c>
    </row>
    <row r="356" spans="1:4" x14ac:dyDescent="0.25">
      <c r="A356" t="s">
        <v>20</v>
      </c>
      <c r="B356">
        <v>9</v>
      </c>
      <c r="C356">
        <v>19</v>
      </c>
    </row>
    <row r="357" spans="1:4" x14ac:dyDescent="0.25">
      <c r="A357" t="s">
        <v>20</v>
      </c>
      <c r="B357">
        <v>9</v>
      </c>
      <c r="C357">
        <v>20</v>
      </c>
      <c r="D357">
        <v>1</v>
      </c>
    </row>
    <row r="358" spans="1:4" x14ac:dyDescent="0.25">
      <c r="A358" t="s">
        <v>20</v>
      </c>
      <c r="B358">
        <v>9</v>
      </c>
      <c r="C358">
        <v>21</v>
      </c>
    </row>
    <row r="359" spans="1:4" x14ac:dyDescent="0.25">
      <c r="A359" t="s">
        <v>20</v>
      </c>
      <c r="B359">
        <v>9</v>
      </c>
      <c r="C359">
        <v>22</v>
      </c>
    </row>
    <row r="360" spans="1:4" x14ac:dyDescent="0.25">
      <c r="A360" t="s">
        <v>20</v>
      </c>
      <c r="B360">
        <v>9</v>
      </c>
      <c r="C360">
        <v>23</v>
      </c>
      <c r="D360">
        <v>1</v>
      </c>
    </row>
    <row r="361" spans="1:4" x14ac:dyDescent="0.25">
      <c r="A361" t="s">
        <v>20</v>
      </c>
      <c r="B361">
        <v>9</v>
      </c>
      <c r="C361">
        <v>24</v>
      </c>
    </row>
    <row r="362" spans="1:4" x14ac:dyDescent="0.25">
      <c r="A362" t="s">
        <v>20</v>
      </c>
      <c r="B362">
        <v>9</v>
      </c>
      <c r="C362">
        <v>25</v>
      </c>
    </row>
    <row r="363" spans="1:4" x14ac:dyDescent="0.25">
      <c r="A363" t="s">
        <v>20</v>
      </c>
      <c r="B363">
        <v>9</v>
      </c>
      <c r="C363">
        <v>26</v>
      </c>
      <c r="D363">
        <v>1</v>
      </c>
    </row>
    <row r="364" spans="1:4" x14ac:dyDescent="0.25">
      <c r="A364" t="s">
        <v>20</v>
      </c>
      <c r="B364">
        <v>9</v>
      </c>
      <c r="C364">
        <v>27</v>
      </c>
    </row>
    <row r="365" spans="1:4" x14ac:dyDescent="0.25">
      <c r="A365" t="s">
        <v>20</v>
      </c>
      <c r="B365">
        <v>9</v>
      </c>
      <c r="C365">
        <v>28</v>
      </c>
    </row>
    <row r="366" spans="1:4" x14ac:dyDescent="0.25">
      <c r="A366" t="s">
        <v>20</v>
      </c>
      <c r="B366">
        <v>9</v>
      </c>
      <c r="C366">
        <v>29</v>
      </c>
    </row>
    <row r="367" spans="1:4" x14ac:dyDescent="0.25">
      <c r="A367" t="s">
        <v>20</v>
      </c>
      <c r="B367">
        <v>9</v>
      </c>
      <c r="C367">
        <v>30</v>
      </c>
    </row>
    <row r="368" spans="1:4" x14ac:dyDescent="0.25">
      <c r="A368" t="s">
        <v>20</v>
      </c>
      <c r="B368">
        <v>9</v>
      </c>
      <c r="C368">
        <v>31</v>
      </c>
    </row>
    <row r="369" spans="1:4" x14ac:dyDescent="0.25">
      <c r="A369" t="s">
        <v>20</v>
      </c>
      <c r="B369">
        <v>9</v>
      </c>
      <c r="C369">
        <v>32</v>
      </c>
      <c r="D369">
        <v>1</v>
      </c>
    </row>
    <row r="370" spans="1:4" x14ac:dyDescent="0.25">
      <c r="A370" t="s">
        <v>20</v>
      </c>
      <c r="B370">
        <v>9</v>
      </c>
      <c r="C370">
        <v>33</v>
      </c>
    </row>
    <row r="371" spans="1:4" x14ac:dyDescent="0.25">
      <c r="A371" t="s">
        <v>20</v>
      </c>
      <c r="B371">
        <v>9</v>
      </c>
      <c r="C371">
        <v>34</v>
      </c>
    </row>
    <row r="372" spans="1:4" x14ac:dyDescent="0.25">
      <c r="A372" t="s">
        <v>20</v>
      </c>
      <c r="B372">
        <v>9</v>
      </c>
      <c r="C372">
        <v>35</v>
      </c>
    </row>
    <row r="373" spans="1:4" x14ac:dyDescent="0.25">
      <c r="A373" t="s">
        <v>20</v>
      </c>
      <c r="B373">
        <v>9</v>
      </c>
      <c r="C373">
        <v>36</v>
      </c>
    </row>
    <row r="374" spans="1:4" x14ac:dyDescent="0.25">
      <c r="A374" t="s">
        <v>20</v>
      </c>
      <c r="B374">
        <v>9</v>
      </c>
      <c r="C374">
        <v>37</v>
      </c>
    </row>
    <row r="375" spans="1:4" x14ac:dyDescent="0.25">
      <c r="A375" t="s">
        <v>20</v>
      </c>
      <c r="B375">
        <v>9</v>
      </c>
      <c r="C375">
        <v>38</v>
      </c>
    </row>
    <row r="376" spans="1:4" x14ac:dyDescent="0.25">
      <c r="A376" t="s">
        <v>20</v>
      </c>
      <c r="B376">
        <v>9</v>
      </c>
      <c r="C376">
        <v>39</v>
      </c>
    </row>
    <row r="377" spans="1:4" x14ac:dyDescent="0.25">
      <c r="A377" t="s">
        <v>20</v>
      </c>
      <c r="B377">
        <v>9</v>
      </c>
      <c r="C377">
        <v>40</v>
      </c>
    </row>
    <row r="378" spans="1:4" x14ac:dyDescent="0.25">
      <c r="A378" t="s">
        <v>20</v>
      </c>
      <c r="B378">
        <v>9</v>
      </c>
      <c r="C378">
        <v>41</v>
      </c>
    </row>
    <row r="379" spans="1:4" x14ac:dyDescent="0.25">
      <c r="A379" t="s">
        <v>20</v>
      </c>
      <c r="B379">
        <v>9</v>
      </c>
      <c r="C379">
        <v>42</v>
      </c>
    </row>
    <row r="380" spans="1:4" x14ac:dyDescent="0.25">
      <c r="A380" t="s">
        <v>20</v>
      </c>
      <c r="B380">
        <v>9</v>
      </c>
      <c r="C380">
        <v>43</v>
      </c>
    </row>
    <row r="381" spans="1:4" x14ac:dyDescent="0.25">
      <c r="A381" t="s">
        <v>20</v>
      </c>
      <c r="B381">
        <v>9</v>
      </c>
      <c r="C381">
        <v>44</v>
      </c>
      <c r="D381">
        <v>1</v>
      </c>
    </row>
    <row r="382" spans="1:4" x14ac:dyDescent="0.25">
      <c r="A382" t="s">
        <v>20</v>
      </c>
      <c r="B382">
        <v>9</v>
      </c>
      <c r="C382">
        <v>45</v>
      </c>
    </row>
    <row r="383" spans="1:4" x14ac:dyDescent="0.25">
      <c r="A383" t="s">
        <v>20</v>
      </c>
      <c r="B383">
        <v>9</v>
      </c>
      <c r="C383">
        <v>46</v>
      </c>
    </row>
    <row r="384" spans="1:4" x14ac:dyDescent="0.25">
      <c r="A384" t="s">
        <v>20</v>
      </c>
      <c r="B384">
        <v>9</v>
      </c>
      <c r="C384">
        <v>47</v>
      </c>
      <c r="D384">
        <v>1</v>
      </c>
    </row>
    <row r="385" spans="1:4" x14ac:dyDescent="0.25">
      <c r="A385" t="s">
        <v>20</v>
      </c>
      <c r="B385">
        <v>9</v>
      </c>
      <c r="C385">
        <v>48</v>
      </c>
    </row>
    <row r="386" spans="1:4" x14ac:dyDescent="0.25">
      <c r="A386" t="s">
        <v>20</v>
      </c>
      <c r="B386">
        <v>9</v>
      </c>
      <c r="C386">
        <v>49</v>
      </c>
    </row>
    <row r="387" spans="1:4" x14ac:dyDescent="0.25">
      <c r="A387" t="s">
        <v>20</v>
      </c>
      <c r="B387">
        <v>9</v>
      </c>
      <c r="C387">
        <v>50</v>
      </c>
    </row>
    <row r="388" spans="1:4" x14ac:dyDescent="0.25">
      <c r="A388" t="s">
        <v>20</v>
      </c>
      <c r="B388">
        <v>9</v>
      </c>
      <c r="C388">
        <v>51</v>
      </c>
      <c r="D388">
        <v>1</v>
      </c>
    </row>
    <row r="389" spans="1:4" x14ac:dyDescent="0.25">
      <c r="A389" t="s">
        <v>20</v>
      </c>
      <c r="B389">
        <v>9</v>
      </c>
      <c r="C389">
        <v>52</v>
      </c>
    </row>
    <row r="390" spans="1:4" x14ac:dyDescent="0.25">
      <c r="A390" t="s">
        <v>20</v>
      </c>
      <c r="B390">
        <v>9</v>
      </c>
      <c r="C390">
        <v>53</v>
      </c>
      <c r="D390">
        <v>1</v>
      </c>
    </row>
    <row r="391" spans="1:4" x14ac:dyDescent="0.25">
      <c r="A391" t="s">
        <v>20</v>
      </c>
      <c r="B391">
        <v>9</v>
      </c>
      <c r="C391">
        <v>54</v>
      </c>
    </row>
    <row r="392" spans="1:4" x14ac:dyDescent="0.25">
      <c r="A392" t="s">
        <v>20</v>
      </c>
      <c r="B392">
        <v>9</v>
      </c>
      <c r="C392">
        <v>55</v>
      </c>
    </row>
    <row r="393" spans="1:4" x14ac:dyDescent="0.25">
      <c r="A393" t="s">
        <v>20</v>
      </c>
      <c r="B393">
        <v>9</v>
      </c>
      <c r="C393">
        <v>56</v>
      </c>
    </row>
    <row r="394" spans="1:4" x14ac:dyDescent="0.25">
      <c r="A394" t="s">
        <v>20</v>
      </c>
      <c r="B394">
        <v>9</v>
      </c>
      <c r="C394">
        <v>57</v>
      </c>
      <c r="D394">
        <v>1</v>
      </c>
    </row>
    <row r="395" spans="1:4" x14ac:dyDescent="0.25">
      <c r="A395" t="s">
        <v>20</v>
      </c>
      <c r="B395">
        <v>9</v>
      </c>
      <c r="C395">
        <v>58</v>
      </c>
      <c r="D395">
        <v>1</v>
      </c>
    </row>
    <row r="396" spans="1:4" x14ac:dyDescent="0.25">
      <c r="A396" t="s">
        <v>20</v>
      </c>
      <c r="B396">
        <v>9</v>
      </c>
      <c r="C396">
        <v>59</v>
      </c>
    </row>
    <row r="397" spans="1:4" x14ac:dyDescent="0.25">
      <c r="A397" t="s">
        <v>20</v>
      </c>
      <c r="B397">
        <v>9</v>
      </c>
      <c r="C397">
        <v>60</v>
      </c>
    </row>
    <row r="398" spans="1:4" x14ac:dyDescent="0.25">
      <c r="A398" t="s">
        <v>20</v>
      </c>
      <c r="B398">
        <v>9</v>
      </c>
      <c r="C398">
        <v>61</v>
      </c>
    </row>
    <row r="399" spans="1:4" x14ac:dyDescent="0.25">
      <c r="A399" t="s">
        <v>20</v>
      </c>
      <c r="B399">
        <v>9</v>
      </c>
      <c r="C399">
        <v>62</v>
      </c>
      <c r="D399">
        <v>1</v>
      </c>
    </row>
    <row r="400" spans="1:4" x14ac:dyDescent="0.25">
      <c r="A400" t="s">
        <v>20</v>
      </c>
      <c r="B400">
        <v>9</v>
      </c>
      <c r="C400">
        <v>63</v>
      </c>
    </row>
    <row r="401" spans="1:4" x14ac:dyDescent="0.25">
      <c r="A401" t="s">
        <v>20</v>
      </c>
      <c r="B401">
        <v>9</v>
      </c>
      <c r="C401">
        <v>64</v>
      </c>
    </row>
    <row r="402" spans="1:4" x14ac:dyDescent="0.25">
      <c r="A402" t="s">
        <v>20</v>
      </c>
      <c r="B402">
        <v>9</v>
      </c>
      <c r="C402">
        <v>65</v>
      </c>
    </row>
    <row r="403" spans="1:4" x14ac:dyDescent="0.25">
      <c r="A403" t="s">
        <v>20</v>
      </c>
      <c r="B403">
        <v>9</v>
      </c>
      <c r="C403">
        <v>66</v>
      </c>
    </row>
    <row r="404" spans="1:4" x14ac:dyDescent="0.25">
      <c r="A404" t="s">
        <v>20</v>
      </c>
      <c r="B404">
        <v>9</v>
      </c>
      <c r="C404">
        <v>67</v>
      </c>
    </row>
    <row r="405" spans="1:4" x14ac:dyDescent="0.25">
      <c r="A405" t="s">
        <v>20</v>
      </c>
      <c r="B405">
        <v>9</v>
      </c>
      <c r="C405">
        <v>68</v>
      </c>
      <c r="D405">
        <v>1</v>
      </c>
    </row>
    <row r="406" spans="1:4" x14ac:dyDescent="0.25">
      <c r="A406" t="s">
        <v>20</v>
      </c>
      <c r="B406">
        <v>9</v>
      </c>
      <c r="C406">
        <v>69</v>
      </c>
    </row>
    <row r="407" spans="1:4" x14ac:dyDescent="0.25">
      <c r="A407" t="s">
        <v>20</v>
      </c>
      <c r="B407">
        <v>9</v>
      </c>
      <c r="C407">
        <v>70</v>
      </c>
    </row>
    <row r="408" spans="1:4" x14ac:dyDescent="0.25">
      <c r="A408" t="s">
        <v>20</v>
      </c>
      <c r="B408">
        <v>9</v>
      </c>
      <c r="C408">
        <v>71</v>
      </c>
    </row>
    <row r="409" spans="1:4" x14ac:dyDescent="0.25">
      <c r="A409" t="s">
        <v>20</v>
      </c>
      <c r="B409">
        <v>9</v>
      </c>
      <c r="C409">
        <v>72</v>
      </c>
      <c r="D409">
        <v>1</v>
      </c>
    </row>
    <row r="410" spans="1:4" x14ac:dyDescent="0.25">
      <c r="A410" t="s">
        <v>20</v>
      </c>
      <c r="B410">
        <v>9</v>
      </c>
      <c r="C410">
        <v>73</v>
      </c>
    </row>
    <row r="411" spans="1:4" x14ac:dyDescent="0.25">
      <c r="A411" t="s">
        <v>20</v>
      </c>
      <c r="B411">
        <v>9</v>
      </c>
      <c r="C411">
        <v>74</v>
      </c>
      <c r="D411">
        <v>1</v>
      </c>
    </row>
    <row r="412" spans="1:4" x14ac:dyDescent="0.25">
      <c r="A412" t="s">
        <v>20</v>
      </c>
      <c r="B412">
        <v>9</v>
      </c>
      <c r="C412">
        <v>75</v>
      </c>
    </row>
    <row r="413" spans="1:4" x14ac:dyDescent="0.25">
      <c r="A413" t="s">
        <v>20</v>
      </c>
      <c r="B413">
        <v>9</v>
      </c>
      <c r="C413">
        <v>76</v>
      </c>
    </row>
    <row r="414" spans="1:4" x14ac:dyDescent="0.25">
      <c r="A414" t="s">
        <v>20</v>
      </c>
      <c r="B414">
        <v>9</v>
      </c>
      <c r="C414">
        <v>77</v>
      </c>
      <c r="D414">
        <v>1</v>
      </c>
    </row>
    <row r="415" spans="1:4" x14ac:dyDescent="0.25">
      <c r="A415" t="s">
        <v>20</v>
      </c>
      <c r="B415">
        <v>9</v>
      </c>
      <c r="C415">
        <v>78</v>
      </c>
    </row>
    <row r="416" spans="1:4" x14ac:dyDescent="0.25">
      <c r="A416" t="s">
        <v>20</v>
      </c>
      <c r="B416">
        <v>9</v>
      </c>
      <c r="C416">
        <v>79</v>
      </c>
    </row>
    <row r="417" spans="1:4" x14ac:dyDescent="0.25">
      <c r="A417" t="s">
        <v>20</v>
      </c>
      <c r="B417">
        <v>9</v>
      </c>
      <c r="C417">
        <v>80</v>
      </c>
    </row>
    <row r="418" spans="1:4" x14ac:dyDescent="0.25">
      <c r="A418" t="s">
        <v>20</v>
      </c>
      <c r="B418">
        <v>9</v>
      </c>
      <c r="C418">
        <v>81</v>
      </c>
      <c r="D418">
        <v>1</v>
      </c>
    </row>
    <row r="419" spans="1:4" x14ac:dyDescent="0.25">
      <c r="A419" t="s">
        <v>20</v>
      </c>
      <c r="B419">
        <v>9</v>
      </c>
      <c r="C419">
        <v>82</v>
      </c>
      <c r="D419">
        <v>1</v>
      </c>
    </row>
    <row r="420" spans="1:4" x14ac:dyDescent="0.25">
      <c r="A420" t="s">
        <v>20</v>
      </c>
      <c r="B420">
        <v>9</v>
      </c>
      <c r="C420">
        <v>83</v>
      </c>
    </row>
    <row r="421" spans="1:4" x14ac:dyDescent="0.25">
      <c r="A421" t="s">
        <v>20</v>
      </c>
      <c r="B421">
        <v>9</v>
      </c>
      <c r="C421">
        <v>84</v>
      </c>
    </row>
    <row r="422" spans="1:4" x14ac:dyDescent="0.25">
      <c r="A422" t="s">
        <v>20</v>
      </c>
      <c r="B422">
        <v>10</v>
      </c>
      <c r="C422">
        <v>1</v>
      </c>
      <c r="D422">
        <v>1</v>
      </c>
    </row>
    <row r="423" spans="1:4" x14ac:dyDescent="0.25">
      <c r="A423" t="s">
        <v>20</v>
      </c>
      <c r="B423">
        <v>10</v>
      </c>
      <c r="C423">
        <v>2</v>
      </c>
    </row>
    <row r="424" spans="1:4" x14ac:dyDescent="0.25">
      <c r="A424" t="s">
        <v>20</v>
      </c>
      <c r="B424">
        <v>10</v>
      </c>
      <c r="C424">
        <v>3</v>
      </c>
    </row>
    <row r="425" spans="1:4" x14ac:dyDescent="0.25">
      <c r="A425" t="s">
        <v>20</v>
      </c>
      <c r="B425">
        <v>10</v>
      </c>
      <c r="C425">
        <v>4</v>
      </c>
      <c r="D425">
        <v>1</v>
      </c>
    </row>
    <row r="426" spans="1:4" x14ac:dyDescent="0.25">
      <c r="A426" t="s">
        <v>20</v>
      </c>
      <c r="B426">
        <v>10</v>
      </c>
      <c r="C426">
        <v>5</v>
      </c>
    </row>
    <row r="427" spans="1:4" x14ac:dyDescent="0.25">
      <c r="A427" t="s">
        <v>20</v>
      </c>
      <c r="B427">
        <v>10</v>
      </c>
      <c r="C427">
        <v>6</v>
      </c>
    </row>
    <row r="428" spans="1:4" x14ac:dyDescent="0.25">
      <c r="A428" t="s">
        <v>20</v>
      </c>
      <c r="B428">
        <v>10</v>
      </c>
      <c r="C428">
        <v>7</v>
      </c>
    </row>
    <row r="429" spans="1:4" x14ac:dyDescent="0.25">
      <c r="A429" t="s">
        <v>20</v>
      </c>
      <c r="B429">
        <v>10</v>
      </c>
      <c r="C429">
        <v>8</v>
      </c>
      <c r="D429">
        <v>1</v>
      </c>
    </row>
    <row r="430" spans="1:4" x14ac:dyDescent="0.25">
      <c r="A430" t="s">
        <v>20</v>
      </c>
      <c r="B430">
        <v>10</v>
      </c>
      <c r="C430">
        <v>9</v>
      </c>
    </row>
    <row r="431" spans="1:4" x14ac:dyDescent="0.25">
      <c r="A431" t="s">
        <v>20</v>
      </c>
      <c r="B431">
        <v>10</v>
      </c>
      <c r="C431">
        <v>10</v>
      </c>
    </row>
    <row r="432" spans="1:4" x14ac:dyDescent="0.25">
      <c r="A432" t="s">
        <v>20</v>
      </c>
      <c r="B432">
        <v>10</v>
      </c>
      <c r="C432">
        <v>11</v>
      </c>
      <c r="D432">
        <v>1</v>
      </c>
    </row>
    <row r="433" spans="1:4" x14ac:dyDescent="0.25">
      <c r="A433" t="s">
        <v>20</v>
      </c>
      <c r="B433">
        <v>10</v>
      </c>
      <c r="C433">
        <v>12</v>
      </c>
    </row>
    <row r="434" spans="1:4" x14ac:dyDescent="0.25">
      <c r="A434" t="s">
        <v>20</v>
      </c>
      <c r="B434">
        <v>10</v>
      </c>
      <c r="C434">
        <v>13</v>
      </c>
    </row>
    <row r="435" spans="1:4" x14ac:dyDescent="0.25">
      <c r="A435" t="s">
        <v>20</v>
      </c>
      <c r="B435">
        <v>10</v>
      </c>
      <c r="C435">
        <v>14</v>
      </c>
      <c r="D435">
        <v>1</v>
      </c>
    </row>
    <row r="436" spans="1:4" x14ac:dyDescent="0.25">
      <c r="A436" t="s">
        <v>20</v>
      </c>
      <c r="B436">
        <v>10</v>
      </c>
      <c r="C436">
        <v>15</v>
      </c>
    </row>
    <row r="437" spans="1:4" x14ac:dyDescent="0.25">
      <c r="A437" t="s">
        <v>20</v>
      </c>
      <c r="B437">
        <v>10</v>
      </c>
      <c r="C437">
        <v>16</v>
      </c>
    </row>
    <row r="438" spans="1:4" x14ac:dyDescent="0.25">
      <c r="A438" t="s">
        <v>20</v>
      </c>
      <c r="B438">
        <v>10</v>
      </c>
      <c r="C438">
        <v>17</v>
      </c>
    </row>
    <row r="439" spans="1:4" x14ac:dyDescent="0.25">
      <c r="A439" t="s">
        <v>20</v>
      </c>
      <c r="B439">
        <v>10</v>
      </c>
      <c r="C439">
        <v>18</v>
      </c>
    </row>
    <row r="440" spans="1:4" x14ac:dyDescent="0.25">
      <c r="A440" t="s">
        <v>20</v>
      </c>
      <c r="B440">
        <v>10</v>
      </c>
      <c r="C440">
        <v>19</v>
      </c>
    </row>
    <row r="441" spans="1:4" x14ac:dyDescent="0.25">
      <c r="A441" t="s">
        <v>20</v>
      </c>
      <c r="B441">
        <v>10</v>
      </c>
      <c r="C441">
        <v>20</v>
      </c>
      <c r="D441">
        <v>1</v>
      </c>
    </row>
    <row r="442" spans="1:4" x14ac:dyDescent="0.25">
      <c r="A442" t="s">
        <v>20</v>
      </c>
      <c r="B442">
        <v>10</v>
      </c>
      <c r="C442">
        <v>21</v>
      </c>
    </row>
    <row r="443" spans="1:4" x14ac:dyDescent="0.25">
      <c r="A443" t="s">
        <v>20</v>
      </c>
      <c r="B443">
        <v>10</v>
      </c>
      <c r="C443">
        <v>22</v>
      </c>
    </row>
    <row r="444" spans="1:4" x14ac:dyDescent="0.25">
      <c r="A444" t="s">
        <v>20</v>
      </c>
      <c r="B444">
        <v>10</v>
      </c>
      <c r="C444">
        <v>23</v>
      </c>
    </row>
    <row r="445" spans="1:4" x14ac:dyDescent="0.25">
      <c r="A445" t="s">
        <v>20</v>
      </c>
      <c r="B445">
        <v>10</v>
      </c>
      <c r="C445">
        <v>24</v>
      </c>
    </row>
    <row r="446" spans="1:4" x14ac:dyDescent="0.25">
      <c r="A446" t="s">
        <v>20</v>
      </c>
      <c r="B446">
        <v>10</v>
      </c>
      <c r="C446">
        <v>25</v>
      </c>
      <c r="D446">
        <v>1</v>
      </c>
    </row>
    <row r="447" spans="1:4" x14ac:dyDescent="0.25">
      <c r="A447" t="s">
        <v>20</v>
      </c>
      <c r="B447">
        <v>10</v>
      </c>
      <c r="C447">
        <v>26</v>
      </c>
    </row>
    <row r="448" spans="1:4" x14ac:dyDescent="0.25">
      <c r="A448" t="s">
        <v>20</v>
      </c>
      <c r="B448">
        <v>10</v>
      </c>
      <c r="C448">
        <v>27</v>
      </c>
    </row>
    <row r="449" spans="1:4" x14ac:dyDescent="0.25">
      <c r="A449" t="s">
        <v>20</v>
      </c>
      <c r="B449">
        <v>10</v>
      </c>
      <c r="C449">
        <v>28</v>
      </c>
    </row>
    <row r="450" spans="1:4" x14ac:dyDescent="0.25">
      <c r="A450" t="s">
        <v>20</v>
      </c>
      <c r="B450">
        <v>10</v>
      </c>
      <c r="C450">
        <v>29</v>
      </c>
    </row>
    <row r="451" spans="1:4" x14ac:dyDescent="0.25">
      <c r="A451" t="s">
        <v>20</v>
      </c>
      <c r="B451">
        <v>10</v>
      </c>
      <c r="C451">
        <v>30</v>
      </c>
    </row>
    <row r="452" spans="1:4" x14ac:dyDescent="0.25">
      <c r="A452" t="s">
        <v>20</v>
      </c>
      <c r="B452">
        <v>10</v>
      </c>
      <c r="C452">
        <v>31</v>
      </c>
    </row>
    <row r="453" spans="1:4" x14ac:dyDescent="0.25">
      <c r="A453" t="s">
        <v>20</v>
      </c>
      <c r="B453">
        <v>10</v>
      </c>
      <c r="C453">
        <v>32</v>
      </c>
      <c r="D453">
        <v>1</v>
      </c>
    </row>
    <row r="454" spans="1:4" x14ac:dyDescent="0.25">
      <c r="A454" t="s">
        <v>20</v>
      </c>
      <c r="B454">
        <v>10</v>
      </c>
      <c r="C454">
        <v>33</v>
      </c>
    </row>
    <row r="455" spans="1:4" x14ac:dyDescent="0.25">
      <c r="A455" t="s">
        <v>20</v>
      </c>
      <c r="B455">
        <v>10</v>
      </c>
      <c r="C455">
        <v>34</v>
      </c>
    </row>
    <row r="456" spans="1:4" x14ac:dyDescent="0.25">
      <c r="A456" t="s">
        <v>20</v>
      </c>
      <c r="B456">
        <v>10</v>
      </c>
      <c r="C456">
        <v>35</v>
      </c>
      <c r="D456">
        <v>1</v>
      </c>
    </row>
    <row r="457" spans="1:4" x14ac:dyDescent="0.25">
      <c r="A457" t="s">
        <v>20</v>
      </c>
      <c r="B457">
        <v>10</v>
      </c>
      <c r="C457">
        <v>36</v>
      </c>
    </row>
    <row r="458" spans="1:4" x14ac:dyDescent="0.25">
      <c r="A458" t="s">
        <v>20</v>
      </c>
      <c r="B458">
        <v>10</v>
      </c>
      <c r="C458">
        <v>37</v>
      </c>
    </row>
    <row r="459" spans="1:4" x14ac:dyDescent="0.25">
      <c r="A459" t="s">
        <v>20</v>
      </c>
      <c r="B459">
        <v>10</v>
      </c>
      <c r="C459">
        <v>38</v>
      </c>
      <c r="D459">
        <v>1</v>
      </c>
    </row>
    <row r="460" spans="1:4" x14ac:dyDescent="0.25">
      <c r="A460" t="s">
        <v>20</v>
      </c>
      <c r="B460">
        <v>10</v>
      </c>
      <c r="C460">
        <v>39</v>
      </c>
    </row>
    <row r="461" spans="1:4" x14ac:dyDescent="0.25">
      <c r="A461" t="s">
        <v>20</v>
      </c>
      <c r="B461">
        <v>10</v>
      </c>
      <c r="C461">
        <v>40</v>
      </c>
      <c r="D461">
        <v>1</v>
      </c>
    </row>
    <row r="462" spans="1:4" x14ac:dyDescent="0.25">
      <c r="A462" t="s">
        <v>20</v>
      </c>
      <c r="B462">
        <v>10</v>
      </c>
      <c r="C462">
        <v>41</v>
      </c>
    </row>
    <row r="463" spans="1:4" x14ac:dyDescent="0.25">
      <c r="A463" t="s">
        <v>20</v>
      </c>
      <c r="B463">
        <v>10</v>
      </c>
      <c r="C463">
        <v>42</v>
      </c>
    </row>
    <row r="464" spans="1:4" x14ac:dyDescent="0.25">
      <c r="A464" t="s">
        <v>20</v>
      </c>
      <c r="B464">
        <v>10</v>
      </c>
      <c r="C464">
        <v>43</v>
      </c>
      <c r="D464">
        <v>1</v>
      </c>
    </row>
    <row r="465" spans="1:4" x14ac:dyDescent="0.25">
      <c r="A465" t="s">
        <v>20</v>
      </c>
      <c r="B465">
        <v>10</v>
      </c>
      <c r="C465">
        <v>44</v>
      </c>
    </row>
    <row r="466" spans="1:4" x14ac:dyDescent="0.25">
      <c r="A466" t="s">
        <v>20</v>
      </c>
      <c r="B466">
        <v>10</v>
      </c>
      <c r="C466">
        <v>45</v>
      </c>
    </row>
    <row r="467" spans="1:4" x14ac:dyDescent="0.25">
      <c r="A467" t="s">
        <v>20</v>
      </c>
      <c r="B467">
        <v>10</v>
      </c>
      <c r="C467">
        <v>46</v>
      </c>
      <c r="D467">
        <v>1</v>
      </c>
    </row>
    <row r="468" spans="1:4" x14ac:dyDescent="0.25">
      <c r="A468" t="s">
        <v>20</v>
      </c>
      <c r="B468">
        <v>10</v>
      </c>
      <c r="C468">
        <v>47</v>
      </c>
    </row>
    <row r="469" spans="1:4" x14ac:dyDescent="0.25">
      <c r="A469" t="s">
        <v>20</v>
      </c>
      <c r="B469">
        <v>10</v>
      </c>
      <c r="C469">
        <v>48</v>
      </c>
    </row>
    <row r="470" spans="1:4" x14ac:dyDescent="0.25">
      <c r="A470" t="s">
        <v>20</v>
      </c>
      <c r="B470">
        <v>10</v>
      </c>
      <c r="C470">
        <v>49</v>
      </c>
    </row>
    <row r="471" spans="1:4" x14ac:dyDescent="0.25">
      <c r="A471" t="s">
        <v>20</v>
      </c>
      <c r="B471">
        <v>10</v>
      </c>
      <c r="C471">
        <v>50</v>
      </c>
      <c r="D471">
        <v>1</v>
      </c>
    </row>
    <row r="472" spans="1:4" x14ac:dyDescent="0.25">
      <c r="A472" t="s">
        <v>20</v>
      </c>
      <c r="B472">
        <v>10</v>
      </c>
      <c r="C472">
        <v>51</v>
      </c>
    </row>
    <row r="473" spans="1:4" x14ac:dyDescent="0.25">
      <c r="A473" t="s">
        <v>20</v>
      </c>
      <c r="B473">
        <v>10</v>
      </c>
      <c r="C473">
        <v>52</v>
      </c>
    </row>
    <row r="474" spans="1:4" x14ac:dyDescent="0.25">
      <c r="A474" t="s">
        <v>20</v>
      </c>
      <c r="B474">
        <v>10</v>
      </c>
      <c r="C474">
        <v>53</v>
      </c>
      <c r="D474">
        <v>1</v>
      </c>
    </row>
    <row r="475" spans="1:4" x14ac:dyDescent="0.25">
      <c r="A475" t="s">
        <v>20</v>
      </c>
      <c r="B475">
        <v>10</v>
      </c>
      <c r="C475">
        <v>54</v>
      </c>
    </row>
    <row r="476" spans="1:4" x14ac:dyDescent="0.25">
      <c r="A476" t="s">
        <v>20</v>
      </c>
      <c r="B476">
        <v>10</v>
      </c>
      <c r="C476">
        <v>55</v>
      </c>
    </row>
    <row r="477" spans="1:4" x14ac:dyDescent="0.25">
      <c r="A477" t="s">
        <v>20</v>
      </c>
      <c r="B477">
        <v>10</v>
      </c>
      <c r="C477">
        <v>56</v>
      </c>
    </row>
    <row r="478" spans="1:4" x14ac:dyDescent="0.25">
      <c r="A478" t="s">
        <v>20</v>
      </c>
      <c r="B478">
        <v>10</v>
      </c>
      <c r="C478">
        <v>57</v>
      </c>
    </row>
    <row r="479" spans="1:4" x14ac:dyDescent="0.25">
      <c r="A479" t="s">
        <v>20</v>
      </c>
      <c r="B479">
        <v>10</v>
      </c>
      <c r="C479">
        <v>58</v>
      </c>
    </row>
    <row r="480" spans="1:4" x14ac:dyDescent="0.25">
      <c r="A480" t="s">
        <v>20</v>
      </c>
      <c r="B480">
        <v>10</v>
      </c>
      <c r="C480">
        <v>59</v>
      </c>
      <c r="D480">
        <v>1</v>
      </c>
    </row>
    <row r="481" spans="1:4" x14ac:dyDescent="0.25">
      <c r="A481" t="s">
        <v>20</v>
      </c>
      <c r="B481">
        <v>10</v>
      </c>
      <c r="C481">
        <v>60</v>
      </c>
    </row>
    <row r="482" spans="1:4" x14ac:dyDescent="0.25">
      <c r="A482" t="s">
        <v>20</v>
      </c>
      <c r="B482">
        <v>10</v>
      </c>
      <c r="C482">
        <v>61</v>
      </c>
    </row>
    <row r="483" spans="1:4" x14ac:dyDescent="0.25">
      <c r="A483" t="s">
        <v>20</v>
      </c>
      <c r="B483">
        <v>10</v>
      </c>
      <c r="C483">
        <v>62</v>
      </c>
      <c r="D483">
        <v>1</v>
      </c>
    </row>
    <row r="484" spans="1:4" x14ac:dyDescent="0.25">
      <c r="A484" t="s">
        <v>20</v>
      </c>
      <c r="B484">
        <v>10</v>
      </c>
      <c r="C484">
        <v>63</v>
      </c>
    </row>
    <row r="485" spans="1:4" x14ac:dyDescent="0.25">
      <c r="A485" t="s">
        <v>20</v>
      </c>
      <c r="B485">
        <v>10</v>
      </c>
      <c r="C485">
        <v>64</v>
      </c>
    </row>
    <row r="486" spans="1:4" x14ac:dyDescent="0.25">
      <c r="A486" t="s">
        <v>20</v>
      </c>
      <c r="B486">
        <v>10</v>
      </c>
      <c r="C486">
        <v>65</v>
      </c>
      <c r="D486">
        <v>1</v>
      </c>
    </row>
    <row r="487" spans="1:4" x14ac:dyDescent="0.25">
      <c r="A487" t="s">
        <v>20</v>
      </c>
      <c r="B487">
        <v>10</v>
      </c>
      <c r="C487">
        <v>66</v>
      </c>
    </row>
    <row r="488" spans="1:4" x14ac:dyDescent="0.25">
      <c r="A488" t="s">
        <v>20</v>
      </c>
      <c r="B488">
        <v>10</v>
      </c>
      <c r="C488">
        <v>67</v>
      </c>
      <c r="D488">
        <v>1</v>
      </c>
    </row>
    <row r="489" spans="1:4" x14ac:dyDescent="0.25">
      <c r="A489" t="s">
        <v>20</v>
      </c>
      <c r="B489">
        <v>10</v>
      </c>
      <c r="C489">
        <v>68</v>
      </c>
    </row>
    <row r="490" spans="1:4" x14ac:dyDescent="0.25">
      <c r="A490" t="s">
        <v>20</v>
      </c>
      <c r="B490">
        <v>10</v>
      </c>
      <c r="C490">
        <v>69</v>
      </c>
    </row>
    <row r="491" spans="1:4" x14ac:dyDescent="0.25">
      <c r="A491" t="s">
        <v>20</v>
      </c>
      <c r="B491">
        <v>10</v>
      </c>
      <c r="C491">
        <v>70</v>
      </c>
    </row>
    <row r="492" spans="1:4" x14ac:dyDescent="0.25">
      <c r="A492" t="s">
        <v>20</v>
      </c>
      <c r="B492">
        <v>10</v>
      </c>
      <c r="C492">
        <v>71</v>
      </c>
      <c r="D492">
        <v>1</v>
      </c>
    </row>
    <row r="493" spans="1:4" x14ac:dyDescent="0.25">
      <c r="A493" t="s">
        <v>20</v>
      </c>
      <c r="B493">
        <v>10</v>
      </c>
      <c r="C493">
        <v>72</v>
      </c>
    </row>
    <row r="494" spans="1:4" x14ac:dyDescent="0.25">
      <c r="A494" t="s">
        <v>20</v>
      </c>
      <c r="B494">
        <v>10</v>
      </c>
      <c r="C494">
        <v>73</v>
      </c>
    </row>
    <row r="495" spans="1:4" x14ac:dyDescent="0.25">
      <c r="A495" t="s">
        <v>20</v>
      </c>
      <c r="B495">
        <v>10</v>
      </c>
      <c r="C495">
        <v>74</v>
      </c>
      <c r="D495">
        <v>1</v>
      </c>
    </row>
    <row r="496" spans="1:4" x14ac:dyDescent="0.25">
      <c r="A496" t="s">
        <v>20</v>
      </c>
      <c r="B496">
        <v>10</v>
      </c>
      <c r="C496">
        <v>75</v>
      </c>
    </row>
    <row r="497" spans="1:4" x14ac:dyDescent="0.25">
      <c r="A497" t="s">
        <v>20</v>
      </c>
      <c r="B497">
        <v>10</v>
      </c>
      <c r="C497">
        <v>76</v>
      </c>
    </row>
    <row r="498" spans="1:4" x14ac:dyDescent="0.25">
      <c r="A498" t="s">
        <v>20</v>
      </c>
      <c r="B498">
        <v>10</v>
      </c>
      <c r="C498">
        <v>77</v>
      </c>
      <c r="D498">
        <v>1</v>
      </c>
    </row>
    <row r="499" spans="1:4" x14ac:dyDescent="0.25">
      <c r="A499" t="s">
        <v>20</v>
      </c>
      <c r="B499">
        <v>10</v>
      </c>
      <c r="C499">
        <v>78</v>
      </c>
    </row>
    <row r="500" spans="1:4" x14ac:dyDescent="0.25">
      <c r="A500" t="s">
        <v>20</v>
      </c>
      <c r="B500">
        <v>10</v>
      </c>
      <c r="C500">
        <v>79</v>
      </c>
    </row>
    <row r="501" spans="1:4" x14ac:dyDescent="0.25">
      <c r="A501" t="s">
        <v>20</v>
      </c>
      <c r="B501">
        <v>10</v>
      </c>
      <c r="C501">
        <v>80</v>
      </c>
      <c r="D501">
        <v>1</v>
      </c>
    </row>
    <row r="502" spans="1:4" x14ac:dyDescent="0.25">
      <c r="A502" t="s">
        <v>20</v>
      </c>
      <c r="B502">
        <v>10</v>
      </c>
      <c r="C502">
        <v>81</v>
      </c>
    </row>
    <row r="503" spans="1:4" x14ac:dyDescent="0.25">
      <c r="A503" t="s">
        <v>20</v>
      </c>
      <c r="B503">
        <v>10</v>
      </c>
      <c r="C503">
        <v>82</v>
      </c>
    </row>
    <row r="504" spans="1:4" x14ac:dyDescent="0.25">
      <c r="A504" t="s">
        <v>20</v>
      </c>
      <c r="B504">
        <v>10</v>
      </c>
      <c r="C504">
        <v>83</v>
      </c>
    </row>
    <row r="505" spans="1:4" x14ac:dyDescent="0.25">
      <c r="A505" t="s">
        <v>20</v>
      </c>
      <c r="B505">
        <v>10</v>
      </c>
      <c r="C505">
        <v>84</v>
      </c>
    </row>
    <row r="506" spans="1:4" x14ac:dyDescent="0.25">
      <c r="A506" t="s">
        <v>20</v>
      </c>
      <c r="B506">
        <v>12</v>
      </c>
      <c r="C506">
        <v>1</v>
      </c>
    </row>
    <row r="507" spans="1:4" x14ac:dyDescent="0.25">
      <c r="A507" t="s">
        <v>20</v>
      </c>
      <c r="B507">
        <v>12</v>
      </c>
      <c r="C507">
        <v>2</v>
      </c>
      <c r="D507">
        <v>1</v>
      </c>
    </row>
    <row r="508" spans="1:4" x14ac:dyDescent="0.25">
      <c r="A508" t="s">
        <v>20</v>
      </c>
      <c r="B508">
        <v>12</v>
      </c>
      <c r="C508">
        <v>3</v>
      </c>
    </row>
    <row r="509" spans="1:4" x14ac:dyDescent="0.25">
      <c r="A509" t="s">
        <v>20</v>
      </c>
      <c r="B509">
        <v>12</v>
      </c>
      <c r="C509">
        <v>4</v>
      </c>
    </row>
    <row r="510" spans="1:4" x14ac:dyDescent="0.25">
      <c r="A510" t="s">
        <v>20</v>
      </c>
      <c r="B510">
        <v>12</v>
      </c>
      <c r="C510">
        <v>5</v>
      </c>
      <c r="D510">
        <v>1</v>
      </c>
    </row>
    <row r="511" spans="1:4" x14ac:dyDescent="0.25">
      <c r="A511" t="s">
        <v>20</v>
      </c>
      <c r="B511">
        <v>12</v>
      </c>
      <c r="C511">
        <v>6</v>
      </c>
    </row>
    <row r="512" spans="1:4" x14ac:dyDescent="0.25">
      <c r="A512" t="s">
        <v>20</v>
      </c>
      <c r="B512">
        <v>12</v>
      </c>
      <c r="C512">
        <v>7</v>
      </c>
    </row>
    <row r="513" spans="1:4" x14ac:dyDescent="0.25">
      <c r="A513" t="s">
        <v>20</v>
      </c>
      <c r="B513">
        <v>12</v>
      </c>
      <c r="C513">
        <v>8</v>
      </c>
      <c r="D513">
        <v>1</v>
      </c>
    </row>
    <row r="514" spans="1:4" x14ac:dyDescent="0.25">
      <c r="A514" t="s">
        <v>20</v>
      </c>
      <c r="B514">
        <v>12</v>
      </c>
      <c r="C514">
        <v>9</v>
      </c>
    </row>
    <row r="515" spans="1:4" x14ac:dyDescent="0.25">
      <c r="A515" t="s">
        <v>20</v>
      </c>
      <c r="B515">
        <v>12</v>
      </c>
      <c r="C515">
        <v>10</v>
      </c>
    </row>
    <row r="516" spans="1:4" x14ac:dyDescent="0.25">
      <c r="A516" t="s">
        <v>20</v>
      </c>
      <c r="B516">
        <v>12</v>
      </c>
      <c r="C516">
        <v>11</v>
      </c>
    </row>
    <row r="517" spans="1:4" x14ac:dyDescent="0.25">
      <c r="A517" t="s">
        <v>20</v>
      </c>
      <c r="B517">
        <v>12</v>
      </c>
      <c r="C517">
        <v>12</v>
      </c>
    </row>
    <row r="518" spans="1:4" x14ac:dyDescent="0.25">
      <c r="A518" t="s">
        <v>20</v>
      </c>
      <c r="B518">
        <v>12</v>
      </c>
      <c r="C518">
        <v>13</v>
      </c>
    </row>
    <row r="519" spans="1:4" x14ac:dyDescent="0.25">
      <c r="A519" t="s">
        <v>20</v>
      </c>
      <c r="B519">
        <v>12</v>
      </c>
      <c r="C519">
        <v>14</v>
      </c>
      <c r="D519">
        <v>1</v>
      </c>
    </row>
    <row r="520" spans="1:4" x14ac:dyDescent="0.25">
      <c r="A520" t="s">
        <v>20</v>
      </c>
      <c r="B520">
        <v>12</v>
      </c>
      <c r="C520">
        <v>15</v>
      </c>
    </row>
    <row r="521" spans="1:4" x14ac:dyDescent="0.25">
      <c r="A521" t="s">
        <v>20</v>
      </c>
      <c r="B521">
        <v>12</v>
      </c>
      <c r="C521">
        <v>16</v>
      </c>
    </row>
    <row r="522" spans="1:4" x14ac:dyDescent="0.25">
      <c r="A522" t="s">
        <v>20</v>
      </c>
      <c r="B522">
        <v>12</v>
      </c>
      <c r="C522">
        <v>17</v>
      </c>
      <c r="D522">
        <v>1</v>
      </c>
    </row>
    <row r="523" spans="1:4" x14ac:dyDescent="0.25">
      <c r="A523" t="s">
        <v>20</v>
      </c>
      <c r="B523">
        <v>12</v>
      </c>
      <c r="C523">
        <v>18</v>
      </c>
    </row>
    <row r="524" spans="1:4" x14ac:dyDescent="0.25">
      <c r="A524" t="s">
        <v>20</v>
      </c>
      <c r="B524">
        <v>12</v>
      </c>
      <c r="C524">
        <v>19</v>
      </c>
    </row>
    <row r="525" spans="1:4" x14ac:dyDescent="0.25">
      <c r="A525" t="s">
        <v>20</v>
      </c>
      <c r="B525">
        <v>12</v>
      </c>
      <c r="C525">
        <v>20</v>
      </c>
    </row>
    <row r="526" spans="1:4" x14ac:dyDescent="0.25">
      <c r="A526" t="s">
        <v>20</v>
      </c>
      <c r="B526">
        <v>12</v>
      </c>
      <c r="C526">
        <v>21</v>
      </c>
    </row>
    <row r="527" spans="1:4" x14ac:dyDescent="0.25">
      <c r="A527" t="s">
        <v>20</v>
      </c>
      <c r="B527">
        <v>12</v>
      </c>
      <c r="C527">
        <v>22</v>
      </c>
    </row>
    <row r="528" spans="1:4" x14ac:dyDescent="0.25">
      <c r="A528" t="s">
        <v>20</v>
      </c>
      <c r="B528">
        <v>12</v>
      </c>
      <c r="C528">
        <v>23</v>
      </c>
      <c r="D528">
        <v>1</v>
      </c>
    </row>
    <row r="529" spans="1:4" x14ac:dyDescent="0.25">
      <c r="A529" t="s">
        <v>20</v>
      </c>
      <c r="B529">
        <v>12</v>
      </c>
      <c r="C529">
        <v>24</v>
      </c>
    </row>
    <row r="530" spans="1:4" x14ac:dyDescent="0.25">
      <c r="A530" t="s">
        <v>20</v>
      </c>
      <c r="B530">
        <v>12</v>
      </c>
      <c r="C530">
        <v>25</v>
      </c>
    </row>
    <row r="531" spans="1:4" x14ac:dyDescent="0.25">
      <c r="A531" t="s">
        <v>20</v>
      </c>
      <c r="B531">
        <v>12</v>
      </c>
      <c r="C531">
        <v>26</v>
      </c>
    </row>
    <row r="532" spans="1:4" x14ac:dyDescent="0.25">
      <c r="A532" t="s">
        <v>20</v>
      </c>
      <c r="B532">
        <v>12</v>
      </c>
      <c r="C532">
        <v>27</v>
      </c>
    </row>
    <row r="533" spans="1:4" x14ac:dyDescent="0.25">
      <c r="A533" t="s">
        <v>20</v>
      </c>
      <c r="B533">
        <v>12</v>
      </c>
      <c r="C533">
        <v>28</v>
      </c>
    </row>
    <row r="534" spans="1:4" x14ac:dyDescent="0.25">
      <c r="A534" t="s">
        <v>20</v>
      </c>
      <c r="B534">
        <v>12</v>
      </c>
      <c r="C534">
        <v>29</v>
      </c>
      <c r="D534">
        <v>1</v>
      </c>
    </row>
    <row r="535" spans="1:4" x14ac:dyDescent="0.25">
      <c r="A535" t="s">
        <v>20</v>
      </c>
      <c r="B535">
        <v>12</v>
      </c>
      <c r="C535">
        <v>30</v>
      </c>
    </row>
    <row r="536" spans="1:4" x14ac:dyDescent="0.25">
      <c r="A536" t="s">
        <v>20</v>
      </c>
      <c r="B536">
        <v>12</v>
      </c>
      <c r="C536">
        <v>31</v>
      </c>
    </row>
    <row r="537" spans="1:4" x14ac:dyDescent="0.25">
      <c r="A537" t="s">
        <v>20</v>
      </c>
      <c r="B537">
        <v>12</v>
      </c>
      <c r="C537">
        <v>32</v>
      </c>
    </row>
    <row r="538" spans="1:4" x14ac:dyDescent="0.25">
      <c r="A538" t="s">
        <v>20</v>
      </c>
      <c r="B538">
        <v>12</v>
      </c>
      <c r="C538">
        <v>33</v>
      </c>
    </row>
    <row r="539" spans="1:4" x14ac:dyDescent="0.25">
      <c r="A539" t="s">
        <v>20</v>
      </c>
      <c r="B539">
        <v>12</v>
      </c>
      <c r="C539">
        <v>34</v>
      </c>
    </row>
    <row r="540" spans="1:4" x14ac:dyDescent="0.25">
      <c r="A540" t="s">
        <v>20</v>
      </c>
      <c r="B540">
        <v>12</v>
      </c>
      <c r="C540">
        <v>35</v>
      </c>
      <c r="D540">
        <v>1</v>
      </c>
    </row>
    <row r="541" spans="1:4" x14ac:dyDescent="0.25">
      <c r="A541" t="s">
        <v>20</v>
      </c>
      <c r="B541">
        <v>12</v>
      </c>
      <c r="C541">
        <v>36</v>
      </c>
    </row>
    <row r="542" spans="1:4" x14ac:dyDescent="0.25">
      <c r="A542" t="s">
        <v>20</v>
      </c>
      <c r="B542">
        <v>12</v>
      </c>
      <c r="C542">
        <v>37</v>
      </c>
      <c r="D542">
        <v>1</v>
      </c>
    </row>
    <row r="543" spans="1:4" x14ac:dyDescent="0.25">
      <c r="A543" t="s">
        <v>20</v>
      </c>
      <c r="B543">
        <v>12</v>
      </c>
      <c r="C543">
        <v>38</v>
      </c>
    </row>
    <row r="544" spans="1:4" x14ac:dyDescent="0.25">
      <c r="A544" t="s">
        <v>20</v>
      </c>
      <c r="B544">
        <v>12</v>
      </c>
      <c r="C544">
        <v>39</v>
      </c>
    </row>
    <row r="545" spans="1:4" x14ac:dyDescent="0.25">
      <c r="A545" t="s">
        <v>20</v>
      </c>
      <c r="B545">
        <v>12</v>
      </c>
      <c r="C545">
        <v>40</v>
      </c>
      <c r="D545">
        <v>1</v>
      </c>
    </row>
    <row r="546" spans="1:4" x14ac:dyDescent="0.25">
      <c r="A546" t="s">
        <v>20</v>
      </c>
      <c r="B546">
        <v>12</v>
      </c>
      <c r="C546">
        <v>41</v>
      </c>
    </row>
    <row r="547" spans="1:4" x14ac:dyDescent="0.25">
      <c r="A547" t="s">
        <v>20</v>
      </c>
      <c r="B547">
        <v>12</v>
      </c>
      <c r="C547">
        <v>42</v>
      </c>
    </row>
    <row r="548" spans="1:4" x14ac:dyDescent="0.25">
      <c r="A548" t="s">
        <v>20</v>
      </c>
      <c r="B548">
        <v>12</v>
      </c>
      <c r="C548">
        <v>43</v>
      </c>
    </row>
    <row r="549" spans="1:4" x14ac:dyDescent="0.25">
      <c r="A549" t="s">
        <v>20</v>
      </c>
      <c r="B549">
        <v>12</v>
      </c>
      <c r="C549">
        <v>44</v>
      </c>
      <c r="D549">
        <v>1</v>
      </c>
    </row>
    <row r="550" spans="1:4" x14ac:dyDescent="0.25">
      <c r="A550" t="s">
        <v>20</v>
      </c>
      <c r="B550">
        <v>12</v>
      </c>
      <c r="C550">
        <v>45</v>
      </c>
    </row>
    <row r="551" spans="1:4" x14ac:dyDescent="0.25">
      <c r="A551" t="s">
        <v>20</v>
      </c>
      <c r="B551">
        <v>12</v>
      </c>
      <c r="C551">
        <v>46</v>
      </c>
    </row>
    <row r="552" spans="1:4" x14ac:dyDescent="0.25">
      <c r="A552" t="s">
        <v>20</v>
      </c>
      <c r="B552">
        <v>12</v>
      </c>
      <c r="C552">
        <v>47</v>
      </c>
      <c r="D552">
        <v>1</v>
      </c>
    </row>
    <row r="553" spans="1:4" x14ac:dyDescent="0.25">
      <c r="A553" t="s">
        <v>20</v>
      </c>
      <c r="B553">
        <v>12</v>
      </c>
      <c r="C553">
        <v>48</v>
      </c>
    </row>
    <row r="554" spans="1:4" x14ac:dyDescent="0.25">
      <c r="A554" t="s">
        <v>20</v>
      </c>
      <c r="B554">
        <v>12</v>
      </c>
      <c r="C554">
        <v>49</v>
      </c>
    </row>
    <row r="555" spans="1:4" x14ac:dyDescent="0.25">
      <c r="A555" t="s">
        <v>20</v>
      </c>
      <c r="B555">
        <v>12</v>
      </c>
      <c r="C555">
        <v>50</v>
      </c>
      <c r="D555">
        <v>1</v>
      </c>
    </row>
    <row r="556" spans="1:4" x14ac:dyDescent="0.25">
      <c r="A556" t="s">
        <v>20</v>
      </c>
      <c r="B556">
        <v>12</v>
      </c>
      <c r="C556">
        <v>51</v>
      </c>
    </row>
    <row r="557" spans="1:4" x14ac:dyDescent="0.25">
      <c r="A557" t="s">
        <v>20</v>
      </c>
      <c r="B557">
        <v>12</v>
      </c>
      <c r="C557">
        <v>52</v>
      </c>
    </row>
    <row r="558" spans="1:4" x14ac:dyDescent="0.25">
      <c r="A558" t="s">
        <v>20</v>
      </c>
      <c r="B558">
        <v>12</v>
      </c>
      <c r="C558">
        <v>53</v>
      </c>
    </row>
    <row r="559" spans="1:4" x14ac:dyDescent="0.25">
      <c r="A559" t="s">
        <v>20</v>
      </c>
      <c r="B559">
        <v>12</v>
      </c>
      <c r="C559">
        <v>54</v>
      </c>
    </row>
    <row r="560" spans="1:4" x14ac:dyDescent="0.25">
      <c r="A560" t="s">
        <v>20</v>
      </c>
      <c r="B560">
        <v>12</v>
      </c>
      <c r="C560">
        <v>55</v>
      </c>
    </row>
    <row r="561" spans="1:4" x14ac:dyDescent="0.25">
      <c r="A561" t="s">
        <v>20</v>
      </c>
      <c r="B561">
        <v>12</v>
      </c>
      <c r="C561">
        <v>56</v>
      </c>
      <c r="D561">
        <v>1</v>
      </c>
    </row>
    <row r="562" spans="1:4" x14ac:dyDescent="0.25">
      <c r="A562" t="s">
        <v>20</v>
      </c>
      <c r="B562">
        <v>12</v>
      </c>
      <c r="C562">
        <v>57</v>
      </c>
    </row>
    <row r="563" spans="1:4" x14ac:dyDescent="0.25">
      <c r="A563" t="s">
        <v>20</v>
      </c>
      <c r="B563">
        <v>12</v>
      </c>
      <c r="C563">
        <v>58</v>
      </c>
    </row>
    <row r="564" spans="1:4" x14ac:dyDescent="0.25">
      <c r="A564" t="s">
        <v>20</v>
      </c>
      <c r="B564">
        <v>12</v>
      </c>
      <c r="C564">
        <v>59</v>
      </c>
      <c r="D564">
        <v>1</v>
      </c>
    </row>
    <row r="565" spans="1:4" x14ac:dyDescent="0.25">
      <c r="A565" t="s">
        <v>20</v>
      </c>
      <c r="B565">
        <v>12</v>
      </c>
      <c r="C565">
        <v>60</v>
      </c>
    </row>
    <row r="566" spans="1:4" x14ac:dyDescent="0.25">
      <c r="A566" t="s">
        <v>20</v>
      </c>
      <c r="B566">
        <v>12</v>
      </c>
      <c r="C566">
        <v>61</v>
      </c>
    </row>
    <row r="567" spans="1:4" x14ac:dyDescent="0.25">
      <c r="A567" t="s">
        <v>20</v>
      </c>
      <c r="B567">
        <v>12</v>
      </c>
      <c r="C567">
        <v>62</v>
      </c>
      <c r="D567">
        <v>1</v>
      </c>
    </row>
    <row r="568" spans="1:4" x14ac:dyDescent="0.25">
      <c r="A568" t="s">
        <v>20</v>
      </c>
      <c r="B568">
        <v>12</v>
      </c>
      <c r="C568">
        <v>63</v>
      </c>
    </row>
    <row r="569" spans="1:4" x14ac:dyDescent="0.25">
      <c r="A569" t="s">
        <v>20</v>
      </c>
      <c r="B569">
        <v>12</v>
      </c>
      <c r="C569">
        <v>64</v>
      </c>
    </row>
    <row r="570" spans="1:4" x14ac:dyDescent="0.25">
      <c r="A570" t="s">
        <v>20</v>
      </c>
      <c r="B570">
        <v>12</v>
      </c>
      <c r="C570">
        <v>65</v>
      </c>
      <c r="D570">
        <v>1</v>
      </c>
    </row>
    <row r="571" spans="1:4" x14ac:dyDescent="0.25">
      <c r="A571" t="s">
        <v>20</v>
      </c>
      <c r="B571">
        <v>12</v>
      </c>
      <c r="C571">
        <v>66</v>
      </c>
    </row>
    <row r="572" spans="1:4" x14ac:dyDescent="0.25">
      <c r="A572" t="s">
        <v>20</v>
      </c>
      <c r="B572">
        <v>12</v>
      </c>
      <c r="C572">
        <v>67</v>
      </c>
    </row>
    <row r="573" spans="1:4" x14ac:dyDescent="0.25">
      <c r="A573" t="s">
        <v>20</v>
      </c>
      <c r="B573">
        <v>12</v>
      </c>
      <c r="C573">
        <v>68</v>
      </c>
    </row>
    <row r="574" spans="1:4" x14ac:dyDescent="0.25">
      <c r="A574" t="s">
        <v>20</v>
      </c>
      <c r="B574">
        <v>12</v>
      </c>
      <c r="C574">
        <v>69</v>
      </c>
    </row>
    <row r="575" spans="1:4" x14ac:dyDescent="0.25">
      <c r="A575" t="s">
        <v>20</v>
      </c>
      <c r="B575">
        <v>12</v>
      </c>
      <c r="C575">
        <v>70</v>
      </c>
    </row>
    <row r="576" spans="1:4" x14ac:dyDescent="0.25">
      <c r="A576" t="s">
        <v>20</v>
      </c>
      <c r="B576">
        <v>12</v>
      </c>
      <c r="C576">
        <v>71</v>
      </c>
    </row>
    <row r="577" spans="1:4" x14ac:dyDescent="0.25">
      <c r="A577" t="s">
        <v>20</v>
      </c>
      <c r="B577">
        <v>12</v>
      </c>
      <c r="C577">
        <v>72</v>
      </c>
    </row>
    <row r="578" spans="1:4" x14ac:dyDescent="0.25">
      <c r="A578" t="s">
        <v>20</v>
      </c>
      <c r="B578">
        <v>12</v>
      </c>
      <c r="C578">
        <v>73</v>
      </c>
    </row>
    <row r="579" spans="1:4" x14ac:dyDescent="0.25">
      <c r="A579" t="s">
        <v>20</v>
      </c>
      <c r="B579">
        <v>12</v>
      </c>
      <c r="C579">
        <v>74</v>
      </c>
    </row>
    <row r="580" spans="1:4" x14ac:dyDescent="0.25">
      <c r="A580" t="s">
        <v>20</v>
      </c>
      <c r="B580">
        <v>12</v>
      </c>
      <c r="C580">
        <v>75</v>
      </c>
    </row>
    <row r="581" spans="1:4" x14ac:dyDescent="0.25">
      <c r="A581" t="s">
        <v>20</v>
      </c>
      <c r="B581">
        <v>12</v>
      </c>
      <c r="C581">
        <v>76</v>
      </c>
    </row>
    <row r="582" spans="1:4" x14ac:dyDescent="0.25">
      <c r="A582" t="s">
        <v>20</v>
      </c>
      <c r="B582">
        <v>12</v>
      </c>
      <c r="C582">
        <v>77</v>
      </c>
      <c r="D582">
        <v>1</v>
      </c>
    </row>
    <row r="583" spans="1:4" x14ac:dyDescent="0.25">
      <c r="A583" t="s">
        <v>20</v>
      </c>
      <c r="B583">
        <v>12</v>
      </c>
      <c r="C583">
        <v>78</v>
      </c>
    </row>
    <row r="584" spans="1:4" x14ac:dyDescent="0.25">
      <c r="A584" t="s">
        <v>20</v>
      </c>
      <c r="B584">
        <v>12</v>
      </c>
      <c r="C584">
        <v>79</v>
      </c>
      <c r="D584">
        <v>1</v>
      </c>
    </row>
    <row r="585" spans="1:4" x14ac:dyDescent="0.25">
      <c r="A585" t="s">
        <v>20</v>
      </c>
      <c r="B585">
        <v>12</v>
      </c>
      <c r="C585">
        <v>80</v>
      </c>
    </row>
    <row r="586" spans="1:4" x14ac:dyDescent="0.25">
      <c r="A586" t="s">
        <v>20</v>
      </c>
      <c r="B586">
        <v>12</v>
      </c>
      <c r="C586">
        <v>81</v>
      </c>
    </row>
    <row r="587" spans="1:4" x14ac:dyDescent="0.25">
      <c r="A587" t="s">
        <v>20</v>
      </c>
      <c r="B587">
        <v>12</v>
      </c>
      <c r="C587">
        <v>82</v>
      </c>
    </row>
    <row r="588" spans="1:4" x14ac:dyDescent="0.25">
      <c r="A588" t="s">
        <v>20</v>
      </c>
      <c r="B588">
        <v>12</v>
      </c>
      <c r="C588">
        <v>83</v>
      </c>
    </row>
    <row r="589" spans="1:4" x14ac:dyDescent="0.25">
      <c r="A589" t="s">
        <v>20</v>
      </c>
      <c r="B589">
        <v>12</v>
      </c>
      <c r="C589">
        <v>84</v>
      </c>
    </row>
    <row r="590" spans="1:4" x14ac:dyDescent="0.25">
      <c r="A590" t="s">
        <v>20</v>
      </c>
      <c r="B590">
        <v>13</v>
      </c>
      <c r="C590">
        <v>1</v>
      </c>
      <c r="D590">
        <v>1</v>
      </c>
    </row>
    <row r="591" spans="1:4" x14ac:dyDescent="0.25">
      <c r="A591" t="s">
        <v>20</v>
      </c>
      <c r="B591">
        <v>13</v>
      </c>
      <c r="C591">
        <v>2</v>
      </c>
    </row>
    <row r="592" spans="1:4" x14ac:dyDescent="0.25">
      <c r="A592" t="s">
        <v>20</v>
      </c>
      <c r="B592">
        <v>13</v>
      </c>
      <c r="C592">
        <v>3</v>
      </c>
    </row>
    <row r="593" spans="1:4" x14ac:dyDescent="0.25">
      <c r="A593" t="s">
        <v>20</v>
      </c>
      <c r="B593">
        <v>13</v>
      </c>
      <c r="C593">
        <v>4</v>
      </c>
      <c r="D593">
        <v>1</v>
      </c>
    </row>
    <row r="594" spans="1:4" x14ac:dyDescent="0.25">
      <c r="A594" t="s">
        <v>20</v>
      </c>
      <c r="B594">
        <v>13</v>
      </c>
      <c r="C594">
        <v>5</v>
      </c>
    </row>
    <row r="595" spans="1:4" x14ac:dyDescent="0.25">
      <c r="A595" t="s">
        <v>20</v>
      </c>
      <c r="B595">
        <v>13</v>
      </c>
      <c r="C595">
        <v>6</v>
      </c>
    </row>
    <row r="596" spans="1:4" x14ac:dyDescent="0.25">
      <c r="A596" t="s">
        <v>20</v>
      </c>
      <c r="B596">
        <v>13</v>
      </c>
      <c r="C596">
        <v>7</v>
      </c>
      <c r="D596">
        <v>1</v>
      </c>
    </row>
    <row r="597" spans="1:4" x14ac:dyDescent="0.25">
      <c r="A597" t="s">
        <v>20</v>
      </c>
      <c r="B597">
        <v>13</v>
      </c>
      <c r="C597">
        <v>8</v>
      </c>
    </row>
    <row r="598" spans="1:4" x14ac:dyDescent="0.25">
      <c r="A598" t="s">
        <v>20</v>
      </c>
      <c r="B598">
        <v>13</v>
      </c>
      <c r="C598">
        <v>9</v>
      </c>
    </row>
    <row r="599" spans="1:4" x14ac:dyDescent="0.25">
      <c r="A599" t="s">
        <v>20</v>
      </c>
      <c r="B599">
        <v>13</v>
      </c>
      <c r="C599">
        <v>10</v>
      </c>
      <c r="D599">
        <v>1</v>
      </c>
    </row>
    <row r="600" spans="1:4" x14ac:dyDescent="0.25">
      <c r="A600" t="s">
        <v>20</v>
      </c>
      <c r="B600">
        <v>13</v>
      </c>
      <c r="C600">
        <v>11</v>
      </c>
    </row>
    <row r="601" spans="1:4" x14ac:dyDescent="0.25">
      <c r="A601" t="s">
        <v>20</v>
      </c>
      <c r="B601">
        <v>13</v>
      </c>
      <c r="C601">
        <v>12</v>
      </c>
    </row>
    <row r="602" spans="1:4" x14ac:dyDescent="0.25">
      <c r="A602" t="s">
        <v>20</v>
      </c>
      <c r="B602">
        <v>13</v>
      </c>
      <c r="C602">
        <v>13</v>
      </c>
    </row>
    <row r="603" spans="1:4" x14ac:dyDescent="0.25">
      <c r="A603" t="s">
        <v>20</v>
      </c>
      <c r="B603">
        <v>13</v>
      </c>
      <c r="C603">
        <v>14</v>
      </c>
    </row>
    <row r="604" spans="1:4" x14ac:dyDescent="0.25">
      <c r="A604" t="s">
        <v>20</v>
      </c>
      <c r="B604">
        <v>13</v>
      </c>
      <c r="C604">
        <v>15</v>
      </c>
    </row>
    <row r="605" spans="1:4" x14ac:dyDescent="0.25">
      <c r="A605" t="s">
        <v>20</v>
      </c>
      <c r="B605">
        <v>13</v>
      </c>
      <c r="C605">
        <v>16</v>
      </c>
    </row>
    <row r="606" spans="1:4" x14ac:dyDescent="0.25">
      <c r="A606" t="s">
        <v>20</v>
      </c>
      <c r="B606">
        <v>13</v>
      </c>
      <c r="C606">
        <v>17</v>
      </c>
    </row>
    <row r="607" spans="1:4" x14ac:dyDescent="0.25">
      <c r="A607" t="s">
        <v>20</v>
      </c>
      <c r="B607">
        <v>13</v>
      </c>
      <c r="C607">
        <v>18</v>
      </c>
    </row>
    <row r="608" spans="1:4" x14ac:dyDescent="0.25">
      <c r="A608" t="s">
        <v>20</v>
      </c>
      <c r="B608">
        <v>13</v>
      </c>
      <c r="C608">
        <v>19</v>
      </c>
    </row>
    <row r="609" spans="1:4" x14ac:dyDescent="0.25">
      <c r="A609" t="s">
        <v>20</v>
      </c>
      <c r="B609">
        <v>13</v>
      </c>
      <c r="C609">
        <v>20</v>
      </c>
    </row>
    <row r="610" spans="1:4" x14ac:dyDescent="0.25">
      <c r="A610" t="s">
        <v>20</v>
      </c>
      <c r="B610">
        <v>13</v>
      </c>
      <c r="C610">
        <v>21</v>
      </c>
    </row>
    <row r="611" spans="1:4" x14ac:dyDescent="0.25">
      <c r="A611" t="s">
        <v>20</v>
      </c>
      <c r="B611">
        <v>13</v>
      </c>
      <c r="C611">
        <v>22</v>
      </c>
      <c r="D611">
        <v>1</v>
      </c>
    </row>
    <row r="612" spans="1:4" x14ac:dyDescent="0.25">
      <c r="A612" t="s">
        <v>20</v>
      </c>
      <c r="B612">
        <v>13</v>
      </c>
      <c r="C612">
        <v>23</v>
      </c>
    </row>
    <row r="613" spans="1:4" x14ac:dyDescent="0.25">
      <c r="A613" t="s">
        <v>20</v>
      </c>
      <c r="B613">
        <v>13</v>
      </c>
      <c r="C613">
        <v>24</v>
      </c>
    </row>
    <row r="614" spans="1:4" x14ac:dyDescent="0.25">
      <c r="A614" t="s">
        <v>20</v>
      </c>
      <c r="B614">
        <v>13</v>
      </c>
      <c r="C614">
        <v>25</v>
      </c>
    </row>
    <row r="615" spans="1:4" x14ac:dyDescent="0.25">
      <c r="A615" t="s">
        <v>20</v>
      </c>
      <c r="B615">
        <v>13</v>
      </c>
      <c r="C615">
        <v>26</v>
      </c>
    </row>
    <row r="616" spans="1:4" x14ac:dyDescent="0.25">
      <c r="A616" t="s">
        <v>20</v>
      </c>
      <c r="B616">
        <v>13</v>
      </c>
      <c r="C616">
        <v>27</v>
      </c>
    </row>
    <row r="617" spans="1:4" x14ac:dyDescent="0.25">
      <c r="A617" t="s">
        <v>20</v>
      </c>
      <c r="B617">
        <v>13</v>
      </c>
      <c r="C617">
        <v>28</v>
      </c>
      <c r="D617">
        <v>1</v>
      </c>
    </row>
    <row r="618" spans="1:4" x14ac:dyDescent="0.25">
      <c r="A618" t="s">
        <v>20</v>
      </c>
      <c r="B618">
        <v>13</v>
      </c>
      <c r="C618">
        <v>29</v>
      </c>
    </row>
    <row r="619" spans="1:4" x14ac:dyDescent="0.25">
      <c r="A619" t="s">
        <v>20</v>
      </c>
      <c r="B619">
        <v>13</v>
      </c>
      <c r="C619">
        <v>30</v>
      </c>
    </row>
    <row r="620" spans="1:4" x14ac:dyDescent="0.25">
      <c r="A620" t="s">
        <v>20</v>
      </c>
      <c r="B620">
        <v>13</v>
      </c>
      <c r="C620">
        <v>31</v>
      </c>
      <c r="D620">
        <v>1</v>
      </c>
    </row>
    <row r="621" spans="1:4" x14ac:dyDescent="0.25">
      <c r="A621" t="s">
        <v>20</v>
      </c>
      <c r="B621">
        <v>13</v>
      </c>
      <c r="C621">
        <v>32</v>
      </c>
    </row>
    <row r="622" spans="1:4" x14ac:dyDescent="0.25">
      <c r="A622" t="s">
        <v>20</v>
      </c>
      <c r="B622">
        <v>13</v>
      </c>
      <c r="C622">
        <v>33</v>
      </c>
    </row>
    <row r="623" spans="1:4" x14ac:dyDescent="0.25">
      <c r="A623" t="s">
        <v>20</v>
      </c>
      <c r="B623">
        <v>13</v>
      </c>
      <c r="C623">
        <v>34</v>
      </c>
      <c r="D623">
        <v>1</v>
      </c>
    </row>
    <row r="624" spans="1:4" x14ac:dyDescent="0.25">
      <c r="A624" t="s">
        <v>20</v>
      </c>
      <c r="B624">
        <v>13</v>
      </c>
      <c r="C624">
        <v>35</v>
      </c>
    </row>
    <row r="625" spans="1:4" x14ac:dyDescent="0.25">
      <c r="A625" t="s">
        <v>20</v>
      </c>
      <c r="B625">
        <v>13</v>
      </c>
      <c r="C625">
        <v>36</v>
      </c>
    </row>
    <row r="626" spans="1:4" x14ac:dyDescent="0.25">
      <c r="A626" t="s">
        <v>20</v>
      </c>
      <c r="B626">
        <v>13</v>
      </c>
      <c r="C626">
        <v>37</v>
      </c>
      <c r="D626">
        <v>1</v>
      </c>
    </row>
    <row r="627" spans="1:4" x14ac:dyDescent="0.25">
      <c r="A627" t="s">
        <v>20</v>
      </c>
      <c r="B627">
        <v>13</v>
      </c>
      <c r="C627">
        <v>38</v>
      </c>
    </row>
    <row r="628" spans="1:4" x14ac:dyDescent="0.25">
      <c r="A628" t="s">
        <v>20</v>
      </c>
      <c r="B628">
        <v>13</v>
      </c>
      <c r="C628">
        <v>39</v>
      </c>
    </row>
    <row r="629" spans="1:4" x14ac:dyDescent="0.25">
      <c r="A629" t="s">
        <v>20</v>
      </c>
      <c r="B629">
        <v>13</v>
      </c>
      <c r="C629">
        <v>40</v>
      </c>
      <c r="D629">
        <v>1</v>
      </c>
    </row>
    <row r="630" spans="1:4" x14ac:dyDescent="0.25">
      <c r="A630" t="s">
        <v>20</v>
      </c>
      <c r="B630">
        <v>13</v>
      </c>
      <c r="C630">
        <v>41</v>
      </c>
    </row>
    <row r="631" spans="1:4" x14ac:dyDescent="0.25">
      <c r="A631" t="s">
        <v>20</v>
      </c>
      <c r="B631">
        <v>13</v>
      </c>
      <c r="C631">
        <v>42</v>
      </c>
    </row>
    <row r="632" spans="1:4" x14ac:dyDescent="0.25">
      <c r="A632" t="s">
        <v>20</v>
      </c>
      <c r="B632">
        <v>13</v>
      </c>
      <c r="C632">
        <v>43</v>
      </c>
      <c r="D632">
        <v>1</v>
      </c>
    </row>
    <row r="633" spans="1:4" x14ac:dyDescent="0.25">
      <c r="A633" t="s">
        <v>20</v>
      </c>
      <c r="B633">
        <v>13</v>
      </c>
      <c r="C633">
        <v>44</v>
      </c>
    </row>
    <row r="634" spans="1:4" x14ac:dyDescent="0.25">
      <c r="A634" t="s">
        <v>20</v>
      </c>
      <c r="B634">
        <v>13</v>
      </c>
      <c r="C634">
        <v>45</v>
      </c>
    </row>
    <row r="635" spans="1:4" x14ac:dyDescent="0.25">
      <c r="A635" t="s">
        <v>20</v>
      </c>
      <c r="B635">
        <v>13</v>
      </c>
      <c r="C635">
        <v>46</v>
      </c>
      <c r="D635">
        <v>1</v>
      </c>
    </row>
    <row r="636" spans="1:4" x14ac:dyDescent="0.25">
      <c r="A636" t="s">
        <v>20</v>
      </c>
      <c r="B636">
        <v>13</v>
      </c>
      <c r="C636">
        <v>47</v>
      </c>
    </row>
    <row r="637" spans="1:4" x14ac:dyDescent="0.25">
      <c r="A637" t="s">
        <v>20</v>
      </c>
      <c r="B637">
        <v>13</v>
      </c>
      <c r="C637">
        <v>48</v>
      </c>
    </row>
    <row r="638" spans="1:4" x14ac:dyDescent="0.25">
      <c r="A638" t="s">
        <v>20</v>
      </c>
      <c r="B638">
        <v>13</v>
      </c>
      <c r="C638">
        <v>49</v>
      </c>
      <c r="D638">
        <v>1</v>
      </c>
    </row>
    <row r="639" spans="1:4" x14ac:dyDescent="0.25">
      <c r="A639" t="s">
        <v>20</v>
      </c>
      <c r="B639">
        <v>13</v>
      </c>
      <c r="C639">
        <v>50</v>
      </c>
    </row>
    <row r="640" spans="1:4" x14ac:dyDescent="0.25">
      <c r="A640" t="s">
        <v>20</v>
      </c>
      <c r="B640">
        <v>13</v>
      </c>
      <c r="C640">
        <v>51</v>
      </c>
    </row>
    <row r="641" spans="1:4" x14ac:dyDescent="0.25">
      <c r="A641" t="s">
        <v>20</v>
      </c>
      <c r="B641">
        <v>13</v>
      </c>
      <c r="C641">
        <v>52</v>
      </c>
      <c r="D641">
        <v>1</v>
      </c>
    </row>
    <row r="642" spans="1:4" x14ac:dyDescent="0.25">
      <c r="A642" t="s">
        <v>20</v>
      </c>
      <c r="B642">
        <v>13</v>
      </c>
      <c r="C642">
        <v>53</v>
      </c>
    </row>
    <row r="643" spans="1:4" x14ac:dyDescent="0.25">
      <c r="A643" t="s">
        <v>20</v>
      </c>
      <c r="B643">
        <v>13</v>
      </c>
      <c r="C643">
        <v>54</v>
      </c>
    </row>
    <row r="644" spans="1:4" x14ac:dyDescent="0.25">
      <c r="A644" t="s">
        <v>20</v>
      </c>
      <c r="B644">
        <v>13</v>
      </c>
      <c r="C644">
        <v>55</v>
      </c>
      <c r="D644">
        <v>1</v>
      </c>
    </row>
    <row r="645" spans="1:4" x14ac:dyDescent="0.25">
      <c r="A645" t="s">
        <v>20</v>
      </c>
      <c r="B645">
        <v>13</v>
      </c>
      <c r="C645">
        <v>56</v>
      </c>
    </row>
    <row r="646" spans="1:4" x14ac:dyDescent="0.25">
      <c r="A646" t="s">
        <v>20</v>
      </c>
      <c r="B646">
        <v>13</v>
      </c>
      <c r="C646">
        <v>57</v>
      </c>
    </row>
    <row r="647" spans="1:4" x14ac:dyDescent="0.25">
      <c r="A647" t="s">
        <v>20</v>
      </c>
      <c r="B647">
        <v>13</v>
      </c>
      <c r="C647">
        <v>58</v>
      </c>
    </row>
    <row r="648" spans="1:4" x14ac:dyDescent="0.25">
      <c r="A648" t="s">
        <v>20</v>
      </c>
      <c r="B648">
        <v>13</v>
      </c>
      <c r="C648">
        <v>59</v>
      </c>
    </row>
    <row r="649" spans="1:4" x14ac:dyDescent="0.25">
      <c r="A649" t="s">
        <v>20</v>
      </c>
      <c r="B649">
        <v>13</v>
      </c>
      <c r="C649">
        <v>60</v>
      </c>
    </row>
    <row r="650" spans="1:4" x14ac:dyDescent="0.25">
      <c r="A650" t="s">
        <v>20</v>
      </c>
      <c r="B650">
        <v>13</v>
      </c>
      <c r="C650">
        <v>61</v>
      </c>
    </row>
    <row r="651" spans="1:4" x14ac:dyDescent="0.25">
      <c r="A651" t="s">
        <v>20</v>
      </c>
      <c r="B651">
        <v>13</v>
      </c>
      <c r="C651">
        <v>62</v>
      </c>
      <c r="D651">
        <v>1</v>
      </c>
    </row>
    <row r="652" spans="1:4" x14ac:dyDescent="0.25">
      <c r="A652" t="s">
        <v>20</v>
      </c>
      <c r="B652">
        <v>13</v>
      </c>
      <c r="C652">
        <v>63</v>
      </c>
    </row>
    <row r="653" spans="1:4" x14ac:dyDescent="0.25">
      <c r="A653" t="s">
        <v>20</v>
      </c>
      <c r="B653">
        <v>13</v>
      </c>
      <c r="C653">
        <v>64</v>
      </c>
    </row>
    <row r="654" spans="1:4" x14ac:dyDescent="0.25">
      <c r="A654" t="s">
        <v>20</v>
      </c>
      <c r="B654">
        <v>13</v>
      </c>
      <c r="C654">
        <v>65</v>
      </c>
    </row>
    <row r="655" spans="1:4" x14ac:dyDescent="0.25">
      <c r="A655" t="s">
        <v>20</v>
      </c>
      <c r="B655">
        <v>13</v>
      </c>
      <c r="C655">
        <v>66</v>
      </c>
    </row>
    <row r="656" spans="1:4" x14ac:dyDescent="0.25">
      <c r="A656" t="s">
        <v>20</v>
      </c>
      <c r="B656">
        <v>13</v>
      </c>
      <c r="C656">
        <v>67</v>
      </c>
      <c r="D656">
        <v>1</v>
      </c>
    </row>
    <row r="657" spans="1:4" x14ac:dyDescent="0.25">
      <c r="A657" t="s">
        <v>20</v>
      </c>
      <c r="B657">
        <v>13</v>
      </c>
      <c r="C657">
        <v>68</v>
      </c>
    </row>
    <row r="658" spans="1:4" x14ac:dyDescent="0.25">
      <c r="A658" t="s">
        <v>20</v>
      </c>
      <c r="B658">
        <v>13</v>
      </c>
      <c r="C658">
        <v>69</v>
      </c>
    </row>
    <row r="659" spans="1:4" x14ac:dyDescent="0.25">
      <c r="A659" t="s">
        <v>20</v>
      </c>
      <c r="B659">
        <v>13</v>
      </c>
      <c r="C659">
        <v>70</v>
      </c>
      <c r="D659">
        <v>1</v>
      </c>
    </row>
    <row r="660" spans="1:4" x14ac:dyDescent="0.25">
      <c r="A660" t="s">
        <v>20</v>
      </c>
      <c r="B660">
        <v>13</v>
      </c>
      <c r="C660">
        <v>71</v>
      </c>
    </row>
    <row r="661" spans="1:4" x14ac:dyDescent="0.25">
      <c r="A661" t="s">
        <v>20</v>
      </c>
      <c r="B661">
        <v>13</v>
      </c>
      <c r="C661">
        <v>72</v>
      </c>
    </row>
    <row r="662" spans="1:4" x14ac:dyDescent="0.25">
      <c r="A662" t="s">
        <v>20</v>
      </c>
      <c r="B662">
        <v>13</v>
      </c>
      <c r="C662">
        <v>73</v>
      </c>
      <c r="D662">
        <v>1</v>
      </c>
    </row>
    <row r="663" spans="1:4" x14ac:dyDescent="0.25">
      <c r="A663" t="s">
        <v>20</v>
      </c>
      <c r="B663">
        <v>13</v>
      </c>
      <c r="C663">
        <v>74</v>
      </c>
    </row>
    <row r="664" spans="1:4" x14ac:dyDescent="0.25">
      <c r="A664" t="s">
        <v>20</v>
      </c>
      <c r="B664">
        <v>13</v>
      </c>
      <c r="C664">
        <v>75</v>
      </c>
    </row>
    <row r="665" spans="1:4" x14ac:dyDescent="0.25">
      <c r="A665" t="s">
        <v>20</v>
      </c>
      <c r="B665">
        <v>13</v>
      </c>
      <c r="C665">
        <v>76</v>
      </c>
      <c r="D665">
        <v>1</v>
      </c>
    </row>
    <row r="666" spans="1:4" x14ac:dyDescent="0.25">
      <c r="A666" t="s">
        <v>20</v>
      </c>
      <c r="B666">
        <v>13</v>
      </c>
      <c r="C666">
        <v>77</v>
      </c>
    </row>
    <row r="667" spans="1:4" x14ac:dyDescent="0.25">
      <c r="A667" t="s">
        <v>20</v>
      </c>
      <c r="B667">
        <v>13</v>
      </c>
      <c r="C667">
        <v>78</v>
      </c>
    </row>
    <row r="668" spans="1:4" x14ac:dyDescent="0.25">
      <c r="A668" t="s">
        <v>20</v>
      </c>
      <c r="B668">
        <v>13</v>
      </c>
      <c r="C668">
        <v>79</v>
      </c>
    </row>
    <row r="669" spans="1:4" x14ac:dyDescent="0.25">
      <c r="A669" t="s">
        <v>20</v>
      </c>
      <c r="B669">
        <v>13</v>
      </c>
      <c r="C669">
        <v>80</v>
      </c>
    </row>
    <row r="670" spans="1:4" x14ac:dyDescent="0.25">
      <c r="A670" t="s">
        <v>20</v>
      </c>
      <c r="B670">
        <v>13</v>
      </c>
      <c r="C670">
        <v>81</v>
      </c>
    </row>
    <row r="671" spans="1:4" x14ac:dyDescent="0.25">
      <c r="A671" t="s">
        <v>20</v>
      </c>
      <c r="B671">
        <v>13</v>
      </c>
      <c r="C671">
        <v>82</v>
      </c>
    </row>
    <row r="672" spans="1:4" x14ac:dyDescent="0.25">
      <c r="A672" t="s">
        <v>20</v>
      </c>
      <c r="B672">
        <v>13</v>
      </c>
      <c r="C672">
        <v>83</v>
      </c>
    </row>
    <row r="673" spans="1:4" x14ac:dyDescent="0.25">
      <c r="A673" t="s">
        <v>20</v>
      </c>
      <c r="B673">
        <v>13</v>
      </c>
      <c r="C673">
        <v>84</v>
      </c>
    </row>
    <row r="674" spans="1:4" x14ac:dyDescent="0.25">
      <c r="A674" t="s">
        <v>20</v>
      </c>
      <c r="B674">
        <v>15</v>
      </c>
      <c r="C674">
        <v>1</v>
      </c>
    </row>
    <row r="675" spans="1:4" x14ac:dyDescent="0.25">
      <c r="A675" t="s">
        <v>20</v>
      </c>
      <c r="B675">
        <v>15</v>
      </c>
      <c r="C675">
        <v>2</v>
      </c>
    </row>
    <row r="676" spans="1:4" x14ac:dyDescent="0.25">
      <c r="A676" t="s">
        <v>20</v>
      </c>
      <c r="B676">
        <v>15</v>
      </c>
      <c r="C676">
        <v>3</v>
      </c>
      <c r="D676">
        <v>1</v>
      </c>
    </row>
    <row r="677" spans="1:4" x14ac:dyDescent="0.25">
      <c r="A677" t="s">
        <v>20</v>
      </c>
      <c r="B677">
        <v>15</v>
      </c>
      <c r="C677">
        <v>4</v>
      </c>
    </row>
    <row r="678" spans="1:4" x14ac:dyDescent="0.25">
      <c r="A678" t="s">
        <v>20</v>
      </c>
      <c r="B678">
        <v>15</v>
      </c>
      <c r="C678">
        <v>5</v>
      </c>
    </row>
    <row r="679" spans="1:4" x14ac:dyDescent="0.25">
      <c r="A679" t="s">
        <v>20</v>
      </c>
      <c r="B679">
        <v>15</v>
      </c>
      <c r="C679">
        <v>6</v>
      </c>
      <c r="D679">
        <v>1</v>
      </c>
    </row>
    <row r="680" spans="1:4" x14ac:dyDescent="0.25">
      <c r="A680" t="s">
        <v>20</v>
      </c>
      <c r="B680">
        <v>15</v>
      </c>
      <c r="C680">
        <v>7</v>
      </c>
    </row>
    <row r="681" spans="1:4" x14ac:dyDescent="0.25">
      <c r="A681" t="s">
        <v>20</v>
      </c>
      <c r="B681">
        <v>15</v>
      </c>
      <c r="C681">
        <v>8</v>
      </c>
    </row>
    <row r="682" spans="1:4" x14ac:dyDescent="0.25">
      <c r="A682" t="s">
        <v>20</v>
      </c>
      <c r="B682">
        <v>15</v>
      </c>
      <c r="C682">
        <v>9</v>
      </c>
      <c r="D682">
        <v>1</v>
      </c>
    </row>
    <row r="683" spans="1:4" x14ac:dyDescent="0.25">
      <c r="A683" t="s">
        <v>20</v>
      </c>
      <c r="B683">
        <v>15</v>
      </c>
      <c r="C683">
        <v>10</v>
      </c>
    </row>
    <row r="684" spans="1:4" x14ac:dyDescent="0.25">
      <c r="A684" t="s">
        <v>20</v>
      </c>
      <c r="B684">
        <v>15</v>
      </c>
      <c r="C684">
        <v>11</v>
      </c>
    </row>
    <row r="685" spans="1:4" x14ac:dyDescent="0.25">
      <c r="A685" t="s">
        <v>20</v>
      </c>
      <c r="B685">
        <v>15</v>
      </c>
      <c r="C685">
        <v>12</v>
      </c>
      <c r="D685">
        <v>1</v>
      </c>
    </row>
    <row r="686" spans="1:4" x14ac:dyDescent="0.25">
      <c r="A686" t="s">
        <v>20</v>
      </c>
      <c r="B686">
        <v>15</v>
      </c>
      <c r="C686">
        <v>13</v>
      </c>
    </row>
    <row r="687" spans="1:4" x14ac:dyDescent="0.25">
      <c r="A687" t="s">
        <v>20</v>
      </c>
      <c r="B687">
        <v>15</v>
      </c>
      <c r="C687">
        <v>14</v>
      </c>
    </row>
    <row r="688" spans="1:4" x14ac:dyDescent="0.25">
      <c r="A688" t="s">
        <v>20</v>
      </c>
      <c r="B688">
        <v>15</v>
      </c>
      <c r="C688">
        <v>15</v>
      </c>
    </row>
    <row r="689" spans="1:4" x14ac:dyDescent="0.25">
      <c r="A689" t="s">
        <v>20</v>
      </c>
      <c r="B689">
        <v>15</v>
      </c>
      <c r="C689">
        <v>16</v>
      </c>
    </row>
    <row r="690" spans="1:4" x14ac:dyDescent="0.25">
      <c r="A690" t="s">
        <v>20</v>
      </c>
      <c r="B690">
        <v>15</v>
      </c>
      <c r="C690">
        <v>17</v>
      </c>
    </row>
    <row r="691" spans="1:4" x14ac:dyDescent="0.25">
      <c r="A691" t="s">
        <v>20</v>
      </c>
      <c r="B691">
        <v>15</v>
      </c>
      <c r="C691">
        <v>18</v>
      </c>
      <c r="D691">
        <v>1</v>
      </c>
    </row>
    <row r="692" spans="1:4" x14ac:dyDescent="0.25">
      <c r="A692" t="s">
        <v>20</v>
      </c>
      <c r="B692">
        <v>15</v>
      </c>
      <c r="C692">
        <v>19</v>
      </c>
    </row>
    <row r="693" spans="1:4" x14ac:dyDescent="0.25">
      <c r="A693" t="s">
        <v>20</v>
      </c>
      <c r="B693">
        <v>15</v>
      </c>
      <c r="C693">
        <v>20</v>
      </c>
    </row>
    <row r="694" spans="1:4" x14ac:dyDescent="0.25">
      <c r="A694" t="s">
        <v>20</v>
      </c>
      <c r="B694">
        <v>15</v>
      </c>
      <c r="C694">
        <v>21</v>
      </c>
      <c r="D694">
        <v>1</v>
      </c>
    </row>
    <row r="695" spans="1:4" x14ac:dyDescent="0.25">
      <c r="A695" t="s">
        <v>20</v>
      </c>
      <c r="B695">
        <v>15</v>
      </c>
      <c r="C695">
        <v>22</v>
      </c>
    </row>
    <row r="696" spans="1:4" x14ac:dyDescent="0.25">
      <c r="A696" t="s">
        <v>20</v>
      </c>
      <c r="B696">
        <v>15</v>
      </c>
      <c r="C696">
        <v>23</v>
      </c>
    </row>
    <row r="697" spans="1:4" x14ac:dyDescent="0.25">
      <c r="A697" t="s">
        <v>20</v>
      </c>
      <c r="B697">
        <v>15</v>
      </c>
      <c r="C697">
        <v>24</v>
      </c>
    </row>
    <row r="698" spans="1:4" x14ac:dyDescent="0.25">
      <c r="A698" t="s">
        <v>20</v>
      </c>
      <c r="B698">
        <v>15</v>
      </c>
      <c r="C698">
        <v>25</v>
      </c>
    </row>
    <row r="699" spans="1:4" x14ac:dyDescent="0.25">
      <c r="A699" t="s">
        <v>20</v>
      </c>
      <c r="B699">
        <v>15</v>
      </c>
      <c r="C699">
        <v>26</v>
      </c>
    </row>
    <row r="700" spans="1:4" x14ac:dyDescent="0.25">
      <c r="A700" t="s">
        <v>20</v>
      </c>
      <c r="B700">
        <v>15</v>
      </c>
      <c r="C700">
        <v>27</v>
      </c>
    </row>
    <row r="701" spans="1:4" x14ac:dyDescent="0.25">
      <c r="A701" t="s">
        <v>20</v>
      </c>
      <c r="B701">
        <v>15</v>
      </c>
      <c r="C701">
        <v>28</v>
      </c>
    </row>
    <row r="702" spans="1:4" x14ac:dyDescent="0.25">
      <c r="A702" t="s">
        <v>20</v>
      </c>
      <c r="B702">
        <v>15</v>
      </c>
      <c r="C702">
        <v>29</v>
      </c>
    </row>
    <row r="703" spans="1:4" x14ac:dyDescent="0.25">
      <c r="A703" t="s">
        <v>20</v>
      </c>
      <c r="B703">
        <v>15</v>
      </c>
      <c r="C703">
        <v>30</v>
      </c>
    </row>
    <row r="704" spans="1:4" x14ac:dyDescent="0.25">
      <c r="A704" t="s">
        <v>20</v>
      </c>
      <c r="B704">
        <v>15</v>
      </c>
      <c r="C704">
        <v>31</v>
      </c>
    </row>
    <row r="705" spans="1:4" x14ac:dyDescent="0.25">
      <c r="A705" t="s">
        <v>20</v>
      </c>
      <c r="B705">
        <v>15</v>
      </c>
      <c r="C705">
        <v>32</v>
      </c>
    </row>
    <row r="706" spans="1:4" x14ac:dyDescent="0.25">
      <c r="A706" t="s">
        <v>20</v>
      </c>
      <c r="B706">
        <v>15</v>
      </c>
      <c r="C706">
        <v>33</v>
      </c>
      <c r="D706">
        <v>1</v>
      </c>
    </row>
    <row r="707" spans="1:4" x14ac:dyDescent="0.25">
      <c r="A707" t="s">
        <v>20</v>
      </c>
      <c r="B707">
        <v>15</v>
      </c>
      <c r="C707">
        <v>34</v>
      </c>
    </row>
    <row r="708" spans="1:4" x14ac:dyDescent="0.25">
      <c r="A708" t="s">
        <v>20</v>
      </c>
      <c r="B708">
        <v>15</v>
      </c>
      <c r="C708">
        <v>35</v>
      </c>
    </row>
    <row r="709" spans="1:4" x14ac:dyDescent="0.25">
      <c r="A709" t="s">
        <v>20</v>
      </c>
      <c r="B709">
        <v>15</v>
      </c>
      <c r="C709">
        <v>36</v>
      </c>
      <c r="D709">
        <v>1</v>
      </c>
    </row>
    <row r="710" spans="1:4" x14ac:dyDescent="0.25">
      <c r="A710" t="s">
        <v>20</v>
      </c>
      <c r="B710">
        <v>15</v>
      </c>
      <c r="C710">
        <v>37</v>
      </c>
    </row>
    <row r="711" spans="1:4" x14ac:dyDescent="0.25">
      <c r="A711" t="s">
        <v>20</v>
      </c>
      <c r="B711">
        <v>15</v>
      </c>
      <c r="C711">
        <v>38</v>
      </c>
    </row>
    <row r="712" spans="1:4" x14ac:dyDescent="0.25">
      <c r="A712" t="s">
        <v>20</v>
      </c>
      <c r="B712">
        <v>15</v>
      </c>
      <c r="C712">
        <v>39</v>
      </c>
      <c r="D712">
        <v>1</v>
      </c>
    </row>
    <row r="713" spans="1:4" x14ac:dyDescent="0.25">
      <c r="A713" t="s">
        <v>20</v>
      </c>
      <c r="B713">
        <v>15</v>
      </c>
      <c r="C713">
        <v>40</v>
      </c>
    </row>
    <row r="714" spans="1:4" x14ac:dyDescent="0.25">
      <c r="A714" t="s">
        <v>20</v>
      </c>
      <c r="B714">
        <v>15</v>
      </c>
      <c r="C714">
        <v>41</v>
      </c>
    </row>
    <row r="715" spans="1:4" x14ac:dyDescent="0.25">
      <c r="A715" t="s">
        <v>20</v>
      </c>
      <c r="B715">
        <v>15</v>
      </c>
      <c r="C715">
        <v>42</v>
      </c>
      <c r="D715">
        <v>1</v>
      </c>
    </row>
    <row r="716" spans="1:4" x14ac:dyDescent="0.25">
      <c r="A716" t="s">
        <v>20</v>
      </c>
      <c r="B716">
        <v>15</v>
      </c>
      <c r="C716">
        <v>43</v>
      </c>
    </row>
    <row r="717" spans="1:4" x14ac:dyDescent="0.25">
      <c r="A717" t="s">
        <v>20</v>
      </c>
      <c r="B717">
        <v>15</v>
      </c>
      <c r="C717">
        <v>44</v>
      </c>
    </row>
    <row r="718" spans="1:4" x14ac:dyDescent="0.25">
      <c r="A718" t="s">
        <v>20</v>
      </c>
      <c r="B718">
        <v>15</v>
      </c>
      <c r="C718">
        <v>45</v>
      </c>
    </row>
    <row r="719" spans="1:4" x14ac:dyDescent="0.25">
      <c r="A719" t="s">
        <v>20</v>
      </c>
      <c r="B719">
        <v>15</v>
      </c>
      <c r="C719">
        <v>46</v>
      </c>
    </row>
    <row r="720" spans="1:4" x14ac:dyDescent="0.25">
      <c r="A720" t="s">
        <v>20</v>
      </c>
      <c r="B720">
        <v>15</v>
      </c>
      <c r="C720">
        <v>47</v>
      </c>
    </row>
    <row r="721" spans="1:4" x14ac:dyDescent="0.25">
      <c r="A721" t="s">
        <v>20</v>
      </c>
      <c r="B721">
        <v>15</v>
      </c>
      <c r="C721">
        <v>48</v>
      </c>
      <c r="D721">
        <v>1</v>
      </c>
    </row>
    <row r="722" spans="1:4" x14ac:dyDescent="0.25">
      <c r="A722" t="s">
        <v>20</v>
      </c>
      <c r="B722">
        <v>15</v>
      </c>
      <c r="C722">
        <v>49</v>
      </c>
    </row>
    <row r="723" spans="1:4" x14ac:dyDescent="0.25">
      <c r="A723" t="s">
        <v>20</v>
      </c>
      <c r="B723">
        <v>15</v>
      </c>
      <c r="C723">
        <v>50</v>
      </c>
    </row>
    <row r="724" spans="1:4" x14ac:dyDescent="0.25">
      <c r="A724" t="s">
        <v>20</v>
      </c>
      <c r="B724">
        <v>15</v>
      </c>
      <c r="C724">
        <v>51</v>
      </c>
    </row>
    <row r="725" spans="1:4" x14ac:dyDescent="0.25">
      <c r="A725" t="s">
        <v>20</v>
      </c>
      <c r="B725">
        <v>15</v>
      </c>
      <c r="C725">
        <v>52</v>
      </c>
    </row>
    <row r="726" spans="1:4" x14ac:dyDescent="0.25">
      <c r="A726" t="s">
        <v>20</v>
      </c>
      <c r="B726">
        <v>15</v>
      </c>
      <c r="C726">
        <v>53</v>
      </c>
    </row>
    <row r="727" spans="1:4" x14ac:dyDescent="0.25">
      <c r="A727" t="s">
        <v>20</v>
      </c>
      <c r="B727">
        <v>15</v>
      </c>
      <c r="C727">
        <v>54</v>
      </c>
      <c r="D727">
        <v>1</v>
      </c>
    </row>
    <row r="728" spans="1:4" x14ac:dyDescent="0.25">
      <c r="A728" t="s">
        <v>20</v>
      </c>
      <c r="B728">
        <v>15</v>
      </c>
      <c r="C728">
        <v>55</v>
      </c>
    </row>
    <row r="729" spans="1:4" x14ac:dyDescent="0.25">
      <c r="A729" t="s">
        <v>20</v>
      </c>
      <c r="B729">
        <v>15</v>
      </c>
      <c r="C729">
        <v>56</v>
      </c>
    </row>
    <row r="730" spans="1:4" x14ac:dyDescent="0.25">
      <c r="A730" t="s">
        <v>20</v>
      </c>
      <c r="B730">
        <v>15</v>
      </c>
      <c r="C730">
        <v>57</v>
      </c>
    </row>
    <row r="731" spans="1:4" x14ac:dyDescent="0.25">
      <c r="A731" t="s">
        <v>20</v>
      </c>
      <c r="B731">
        <v>15</v>
      </c>
      <c r="C731">
        <v>58</v>
      </c>
    </row>
    <row r="732" spans="1:4" x14ac:dyDescent="0.25">
      <c r="A732" t="s">
        <v>20</v>
      </c>
      <c r="B732">
        <v>15</v>
      </c>
      <c r="C732">
        <v>59</v>
      </c>
    </row>
    <row r="733" spans="1:4" x14ac:dyDescent="0.25">
      <c r="A733" t="s">
        <v>20</v>
      </c>
      <c r="B733">
        <v>15</v>
      </c>
      <c r="C733">
        <v>60</v>
      </c>
      <c r="D733">
        <v>1</v>
      </c>
    </row>
    <row r="734" spans="1:4" x14ac:dyDescent="0.25">
      <c r="A734" t="s">
        <v>20</v>
      </c>
      <c r="B734">
        <v>15</v>
      </c>
      <c r="C734">
        <v>61</v>
      </c>
    </row>
    <row r="735" spans="1:4" x14ac:dyDescent="0.25">
      <c r="A735" t="s">
        <v>20</v>
      </c>
      <c r="B735">
        <v>15</v>
      </c>
      <c r="C735">
        <v>62</v>
      </c>
    </row>
    <row r="736" spans="1:4" x14ac:dyDescent="0.25">
      <c r="A736" t="s">
        <v>20</v>
      </c>
      <c r="B736">
        <v>15</v>
      </c>
      <c r="C736">
        <v>63</v>
      </c>
    </row>
    <row r="737" spans="1:4" x14ac:dyDescent="0.25">
      <c r="A737" t="s">
        <v>20</v>
      </c>
      <c r="B737">
        <v>15</v>
      </c>
      <c r="C737">
        <v>64</v>
      </c>
    </row>
    <row r="738" spans="1:4" x14ac:dyDescent="0.25">
      <c r="A738" t="s">
        <v>20</v>
      </c>
      <c r="B738">
        <v>15</v>
      </c>
      <c r="C738">
        <v>65</v>
      </c>
    </row>
    <row r="739" spans="1:4" x14ac:dyDescent="0.25">
      <c r="A739" t="s">
        <v>20</v>
      </c>
      <c r="B739">
        <v>15</v>
      </c>
      <c r="C739">
        <v>66</v>
      </c>
    </row>
    <row r="740" spans="1:4" x14ac:dyDescent="0.25">
      <c r="A740" t="s">
        <v>20</v>
      </c>
      <c r="B740">
        <v>15</v>
      </c>
      <c r="C740">
        <v>67</v>
      </c>
    </row>
    <row r="741" spans="1:4" x14ac:dyDescent="0.25">
      <c r="A741" t="s">
        <v>20</v>
      </c>
      <c r="B741">
        <v>15</v>
      </c>
      <c r="C741">
        <v>68</v>
      </c>
    </row>
    <row r="742" spans="1:4" x14ac:dyDescent="0.25">
      <c r="A742" t="s">
        <v>20</v>
      </c>
      <c r="B742">
        <v>15</v>
      </c>
      <c r="C742">
        <v>69</v>
      </c>
      <c r="D742">
        <v>1</v>
      </c>
    </row>
    <row r="743" spans="1:4" x14ac:dyDescent="0.25">
      <c r="A743" t="s">
        <v>20</v>
      </c>
      <c r="B743">
        <v>15</v>
      </c>
      <c r="C743">
        <v>70</v>
      </c>
    </row>
    <row r="744" spans="1:4" x14ac:dyDescent="0.25">
      <c r="A744" t="s">
        <v>20</v>
      </c>
      <c r="B744">
        <v>15</v>
      </c>
      <c r="C744">
        <v>71</v>
      </c>
    </row>
    <row r="745" spans="1:4" x14ac:dyDescent="0.25">
      <c r="A745" t="s">
        <v>20</v>
      </c>
      <c r="B745">
        <v>15</v>
      </c>
      <c r="C745">
        <v>72</v>
      </c>
      <c r="D745">
        <v>1</v>
      </c>
    </row>
    <row r="746" spans="1:4" x14ac:dyDescent="0.25">
      <c r="A746" t="s">
        <v>20</v>
      </c>
      <c r="B746">
        <v>15</v>
      </c>
      <c r="C746">
        <v>73</v>
      </c>
    </row>
    <row r="747" spans="1:4" x14ac:dyDescent="0.25">
      <c r="A747" t="s">
        <v>20</v>
      </c>
      <c r="B747">
        <v>15</v>
      </c>
      <c r="C747">
        <v>74</v>
      </c>
    </row>
    <row r="748" spans="1:4" x14ac:dyDescent="0.25">
      <c r="A748" t="s">
        <v>20</v>
      </c>
      <c r="B748">
        <v>15</v>
      </c>
      <c r="C748">
        <v>75</v>
      </c>
      <c r="D748">
        <v>1</v>
      </c>
    </row>
    <row r="749" spans="1:4" x14ac:dyDescent="0.25">
      <c r="A749" t="s">
        <v>20</v>
      </c>
      <c r="B749">
        <v>15</v>
      </c>
      <c r="C749">
        <v>76</v>
      </c>
    </row>
    <row r="750" spans="1:4" x14ac:dyDescent="0.25">
      <c r="A750" t="s">
        <v>20</v>
      </c>
      <c r="B750">
        <v>15</v>
      </c>
      <c r="C750">
        <v>77</v>
      </c>
    </row>
    <row r="751" spans="1:4" x14ac:dyDescent="0.25">
      <c r="A751" t="s">
        <v>20</v>
      </c>
      <c r="B751">
        <v>15</v>
      </c>
      <c r="C751">
        <v>78</v>
      </c>
      <c r="D751">
        <v>1</v>
      </c>
    </row>
    <row r="752" spans="1:4" x14ac:dyDescent="0.25">
      <c r="A752" t="s">
        <v>20</v>
      </c>
      <c r="B752">
        <v>15</v>
      </c>
      <c r="C752">
        <v>79</v>
      </c>
    </row>
    <row r="753" spans="1:4" x14ac:dyDescent="0.25">
      <c r="A753" t="s">
        <v>20</v>
      </c>
      <c r="B753">
        <v>15</v>
      </c>
      <c r="C753">
        <v>80</v>
      </c>
    </row>
    <row r="754" spans="1:4" x14ac:dyDescent="0.25">
      <c r="A754" t="s">
        <v>20</v>
      </c>
      <c r="B754">
        <v>15</v>
      </c>
      <c r="C754">
        <v>81</v>
      </c>
      <c r="D754">
        <v>1</v>
      </c>
    </row>
    <row r="755" spans="1:4" x14ac:dyDescent="0.25">
      <c r="A755" t="s">
        <v>20</v>
      </c>
      <c r="B755">
        <v>15</v>
      </c>
      <c r="C755">
        <v>82</v>
      </c>
    </row>
    <row r="756" spans="1:4" x14ac:dyDescent="0.25">
      <c r="A756" t="s">
        <v>20</v>
      </c>
      <c r="B756">
        <v>15</v>
      </c>
      <c r="C756">
        <v>83</v>
      </c>
    </row>
    <row r="757" spans="1:4" x14ac:dyDescent="0.25">
      <c r="A757" t="s">
        <v>20</v>
      </c>
      <c r="B757">
        <v>15</v>
      </c>
      <c r="C757">
        <v>84</v>
      </c>
      <c r="D757">
        <v>1</v>
      </c>
    </row>
    <row r="758" spans="1:4" x14ac:dyDescent="0.25">
      <c r="A758" t="s">
        <v>20</v>
      </c>
      <c r="B758">
        <v>16</v>
      </c>
      <c r="C758">
        <v>1</v>
      </c>
    </row>
    <row r="759" spans="1:4" x14ac:dyDescent="0.25">
      <c r="A759" t="s">
        <v>20</v>
      </c>
      <c r="B759">
        <v>16</v>
      </c>
      <c r="C759">
        <v>2</v>
      </c>
    </row>
    <row r="760" spans="1:4" x14ac:dyDescent="0.25">
      <c r="A760" t="s">
        <v>20</v>
      </c>
      <c r="B760">
        <v>16</v>
      </c>
      <c r="C760">
        <v>3</v>
      </c>
    </row>
    <row r="761" spans="1:4" x14ac:dyDescent="0.25">
      <c r="A761" t="s">
        <v>20</v>
      </c>
      <c r="B761">
        <v>16</v>
      </c>
      <c r="C761">
        <v>4</v>
      </c>
      <c r="D761">
        <v>1</v>
      </c>
    </row>
    <row r="762" spans="1:4" x14ac:dyDescent="0.25">
      <c r="A762" t="s">
        <v>20</v>
      </c>
      <c r="B762">
        <v>16</v>
      </c>
      <c r="C762">
        <v>5</v>
      </c>
    </row>
    <row r="763" spans="1:4" x14ac:dyDescent="0.25">
      <c r="A763" t="s">
        <v>20</v>
      </c>
      <c r="B763">
        <v>16</v>
      </c>
      <c r="C763">
        <v>6</v>
      </c>
    </row>
    <row r="764" spans="1:4" x14ac:dyDescent="0.25">
      <c r="A764" t="s">
        <v>20</v>
      </c>
      <c r="B764">
        <v>16</v>
      </c>
      <c r="C764">
        <v>7</v>
      </c>
    </row>
    <row r="765" spans="1:4" x14ac:dyDescent="0.25">
      <c r="A765" t="s">
        <v>20</v>
      </c>
      <c r="B765">
        <v>16</v>
      </c>
      <c r="C765">
        <v>8</v>
      </c>
    </row>
    <row r="766" spans="1:4" x14ac:dyDescent="0.25">
      <c r="A766" t="s">
        <v>20</v>
      </c>
      <c r="B766">
        <v>16</v>
      </c>
      <c r="C766">
        <v>9</v>
      </c>
      <c r="D766">
        <v>1</v>
      </c>
    </row>
    <row r="767" spans="1:4" x14ac:dyDescent="0.25">
      <c r="A767" t="s">
        <v>20</v>
      </c>
      <c r="B767">
        <v>16</v>
      </c>
      <c r="C767">
        <v>10</v>
      </c>
      <c r="D767">
        <v>1</v>
      </c>
    </row>
    <row r="768" spans="1:4" x14ac:dyDescent="0.25">
      <c r="A768" t="s">
        <v>20</v>
      </c>
      <c r="B768">
        <v>16</v>
      </c>
      <c r="C768">
        <v>11</v>
      </c>
    </row>
    <row r="769" spans="1:4" x14ac:dyDescent="0.25">
      <c r="A769" t="s">
        <v>20</v>
      </c>
      <c r="B769">
        <v>16</v>
      </c>
      <c r="C769">
        <v>12</v>
      </c>
    </row>
    <row r="770" spans="1:4" x14ac:dyDescent="0.25">
      <c r="A770" t="s">
        <v>20</v>
      </c>
      <c r="B770">
        <v>16</v>
      </c>
      <c r="C770">
        <v>13</v>
      </c>
      <c r="D770">
        <v>1</v>
      </c>
    </row>
    <row r="771" spans="1:4" x14ac:dyDescent="0.25">
      <c r="A771" t="s">
        <v>20</v>
      </c>
      <c r="B771">
        <v>16</v>
      </c>
      <c r="C771">
        <v>14</v>
      </c>
    </row>
    <row r="772" spans="1:4" x14ac:dyDescent="0.25">
      <c r="A772" t="s">
        <v>20</v>
      </c>
      <c r="B772">
        <v>16</v>
      </c>
      <c r="C772">
        <v>15</v>
      </c>
    </row>
    <row r="773" spans="1:4" x14ac:dyDescent="0.25">
      <c r="A773" t="s">
        <v>20</v>
      </c>
      <c r="B773">
        <v>16</v>
      </c>
      <c r="C773">
        <v>16</v>
      </c>
      <c r="D773">
        <v>1</v>
      </c>
    </row>
    <row r="774" spans="1:4" x14ac:dyDescent="0.25">
      <c r="A774" t="s">
        <v>20</v>
      </c>
      <c r="B774">
        <v>16</v>
      </c>
      <c r="C774">
        <v>17</v>
      </c>
    </row>
    <row r="775" spans="1:4" x14ac:dyDescent="0.25">
      <c r="A775" t="s">
        <v>20</v>
      </c>
      <c r="B775">
        <v>16</v>
      </c>
      <c r="C775">
        <v>18</v>
      </c>
    </row>
    <row r="776" spans="1:4" x14ac:dyDescent="0.25">
      <c r="A776" t="s">
        <v>20</v>
      </c>
      <c r="B776">
        <v>16</v>
      </c>
      <c r="C776">
        <v>19</v>
      </c>
    </row>
    <row r="777" spans="1:4" x14ac:dyDescent="0.25">
      <c r="A777" t="s">
        <v>20</v>
      </c>
      <c r="B777">
        <v>16</v>
      </c>
      <c r="C777">
        <v>20</v>
      </c>
      <c r="D777">
        <v>1</v>
      </c>
    </row>
    <row r="778" spans="1:4" x14ac:dyDescent="0.25">
      <c r="A778" t="s">
        <v>20</v>
      </c>
      <c r="B778">
        <v>16</v>
      </c>
      <c r="C778">
        <v>21</v>
      </c>
    </row>
    <row r="779" spans="1:4" x14ac:dyDescent="0.25">
      <c r="A779" t="s">
        <v>20</v>
      </c>
      <c r="B779">
        <v>16</v>
      </c>
      <c r="C779">
        <v>22</v>
      </c>
    </row>
    <row r="780" spans="1:4" x14ac:dyDescent="0.25">
      <c r="A780" t="s">
        <v>20</v>
      </c>
      <c r="B780">
        <v>16</v>
      </c>
      <c r="C780">
        <v>23</v>
      </c>
    </row>
    <row r="781" spans="1:4" x14ac:dyDescent="0.25">
      <c r="A781" t="s">
        <v>20</v>
      </c>
      <c r="B781">
        <v>16</v>
      </c>
      <c r="C781">
        <v>24</v>
      </c>
    </row>
    <row r="782" spans="1:4" x14ac:dyDescent="0.25">
      <c r="A782" t="s">
        <v>20</v>
      </c>
      <c r="B782">
        <v>16</v>
      </c>
      <c r="C782">
        <v>25</v>
      </c>
      <c r="D782">
        <v>1</v>
      </c>
    </row>
    <row r="783" spans="1:4" x14ac:dyDescent="0.25">
      <c r="A783" t="s">
        <v>20</v>
      </c>
      <c r="B783">
        <v>16</v>
      </c>
      <c r="C783">
        <v>26</v>
      </c>
    </row>
    <row r="784" spans="1:4" x14ac:dyDescent="0.25">
      <c r="A784" t="s">
        <v>20</v>
      </c>
      <c r="B784">
        <v>16</v>
      </c>
      <c r="C784">
        <v>27</v>
      </c>
    </row>
    <row r="785" spans="1:4" x14ac:dyDescent="0.25">
      <c r="A785" t="s">
        <v>20</v>
      </c>
      <c r="B785">
        <v>16</v>
      </c>
      <c r="C785">
        <v>28</v>
      </c>
    </row>
    <row r="786" spans="1:4" x14ac:dyDescent="0.25">
      <c r="A786" t="s">
        <v>20</v>
      </c>
      <c r="B786">
        <v>16</v>
      </c>
      <c r="C786">
        <v>29</v>
      </c>
    </row>
    <row r="787" spans="1:4" x14ac:dyDescent="0.25">
      <c r="A787" t="s">
        <v>20</v>
      </c>
      <c r="B787">
        <v>16</v>
      </c>
      <c r="C787">
        <v>30</v>
      </c>
      <c r="D787">
        <v>1</v>
      </c>
    </row>
    <row r="788" spans="1:4" x14ac:dyDescent="0.25">
      <c r="A788" t="s">
        <v>20</v>
      </c>
      <c r="B788">
        <v>16</v>
      </c>
      <c r="C788">
        <v>31</v>
      </c>
      <c r="D788">
        <v>1</v>
      </c>
    </row>
    <row r="789" spans="1:4" x14ac:dyDescent="0.25">
      <c r="A789" t="s">
        <v>20</v>
      </c>
      <c r="B789">
        <v>16</v>
      </c>
      <c r="C789">
        <v>32</v>
      </c>
    </row>
    <row r="790" spans="1:4" x14ac:dyDescent="0.25">
      <c r="A790" t="s">
        <v>20</v>
      </c>
      <c r="B790">
        <v>16</v>
      </c>
      <c r="C790">
        <v>33</v>
      </c>
    </row>
    <row r="791" spans="1:4" x14ac:dyDescent="0.25">
      <c r="A791" t="s">
        <v>20</v>
      </c>
      <c r="B791">
        <v>16</v>
      </c>
      <c r="C791">
        <v>34</v>
      </c>
      <c r="D791">
        <v>1</v>
      </c>
    </row>
    <row r="792" spans="1:4" x14ac:dyDescent="0.25">
      <c r="A792" t="s">
        <v>20</v>
      </c>
      <c r="B792">
        <v>16</v>
      </c>
      <c r="C792">
        <v>35</v>
      </c>
    </row>
    <row r="793" spans="1:4" x14ac:dyDescent="0.25">
      <c r="A793" t="s">
        <v>20</v>
      </c>
      <c r="B793">
        <v>16</v>
      </c>
      <c r="C793">
        <v>36</v>
      </c>
    </row>
    <row r="794" spans="1:4" x14ac:dyDescent="0.25">
      <c r="A794" t="s">
        <v>20</v>
      </c>
      <c r="B794">
        <v>16</v>
      </c>
      <c r="C794">
        <v>37</v>
      </c>
      <c r="D794">
        <v>1</v>
      </c>
    </row>
    <row r="795" spans="1:4" x14ac:dyDescent="0.25">
      <c r="A795" t="s">
        <v>20</v>
      </c>
      <c r="B795">
        <v>16</v>
      </c>
      <c r="C795">
        <v>38</v>
      </c>
    </row>
    <row r="796" spans="1:4" x14ac:dyDescent="0.25">
      <c r="A796" t="s">
        <v>20</v>
      </c>
      <c r="B796">
        <v>16</v>
      </c>
      <c r="C796">
        <v>39</v>
      </c>
    </row>
    <row r="797" spans="1:4" x14ac:dyDescent="0.25">
      <c r="A797" t="s">
        <v>20</v>
      </c>
      <c r="B797">
        <v>16</v>
      </c>
      <c r="C797">
        <v>40</v>
      </c>
      <c r="D797">
        <v>1</v>
      </c>
    </row>
    <row r="798" spans="1:4" x14ac:dyDescent="0.25">
      <c r="A798" t="s">
        <v>20</v>
      </c>
      <c r="B798">
        <v>16</v>
      </c>
      <c r="C798">
        <v>41</v>
      </c>
    </row>
    <row r="799" spans="1:4" x14ac:dyDescent="0.25">
      <c r="A799" t="s">
        <v>20</v>
      </c>
      <c r="B799">
        <v>16</v>
      </c>
      <c r="C799">
        <v>42</v>
      </c>
    </row>
    <row r="800" spans="1:4" x14ac:dyDescent="0.25">
      <c r="A800" t="s">
        <v>20</v>
      </c>
      <c r="B800">
        <v>16</v>
      </c>
      <c r="C800">
        <v>43</v>
      </c>
    </row>
    <row r="801" spans="1:4" x14ac:dyDescent="0.25">
      <c r="A801" t="s">
        <v>20</v>
      </c>
      <c r="B801">
        <v>16</v>
      </c>
      <c r="C801">
        <v>44</v>
      </c>
    </row>
    <row r="802" spans="1:4" x14ac:dyDescent="0.25">
      <c r="A802" t="s">
        <v>20</v>
      </c>
      <c r="B802">
        <v>16</v>
      </c>
      <c r="C802">
        <v>45</v>
      </c>
    </row>
    <row r="803" spans="1:4" x14ac:dyDescent="0.25">
      <c r="A803" t="s">
        <v>20</v>
      </c>
      <c r="B803">
        <v>16</v>
      </c>
      <c r="C803">
        <v>46</v>
      </c>
      <c r="D803">
        <v>1</v>
      </c>
    </row>
    <row r="804" spans="1:4" x14ac:dyDescent="0.25">
      <c r="A804" t="s">
        <v>20</v>
      </c>
      <c r="B804">
        <v>16</v>
      </c>
      <c r="C804">
        <v>47</v>
      </c>
    </row>
    <row r="805" spans="1:4" x14ac:dyDescent="0.25">
      <c r="A805" t="s">
        <v>20</v>
      </c>
      <c r="B805">
        <v>16</v>
      </c>
      <c r="C805">
        <v>48</v>
      </c>
    </row>
    <row r="806" spans="1:4" x14ac:dyDescent="0.25">
      <c r="A806" t="s">
        <v>20</v>
      </c>
      <c r="B806">
        <v>16</v>
      </c>
      <c r="C806">
        <v>49</v>
      </c>
    </row>
    <row r="807" spans="1:4" x14ac:dyDescent="0.25">
      <c r="A807" t="s">
        <v>20</v>
      </c>
      <c r="B807">
        <v>16</v>
      </c>
      <c r="C807">
        <v>50</v>
      </c>
    </row>
    <row r="808" spans="1:4" x14ac:dyDescent="0.25">
      <c r="A808" t="s">
        <v>20</v>
      </c>
      <c r="B808">
        <v>16</v>
      </c>
      <c r="C808">
        <v>51</v>
      </c>
      <c r="D808">
        <v>1</v>
      </c>
    </row>
    <row r="809" spans="1:4" x14ac:dyDescent="0.25">
      <c r="A809" t="s">
        <v>20</v>
      </c>
      <c r="B809">
        <v>16</v>
      </c>
      <c r="C809">
        <v>52</v>
      </c>
      <c r="D809">
        <v>1</v>
      </c>
    </row>
    <row r="810" spans="1:4" x14ac:dyDescent="0.25">
      <c r="A810" t="s">
        <v>20</v>
      </c>
      <c r="B810">
        <v>16</v>
      </c>
      <c r="C810">
        <v>53</v>
      </c>
    </row>
    <row r="811" spans="1:4" x14ac:dyDescent="0.25">
      <c r="A811" t="s">
        <v>20</v>
      </c>
      <c r="B811">
        <v>16</v>
      </c>
      <c r="C811">
        <v>54</v>
      </c>
    </row>
    <row r="812" spans="1:4" x14ac:dyDescent="0.25">
      <c r="A812" t="s">
        <v>20</v>
      </c>
      <c r="B812">
        <v>16</v>
      </c>
      <c r="C812">
        <v>55</v>
      </c>
      <c r="D812">
        <v>1</v>
      </c>
    </row>
    <row r="813" spans="1:4" x14ac:dyDescent="0.25">
      <c r="A813" t="s">
        <v>20</v>
      </c>
      <c r="B813">
        <v>16</v>
      </c>
      <c r="C813">
        <v>56</v>
      </c>
    </row>
    <row r="814" spans="1:4" x14ac:dyDescent="0.25">
      <c r="A814" t="s">
        <v>20</v>
      </c>
      <c r="B814">
        <v>16</v>
      </c>
      <c r="C814">
        <v>57</v>
      </c>
    </row>
    <row r="815" spans="1:4" x14ac:dyDescent="0.25">
      <c r="A815" t="s">
        <v>20</v>
      </c>
      <c r="B815">
        <v>16</v>
      </c>
      <c r="C815">
        <v>58</v>
      </c>
      <c r="D815">
        <v>1</v>
      </c>
    </row>
    <row r="816" spans="1:4" x14ac:dyDescent="0.25">
      <c r="A816" t="s">
        <v>20</v>
      </c>
      <c r="B816">
        <v>16</v>
      </c>
      <c r="C816">
        <v>59</v>
      </c>
    </row>
    <row r="817" spans="1:4" x14ac:dyDescent="0.25">
      <c r="A817" t="s">
        <v>20</v>
      </c>
      <c r="B817">
        <v>16</v>
      </c>
      <c r="C817">
        <v>60</v>
      </c>
    </row>
    <row r="818" spans="1:4" x14ac:dyDescent="0.25">
      <c r="A818" t="s">
        <v>20</v>
      </c>
      <c r="B818">
        <v>16</v>
      </c>
      <c r="C818">
        <v>61</v>
      </c>
    </row>
    <row r="819" spans="1:4" x14ac:dyDescent="0.25">
      <c r="A819" t="s">
        <v>20</v>
      </c>
      <c r="B819">
        <v>16</v>
      </c>
      <c r="C819">
        <v>62</v>
      </c>
      <c r="D819">
        <v>1</v>
      </c>
    </row>
    <row r="820" spans="1:4" x14ac:dyDescent="0.25">
      <c r="A820" t="s">
        <v>20</v>
      </c>
      <c r="B820">
        <v>16</v>
      </c>
      <c r="C820">
        <v>63</v>
      </c>
    </row>
    <row r="821" spans="1:4" x14ac:dyDescent="0.25">
      <c r="A821" t="s">
        <v>20</v>
      </c>
      <c r="B821">
        <v>16</v>
      </c>
      <c r="C821">
        <v>64</v>
      </c>
      <c r="D821">
        <v>1</v>
      </c>
    </row>
    <row r="822" spans="1:4" x14ac:dyDescent="0.25">
      <c r="A822" t="s">
        <v>20</v>
      </c>
      <c r="B822">
        <v>16</v>
      </c>
      <c r="C822">
        <v>65</v>
      </c>
    </row>
    <row r="823" spans="1:4" x14ac:dyDescent="0.25">
      <c r="A823" t="s">
        <v>20</v>
      </c>
      <c r="B823">
        <v>16</v>
      </c>
      <c r="C823">
        <v>66</v>
      </c>
    </row>
    <row r="824" spans="1:4" x14ac:dyDescent="0.25">
      <c r="A824" t="s">
        <v>20</v>
      </c>
      <c r="B824">
        <v>16</v>
      </c>
      <c r="C824">
        <v>67</v>
      </c>
    </row>
    <row r="825" spans="1:4" x14ac:dyDescent="0.25">
      <c r="A825" t="s">
        <v>20</v>
      </c>
      <c r="B825">
        <v>16</v>
      </c>
      <c r="C825">
        <v>68</v>
      </c>
    </row>
    <row r="826" spans="1:4" x14ac:dyDescent="0.25">
      <c r="A826" t="s">
        <v>20</v>
      </c>
      <c r="B826">
        <v>16</v>
      </c>
      <c r="C826">
        <v>69</v>
      </c>
    </row>
    <row r="827" spans="1:4" x14ac:dyDescent="0.25">
      <c r="A827" t="s">
        <v>20</v>
      </c>
      <c r="B827">
        <v>16</v>
      </c>
      <c r="C827">
        <v>70</v>
      </c>
    </row>
    <row r="828" spans="1:4" x14ac:dyDescent="0.25">
      <c r="A828" t="s">
        <v>20</v>
      </c>
      <c r="B828">
        <v>16</v>
      </c>
      <c r="C828">
        <v>71</v>
      </c>
    </row>
    <row r="829" spans="1:4" x14ac:dyDescent="0.25">
      <c r="A829" t="s">
        <v>20</v>
      </c>
      <c r="B829">
        <v>16</v>
      </c>
      <c r="C829">
        <v>72</v>
      </c>
    </row>
    <row r="830" spans="1:4" x14ac:dyDescent="0.25">
      <c r="A830" t="s">
        <v>20</v>
      </c>
      <c r="B830">
        <v>16</v>
      </c>
      <c r="C830">
        <v>73</v>
      </c>
    </row>
    <row r="831" spans="1:4" x14ac:dyDescent="0.25">
      <c r="A831" t="s">
        <v>20</v>
      </c>
      <c r="B831">
        <v>16</v>
      </c>
      <c r="C831">
        <v>74</v>
      </c>
    </row>
    <row r="832" spans="1:4" x14ac:dyDescent="0.25">
      <c r="A832" t="s">
        <v>20</v>
      </c>
      <c r="B832">
        <v>16</v>
      </c>
      <c r="C832">
        <v>75</v>
      </c>
    </row>
    <row r="833" spans="1:4" x14ac:dyDescent="0.25">
      <c r="A833" t="s">
        <v>20</v>
      </c>
      <c r="B833">
        <v>16</v>
      </c>
      <c r="C833">
        <v>76</v>
      </c>
    </row>
    <row r="834" spans="1:4" x14ac:dyDescent="0.25">
      <c r="A834" t="s">
        <v>20</v>
      </c>
      <c r="B834">
        <v>16</v>
      </c>
      <c r="C834">
        <v>77</v>
      </c>
    </row>
    <row r="835" spans="1:4" x14ac:dyDescent="0.25">
      <c r="A835" t="s">
        <v>20</v>
      </c>
      <c r="B835">
        <v>16</v>
      </c>
      <c r="C835">
        <v>78</v>
      </c>
    </row>
    <row r="836" spans="1:4" x14ac:dyDescent="0.25">
      <c r="A836" t="s">
        <v>20</v>
      </c>
      <c r="B836">
        <v>16</v>
      </c>
      <c r="C836">
        <v>79</v>
      </c>
    </row>
    <row r="837" spans="1:4" x14ac:dyDescent="0.25">
      <c r="A837" t="s">
        <v>20</v>
      </c>
      <c r="B837">
        <v>16</v>
      </c>
      <c r="C837">
        <v>80</v>
      </c>
    </row>
    <row r="838" spans="1:4" x14ac:dyDescent="0.25">
      <c r="A838" t="s">
        <v>20</v>
      </c>
      <c r="B838">
        <v>16</v>
      </c>
      <c r="C838">
        <v>81</v>
      </c>
    </row>
    <row r="839" spans="1:4" x14ac:dyDescent="0.25">
      <c r="A839" t="s">
        <v>20</v>
      </c>
      <c r="B839">
        <v>16</v>
      </c>
      <c r="C839">
        <v>82</v>
      </c>
    </row>
    <row r="840" spans="1:4" x14ac:dyDescent="0.25">
      <c r="A840" t="s">
        <v>20</v>
      </c>
      <c r="B840">
        <v>16</v>
      </c>
      <c r="C840">
        <v>83</v>
      </c>
    </row>
    <row r="841" spans="1:4" x14ac:dyDescent="0.25">
      <c r="A841" t="s">
        <v>20</v>
      </c>
      <c r="B841">
        <v>16</v>
      </c>
      <c r="C841">
        <v>84</v>
      </c>
    </row>
    <row r="842" spans="1:4" x14ac:dyDescent="0.25">
      <c r="A842" t="s">
        <v>20</v>
      </c>
      <c r="B842">
        <v>17</v>
      </c>
      <c r="C842">
        <v>1</v>
      </c>
      <c r="D842">
        <v>1</v>
      </c>
    </row>
    <row r="843" spans="1:4" x14ac:dyDescent="0.25">
      <c r="A843" t="s">
        <v>20</v>
      </c>
      <c r="B843">
        <v>17</v>
      </c>
      <c r="C843">
        <v>2</v>
      </c>
    </row>
    <row r="844" spans="1:4" x14ac:dyDescent="0.25">
      <c r="A844" t="s">
        <v>20</v>
      </c>
      <c r="B844">
        <v>17</v>
      </c>
      <c r="C844">
        <v>3</v>
      </c>
    </row>
    <row r="845" spans="1:4" x14ac:dyDescent="0.25">
      <c r="A845" t="s">
        <v>20</v>
      </c>
      <c r="B845">
        <v>17</v>
      </c>
      <c r="C845">
        <v>4</v>
      </c>
    </row>
    <row r="846" spans="1:4" x14ac:dyDescent="0.25">
      <c r="A846" t="s">
        <v>20</v>
      </c>
      <c r="B846">
        <v>17</v>
      </c>
      <c r="C846">
        <v>5</v>
      </c>
      <c r="D846">
        <v>1</v>
      </c>
    </row>
    <row r="847" spans="1:4" x14ac:dyDescent="0.25">
      <c r="A847" t="s">
        <v>20</v>
      </c>
      <c r="B847">
        <v>17</v>
      </c>
      <c r="C847">
        <v>6</v>
      </c>
    </row>
    <row r="848" spans="1:4" x14ac:dyDescent="0.25">
      <c r="A848" t="s">
        <v>20</v>
      </c>
      <c r="B848">
        <v>17</v>
      </c>
      <c r="C848">
        <v>7</v>
      </c>
      <c r="D848">
        <v>1</v>
      </c>
    </row>
    <row r="849" spans="1:4" x14ac:dyDescent="0.25">
      <c r="A849" t="s">
        <v>20</v>
      </c>
      <c r="B849">
        <v>17</v>
      </c>
      <c r="C849">
        <v>8</v>
      </c>
    </row>
    <row r="850" spans="1:4" x14ac:dyDescent="0.25">
      <c r="A850" t="s">
        <v>20</v>
      </c>
      <c r="B850">
        <v>17</v>
      </c>
      <c r="C850">
        <v>9</v>
      </c>
    </row>
    <row r="851" spans="1:4" x14ac:dyDescent="0.25">
      <c r="A851" t="s">
        <v>20</v>
      </c>
      <c r="B851">
        <v>17</v>
      </c>
      <c r="C851">
        <v>10</v>
      </c>
      <c r="D851">
        <v>1</v>
      </c>
    </row>
    <row r="852" spans="1:4" x14ac:dyDescent="0.25">
      <c r="A852" t="s">
        <v>20</v>
      </c>
      <c r="B852">
        <v>17</v>
      </c>
      <c r="C852">
        <v>11</v>
      </c>
    </row>
    <row r="853" spans="1:4" x14ac:dyDescent="0.25">
      <c r="A853" t="s">
        <v>20</v>
      </c>
      <c r="B853">
        <v>17</v>
      </c>
      <c r="C853">
        <v>12</v>
      </c>
    </row>
    <row r="854" spans="1:4" x14ac:dyDescent="0.25">
      <c r="A854" t="s">
        <v>20</v>
      </c>
      <c r="B854">
        <v>17</v>
      </c>
      <c r="C854">
        <v>13</v>
      </c>
    </row>
    <row r="855" spans="1:4" x14ac:dyDescent="0.25">
      <c r="A855" t="s">
        <v>20</v>
      </c>
      <c r="B855">
        <v>17</v>
      </c>
      <c r="C855">
        <v>14</v>
      </c>
    </row>
    <row r="856" spans="1:4" x14ac:dyDescent="0.25">
      <c r="A856" t="s">
        <v>20</v>
      </c>
      <c r="B856">
        <v>17</v>
      </c>
      <c r="C856">
        <v>15</v>
      </c>
    </row>
    <row r="857" spans="1:4" x14ac:dyDescent="0.25">
      <c r="A857" t="s">
        <v>20</v>
      </c>
      <c r="B857">
        <v>17</v>
      </c>
      <c r="C857">
        <v>16</v>
      </c>
      <c r="D857">
        <v>1</v>
      </c>
    </row>
    <row r="858" spans="1:4" x14ac:dyDescent="0.25">
      <c r="A858" t="s">
        <v>20</v>
      </c>
      <c r="B858">
        <v>17</v>
      </c>
      <c r="C858">
        <v>17</v>
      </c>
    </row>
    <row r="859" spans="1:4" x14ac:dyDescent="0.25">
      <c r="A859" t="s">
        <v>20</v>
      </c>
      <c r="B859">
        <v>17</v>
      </c>
      <c r="C859">
        <v>18</v>
      </c>
    </row>
    <row r="860" spans="1:4" x14ac:dyDescent="0.25">
      <c r="A860" t="s">
        <v>20</v>
      </c>
      <c r="B860">
        <v>17</v>
      </c>
      <c r="C860">
        <v>19</v>
      </c>
    </row>
    <row r="861" spans="1:4" x14ac:dyDescent="0.25">
      <c r="A861" t="s">
        <v>20</v>
      </c>
      <c r="B861">
        <v>17</v>
      </c>
      <c r="C861">
        <v>20</v>
      </c>
    </row>
    <row r="862" spans="1:4" x14ac:dyDescent="0.25">
      <c r="A862" t="s">
        <v>20</v>
      </c>
      <c r="B862">
        <v>17</v>
      </c>
      <c r="C862">
        <v>21</v>
      </c>
    </row>
    <row r="863" spans="1:4" x14ac:dyDescent="0.25">
      <c r="A863" t="s">
        <v>20</v>
      </c>
      <c r="B863">
        <v>17</v>
      </c>
      <c r="C863">
        <v>22</v>
      </c>
    </row>
    <row r="864" spans="1:4" x14ac:dyDescent="0.25">
      <c r="A864" t="s">
        <v>20</v>
      </c>
      <c r="B864">
        <v>17</v>
      </c>
      <c r="C864">
        <v>23</v>
      </c>
    </row>
    <row r="865" spans="1:4" x14ac:dyDescent="0.25">
      <c r="A865" t="s">
        <v>20</v>
      </c>
      <c r="B865">
        <v>17</v>
      </c>
      <c r="C865">
        <v>24</v>
      </c>
    </row>
    <row r="866" spans="1:4" x14ac:dyDescent="0.25">
      <c r="A866" t="s">
        <v>20</v>
      </c>
      <c r="B866">
        <v>17</v>
      </c>
      <c r="C866">
        <v>25</v>
      </c>
      <c r="D866">
        <v>1</v>
      </c>
    </row>
    <row r="867" spans="1:4" x14ac:dyDescent="0.25">
      <c r="A867" t="s">
        <v>20</v>
      </c>
      <c r="B867">
        <v>17</v>
      </c>
      <c r="C867">
        <v>26</v>
      </c>
    </row>
    <row r="868" spans="1:4" x14ac:dyDescent="0.25">
      <c r="A868" t="s">
        <v>20</v>
      </c>
      <c r="B868">
        <v>17</v>
      </c>
      <c r="C868">
        <v>27</v>
      </c>
    </row>
    <row r="869" spans="1:4" x14ac:dyDescent="0.25">
      <c r="A869" t="s">
        <v>20</v>
      </c>
      <c r="B869">
        <v>17</v>
      </c>
      <c r="C869">
        <v>28</v>
      </c>
    </row>
    <row r="870" spans="1:4" x14ac:dyDescent="0.25">
      <c r="A870" t="s">
        <v>20</v>
      </c>
      <c r="B870">
        <v>17</v>
      </c>
      <c r="C870">
        <v>29</v>
      </c>
    </row>
    <row r="871" spans="1:4" x14ac:dyDescent="0.25">
      <c r="A871" t="s">
        <v>20</v>
      </c>
      <c r="B871">
        <v>17</v>
      </c>
      <c r="C871">
        <v>30</v>
      </c>
    </row>
    <row r="872" spans="1:4" x14ac:dyDescent="0.25">
      <c r="A872" t="s">
        <v>20</v>
      </c>
      <c r="B872">
        <v>17</v>
      </c>
      <c r="C872">
        <v>31</v>
      </c>
      <c r="D872">
        <v>1</v>
      </c>
    </row>
    <row r="873" spans="1:4" x14ac:dyDescent="0.25">
      <c r="A873" t="s">
        <v>20</v>
      </c>
      <c r="B873">
        <v>17</v>
      </c>
      <c r="C873">
        <v>32</v>
      </c>
    </row>
    <row r="874" spans="1:4" x14ac:dyDescent="0.25">
      <c r="A874" t="s">
        <v>20</v>
      </c>
      <c r="B874">
        <v>17</v>
      </c>
      <c r="C874">
        <v>33</v>
      </c>
    </row>
    <row r="875" spans="1:4" x14ac:dyDescent="0.25">
      <c r="A875" t="s">
        <v>20</v>
      </c>
      <c r="B875">
        <v>17</v>
      </c>
      <c r="C875">
        <v>34</v>
      </c>
      <c r="D875">
        <v>1</v>
      </c>
    </row>
    <row r="876" spans="1:4" x14ac:dyDescent="0.25">
      <c r="A876" t="s">
        <v>20</v>
      </c>
      <c r="B876">
        <v>17</v>
      </c>
      <c r="C876">
        <v>35</v>
      </c>
    </row>
    <row r="877" spans="1:4" x14ac:dyDescent="0.25">
      <c r="A877" t="s">
        <v>20</v>
      </c>
      <c r="B877">
        <v>17</v>
      </c>
      <c r="C877">
        <v>36</v>
      </c>
    </row>
    <row r="878" spans="1:4" x14ac:dyDescent="0.25">
      <c r="A878" t="s">
        <v>20</v>
      </c>
      <c r="B878">
        <v>17</v>
      </c>
      <c r="C878">
        <v>37</v>
      </c>
      <c r="D878">
        <v>1</v>
      </c>
    </row>
    <row r="879" spans="1:4" x14ac:dyDescent="0.25">
      <c r="A879" t="s">
        <v>20</v>
      </c>
      <c r="B879">
        <v>17</v>
      </c>
      <c r="C879">
        <v>38</v>
      </c>
    </row>
    <row r="880" spans="1:4" x14ac:dyDescent="0.25">
      <c r="A880" t="s">
        <v>20</v>
      </c>
      <c r="B880">
        <v>17</v>
      </c>
      <c r="C880">
        <v>39</v>
      </c>
    </row>
    <row r="881" spans="1:4" x14ac:dyDescent="0.25">
      <c r="A881" t="s">
        <v>20</v>
      </c>
      <c r="B881">
        <v>17</v>
      </c>
      <c r="C881">
        <v>40</v>
      </c>
      <c r="D881">
        <v>1</v>
      </c>
    </row>
    <row r="882" spans="1:4" x14ac:dyDescent="0.25">
      <c r="A882" t="s">
        <v>20</v>
      </c>
      <c r="B882">
        <v>17</v>
      </c>
      <c r="C882">
        <v>41</v>
      </c>
    </row>
    <row r="883" spans="1:4" x14ac:dyDescent="0.25">
      <c r="A883" t="s">
        <v>20</v>
      </c>
      <c r="B883">
        <v>17</v>
      </c>
      <c r="C883">
        <v>42</v>
      </c>
    </row>
    <row r="884" spans="1:4" x14ac:dyDescent="0.25">
      <c r="A884" t="s">
        <v>20</v>
      </c>
      <c r="B884">
        <v>17</v>
      </c>
      <c r="C884">
        <v>43</v>
      </c>
    </row>
    <row r="885" spans="1:4" x14ac:dyDescent="0.25">
      <c r="A885" t="s">
        <v>20</v>
      </c>
      <c r="B885">
        <v>17</v>
      </c>
      <c r="C885">
        <v>44</v>
      </c>
    </row>
    <row r="886" spans="1:4" x14ac:dyDescent="0.25">
      <c r="A886" t="s">
        <v>20</v>
      </c>
      <c r="B886">
        <v>17</v>
      </c>
      <c r="C886">
        <v>45</v>
      </c>
    </row>
    <row r="887" spans="1:4" x14ac:dyDescent="0.25">
      <c r="A887" t="s">
        <v>20</v>
      </c>
      <c r="B887">
        <v>17</v>
      </c>
      <c r="C887">
        <v>46</v>
      </c>
    </row>
    <row r="888" spans="1:4" x14ac:dyDescent="0.25">
      <c r="A888" t="s">
        <v>20</v>
      </c>
      <c r="B888">
        <v>17</v>
      </c>
      <c r="C888">
        <v>47</v>
      </c>
      <c r="D888">
        <v>1</v>
      </c>
    </row>
    <row r="889" spans="1:4" x14ac:dyDescent="0.25">
      <c r="A889" t="s">
        <v>20</v>
      </c>
      <c r="B889">
        <v>17</v>
      </c>
      <c r="C889">
        <v>48</v>
      </c>
    </row>
    <row r="890" spans="1:4" x14ac:dyDescent="0.25">
      <c r="A890" t="s">
        <v>20</v>
      </c>
      <c r="B890">
        <v>17</v>
      </c>
      <c r="C890">
        <v>49</v>
      </c>
      <c r="D890">
        <v>1</v>
      </c>
    </row>
    <row r="891" spans="1:4" x14ac:dyDescent="0.25">
      <c r="A891" t="s">
        <v>20</v>
      </c>
      <c r="B891">
        <v>17</v>
      </c>
      <c r="C891">
        <v>50</v>
      </c>
    </row>
    <row r="892" spans="1:4" x14ac:dyDescent="0.25">
      <c r="A892" t="s">
        <v>20</v>
      </c>
      <c r="B892">
        <v>17</v>
      </c>
      <c r="C892">
        <v>51</v>
      </c>
    </row>
    <row r="893" spans="1:4" x14ac:dyDescent="0.25">
      <c r="A893" t="s">
        <v>20</v>
      </c>
      <c r="B893">
        <v>17</v>
      </c>
      <c r="C893">
        <v>52</v>
      </c>
      <c r="D893">
        <v>1</v>
      </c>
    </row>
    <row r="894" spans="1:4" x14ac:dyDescent="0.25">
      <c r="A894" t="s">
        <v>20</v>
      </c>
      <c r="B894">
        <v>17</v>
      </c>
      <c r="C894">
        <v>53</v>
      </c>
    </row>
    <row r="895" spans="1:4" x14ac:dyDescent="0.25">
      <c r="A895" t="s">
        <v>20</v>
      </c>
      <c r="B895">
        <v>17</v>
      </c>
      <c r="C895">
        <v>54</v>
      </c>
    </row>
    <row r="896" spans="1:4" x14ac:dyDescent="0.25">
      <c r="A896" t="s">
        <v>20</v>
      </c>
      <c r="B896">
        <v>17</v>
      </c>
      <c r="C896">
        <v>55</v>
      </c>
    </row>
    <row r="897" spans="1:4" x14ac:dyDescent="0.25">
      <c r="A897" t="s">
        <v>20</v>
      </c>
      <c r="B897">
        <v>17</v>
      </c>
      <c r="C897">
        <v>56</v>
      </c>
    </row>
    <row r="898" spans="1:4" x14ac:dyDescent="0.25">
      <c r="A898" t="s">
        <v>20</v>
      </c>
      <c r="B898">
        <v>17</v>
      </c>
      <c r="C898">
        <v>57</v>
      </c>
      <c r="D898">
        <v>1</v>
      </c>
    </row>
    <row r="899" spans="1:4" x14ac:dyDescent="0.25">
      <c r="A899" t="s">
        <v>20</v>
      </c>
      <c r="B899">
        <v>17</v>
      </c>
      <c r="C899">
        <v>58</v>
      </c>
      <c r="D899">
        <v>1</v>
      </c>
    </row>
    <row r="900" spans="1:4" x14ac:dyDescent="0.25">
      <c r="A900" t="s">
        <v>20</v>
      </c>
      <c r="B900">
        <v>17</v>
      </c>
      <c r="C900">
        <v>59</v>
      </c>
    </row>
    <row r="901" spans="1:4" x14ac:dyDescent="0.25">
      <c r="A901" t="s">
        <v>20</v>
      </c>
      <c r="B901">
        <v>17</v>
      </c>
      <c r="C901">
        <v>60</v>
      </c>
    </row>
    <row r="902" spans="1:4" x14ac:dyDescent="0.25">
      <c r="A902" t="s">
        <v>20</v>
      </c>
      <c r="B902">
        <v>17</v>
      </c>
      <c r="C902">
        <v>61</v>
      </c>
    </row>
    <row r="903" spans="1:4" x14ac:dyDescent="0.25">
      <c r="A903" t="s">
        <v>20</v>
      </c>
      <c r="B903">
        <v>17</v>
      </c>
      <c r="C903">
        <v>62</v>
      </c>
      <c r="D903">
        <v>1</v>
      </c>
    </row>
    <row r="904" spans="1:4" x14ac:dyDescent="0.25">
      <c r="A904" t="s">
        <v>20</v>
      </c>
      <c r="B904">
        <v>17</v>
      </c>
      <c r="C904">
        <v>63</v>
      </c>
    </row>
    <row r="905" spans="1:4" x14ac:dyDescent="0.25">
      <c r="A905" t="s">
        <v>20</v>
      </c>
      <c r="B905">
        <v>17</v>
      </c>
      <c r="C905">
        <v>64</v>
      </c>
    </row>
    <row r="906" spans="1:4" x14ac:dyDescent="0.25">
      <c r="A906" t="s">
        <v>20</v>
      </c>
      <c r="B906">
        <v>17</v>
      </c>
      <c r="C906">
        <v>65</v>
      </c>
    </row>
    <row r="907" spans="1:4" x14ac:dyDescent="0.25">
      <c r="A907" t="s">
        <v>20</v>
      </c>
      <c r="B907">
        <v>17</v>
      </c>
      <c r="C907">
        <v>66</v>
      </c>
    </row>
    <row r="908" spans="1:4" x14ac:dyDescent="0.25">
      <c r="A908" t="s">
        <v>20</v>
      </c>
      <c r="B908">
        <v>17</v>
      </c>
      <c r="C908">
        <v>67</v>
      </c>
      <c r="D908">
        <v>1</v>
      </c>
    </row>
    <row r="909" spans="1:4" x14ac:dyDescent="0.25">
      <c r="A909" t="s">
        <v>20</v>
      </c>
      <c r="B909">
        <v>17</v>
      </c>
      <c r="C909">
        <v>68</v>
      </c>
    </row>
    <row r="910" spans="1:4" x14ac:dyDescent="0.25">
      <c r="A910" t="s">
        <v>20</v>
      </c>
      <c r="B910">
        <v>17</v>
      </c>
      <c r="C910">
        <v>69</v>
      </c>
    </row>
    <row r="911" spans="1:4" x14ac:dyDescent="0.25">
      <c r="A911" t="s">
        <v>20</v>
      </c>
      <c r="B911">
        <v>17</v>
      </c>
      <c r="C911">
        <v>70</v>
      </c>
    </row>
    <row r="912" spans="1:4" x14ac:dyDescent="0.25">
      <c r="A912" t="s">
        <v>20</v>
      </c>
      <c r="B912">
        <v>17</v>
      </c>
      <c r="C912">
        <v>71</v>
      </c>
    </row>
    <row r="913" spans="1:4" x14ac:dyDescent="0.25">
      <c r="A913" t="s">
        <v>20</v>
      </c>
      <c r="B913">
        <v>17</v>
      </c>
      <c r="C913">
        <v>72</v>
      </c>
    </row>
    <row r="914" spans="1:4" x14ac:dyDescent="0.25">
      <c r="A914" t="s">
        <v>20</v>
      </c>
      <c r="B914">
        <v>17</v>
      </c>
      <c r="C914">
        <v>73</v>
      </c>
      <c r="D914">
        <v>1</v>
      </c>
    </row>
    <row r="915" spans="1:4" x14ac:dyDescent="0.25">
      <c r="A915" t="s">
        <v>20</v>
      </c>
      <c r="B915">
        <v>17</v>
      </c>
      <c r="C915">
        <v>74</v>
      </c>
    </row>
    <row r="916" spans="1:4" x14ac:dyDescent="0.25">
      <c r="A916" t="s">
        <v>20</v>
      </c>
      <c r="B916">
        <v>17</v>
      </c>
      <c r="C916">
        <v>75</v>
      </c>
    </row>
    <row r="917" spans="1:4" x14ac:dyDescent="0.25">
      <c r="A917" t="s">
        <v>20</v>
      </c>
      <c r="B917">
        <v>17</v>
      </c>
      <c r="C917">
        <v>76</v>
      </c>
      <c r="D917">
        <v>1</v>
      </c>
    </row>
    <row r="918" spans="1:4" x14ac:dyDescent="0.25">
      <c r="A918" t="s">
        <v>20</v>
      </c>
      <c r="B918">
        <v>17</v>
      </c>
      <c r="C918">
        <v>77</v>
      </c>
    </row>
    <row r="919" spans="1:4" x14ac:dyDescent="0.25">
      <c r="A919" t="s">
        <v>20</v>
      </c>
      <c r="B919">
        <v>17</v>
      </c>
      <c r="C919">
        <v>78</v>
      </c>
    </row>
    <row r="920" spans="1:4" x14ac:dyDescent="0.25">
      <c r="A920" t="s">
        <v>20</v>
      </c>
      <c r="B920">
        <v>17</v>
      </c>
      <c r="C920">
        <v>79</v>
      </c>
      <c r="D920">
        <v>1</v>
      </c>
    </row>
    <row r="921" spans="1:4" x14ac:dyDescent="0.25">
      <c r="A921" t="s">
        <v>20</v>
      </c>
      <c r="B921">
        <v>17</v>
      </c>
      <c r="C921">
        <v>80</v>
      </c>
    </row>
    <row r="922" spans="1:4" x14ac:dyDescent="0.25">
      <c r="A922" t="s">
        <v>20</v>
      </c>
      <c r="B922">
        <v>17</v>
      </c>
      <c r="C922">
        <v>81</v>
      </c>
    </row>
    <row r="923" spans="1:4" x14ac:dyDescent="0.25">
      <c r="A923" t="s">
        <v>20</v>
      </c>
      <c r="B923">
        <v>17</v>
      </c>
      <c r="C923">
        <v>82</v>
      </c>
      <c r="D923">
        <v>1</v>
      </c>
    </row>
    <row r="924" spans="1:4" x14ac:dyDescent="0.25">
      <c r="A924" t="s">
        <v>20</v>
      </c>
      <c r="B924">
        <v>17</v>
      </c>
      <c r="C924">
        <v>83</v>
      </c>
    </row>
    <row r="925" spans="1:4" x14ac:dyDescent="0.25">
      <c r="A925" t="s">
        <v>20</v>
      </c>
      <c r="B925">
        <v>17</v>
      </c>
      <c r="C925">
        <v>84</v>
      </c>
    </row>
    <row r="926" spans="1:4" x14ac:dyDescent="0.25">
      <c r="A926" t="s">
        <v>20</v>
      </c>
      <c r="B926">
        <v>19</v>
      </c>
      <c r="C926">
        <v>1</v>
      </c>
    </row>
    <row r="927" spans="1:4" x14ac:dyDescent="0.25">
      <c r="A927" t="s">
        <v>20</v>
      </c>
      <c r="B927">
        <v>19</v>
      </c>
      <c r="C927">
        <v>2</v>
      </c>
    </row>
    <row r="928" spans="1:4" x14ac:dyDescent="0.25">
      <c r="A928" t="s">
        <v>20</v>
      </c>
      <c r="B928">
        <v>19</v>
      </c>
      <c r="C928">
        <v>3</v>
      </c>
    </row>
    <row r="929" spans="1:3" x14ac:dyDescent="0.25">
      <c r="A929" t="s">
        <v>20</v>
      </c>
      <c r="B929">
        <v>19</v>
      </c>
      <c r="C929">
        <v>4</v>
      </c>
    </row>
    <row r="930" spans="1:3" x14ac:dyDescent="0.25">
      <c r="A930" t="s">
        <v>20</v>
      </c>
      <c r="B930">
        <v>19</v>
      </c>
      <c r="C930">
        <v>5</v>
      </c>
    </row>
    <row r="931" spans="1:3" x14ac:dyDescent="0.25">
      <c r="A931" t="s">
        <v>20</v>
      </c>
      <c r="B931">
        <v>19</v>
      </c>
      <c r="C931">
        <v>6</v>
      </c>
    </row>
    <row r="932" spans="1:3" x14ac:dyDescent="0.25">
      <c r="A932" t="s">
        <v>20</v>
      </c>
      <c r="B932">
        <v>19</v>
      </c>
      <c r="C932">
        <v>7</v>
      </c>
    </row>
    <row r="933" spans="1:3" x14ac:dyDescent="0.25">
      <c r="A933" t="s">
        <v>20</v>
      </c>
      <c r="B933">
        <v>19</v>
      </c>
      <c r="C933">
        <v>8</v>
      </c>
    </row>
    <row r="934" spans="1:3" x14ac:dyDescent="0.25">
      <c r="A934" t="s">
        <v>20</v>
      </c>
      <c r="B934">
        <v>19</v>
      </c>
      <c r="C934">
        <v>9</v>
      </c>
    </row>
    <row r="935" spans="1:3" x14ac:dyDescent="0.25">
      <c r="A935" t="s">
        <v>20</v>
      </c>
      <c r="B935">
        <v>19</v>
      </c>
      <c r="C935">
        <v>10</v>
      </c>
    </row>
    <row r="936" spans="1:3" x14ac:dyDescent="0.25">
      <c r="A936" t="s">
        <v>20</v>
      </c>
      <c r="B936">
        <v>19</v>
      </c>
      <c r="C936">
        <v>11</v>
      </c>
    </row>
    <row r="937" spans="1:3" x14ac:dyDescent="0.25">
      <c r="A937" t="s">
        <v>20</v>
      </c>
      <c r="B937">
        <v>19</v>
      </c>
      <c r="C937">
        <v>12</v>
      </c>
    </row>
    <row r="938" spans="1:3" x14ac:dyDescent="0.25">
      <c r="A938" t="s">
        <v>20</v>
      </c>
      <c r="B938">
        <v>19</v>
      </c>
      <c r="C938">
        <v>13</v>
      </c>
    </row>
    <row r="939" spans="1:3" x14ac:dyDescent="0.25">
      <c r="A939" t="s">
        <v>20</v>
      </c>
      <c r="B939">
        <v>19</v>
      </c>
      <c r="C939">
        <v>14</v>
      </c>
    </row>
    <row r="940" spans="1:3" x14ac:dyDescent="0.25">
      <c r="A940" t="s">
        <v>20</v>
      </c>
      <c r="B940">
        <v>19</v>
      </c>
      <c r="C940">
        <v>15</v>
      </c>
    </row>
    <row r="941" spans="1:3" x14ac:dyDescent="0.25">
      <c r="A941" t="s">
        <v>20</v>
      </c>
      <c r="B941">
        <v>19</v>
      </c>
      <c r="C941">
        <v>16</v>
      </c>
    </row>
    <row r="942" spans="1:3" x14ac:dyDescent="0.25">
      <c r="A942" t="s">
        <v>20</v>
      </c>
      <c r="B942">
        <v>19</v>
      </c>
      <c r="C942">
        <v>17</v>
      </c>
    </row>
    <row r="943" spans="1:3" x14ac:dyDescent="0.25">
      <c r="A943" t="s">
        <v>20</v>
      </c>
      <c r="B943">
        <v>19</v>
      </c>
      <c r="C943">
        <v>18</v>
      </c>
    </row>
    <row r="944" spans="1:3" x14ac:dyDescent="0.25">
      <c r="A944" t="s">
        <v>20</v>
      </c>
      <c r="B944">
        <v>19</v>
      </c>
      <c r="C944">
        <v>19</v>
      </c>
    </row>
    <row r="945" spans="1:4" x14ac:dyDescent="0.25">
      <c r="A945" t="s">
        <v>20</v>
      </c>
      <c r="B945">
        <v>19</v>
      </c>
      <c r="C945">
        <v>20</v>
      </c>
    </row>
    <row r="946" spans="1:4" x14ac:dyDescent="0.25">
      <c r="A946" t="s">
        <v>20</v>
      </c>
      <c r="B946">
        <v>19</v>
      </c>
      <c r="C946">
        <v>21</v>
      </c>
    </row>
    <row r="947" spans="1:4" x14ac:dyDescent="0.25">
      <c r="A947" t="s">
        <v>20</v>
      </c>
      <c r="B947">
        <v>19</v>
      </c>
      <c r="C947">
        <v>22</v>
      </c>
    </row>
    <row r="948" spans="1:4" x14ac:dyDescent="0.25">
      <c r="A948" t="s">
        <v>20</v>
      </c>
      <c r="B948">
        <v>19</v>
      </c>
      <c r="C948">
        <v>23</v>
      </c>
    </row>
    <row r="949" spans="1:4" x14ac:dyDescent="0.25">
      <c r="A949" t="s">
        <v>20</v>
      </c>
      <c r="B949">
        <v>19</v>
      </c>
      <c r="C949">
        <v>24</v>
      </c>
    </row>
    <row r="950" spans="1:4" x14ac:dyDescent="0.25">
      <c r="A950" t="s">
        <v>20</v>
      </c>
      <c r="B950">
        <v>19</v>
      </c>
      <c r="C950">
        <v>25</v>
      </c>
      <c r="D950">
        <v>1</v>
      </c>
    </row>
    <row r="951" spans="1:4" x14ac:dyDescent="0.25">
      <c r="A951" t="s">
        <v>20</v>
      </c>
      <c r="B951">
        <v>19</v>
      </c>
      <c r="C951">
        <v>26</v>
      </c>
    </row>
    <row r="952" spans="1:4" x14ac:dyDescent="0.25">
      <c r="A952" t="s">
        <v>20</v>
      </c>
      <c r="B952">
        <v>19</v>
      </c>
      <c r="C952">
        <v>27</v>
      </c>
    </row>
    <row r="953" spans="1:4" x14ac:dyDescent="0.25">
      <c r="A953" t="s">
        <v>20</v>
      </c>
      <c r="B953">
        <v>19</v>
      </c>
      <c r="C953">
        <v>28</v>
      </c>
      <c r="D953">
        <v>1</v>
      </c>
    </row>
    <row r="954" spans="1:4" x14ac:dyDescent="0.25">
      <c r="A954" t="s">
        <v>20</v>
      </c>
      <c r="B954">
        <v>19</v>
      </c>
      <c r="C954">
        <v>29</v>
      </c>
    </row>
    <row r="955" spans="1:4" x14ac:dyDescent="0.25">
      <c r="A955" t="s">
        <v>20</v>
      </c>
      <c r="B955">
        <v>19</v>
      </c>
      <c r="C955">
        <v>30</v>
      </c>
    </row>
    <row r="956" spans="1:4" x14ac:dyDescent="0.25">
      <c r="A956" t="s">
        <v>20</v>
      </c>
      <c r="B956">
        <v>19</v>
      </c>
      <c r="C956">
        <v>31</v>
      </c>
      <c r="D956">
        <v>1</v>
      </c>
    </row>
    <row r="957" spans="1:4" x14ac:dyDescent="0.25">
      <c r="A957" t="s">
        <v>20</v>
      </c>
      <c r="B957">
        <v>19</v>
      </c>
      <c r="C957">
        <v>32</v>
      </c>
    </row>
    <row r="958" spans="1:4" x14ac:dyDescent="0.25">
      <c r="A958" t="s">
        <v>20</v>
      </c>
      <c r="B958">
        <v>19</v>
      </c>
      <c r="C958">
        <v>33</v>
      </c>
    </row>
    <row r="959" spans="1:4" x14ac:dyDescent="0.25">
      <c r="A959" t="s">
        <v>20</v>
      </c>
      <c r="B959">
        <v>19</v>
      </c>
      <c r="C959">
        <v>34</v>
      </c>
      <c r="D959">
        <v>1</v>
      </c>
    </row>
    <row r="960" spans="1:4" x14ac:dyDescent="0.25">
      <c r="A960" t="s">
        <v>20</v>
      </c>
      <c r="B960">
        <v>19</v>
      </c>
      <c r="C960">
        <v>35</v>
      </c>
    </row>
    <row r="961" spans="1:4" x14ac:dyDescent="0.25">
      <c r="A961" t="s">
        <v>20</v>
      </c>
      <c r="B961">
        <v>19</v>
      </c>
      <c r="C961">
        <v>36</v>
      </c>
    </row>
    <row r="962" spans="1:4" x14ac:dyDescent="0.25">
      <c r="A962" t="s">
        <v>20</v>
      </c>
      <c r="B962">
        <v>19</v>
      </c>
      <c r="C962">
        <v>37</v>
      </c>
      <c r="D962">
        <v>1</v>
      </c>
    </row>
    <row r="963" spans="1:4" x14ac:dyDescent="0.25">
      <c r="A963" t="s">
        <v>20</v>
      </c>
      <c r="B963">
        <v>19</v>
      </c>
      <c r="C963">
        <v>38</v>
      </c>
    </row>
    <row r="964" spans="1:4" x14ac:dyDescent="0.25">
      <c r="A964" t="s">
        <v>20</v>
      </c>
      <c r="B964">
        <v>19</v>
      </c>
      <c r="C964">
        <v>39</v>
      </c>
    </row>
    <row r="965" spans="1:4" x14ac:dyDescent="0.25">
      <c r="A965" t="s">
        <v>20</v>
      </c>
      <c r="B965">
        <v>19</v>
      </c>
      <c r="C965">
        <v>40</v>
      </c>
      <c r="D965">
        <v>1</v>
      </c>
    </row>
    <row r="966" spans="1:4" x14ac:dyDescent="0.25">
      <c r="A966" t="s">
        <v>20</v>
      </c>
      <c r="B966">
        <v>19</v>
      </c>
      <c r="C966">
        <v>41</v>
      </c>
    </row>
    <row r="967" spans="1:4" x14ac:dyDescent="0.25">
      <c r="A967" t="s">
        <v>20</v>
      </c>
      <c r="B967">
        <v>19</v>
      </c>
      <c r="C967">
        <v>42</v>
      </c>
    </row>
    <row r="968" spans="1:4" x14ac:dyDescent="0.25">
      <c r="A968" t="s">
        <v>20</v>
      </c>
      <c r="B968">
        <v>19</v>
      </c>
      <c r="C968">
        <v>43</v>
      </c>
    </row>
    <row r="969" spans="1:4" x14ac:dyDescent="0.25">
      <c r="A969" t="s">
        <v>20</v>
      </c>
      <c r="B969">
        <v>19</v>
      </c>
      <c r="C969">
        <v>44</v>
      </c>
    </row>
    <row r="970" spans="1:4" x14ac:dyDescent="0.25">
      <c r="A970" t="s">
        <v>20</v>
      </c>
      <c r="B970">
        <v>19</v>
      </c>
      <c r="C970">
        <v>45</v>
      </c>
    </row>
    <row r="971" spans="1:4" x14ac:dyDescent="0.25">
      <c r="A971" t="s">
        <v>20</v>
      </c>
      <c r="B971">
        <v>19</v>
      </c>
      <c r="C971">
        <v>46</v>
      </c>
      <c r="D971">
        <v>1</v>
      </c>
    </row>
    <row r="972" spans="1:4" x14ac:dyDescent="0.25">
      <c r="A972" t="s">
        <v>20</v>
      </c>
      <c r="B972">
        <v>19</v>
      </c>
      <c r="C972">
        <v>47</v>
      </c>
    </row>
    <row r="973" spans="1:4" x14ac:dyDescent="0.25">
      <c r="A973" t="s">
        <v>20</v>
      </c>
      <c r="B973">
        <v>19</v>
      </c>
      <c r="C973">
        <v>48</v>
      </c>
    </row>
    <row r="974" spans="1:4" x14ac:dyDescent="0.25">
      <c r="A974" t="s">
        <v>20</v>
      </c>
      <c r="B974">
        <v>19</v>
      </c>
      <c r="C974">
        <v>49</v>
      </c>
      <c r="D974">
        <v>1</v>
      </c>
    </row>
    <row r="975" spans="1:4" x14ac:dyDescent="0.25">
      <c r="A975" t="s">
        <v>20</v>
      </c>
      <c r="B975">
        <v>19</v>
      </c>
      <c r="C975">
        <v>50</v>
      </c>
    </row>
    <row r="976" spans="1:4" x14ac:dyDescent="0.25">
      <c r="A976" t="s">
        <v>20</v>
      </c>
      <c r="B976">
        <v>19</v>
      </c>
      <c r="C976">
        <v>51</v>
      </c>
    </row>
    <row r="977" spans="1:4" x14ac:dyDescent="0.25">
      <c r="A977" t="s">
        <v>20</v>
      </c>
      <c r="B977">
        <v>19</v>
      </c>
      <c r="C977">
        <v>52</v>
      </c>
      <c r="D977">
        <v>1</v>
      </c>
    </row>
    <row r="978" spans="1:4" x14ac:dyDescent="0.25">
      <c r="A978" t="s">
        <v>20</v>
      </c>
      <c r="B978">
        <v>19</v>
      </c>
      <c r="C978">
        <v>53</v>
      </c>
    </row>
    <row r="979" spans="1:4" x14ac:dyDescent="0.25">
      <c r="A979" t="s">
        <v>20</v>
      </c>
      <c r="B979">
        <v>19</v>
      </c>
      <c r="C979">
        <v>54</v>
      </c>
    </row>
    <row r="980" spans="1:4" x14ac:dyDescent="0.25">
      <c r="A980" t="s">
        <v>20</v>
      </c>
      <c r="B980">
        <v>19</v>
      </c>
      <c r="C980">
        <v>55</v>
      </c>
      <c r="D980">
        <v>1</v>
      </c>
    </row>
    <row r="981" spans="1:4" x14ac:dyDescent="0.25">
      <c r="A981" t="s">
        <v>20</v>
      </c>
      <c r="B981">
        <v>19</v>
      </c>
      <c r="C981">
        <v>56</v>
      </c>
    </row>
    <row r="982" spans="1:4" x14ac:dyDescent="0.25">
      <c r="A982" t="s">
        <v>20</v>
      </c>
      <c r="B982">
        <v>19</v>
      </c>
      <c r="C982">
        <v>57</v>
      </c>
    </row>
    <row r="983" spans="1:4" x14ac:dyDescent="0.25">
      <c r="A983" t="s">
        <v>20</v>
      </c>
      <c r="B983">
        <v>19</v>
      </c>
      <c r="C983">
        <v>58</v>
      </c>
      <c r="D983">
        <v>1</v>
      </c>
    </row>
    <row r="984" spans="1:4" x14ac:dyDescent="0.25">
      <c r="A984" t="s">
        <v>20</v>
      </c>
      <c r="B984">
        <v>19</v>
      </c>
      <c r="C984">
        <v>59</v>
      </c>
    </row>
    <row r="985" spans="1:4" x14ac:dyDescent="0.25">
      <c r="A985" t="s">
        <v>20</v>
      </c>
      <c r="B985">
        <v>19</v>
      </c>
      <c r="C985">
        <v>60</v>
      </c>
    </row>
    <row r="986" spans="1:4" x14ac:dyDescent="0.25">
      <c r="A986" t="s">
        <v>20</v>
      </c>
      <c r="B986">
        <v>19</v>
      </c>
      <c r="C986">
        <v>61</v>
      </c>
      <c r="D986">
        <v>1</v>
      </c>
    </row>
    <row r="987" spans="1:4" x14ac:dyDescent="0.25">
      <c r="A987" t="s">
        <v>20</v>
      </c>
      <c r="B987">
        <v>19</v>
      </c>
      <c r="C987">
        <v>62</v>
      </c>
    </row>
    <row r="988" spans="1:4" x14ac:dyDescent="0.25">
      <c r="A988" t="s">
        <v>20</v>
      </c>
      <c r="B988">
        <v>19</v>
      </c>
      <c r="C988">
        <v>63</v>
      </c>
    </row>
    <row r="989" spans="1:4" x14ac:dyDescent="0.25">
      <c r="A989" t="s">
        <v>20</v>
      </c>
      <c r="B989">
        <v>19</v>
      </c>
      <c r="C989">
        <v>64</v>
      </c>
      <c r="D989">
        <v>1</v>
      </c>
    </row>
    <row r="990" spans="1:4" x14ac:dyDescent="0.25">
      <c r="A990" t="s">
        <v>20</v>
      </c>
      <c r="B990">
        <v>19</v>
      </c>
      <c r="C990">
        <v>65</v>
      </c>
    </row>
    <row r="991" spans="1:4" x14ac:dyDescent="0.25">
      <c r="A991" t="s">
        <v>20</v>
      </c>
      <c r="B991">
        <v>19</v>
      </c>
      <c r="C991">
        <v>66</v>
      </c>
    </row>
    <row r="992" spans="1:4" x14ac:dyDescent="0.25">
      <c r="A992" t="s">
        <v>20</v>
      </c>
      <c r="B992">
        <v>19</v>
      </c>
      <c r="C992">
        <v>67</v>
      </c>
      <c r="D992">
        <v>1</v>
      </c>
    </row>
    <row r="993" spans="1:4" x14ac:dyDescent="0.25">
      <c r="A993" t="s">
        <v>20</v>
      </c>
      <c r="B993">
        <v>19</v>
      </c>
      <c r="C993">
        <v>68</v>
      </c>
    </row>
    <row r="994" spans="1:4" x14ac:dyDescent="0.25">
      <c r="A994" t="s">
        <v>20</v>
      </c>
      <c r="B994">
        <v>19</v>
      </c>
      <c r="C994">
        <v>69</v>
      </c>
    </row>
    <row r="995" spans="1:4" x14ac:dyDescent="0.25">
      <c r="A995" t="s">
        <v>20</v>
      </c>
      <c r="B995">
        <v>19</v>
      </c>
      <c r="C995">
        <v>70</v>
      </c>
      <c r="D995">
        <v>1</v>
      </c>
    </row>
    <row r="996" spans="1:4" x14ac:dyDescent="0.25">
      <c r="A996" t="s">
        <v>20</v>
      </c>
      <c r="B996">
        <v>19</v>
      </c>
      <c r="C996">
        <v>71</v>
      </c>
    </row>
    <row r="997" spans="1:4" x14ac:dyDescent="0.25">
      <c r="A997" t="s">
        <v>20</v>
      </c>
      <c r="B997">
        <v>19</v>
      </c>
      <c r="C997">
        <v>72</v>
      </c>
    </row>
    <row r="998" spans="1:4" x14ac:dyDescent="0.25">
      <c r="A998" t="s">
        <v>20</v>
      </c>
      <c r="B998">
        <v>19</v>
      </c>
      <c r="C998">
        <v>73</v>
      </c>
      <c r="D998">
        <v>1</v>
      </c>
    </row>
    <row r="999" spans="1:4" x14ac:dyDescent="0.25">
      <c r="A999" t="s">
        <v>20</v>
      </c>
      <c r="B999">
        <v>19</v>
      </c>
      <c r="C999">
        <v>74</v>
      </c>
    </row>
    <row r="1000" spans="1:4" x14ac:dyDescent="0.25">
      <c r="A1000" t="s">
        <v>20</v>
      </c>
      <c r="B1000">
        <v>19</v>
      </c>
      <c r="C1000">
        <v>75</v>
      </c>
    </row>
    <row r="1001" spans="1:4" x14ac:dyDescent="0.25">
      <c r="A1001" t="s">
        <v>20</v>
      </c>
      <c r="B1001">
        <v>19</v>
      </c>
      <c r="C1001">
        <v>76</v>
      </c>
      <c r="D1001">
        <v>1</v>
      </c>
    </row>
    <row r="1002" spans="1:4" x14ac:dyDescent="0.25">
      <c r="A1002" t="s">
        <v>20</v>
      </c>
      <c r="B1002">
        <v>19</v>
      </c>
      <c r="C1002">
        <v>77</v>
      </c>
    </row>
    <row r="1003" spans="1:4" x14ac:dyDescent="0.25">
      <c r="A1003" t="s">
        <v>20</v>
      </c>
      <c r="B1003">
        <v>19</v>
      </c>
      <c r="C1003">
        <v>78</v>
      </c>
    </row>
    <row r="1004" spans="1:4" x14ac:dyDescent="0.25">
      <c r="A1004" t="s">
        <v>20</v>
      </c>
      <c r="B1004">
        <v>19</v>
      </c>
      <c r="C1004">
        <v>79</v>
      </c>
      <c r="D1004">
        <v>1</v>
      </c>
    </row>
    <row r="1005" spans="1:4" x14ac:dyDescent="0.25">
      <c r="A1005" t="s">
        <v>20</v>
      </c>
      <c r="B1005">
        <v>19</v>
      </c>
      <c r="C1005">
        <v>80</v>
      </c>
    </row>
    <row r="1006" spans="1:4" x14ac:dyDescent="0.25">
      <c r="A1006" t="s">
        <v>20</v>
      </c>
      <c r="B1006">
        <v>19</v>
      </c>
      <c r="C1006">
        <v>81</v>
      </c>
    </row>
    <row r="1007" spans="1:4" x14ac:dyDescent="0.25">
      <c r="A1007" t="s">
        <v>20</v>
      </c>
      <c r="B1007">
        <v>19</v>
      </c>
      <c r="C1007">
        <v>82</v>
      </c>
      <c r="D1007">
        <v>1</v>
      </c>
    </row>
    <row r="1008" spans="1:4" x14ac:dyDescent="0.25">
      <c r="A1008" t="s">
        <v>20</v>
      </c>
      <c r="B1008">
        <v>19</v>
      </c>
      <c r="C1008">
        <v>83</v>
      </c>
    </row>
    <row r="1009" spans="1:4" x14ac:dyDescent="0.25">
      <c r="A1009" t="s">
        <v>20</v>
      </c>
      <c r="B1009">
        <v>19</v>
      </c>
      <c r="C1009">
        <v>84</v>
      </c>
    </row>
    <row r="1010" spans="1:4" x14ac:dyDescent="0.25">
      <c r="A1010" t="s">
        <v>20</v>
      </c>
      <c r="B1010">
        <v>20</v>
      </c>
      <c r="C1010">
        <v>1</v>
      </c>
    </row>
    <row r="1011" spans="1:4" x14ac:dyDescent="0.25">
      <c r="A1011" t="s">
        <v>20</v>
      </c>
      <c r="B1011">
        <v>20</v>
      </c>
      <c r="C1011">
        <v>2</v>
      </c>
    </row>
    <row r="1012" spans="1:4" x14ac:dyDescent="0.25">
      <c r="A1012" t="s">
        <v>20</v>
      </c>
      <c r="B1012">
        <v>20</v>
      </c>
      <c r="C1012">
        <v>3</v>
      </c>
    </row>
    <row r="1013" spans="1:4" x14ac:dyDescent="0.25">
      <c r="A1013" t="s">
        <v>20</v>
      </c>
      <c r="B1013">
        <v>20</v>
      </c>
      <c r="C1013">
        <v>4</v>
      </c>
      <c r="D1013">
        <v>1</v>
      </c>
    </row>
    <row r="1014" spans="1:4" x14ac:dyDescent="0.25">
      <c r="A1014" t="s">
        <v>20</v>
      </c>
      <c r="B1014">
        <v>20</v>
      </c>
      <c r="C1014">
        <v>5</v>
      </c>
    </row>
    <row r="1015" spans="1:4" x14ac:dyDescent="0.25">
      <c r="A1015" t="s">
        <v>20</v>
      </c>
      <c r="B1015">
        <v>20</v>
      </c>
      <c r="C1015">
        <v>6</v>
      </c>
    </row>
    <row r="1016" spans="1:4" x14ac:dyDescent="0.25">
      <c r="A1016" t="s">
        <v>20</v>
      </c>
      <c r="B1016">
        <v>20</v>
      </c>
      <c r="C1016">
        <v>7</v>
      </c>
      <c r="D1016">
        <v>1</v>
      </c>
    </row>
    <row r="1017" spans="1:4" x14ac:dyDescent="0.25">
      <c r="A1017" t="s">
        <v>20</v>
      </c>
      <c r="B1017">
        <v>20</v>
      </c>
      <c r="C1017">
        <v>8</v>
      </c>
    </row>
    <row r="1018" spans="1:4" x14ac:dyDescent="0.25">
      <c r="A1018" t="s">
        <v>20</v>
      </c>
      <c r="B1018">
        <v>20</v>
      </c>
      <c r="C1018">
        <v>9</v>
      </c>
    </row>
    <row r="1019" spans="1:4" x14ac:dyDescent="0.25">
      <c r="A1019" t="s">
        <v>20</v>
      </c>
      <c r="B1019">
        <v>20</v>
      </c>
      <c r="C1019">
        <v>10</v>
      </c>
      <c r="D1019">
        <v>1</v>
      </c>
    </row>
    <row r="1020" spans="1:4" x14ac:dyDescent="0.25">
      <c r="A1020" t="s">
        <v>20</v>
      </c>
      <c r="B1020">
        <v>20</v>
      </c>
      <c r="C1020">
        <v>11</v>
      </c>
    </row>
    <row r="1021" spans="1:4" x14ac:dyDescent="0.25">
      <c r="A1021" t="s">
        <v>20</v>
      </c>
      <c r="B1021">
        <v>20</v>
      </c>
      <c r="C1021">
        <v>12</v>
      </c>
    </row>
    <row r="1022" spans="1:4" x14ac:dyDescent="0.25">
      <c r="A1022" t="s">
        <v>20</v>
      </c>
      <c r="B1022">
        <v>20</v>
      </c>
      <c r="C1022">
        <v>13</v>
      </c>
      <c r="D1022">
        <v>1</v>
      </c>
    </row>
    <row r="1023" spans="1:4" x14ac:dyDescent="0.25">
      <c r="A1023" t="s">
        <v>20</v>
      </c>
      <c r="B1023">
        <v>20</v>
      </c>
      <c r="C1023">
        <v>14</v>
      </c>
    </row>
    <row r="1024" spans="1:4" x14ac:dyDescent="0.25">
      <c r="A1024" t="s">
        <v>20</v>
      </c>
      <c r="B1024">
        <v>20</v>
      </c>
      <c r="C1024">
        <v>15</v>
      </c>
    </row>
    <row r="1025" spans="1:4" x14ac:dyDescent="0.25">
      <c r="A1025" t="s">
        <v>20</v>
      </c>
      <c r="B1025">
        <v>20</v>
      </c>
      <c r="C1025">
        <v>16</v>
      </c>
      <c r="D1025">
        <v>1</v>
      </c>
    </row>
    <row r="1026" spans="1:4" x14ac:dyDescent="0.25">
      <c r="A1026" t="s">
        <v>20</v>
      </c>
      <c r="B1026">
        <v>20</v>
      </c>
      <c r="C1026">
        <v>17</v>
      </c>
    </row>
    <row r="1027" spans="1:4" x14ac:dyDescent="0.25">
      <c r="A1027" t="s">
        <v>20</v>
      </c>
      <c r="B1027">
        <v>20</v>
      </c>
      <c r="C1027">
        <v>18</v>
      </c>
    </row>
    <row r="1028" spans="1:4" x14ac:dyDescent="0.25">
      <c r="A1028" t="s">
        <v>20</v>
      </c>
      <c r="B1028">
        <v>20</v>
      </c>
      <c r="C1028">
        <v>19</v>
      </c>
      <c r="D1028">
        <v>1</v>
      </c>
    </row>
    <row r="1029" spans="1:4" x14ac:dyDescent="0.25">
      <c r="A1029" t="s">
        <v>20</v>
      </c>
      <c r="B1029">
        <v>20</v>
      </c>
      <c r="C1029">
        <v>20</v>
      </c>
    </row>
    <row r="1030" spans="1:4" x14ac:dyDescent="0.25">
      <c r="A1030" t="s">
        <v>20</v>
      </c>
      <c r="B1030">
        <v>20</v>
      </c>
      <c r="C1030">
        <v>21</v>
      </c>
    </row>
    <row r="1031" spans="1:4" x14ac:dyDescent="0.25">
      <c r="A1031" t="s">
        <v>20</v>
      </c>
      <c r="B1031">
        <v>20</v>
      </c>
      <c r="C1031">
        <v>22</v>
      </c>
      <c r="D1031">
        <v>1</v>
      </c>
    </row>
    <row r="1032" spans="1:4" x14ac:dyDescent="0.25">
      <c r="A1032" t="s">
        <v>20</v>
      </c>
      <c r="B1032">
        <v>20</v>
      </c>
      <c r="C1032">
        <v>23</v>
      </c>
    </row>
    <row r="1033" spans="1:4" x14ac:dyDescent="0.25">
      <c r="A1033" t="s">
        <v>20</v>
      </c>
      <c r="B1033">
        <v>20</v>
      </c>
      <c r="C1033">
        <v>24</v>
      </c>
    </row>
    <row r="1034" spans="1:4" x14ac:dyDescent="0.25">
      <c r="A1034" t="s">
        <v>20</v>
      </c>
      <c r="B1034">
        <v>20</v>
      </c>
      <c r="C1034">
        <v>25</v>
      </c>
      <c r="D1034">
        <v>1</v>
      </c>
    </row>
    <row r="1035" spans="1:4" x14ac:dyDescent="0.25">
      <c r="A1035" t="s">
        <v>20</v>
      </c>
      <c r="B1035">
        <v>20</v>
      </c>
      <c r="C1035">
        <v>26</v>
      </c>
    </row>
    <row r="1036" spans="1:4" x14ac:dyDescent="0.25">
      <c r="A1036" t="s">
        <v>20</v>
      </c>
      <c r="B1036">
        <v>20</v>
      </c>
      <c r="C1036">
        <v>27</v>
      </c>
    </row>
    <row r="1037" spans="1:4" x14ac:dyDescent="0.25">
      <c r="A1037" t="s">
        <v>20</v>
      </c>
      <c r="B1037">
        <v>20</v>
      </c>
      <c r="C1037">
        <v>28</v>
      </c>
      <c r="D1037">
        <v>1</v>
      </c>
    </row>
    <row r="1038" spans="1:4" x14ac:dyDescent="0.25">
      <c r="A1038" t="s">
        <v>20</v>
      </c>
      <c r="B1038">
        <v>20</v>
      </c>
      <c r="C1038">
        <v>29</v>
      </c>
    </row>
    <row r="1039" spans="1:4" x14ac:dyDescent="0.25">
      <c r="A1039" t="s">
        <v>20</v>
      </c>
      <c r="B1039">
        <v>20</v>
      </c>
      <c r="C1039">
        <v>30</v>
      </c>
    </row>
    <row r="1040" spans="1:4" x14ac:dyDescent="0.25">
      <c r="A1040" t="s">
        <v>20</v>
      </c>
      <c r="B1040">
        <v>20</v>
      </c>
      <c r="C1040">
        <v>31</v>
      </c>
      <c r="D1040">
        <v>1</v>
      </c>
    </row>
    <row r="1041" spans="1:4" x14ac:dyDescent="0.25">
      <c r="A1041" t="s">
        <v>20</v>
      </c>
      <c r="B1041">
        <v>20</v>
      </c>
      <c r="C1041">
        <v>32</v>
      </c>
    </row>
    <row r="1042" spans="1:4" x14ac:dyDescent="0.25">
      <c r="A1042" t="s">
        <v>20</v>
      </c>
      <c r="B1042">
        <v>20</v>
      </c>
      <c r="C1042">
        <v>33</v>
      </c>
    </row>
    <row r="1043" spans="1:4" x14ac:dyDescent="0.25">
      <c r="A1043" t="s">
        <v>20</v>
      </c>
      <c r="B1043">
        <v>20</v>
      </c>
      <c r="C1043">
        <v>34</v>
      </c>
      <c r="D1043">
        <v>1</v>
      </c>
    </row>
    <row r="1044" spans="1:4" x14ac:dyDescent="0.25">
      <c r="A1044" t="s">
        <v>20</v>
      </c>
      <c r="B1044">
        <v>20</v>
      </c>
      <c r="C1044">
        <v>35</v>
      </c>
    </row>
    <row r="1045" spans="1:4" x14ac:dyDescent="0.25">
      <c r="A1045" t="s">
        <v>20</v>
      </c>
      <c r="B1045">
        <v>20</v>
      </c>
      <c r="C1045">
        <v>36</v>
      </c>
    </row>
    <row r="1046" spans="1:4" x14ac:dyDescent="0.25">
      <c r="A1046" t="s">
        <v>20</v>
      </c>
      <c r="B1046">
        <v>20</v>
      </c>
      <c r="C1046">
        <v>37</v>
      </c>
      <c r="D1046">
        <v>1</v>
      </c>
    </row>
    <row r="1047" spans="1:4" x14ac:dyDescent="0.25">
      <c r="A1047" t="s">
        <v>20</v>
      </c>
      <c r="B1047">
        <v>20</v>
      </c>
      <c r="C1047">
        <v>38</v>
      </c>
    </row>
    <row r="1048" spans="1:4" x14ac:dyDescent="0.25">
      <c r="A1048" t="s">
        <v>20</v>
      </c>
      <c r="B1048">
        <v>20</v>
      </c>
      <c r="C1048">
        <v>39</v>
      </c>
    </row>
    <row r="1049" spans="1:4" x14ac:dyDescent="0.25">
      <c r="A1049" t="s">
        <v>20</v>
      </c>
      <c r="B1049">
        <v>20</v>
      </c>
      <c r="C1049">
        <v>40</v>
      </c>
      <c r="D1049">
        <v>1</v>
      </c>
    </row>
    <row r="1050" spans="1:4" x14ac:dyDescent="0.25">
      <c r="A1050" t="s">
        <v>20</v>
      </c>
      <c r="B1050">
        <v>20</v>
      </c>
      <c r="C1050">
        <v>41</v>
      </c>
    </row>
    <row r="1051" spans="1:4" x14ac:dyDescent="0.25">
      <c r="A1051" t="s">
        <v>20</v>
      </c>
      <c r="B1051">
        <v>20</v>
      </c>
      <c r="C1051">
        <v>42</v>
      </c>
    </row>
    <row r="1052" spans="1:4" x14ac:dyDescent="0.25">
      <c r="A1052" t="s">
        <v>20</v>
      </c>
      <c r="B1052">
        <v>20</v>
      </c>
      <c r="C1052">
        <v>43</v>
      </c>
    </row>
    <row r="1053" spans="1:4" x14ac:dyDescent="0.25">
      <c r="A1053" t="s">
        <v>20</v>
      </c>
      <c r="B1053">
        <v>20</v>
      </c>
      <c r="C1053">
        <v>44</v>
      </c>
    </row>
    <row r="1054" spans="1:4" x14ac:dyDescent="0.25">
      <c r="A1054" t="s">
        <v>20</v>
      </c>
      <c r="B1054">
        <v>20</v>
      </c>
      <c r="C1054">
        <v>45</v>
      </c>
    </row>
    <row r="1055" spans="1:4" x14ac:dyDescent="0.25">
      <c r="A1055" t="s">
        <v>20</v>
      </c>
      <c r="B1055">
        <v>20</v>
      </c>
      <c r="C1055">
        <v>46</v>
      </c>
      <c r="D1055">
        <v>1</v>
      </c>
    </row>
    <row r="1056" spans="1:4" x14ac:dyDescent="0.25">
      <c r="A1056" t="s">
        <v>20</v>
      </c>
      <c r="B1056">
        <v>20</v>
      </c>
      <c r="C1056">
        <v>47</v>
      </c>
    </row>
    <row r="1057" spans="1:4" x14ac:dyDescent="0.25">
      <c r="A1057" t="s">
        <v>20</v>
      </c>
      <c r="B1057">
        <v>20</v>
      </c>
      <c r="C1057">
        <v>48</v>
      </c>
    </row>
    <row r="1058" spans="1:4" x14ac:dyDescent="0.25">
      <c r="A1058" t="s">
        <v>20</v>
      </c>
      <c r="B1058">
        <v>20</v>
      </c>
      <c r="C1058">
        <v>49</v>
      </c>
      <c r="D1058">
        <v>1</v>
      </c>
    </row>
    <row r="1059" spans="1:4" x14ac:dyDescent="0.25">
      <c r="A1059" t="s">
        <v>20</v>
      </c>
      <c r="B1059">
        <v>20</v>
      </c>
      <c r="C1059">
        <v>50</v>
      </c>
    </row>
    <row r="1060" spans="1:4" x14ac:dyDescent="0.25">
      <c r="A1060" t="s">
        <v>20</v>
      </c>
      <c r="B1060">
        <v>20</v>
      </c>
      <c r="C1060">
        <v>51</v>
      </c>
    </row>
    <row r="1061" spans="1:4" x14ac:dyDescent="0.25">
      <c r="A1061" t="s">
        <v>20</v>
      </c>
      <c r="B1061">
        <v>20</v>
      </c>
      <c r="C1061">
        <v>52</v>
      </c>
      <c r="D1061">
        <v>1</v>
      </c>
    </row>
    <row r="1062" spans="1:4" x14ac:dyDescent="0.25">
      <c r="A1062" t="s">
        <v>20</v>
      </c>
      <c r="B1062">
        <v>20</v>
      </c>
      <c r="C1062">
        <v>53</v>
      </c>
    </row>
    <row r="1063" spans="1:4" x14ac:dyDescent="0.25">
      <c r="A1063" t="s">
        <v>20</v>
      </c>
      <c r="B1063">
        <v>20</v>
      </c>
      <c r="C1063">
        <v>54</v>
      </c>
    </row>
    <row r="1064" spans="1:4" x14ac:dyDescent="0.25">
      <c r="A1064" t="s">
        <v>20</v>
      </c>
      <c r="B1064">
        <v>20</v>
      </c>
      <c r="C1064">
        <v>55</v>
      </c>
      <c r="D1064">
        <v>1</v>
      </c>
    </row>
    <row r="1065" spans="1:4" x14ac:dyDescent="0.25">
      <c r="A1065" t="s">
        <v>20</v>
      </c>
      <c r="B1065">
        <v>20</v>
      </c>
      <c r="C1065">
        <v>56</v>
      </c>
    </row>
    <row r="1066" spans="1:4" x14ac:dyDescent="0.25">
      <c r="A1066" t="s">
        <v>20</v>
      </c>
      <c r="B1066">
        <v>20</v>
      </c>
      <c r="C1066">
        <v>57</v>
      </c>
    </row>
    <row r="1067" spans="1:4" x14ac:dyDescent="0.25">
      <c r="A1067" t="s">
        <v>20</v>
      </c>
      <c r="B1067">
        <v>20</v>
      </c>
      <c r="C1067">
        <v>58</v>
      </c>
      <c r="D1067">
        <v>1</v>
      </c>
    </row>
    <row r="1068" spans="1:4" x14ac:dyDescent="0.25">
      <c r="A1068" t="s">
        <v>20</v>
      </c>
      <c r="B1068">
        <v>20</v>
      </c>
      <c r="C1068">
        <v>59</v>
      </c>
    </row>
    <row r="1069" spans="1:4" x14ac:dyDescent="0.25">
      <c r="A1069" t="s">
        <v>20</v>
      </c>
      <c r="B1069">
        <v>20</v>
      </c>
      <c r="C1069">
        <v>60</v>
      </c>
    </row>
    <row r="1070" spans="1:4" x14ac:dyDescent="0.25">
      <c r="A1070" t="s">
        <v>20</v>
      </c>
      <c r="B1070">
        <v>20</v>
      </c>
      <c r="C1070">
        <v>61</v>
      </c>
      <c r="D1070">
        <v>1</v>
      </c>
    </row>
    <row r="1071" spans="1:4" x14ac:dyDescent="0.25">
      <c r="A1071" t="s">
        <v>20</v>
      </c>
      <c r="B1071">
        <v>20</v>
      </c>
      <c r="C1071">
        <v>62</v>
      </c>
    </row>
    <row r="1072" spans="1:4" x14ac:dyDescent="0.25">
      <c r="A1072" t="s">
        <v>20</v>
      </c>
      <c r="B1072">
        <v>20</v>
      </c>
      <c r="C1072">
        <v>63</v>
      </c>
    </row>
    <row r="1073" spans="1:4" x14ac:dyDescent="0.25">
      <c r="A1073" t="s">
        <v>20</v>
      </c>
      <c r="B1073">
        <v>20</v>
      </c>
      <c r="C1073">
        <v>64</v>
      </c>
    </row>
    <row r="1074" spans="1:4" x14ac:dyDescent="0.25">
      <c r="A1074" t="s">
        <v>20</v>
      </c>
      <c r="B1074">
        <v>20</v>
      </c>
      <c r="C1074">
        <v>65</v>
      </c>
    </row>
    <row r="1075" spans="1:4" x14ac:dyDescent="0.25">
      <c r="A1075" t="s">
        <v>20</v>
      </c>
      <c r="B1075">
        <v>20</v>
      </c>
      <c r="C1075">
        <v>66</v>
      </c>
    </row>
    <row r="1076" spans="1:4" x14ac:dyDescent="0.25">
      <c r="A1076" t="s">
        <v>20</v>
      </c>
      <c r="B1076">
        <v>20</v>
      </c>
      <c r="C1076">
        <v>67</v>
      </c>
      <c r="D1076">
        <v>1</v>
      </c>
    </row>
    <row r="1077" spans="1:4" x14ac:dyDescent="0.25">
      <c r="A1077" t="s">
        <v>20</v>
      </c>
      <c r="B1077">
        <v>20</v>
      </c>
      <c r="C1077">
        <v>68</v>
      </c>
    </row>
    <row r="1078" spans="1:4" x14ac:dyDescent="0.25">
      <c r="A1078" t="s">
        <v>20</v>
      </c>
      <c r="B1078">
        <v>20</v>
      </c>
      <c r="C1078">
        <v>69</v>
      </c>
    </row>
    <row r="1079" spans="1:4" x14ac:dyDescent="0.25">
      <c r="A1079" t="s">
        <v>20</v>
      </c>
      <c r="B1079">
        <v>20</v>
      </c>
      <c r="C1079">
        <v>70</v>
      </c>
      <c r="D1079">
        <v>1</v>
      </c>
    </row>
    <row r="1080" spans="1:4" x14ac:dyDescent="0.25">
      <c r="A1080" t="s">
        <v>20</v>
      </c>
      <c r="B1080">
        <v>20</v>
      </c>
      <c r="C1080">
        <v>71</v>
      </c>
    </row>
    <row r="1081" spans="1:4" x14ac:dyDescent="0.25">
      <c r="A1081" t="s">
        <v>20</v>
      </c>
      <c r="B1081">
        <v>20</v>
      </c>
      <c r="C1081">
        <v>72</v>
      </c>
    </row>
    <row r="1082" spans="1:4" x14ac:dyDescent="0.25">
      <c r="A1082" t="s">
        <v>20</v>
      </c>
      <c r="B1082">
        <v>20</v>
      </c>
      <c r="C1082">
        <v>73</v>
      </c>
      <c r="D1082">
        <v>1</v>
      </c>
    </row>
    <row r="1083" spans="1:4" x14ac:dyDescent="0.25">
      <c r="A1083" t="s">
        <v>20</v>
      </c>
      <c r="B1083">
        <v>20</v>
      </c>
      <c r="C1083">
        <v>74</v>
      </c>
    </row>
    <row r="1084" spans="1:4" x14ac:dyDescent="0.25">
      <c r="A1084" t="s">
        <v>20</v>
      </c>
      <c r="B1084">
        <v>20</v>
      </c>
      <c r="C1084">
        <v>75</v>
      </c>
    </row>
    <row r="1085" spans="1:4" x14ac:dyDescent="0.25">
      <c r="A1085" t="s">
        <v>20</v>
      </c>
      <c r="B1085">
        <v>20</v>
      </c>
      <c r="C1085">
        <v>76</v>
      </c>
      <c r="D1085">
        <v>1</v>
      </c>
    </row>
    <row r="1086" spans="1:4" x14ac:dyDescent="0.25">
      <c r="A1086" t="s">
        <v>20</v>
      </c>
      <c r="B1086">
        <v>20</v>
      </c>
      <c r="C1086">
        <v>77</v>
      </c>
    </row>
    <row r="1087" spans="1:4" x14ac:dyDescent="0.25">
      <c r="A1087" t="s">
        <v>20</v>
      </c>
      <c r="B1087">
        <v>20</v>
      </c>
      <c r="C1087">
        <v>78</v>
      </c>
    </row>
    <row r="1088" spans="1:4" x14ac:dyDescent="0.25">
      <c r="A1088" t="s">
        <v>20</v>
      </c>
      <c r="B1088">
        <v>20</v>
      </c>
      <c r="C1088">
        <v>79</v>
      </c>
      <c r="D1088">
        <v>1</v>
      </c>
    </row>
    <row r="1089" spans="1:4" x14ac:dyDescent="0.25">
      <c r="A1089" t="s">
        <v>20</v>
      </c>
      <c r="B1089">
        <v>20</v>
      </c>
      <c r="C1089">
        <v>80</v>
      </c>
    </row>
    <row r="1090" spans="1:4" x14ac:dyDescent="0.25">
      <c r="A1090" t="s">
        <v>20</v>
      </c>
      <c r="B1090">
        <v>20</v>
      </c>
      <c r="C1090">
        <v>81</v>
      </c>
    </row>
    <row r="1091" spans="1:4" x14ac:dyDescent="0.25">
      <c r="A1091" t="s">
        <v>20</v>
      </c>
      <c r="B1091">
        <v>20</v>
      </c>
      <c r="C1091">
        <v>82</v>
      </c>
      <c r="D1091">
        <v>1</v>
      </c>
    </row>
    <row r="1092" spans="1:4" x14ac:dyDescent="0.25">
      <c r="A1092" t="s">
        <v>20</v>
      </c>
      <c r="B1092">
        <v>20</v>
      </c>
      <c r="C1092">
        <v>83</v>
      </c>
    </row>
    <row r="1093" spans="1:4" x14ac:dyDescent="0.25">
      <c r="A1093" t="s">
        <v>20</v>
      </c>
      <c r="B1093">
        <v>20</v>
      </c>
      <c r="C1093">
        <v>84</v>
      </c>
    </row>
    <row r="1094" spans="1:4" x14ac:dyDescent="0.25">
      <c r="A1094" t="s">
        <v>20</v>
      </c>
      <c r="B1094">
        <v>21</v>
      </c>
      <c r="C1094">
        <v>1</v>
      </c>
      <c r="D1094">
        <v>1</v>
      </c>
    </row>
    <row r="1095" spans="1:4" x14ac:dyDescent="0.25">
      <c r="A1095" t="s">
        <v>20</v>
      </c>
      <c r="B1095">
        <v>21</v>
      </c>
      <c r="C1095">
        <v>2</v>
      </c>
    </row>
    <row r="1096" spans="1:4" x14ac:dyDescent="0.25">
      <c r="A1096" t="s">
        <v>20</v>
      </c>
      <c r="B1096">
        <v>21</v>
      </c>
      <c r="C1096">
        <v>3</v>
      </c>
    </row>
    <row r="1097" spans="1:4" x14ac:dyDescent="0.25">
      <c r="A1097" t="s">
        <v>20</v>
      </c>
      <c r="B1097">
        <v>21</v>
      </c>
      <c r="C1097">
        <v>4</v>
      </c>
      <c r="D1097">
        <v>1</v>
      </c>
    </row>
    <row r="1098" spans="1:4" x14ac:dyDescent="0.25">
      <c r="A1098" t="s">
        <v>20</v>
      </c>
      <c r="B1098">
        <v>21</v>
      </c>
      <c r="C1098">
        <v>5</v>
      </c>
    </row>
    <row r="1099" spans="1:4" x14ac:dyDescent="0.25">
      <c r="A1099" t="s">
        <v>20</v>
      </c>
      <c r="B1099">
        <v>21</v>
      </c>
      <c r="C1099">
        <v>6</v>
      </c>
    </row>
    <row r="1100" spans="1:4" x14ac:dyDescent="0.25">
      <c r="A1100" t="s">
        <v>20</v>
      </c>
      <c r="B1100">
        <v>21</v>
      </c>
      <c r="C1100">
        <v>7</v>
      </c>
      <c r="D1100">
        <v>1</v>
      </c>
    </row>
    <row r="1101" spans="1:4" x14ac:dyDescent="0.25">
      <c r="A1101" t="s">
        <v>20</v>
      </c>
      <c r="B1101">
        <v>21</v>
      </c>
      <c r="C1101">
        <v>8</v>
      </c>
    </row>
    <row r="1102" spans="1:4" x14ac:dyDescent="0.25">
      <c r="A1102" t="s">
        <v>20</v>
      </c>
      <c r="B1102">
        <v>21</v>
      </c>
      <c r="C1102">
        <v>9</v>
      </c>
    </row>
    <row r="1103" spans="1:4" x14ac:dyDescent="0.25">
      <c r="A1103" t="s">
        <v>20</v>
      </c>
      <c r="B1103">
        <v>21</v>
      </c>
      <c r="C1103">
        <v>10</v>
      </c>
      <c r="D1103">
        <v>1</v>
      </c>
    </row>
    <row r="1104" spans="1:4" x14ac:dyDescent="0.25">
      <c r="A1104" t="s">
        <v>20</v>
      </c>
      <c r="B1104">
        <v>21</v>
      </c>
      <c r="C1104">
        <v>11</v>
      </c>
    </row>
    <row r="1105" spans="1:4" x14ac:dyDescent="0.25">
      <c r="A1105" t="s">
        <v>20</v>
      </c>
      <c r="B1105">
        <v>21</v>
      </c>
      <c r="C1105">
        <v>12</v>
      </c>
    </row>
    <row r="1106" spans="1:4" x14ac:dyDescent="0.25">
      <c r="A1106" t="s">
        <v>20</v>
      </c>
      <c r="B1106">
        <v>21</v>
      </c>
      <c r="C1106">
        <v>13</v>
      </c>
      <c r="D1106">
        <v>1</v>
      </c>
    </row>
    <row r="1107" spans="1:4" x14ac:dyDescent="0.25">
      <c r="A1107" t="s">
        <v>20</v>
      </c>
      <c r="B1107">
        <v>21</v>
      </c>
      <c r="C1107">
        <v>14</v>
      </c>
    </row>
    <row r="1108" spans="1:4" x14ac:dyDescent="0.25">
      <c r="A1108" t="s">
        <v>20</v>
      </c>
      <c r="B1108">
        <v>21</v>
      </c>
      <c r="C1108">
        <v>15</v>
      </c>
    </row>
    <row r="1109" spans="1:4" x14ac:dyDescent="0.25">
      <c r="A1109" t="s">
        <v>20</v>
      </c>
      <c r="B1109">
        <v>21</v>
      </c>
      <c r="C1109">
        <v>16</v>
      </c>
    </row>
    <row r="1110" spans="1:4" x14ac:dyDescent="0.25">
      <c r="A1110" t="s">
        <v>20</v>
      </c>
      <c r="B1110">
        <v>21</v>
      </c>
      <c r="C1110">
        <v>17</v>
      </c>
    </row>
    <row r="1111" spans="1:4" x14ac:dyDescent="0.25">
      <c r="A1111" t="s">
        <v>20</v>
      </c>
      <c r="B1111">
        <v>21</v>
      </c>
      <c r="C1111">
        <v>18</v>
      </c>
    </row>
    <row r="1112" spans="1:4" x14ac:dyDescent="0.25">
      <c r="A1112" t="s">
        <v>20</v>
      </c>
      <c r="B1112">
        <v>21</v>
      </c>
      <c r="C1112">
        <v>19</v>
      </c>
    </row>
    <row r="1113" spans="1:4" x14ac:dyDescent="0.25">
      <c r="A1113" t="s">
        <v>20</v>
      </c>
      <c r="B1113">
        <v>21</v>
      </c>
      <c r="C1113">
        <v>20</v>
      </c>
    </row>
    <row r="1114" spans="1:4" x14ac:dyDescent="0.25">
      <c r="A1114" t="s">
        <v>20</v>
      </c>
      <c r="B1114">
        <v>21</v>
      </c>
      <c r="C1114">
        <v>21</v>
      </c>
    </row>
    <row r="1115" spans="1:4" x14ac:dyDescent="0.25">
      <c r="A1115" t="s">
        <v>20</v>
      </c>
      <c r="B1115">
        <v>21</v>
      </c>
      <c r="C1115">
        <v>22</v>
      </c>
      <c r="D1115">
        <v>1</v>
      </c>
    </row>
    <row r="1116" spans="1:4" x14ac:dyDescent="0.25">
      <c r="A1116" t="s">
        <v>20</v>
      </c>
      <c r="B1116">
        <v>21</v>
      </c>
      <c r="C1116">
        <v>23</v>
      </c>
    </row>
    <row r="1117" spans="1:4" x14ac:dyDescent="0.25">
      <c r="A1117" t="s">
        <v>20</v>
      </c>
      <c r="B1117">
        <v>21</v>
      </c>
      <c r="C1117">
        <v>24</v>
      </c>
    </row>
    <row r="1118" spans="1:4" x14ac:dyDescent="0.25">
      <c r="A1118" t="s">
        <v>20</v>
      </c>
      <c r="B1118">
        <v>21</v>
      </c>
      <c r="C1118">
        <v>25</v>
      </c>
      <c r="D1118">
        <v>1</v>
      </c>
    </row>
    <row r="1119" spans="1:4" x14ac:dyDescent="0.25">
      <c r="A1119" t="s">
        <v>20</v>
      </c>
      <c r="B1119">
        <v>21</v>
      </c>
      <c r="C1119">
        <v>26</v>
      </c>
    </row>
    <row r="1120" spans="1:4" x14ac:dyDescent="0.25">
      <c r="A1120" t="s">
        <v>20</v>
      </c>
      <c r="B1120">
        <v>21</v>
      </c>
      <c r="C1120">
        <v>27</v>
      </c>
    </row>
    <row r="1121" spans="1:4" x14ac:dyDescent="0.25">
      <c r="A1121" t="s">
        <v>20</v>
      </c>
      <c r="B1121">
        <v>21</v>
      </c>
      <c r="C1121">
        <v>28</v>
      </c>
      <c r="D1121">
        <v>1</v>
      </c>
    </row>
    <row r="1122" spans="1:4" x14ac:dyDescent="0.25">
      <c r="A1122" t="s">
        <v>20</v>
      </c>
      <c r="B1122">
        <v>21</v>
      </c>
      <c r="C1122">
        <v>29</v>
      </c>
    </row>
    <row r="1123" spans="1:4" x14ac:dyDescent="0.25">
      <c r="A1123" t="s">
        <v>20</v>
      </c>
      <c r="B1123">
        <v>21</v>
      </c>
      <c r="C1123">
        <v>30</v>
      </c>
    </row>
    <row r="1124" spans="1:4" x14ac:dyDescent="0.25">
      <c r="A1124" t="s">
        <v>20</v>
      </c>
      <c r="B1124">
        <v>21</v>
      </c>
      <c r="C1124">
        <v>31</v>
      </c>
      <c r="D1124">
        <v>1</v>
      </c>
    </row>
    <row r="1125" spans="1:4" x14ac:dyDescent="0.25">
      <c r="A1125" t="s">
        <v>20</v>
      </c>
      <c r="B1125">
        <v>21</v>
      </c>
      <c r="C1125">
        <v>32</v>
      </c>
    </row>
    <row r="1126" spans="1:4" x14ac:dyDescent="0.25">
      <c r="A1126" t="s">
        <v>20</v>
      </c>
      <c r="B1126">
        <v>21</v>
      </c>
      <c r="C1126">
        <v>33</v>
      </c>
    </row>
    <row r="1127" spans="1:4" x14ac:dyDescent="0.25">
      <c r="A1127" t="s">
        <v>20</v>
      </c>
      <c r="B1127">
        <v>21</v>
      </c>
      <c r="C1127">
        <v>34</v>
      </c>
      <c r="D1127">
        <v>1</v>
      </c>
    </row>
    <row r="1128" spans="1:4" x14ac:dyDescent="0.25">
      <c r="A1128" t="s">
        <v>20</v>
      </c>
      <c r="B1128">
        <v>21</v>
      </c>
      <c r="C1128">
        <v>35</v>
      </c>
    </row>
    <row r="1129" spans="1:4" x14ac:dyDescent="0.25">
      <c r="A1129" t="s">
        <v>20</v>
      </c>
      <c r="B1129">
        <v>21</v>
      </c>
      <c r="C1129">
        <v>36</v>
      </c>
    </row>
    <row r="1130" spans="1:4" x14ac:dyDescent="0.25">
      <c r="A1130" t="s">
        <v>20</v>
      </c>
      <c r="B1130">
        <v>21</v>
      </c>
      <c r="C1130">
        <v>37</v>
      </c>
    </row>
    <row r="1131" spans="1:4" x14ac:dyDescent="0.25">
      <c r="A1131" t="s">
        <v>20</v>
      </c>
      <c r="B1131">
        <v>21</v>
      </c>
      <c r="C1131">
        <v>38</v>
      </c>
    </row>
    <row r="1132" spans="1:4" x14ac:dyDescent="0.25">
      <c r="A1132" t="s">
        <v>20</v>
      </c>
      <c r="B1132">
        <v>21</v>
      </c>
      <c r="C1132">
        <v>39</v>
      </c>
    </row>
    <row r="1133" spans="1:4" x14ac:dyDescent="0.25">
      <c r="A1133" t="s">
        <v>20</v>
      </c>
      <c r="B1133">
        <v>21</v>
      </c>
      <c r="C1133">
        <v>40</v>
      </c>
      <c r="D1133">
        <v>1</v>
      </c>
    </row>
    <row r="1134" spans="1:4" x14ac:dyDescent="0.25">
      <c r="A1134" t="s">
        <v>20</v>
      </c>
      <c r="B1134">
        <v>21</v>
      </c>
      <c r="C1134">
        <v>41</v>
      </c>
    </row>
    <row r="1135" spans="1:4" x14ac:dyDescent="0.25">
      <c r="A1135" t="s">
        <v>20</v>
      </c>
      <c r="B1135">
        <v>21</v>
      </c>
      <c r="C1135">
        <v>42</v>
      </c>
    </row>
    <row r="1136" spans="1:4" x14ac:dyDescent="0.25">
      <c r="A1136" t="s">
        <v>20</v>
      </c>
      <c r="B1136">
        <v>21</v>
      </c>
      <c r="C1136">
        <v>43</v>
      </c>
    </row>
    <row r="1137" spans="1:4" x14ac:dyDescent="0.25">
      <c r="A1137" t="s">
        <v>20</v>
      </c>
      <c r="B1137">
        <v>21</v>
      </c>
      <c r="C1137">
        <v>44</v>
      </c>
    </row>
    <row r="1138" spans="1:4" x14ac:dyDescent="0.25">
      <c r="A1138" t="s">
        <v>20</v>
      </c>
      <c r="B1138">
        <v>21</v>
      </c>
      <c r="C1138">
        <v>45</v>
      </c>
    </row>
    <row r="1139" spans="1:4" x14ac:dyDescent="0.25">
      <c r="A1139" t="s">
        <v>20</v>
      </c>
      <c r="B1139">
        <v>21</v>
      </c>
      <c r="C1139">
        <v>46</v>
      </c>
      <c r="D1139">
        <v>1</v>
      </c>
    </row>
    <row r="1140" spans="1:4" x14ac:dyDescent="0.25">
      <c r="A1140" t="s">
        <v>20</v>
      </c>
      <c r="B1140">
        <v>21</v>
      </c>
      <c r="C1140">
        <v>47</v>
      </c>
    </row>
    <row r="1141" spans="1:4" x14ac:dyDescent="0.25">
      <c r="A1141" t="s">
        <v>20</v>
      </c>
      <c r="B1141">
        <v>21</v>
      </c>
      <c r="C1141">
        <v>48</v>
      </c>
    </row>
    <row r="1142" spans="1:4" x14ac:dyDescent="0.25">
      <c r="A1142" t="s">
        <v>20</v>
      </c>
      <c r="B1142">
        <v>21</v>
      </c>
      <c r="C1142">
        <v>49</v>
      </c>
      <c r="D1142">
        <v>1</v>
      </c>
    </row>
    <row r="1143" spans="1:4" x14ac:dyDescent="0.25">
      <c r="A1143" t="s">
        <v>20</v>
      </c>
      <c r="B1143">
        <v>21</v>
      </c>
      <c r="C1143">
        <v>50</v>
      </c>
    </row>
    <row r="1144" spans="1:4" x14ac:dyDescent="0.25">
      <c r="A1144" t="s">
        <v>20</v>
      </c>
      <c r="B1144">
        <v>21</v>
      </c>
      <c r="C1144">
        <v>51</v>
      </c>
    </row>
    <row r="1145" spans="1:4" x14ac:dyDescent="0.25">
      <c r="A1145" t="s">
        <v>20</v>
      </c>
      <c r="B1145">
        <v>21</v>
      </c>
      <c r="C1145">
        <v>52</v>
      </c>
      <c r="D1145">
        <v>1</v>
      </c>
    </row>
    <row r="1146" spans="1:4" x14ac:dyDescent="0.25">
      <c r="A1146" t="s">
        <v>20</v>
      </c>
      <c r="B1146">
        <v>21</v>
      </c>
      <c r="C1146">
        <v>53</v>
      </c>
    </row>
    <row r="1147" spans="1:4" x14ac:dyDescent="0.25">
      <c r="A1147" t="s">
        <v>20</v>
      </c>
      <c r="B1147">
        <v>21</v>
      </c>
      <c r="C1147">
        <v>54</v>
      </c>
    </row>
    <row r="1148" spans="1:4" x14ac:dyDescent="0.25">
      <c r="A1148" t="s">
        <v>20</v>
      </c>
      <c r="B1148">
        <v>21</v>
      </c>
      <c r="C1148">
        <v>55</v>
      </c>
      <c r="D1148">
        <v>1</v>
      </c>
    </row>
    <row r="1149" spans="1:4" x14ac:dyDescent="0.25">
      <c r="A1149" t="s">
        <v>20</v>
      </c>
      <c r="B1149">
        <v>21</v>
      </c>
      <c r="C1149">
        <v>56</v>
      </c>
    </row>
    <row r="1150" spans="1:4" x14ac:dyDescent="0.25">
      <c r="A1150" t="s">
        <v>20</v>
      </c>
      <c r="B1150">
        <v>21</v>
      </c>
      <c r="C1150">
        <v>57</v>
      </c>
    </row>
    <row r="1151" spans="1:4" x14ac:dyDescent="0.25">
      <c r="A1151" t="s">
        <v>20</v>
      </c>
      <c r="B1151">
        <v>21</v>
      </c>
      <c r="C1151">
        <v>58</v>
      </c>
    </row>
    <row r="1152" spans="1:4" x14ac:dyDescent="0.25">
      <c r="A1152" t="s">
        <v>20</v>
      </c>
      <c r="B1152">
        <v>21</v>
      </c>
      <c r="C1152">
        <v>59</v>
      </c>
    </row>
    <row r="1153" spans="1:4" x14ac:dyDescent="0.25">
      <c r="A1153" t="s">
        <v>20</v>
      </c>
      <c r="B1153">
        <v>21</v>
      </c>
      <c r="C1153">
        <v>60</v>
      </c>
    </row>
    <row r="1154" spans="1:4" x14ac:dyDescent="0.25">
      <c r="A1154" t="s">
        <v>20</v>
      </c>
      <c r="B1154">
        <v>21</v>
      </c>
      <c r="C1154">
        <v>61</v>
      </c>
    </row>
    <row r="1155" spans="1:4" x14ac:dyDescent="0.25">
      <c r="A1155" t="s">
        <v>20</v>
      </c>
      <c r="B1155">
        <v>21</v>
      </c>
      <c r="C1155">
        <v>62</v>
      </c>
      <c r="D1155">
        <v>1</v>
      </c>
    </row>
    <row r="1156" spans="1:4" x14ac:dyDescent="0.25">
      <c r="A1156" t="s">
        <v>20</v>
      </c>
      <c r="B1156">
        <v>21</v>
      </c>
      <c r="C1156">
        <v>63</v>
      </c>
    </row>
    <row r="1157" spans="1:4" x14ac:dyDescent="0.25">
      <c r="A1157" t="s">
        <v>20</v>
      </c>
      <c r="B1157">
        <v>21</v>
      </c>
      <c r="C1157">
        <v>64</v>
      </c>
    </row>
    <row r="1158" spans="1:4" x14ac:dyDescent="0.25">
      <c r="A1158" t="s">
        <v>20</v>
      </c>
      <c r="B1158">
        <v>21</v>
      </c>
      <c r="C1158">
        <v>65</v>
      </c>
    </row>
    <row r="1159" spans="1:4" x14ac:dyDescent="0.25">
      <c r="A1159" t="s">
        <v>20</v>
      </c>
      <c r="B1159">
        <v>21</v>
      </c>
      <c r="C1159">
        <v>66</v>
      </c>
    </row>
    <row r="1160" spans="1:4" x14ac:dyDescent="0.25">
      <c r="A1160" t="s">
        <v>20</v>
      </c>
      <c r="B1160">
        <v>21</v>
      </c>
      <c r="C1160">
        <v>67</v>
      </c>
      <c r="D1160">
        <v>1</v>
      </c>
    </row>
    <row r="1161" spans="1:4" x14ac:dyDescent="0.25">
      <c r="A1161" t="s">
        <v>20</v>
      </c>
      <c r="B1161">
        <v>21</v>
      </c>
      <c r="C1161">
        <v>68</v>
      </c>
    </row>
    <row r="1162" spans="1:4" x14ac:dyDescent="0.25">
      <c r="A1162" t="s">
        <v>20</v>
      </c>
      <c r="B1162">
        <v>21</v>
      </c>
      <c r="C1162">
        <v>69</v>
      </c>
    </row>
    <row r="1163" spans="1:4" x14ac:dyDescent="0.25">
      <c r="A1163" t="s">
        <v>20</v>
      </c>
      <c r="B1163">
        <v>21</v>
      </c>
      <c r="C1163">
        <v>70</v>
      </c>
      <c r="D1163">
        <v>1</v>
      </c>
    </row>
    <row r="1164" spans="1:4" x14ac:dyDescent="0.25">
      <c r="A1164" t="s">
        <v>20</v>
      </c>
      <c r="B1164">
        <v>21</v>
      </c>
      <c r="C1164">
        <v>71</v>
      </c>
    </row>
    <row r="1165" spans="1:4" x14ac:dyDescent="0.25">
      <c r="A1165" t="s">
        <v>20</v>
      </c>
      <c r="B1165">
        <v>21</v>
      </c>
      <c r="C1165">
        <v>72</v>
      </c>
    </row>
    <row r="1166" spans="1:4" x14ac:dyDescent="0.25">
      <c r="A1166" t="s">
        <v>20</v>
      </c>
      <c r="B1166">
        <v>21</v>
      </c>
      <c r="C1166">
        <v>73</v>
      </c>
      <c r="D1166">
        <v>1</v>
      </c>
    </row>
    <row r="1167" spans="1:4" x14ac:dyDescent="0.25">
      <c r="A1167" t="s">
        <v>20</v>
      </c>
      <c r="B1167">
        <v>21</v>
      </c>
      <c r="C1167">
        <v>74</v>
      </c>
    </row>
    <row r="1168" spans="1:4" x14ac:dyDescent="0.25">
      <c r="A1168" t="s">
        <v>20</v>
      </c>
      <c r="B1168">
        <v>21</v>
      </c>
      <c r="C1168">
        <v>75</v>
      </c>
    </row>
    <row r="1169" spans="1:4" x14ac:dyDescent="0.25">
      <c r="A1169" t="s">
        <v>20</v>
      </c>
      <c r="B1169">
        <v>21</v>
      </c>
      <c r="C1169">
        <v>76</v>
      </c>
      <c r="D1169">
        <v>1</v>
      </c>
    </row>
    <row r="1170" spans="1:4" x14ac:dyDescent="0.25">
      <c r="A1170" t="s">
        <v>20</v>
      </c>
      <c r="B1170">
        <v>21</v>
      </c>
      <c r="C1170">
        <v>77</v>
      </c>
    </row>
    <row r="1171" spans="1:4" x14ac:dyDescent="0.25">
      <c r="A1171" t="s">
        <v>20</v>
      </c>
      <c r="B1171">
        <v>21</v>
      </c>
      <c r="C1171">
        <v>78</v>
      </c>
    </row>
    <row r="1172" spans="1:4" x14ac:dyDescent="0.25">
      <c r="A1172" t="s">
        <v>20</v>
      </c>
      <c r="B1172">
        <v>21</v>
      </c>
      <c r="C1172">
        <v>79</v>
      </c>
    </row>
    <row r="1173" spans="1:4" x14ac:dyDescent="0.25">
      <c r="A1173" t="s">
        <v>20</v>
      </c>
      <c r="B1173">
        <v>21</v>
      </c>
      <c r="C1173">
        <v>80</v>
      </c>
    </row>
    <row r="1174" spans="1:4" x14ac:dyDescent="0.25">
      <c r="A1174" t="s">
        <v>20</v>
      </c>
      <c r="B1174">
        <v>21</v>
      </c>
      <c r="C1174">
        <v>81</v>
      </c>
    </row>
    <row r="1175" spans="1:4" x14ac:dyDescent="0.25">
      <c r="A1175" t="s">
        <v>20</v>
      </c>
      <c r="B1175">
        <v>21</v>
      </c>
      <c r="C1175">
        <v>82</v>
      </c>
    </row>
    <row r="1176" spans="1:4" x14ac:dyDescent="0.25">
      <c r="A1176" t="s">
        <v>20</v>
      </c>
      <c r="B1176">
        <v>21</v>
      </c>
      <c r="C1176">
        <v>83</v>
      </c>
    </row>
    <row r="1177" spans="1:4" x14ac:dyDescent="0.25">
      <c r="A1177" t="s">
        <v>20</v>
      </c>
      <c r="B1177">
        <v>21</v>
      </c>
      <c r="C1177">
        <v>84</v>
      </c>
    </row>
    <row r="1178" spans="1:4" x14ac:dyDescent="0.25">
      <c r="A1178" t="s">
        <v>20</v>
      </c>
      <c r="B1178">
        <v>22</v>
      </c>
      <c r="C1178">
        <v>1</v>
      </c>
    </row>
    <row r="1179" spans="1:4" x14ac:dyDescent="0.25">
      <c r="A1179" t="s">
        <v>20</v>
      </c>
      <c r="B1179">
        <v>22</v>
      </c>
      <c r="C1179">
        <v>2</v>
      </c>
    </row>
    <row r="1180" spans="1:4" x14ac:dyDescent="0.25">
      <c r="A1180" t="s">
        <v>20</v>
      </c>
      <c r="B1180">
        <v>22</v>
      </c>
      <c r="C1180">
        <v>3</v>
      </c>
    </row>
    <row r="1181" spans="1:4" x14ac:dyDescent="0.25">
      <c r="A1181" t="s">
        <v>20</v>
      </c>
      <c r="B1181">
        <v>22</v>
      </c>
      <c r="C1181">
        <v>4</v>
      </c>
      <c r="D1181">
        <v>1</v>
      </c>
    </row>
    <row r="1182" spans="1:4" x14ac:dyDescent="0.25">
      <c r="A1182" t="s">
        <v>20</v>
      </c>
      <c r="B1182">
        <v>22</v>
      </c>
      <c r="C1182">
        <v>5</v>
      </c>
    </row>
    <row r="1183" spans="1:4" x14ac:dyDescent="0.25">
      <c r="A1183" t="s">
        <v>20</v>
      </c>
      <c r="B1183">
        <v>22</v>
      </c>
      <c r="C1183">
        <v>6</v>
      </c>
    </row>
    <row r="1184" spans="1:4" x14ac:dyDescent="0.25">
      <c r="A1184" t="s">
        <v>20</v>
      </c>
      <c r="B1184">
        <v>22</v>
      </c>
      <c r="C1184">
        <v>7</v>
      </c>
      <c r="D1184">
        <v>1</v>
      </c>
    </row>
    <row r="1185" spans="1:4" x14ac:dyDescent="0.25">
      <c r="A1185" t="s">
        <v>20</v>
      </c>
      <c r="B1185">
        <v>22</v>
      </c>
      <c r="C1185">
        <v>8</v>
      </c>
    </row>
    <row r="1186" spans="1:4" x14ac:dyDescent="0.25">
      <c r="A1186" t="s">
        <v>20</v>
      </c>
      <c r="B1186">
        <v>22</v>
      </c>
      <c r="C1186">
        <v>9</v>
      </c>
    </row>
    <row r="1187" spans="1:4" x14ac:dyDescent="0.25">
      <c r="A1187" t="s">
        <v>20</v>
      </c>
      <c r="B1187">
        <v>22</v>
      </c>
      <c r="C1187">
        <v>10</v>
      </c>
      <c r="D1187">
        <v>1</v>
      </c>
    </row>
    <row r="1188" spans="1:4" x14ac:dyDescent="0.25">
      <c r="A1188" t="s">
        <v>20</v>
      </c>
      <c r="B1188">
        <v>22</v>
      </c>
      <c r="C1188">
        <v>11</v>
      </c>
    </row>
    <row r="1189" spans="1:4" x14ac:dyDescent="0.25">
      <c r="A1189" t="s">
        <v>20</v>
      </c>
      <c r="B1189">
        <v>22</v>
      </c>
      <c r="C1189">
        <v>12</v>
      </c>
    </row>
    <row r="1190" spans="1:4" x14ac:dyDescent="0.25">
      <c r="A1190" t="s">
        <v>20</v>
      </c>
      <c r="B1190">
        <v>22</v>
      </c>
      <c r="C1190">
        <v>13</v>
      </c>
    </row>
    <row r="1191" spans="1:4" x14ac:dyDescent="0.25">
      <c r="A1191" t="s">
        <v>20</v>
      </c>
      <c r="B1191">
        <v>22</v>
      </c>
      <c r="C1191">
        <v>14</v>
      </c>
    </row>
    <row r="1192" spans="1:4" x14ac:dyDescent="0.25">
      <c r="A1192" t="s">
        <v>20</v>
      </c>
      <c r="B1192">
        <v>22</v>
      </c>
      <c r="C1192">
        <v>15</v>
      </c>
    </row>
    <row r="1193" spans="1:4" x14ac:dyDescent="0.25">
      <c r="A1193" t="s">
        <v>20</v>
      </c>
      <c r="B1193">
        <v>22</v>
      </c>
      <c r="C1193">
        <v>16</v>
      </c>
    </row>
    <row r="1194" spans="1:4" x14ac:dyDescent="0.25">
      <c r="A1194" t="s">
        <v>20</v>
      </c>
      <c r="B1194">
        <v>22</v>
      </c>
      <c r="C1194">
        <v>17</v>
      </c>
    </row>
    <row r="1195" spans="1:4" x14ac:dyDescent="0.25">
      <c r="A1195" t="s">
        <v>20</v>
      </c>
      <c r="B1195">
        <v>22</v>
      </c>
      <c r="C1195">
        <v>18</v>
      </c>
    </row>
    <row r="1196" spans="1:4" x14ac:dyDescent="0.25">
      <c r="A1196" t="s">
        <v>20</v>
      </c>
      <c r="B1196">
        <v>22</v>
      </c>
      <c r="C1196">
        <v>19</v>
      </c>
    </row>
    <row r="1197" spans="1:4" x14ac:dyDescent="0.25">
      <c r="A1197" t="s">
        <v>20</v>
      </c>
      <c r="B1197">
        <v>22</v>
      </c>
      <c r="C1197">
        <v>20</v>
      </c>
    </row>
    <row r="1198" spans="1:4" x14ac:dyDescent="0.25">
      <c r="A1198" t="s">
        <v>20</v>
      </c>
      <c r="B1198">
        <v>22</v>
      </c>
      <c r="C1198">
        <v>21</v>
      </c>
    </row>
    <row r="1199" spans="1:4" x14ac:dyDescent="0.25">
      <c r="A1199" t="s">
        <v>20</v>
      </c>
      <c r="B1199">
        <v>22</v>
      </c>
      <c r="C1199">
        <v>22</v>
      </c>
    </row>
    <row r="1200" spans="1:4" x14ac:dyDescent="0.25">
      <c r="A1200" t="s">
        <v>20</v>
      </c>
      <c r="B1200">
        <v>22</v>
      </c>
      <c r="C1200">
        <v>23</v>
      </c>
    </row>
    <row r="1201" spans="1:4" x14ac:dyDescent="0.25">
      <c r="A1201" t="s">
        <v>20</v>
      </c>
      <c r="B1201">
        <v>22</v>
      </c>
      <c r="C1201">
        <v>24</v>
      </c>
      <c r="D1201">
        <v>1</v>
      </c>
    </row>
    <row r="1202" spans="1:4" x14ac:dyDescent="0.25">
      <c r="A1202" t="s">
        <v>20</v>
      </c>
      <c r="B1202">
        <v>22</v>
      </c>
      <c r="C1202">
        <v>25</v>
      </c>
    </row>
    <row r="1203" spans="1:4" x14ac:dyDescent="0.25">
      <c r="A1203" t="s">
        <v>20</v>
      </c>
      <c r="B1203">
        <v>22</v>
      </c>
      <c r="C1203">
        <v>26</v>
      </c>
    </row>
    <row r="1204" spans="1:4" x14ac:dyDescent="0.25">
      <c r="A1204" t="s">
        <v>20</v>
      </c>
      <c r="B1204">
        <v>22</v>
      </c>
      <c r="C1204">
        <v>27</v>
      </c>
    </row>
    <row r="1205" spans="1:4" x14ac:dyDescent="0.25">
      <c r="A1205" t="s">
        <v>20</v>
      </c>
      <c r="B1205">
        <v>22</v>
      </c>
      <c r="C1205">
        <v>28</v>
      </c>
      <c r="D1205">
        <v>1</v>
      </c>
    </row>
    <row r="1206" spans="1:4" x14ac:dyDescent="0.25">
      <c r="A1206" t="s">
        <v>20</v>
      </c>
      <c r="B1206">
        <v>22</v>
      </c>
      <c r="C1206">
        <v>29</v>
      </c>
    </row>
    <row r="1207" spans="1:4" x14ac:dyDescent="0.25">
      <c r="A1207" t="s">
        <v>20</v>
      </c>
      <c r="B1207">
        <v>22</v>
      </c>
      <c r="C1207">
        <v>30</v>
      </c>
    </row>
    <row r="1208" spans="1:4" x14ac:dyDescent="0.25">
      <c r="A1208" t="s">
        <v>20</v>
      </c>
      <c r="B1208">
        <v>22</v>
      </c>
      <c r="C1208">
        <v>31</v>
      </c>
      <c r="D1208">
        <v>1</v>
      </c>
    </row>
    <row r="1209" spans="1:4" x14ac:dyDescent="0.25">
      <c r="A1209" t="s">
        <v>20</v>
      </c>
      <c r="B1209">
        <v>22</v>
      </c>
      <c r="C1209">
        <v>32</v>
      </c>
    </row>
    <row r="1210" spans="1:4" x14ac:dyDescent="0.25">
      <c r="A1210" t="s">
        <v>20</v>
      </c>
      <c r="B1210">
        <v>22</v>
      </c>
      <c r="C1210">
        <v>33</v>
      </c>
    </row>
    <row r="1211" spans="1:4" x14ac:dyDescent="0.25">
      <c r="A1211" t="s">
        <v>20</v>
      </c>
      <c r="B1211">
        <v>22</v>
      </c>
      <c r="C1211">
        <v>34</v>
      </c>
    </row>
    <row r="1212" spans="1:4" x14ac:dyDescent="0.25">
      <c r="A1212" t="s">
        <v>20</v>
      </c>
      <c r="B1212">
        <v>22</v>
      </c>
      <c r="C1212">
        <v>35</v>
      </c>
    </row>
    <row r="1213" spans="1:4" x14ac:dyDescent="0.25">
      <c r="A1213" t="s">
        <v>20</v>
      </c>
      <c r="B1213">
        <v>22</v>
      </c>
      <c r="C1213">
        <v>36</v>
      </c>
    </row>
    <row r="1214" spans="1:4" x14ac:dyDescent="0.25">
      <c r="A1214" t="s">
        <v>20</v>
      </c>
      <c r="B1214">
        <v>22</v>
      </c>
      <c r="C1214">
        <v>37</v>
      </c>
    </row>
    <row r="1215" spans="1:4" x14ac:dyDescent="0.25">
      <c r="A1215" t="s">
        <v>20</v>
      </c>
      <c r="B1215">
        <v>22</v>
      </c>
      <c r="C1215">
        <v>38</v>
      </c>
    </row>
    <row r="1216" spans="1:4" x14ac:dyDescent="0.25">
      <c r="A1216" t="s">
        <v>20</v>
      </c>
      <c r="B1216">
        <v>22</v>
      </c>
      <c r="C1216">
        <v>39</v>
      </c>
    </row>
    <row r="1217" spans="1:4" x14ac:dyDescent="0.25">
      <c r="A1217" t="s">
        <v>20</v>
      </c>
      <c r="B1217">
        <v>22</v>
      </c>
      <c r="C1217">
        <v>40</v>
      </c>
    </row>
    <row r="1218" spans="1:4" x14ac:dyDescent="0.25">
      <c r="A1218" t="s">
        <v>20</v>
      </c>
      <c r="B1218">
        <v>22</v>
      </c>
      <c r="C1218">
        <v>41</v>
      </c>
    </row>
    <row r="1219" spans="1:4" x14ac:dyDescent="0.25">
      <c r="A1219" t="s">
        <v>20</v>
      </c>
      <c r="B1219">
        <v>22</v>
      </c>
      <c r="C1219">
        <v>42</v>
      </c>
      <c r="D1219">
        <v>1</v>
      </c>
    </row>
    <row r="1220" spans="1:4" x14ac:dyDescent="0.25">
      <c r="A1220" t="s">
        <v>20</v>
      </c>
      <c r="B1220">
        <v>22</v>
      </c>
      <c r="C1220">
        <v>43</v>
      </c>
    </row>
    <row r="1221" spans="1:4" x14ac:dyDescent="0.25">
      <c r="A1221" t="s">
        <v>20</v>
      </c>
      <c r="B1221">
        <v>22</v>
      </c>
      <c r="C1221">
        <v>44</v>
      </c>
    </row>
    <row r="1222" spans="1:4" x14ac:dyDescent="0.25">
      <c r="A1222" t="s">
        <v>20</v>
      </c>
      <c r="B1222">
        <v>22</v>
      </c>
      <c r="C1222">
        <v>45</v>
      </c>
    </row>
    <row r="1223" spans="1:4" x14ac:dyDescent="0.25">
      <c r="A1223" t="s">
        <v>20</v>
      </c>
      <c r="B1223">
        <v>22</v>
      </c>
      <c r="C1223">
        <v>46</v>
      </c>
      <c r="D1223">
        <v>1</v>
      </c>
    </row>
    <row r="1224" spans="1:4" x14ac:dyDescent="0.25">
      <c r="A1224" t="s">
        <v>20</v>
      </c>
      <c r="B1224">
        <v>22</v>
      </c>
      <c r="C1224">
        <v>47</v>
      </c>
    </row>
    <row r="1225" spans="1:4" x14ac:dyDescent="0.25">
      <c r="A1225" t="s">
        <v>20</v>
      </c>
      <c r="B1225">
        <v>22</v>
      </c>
      <c r="C1225">
        <v>48</v>
      </c>
    </row>
    <row r="1226" spans="1:4" x14ac:dyDescent="0.25">
      <c r="A1226" t="s">
        <v>20</v>
      </c>
      <c r="B1226">
        <v>22</v>
      </c>
      <c r="C1226">
        <v>49</v>
      </c>
      <c r="D1226">
        <v>1</v>
      </c>
    </row>
    <row r="1227" spans="1:4" x14ac:dyDescent="0.25">
      <c r="A1227" t="s">
        <v>20</v>
      </c>
      <c r="B1227">
        <v>22</v>
      </c>
      <c r="C1227">
        <v>50</v>
      </c>
    </row>
    <row r="1228" spans="1:4" x14ac:dyDescent="0.25">
      <c r="A1228" t="s">
        <v>20</v>
      </c>
      <c r="B1228">
        <v>22</v>
      </c>
      <c r="C1228">
        <v>51</v>
      </c>
    </row>
    <row r="1229" spans="1:4" x14ac:dyDescent="0.25">
      <c r="A1229" t="s">
        <v>20</v>
      </c>
      <c r="B1229">
        <v>22</v>
      </c>
      <c r="C1229">
        <v>52</v>
      </c>
      <c r="D1229">
        <v>1</v>
      </c>
    </row>
    <row r="1230" spans="1:4" x14ac:dyDescent="0.25">
      <c r="A1230" t="s">
        <v>20</v>
      </c>
      <c r="B1230">
        <v>22</v>
      </c>
      <c r="C1230">
        <v>53</v>
      </c>
    </row>
    <row r="1231" spans="1:4" x14ac:dyDescent="0.25">
      <c r="A1231" t="s">
        <v>20</v>
      </c>
      <c r="B1231">
        <v>22</v>
      </c>
      <c r="C1231">
        <v>54</v>
      </c>
    </row>
    <row r="1232" spans="1:4" x14ac:dyDescent="0.25">
      <c r="A1232" t="s">
        <v>20</v>
      </c>
      <c r="B1232">
        <v>22</v>
      </c>
      <c r="C1232">
        <v>55</v>
      </c>
    </row>
    <row r="1233" spans="1:4" x14ac:dyDescent="0.25">
      <c r="A1233" t="s">
        <v>20</v>
      </c>
      <c r="B1233">
        <v>22</v>
      </c>
      <c r="C1233">
        <v>56</v>
      </c>
    </row>
    <row r="1234" spans="1:4" x14ac:dyDescent="0.25">
      <c r="A1234" t="s">
        <v>20</v>
      </c>
      <c r="B1234">
        <v>22</v>
      </c>
      <c r="C1234">
        <v>57</v>
      </c>
      <c r="D1234">
        <v>1</v>
      </c>
    </row>
    <row r="1235" spans="1:4" x14ac:dyDescent="0.25">
      <c r="A1235" t="s">
        <v>20</v>
      </c>
      <c r="B1235">
        <v>22</v>
      </c>
      <c r="C1235">
        <v>58</v>
      </c>
    </row>
    <row r="1236" spans="1:4" x14ac:dyDescent="0.25">
      <c r="A1236" t="s">
        <v>20</v>
      </c>
      <c r="B1236">
        <v>22</v>
      </c>
      <c r="C1236">
        <v>59</v>
      </c>
    </row>
    <row r="1237" spans="1:4" x14ac:dyDescent="0.25">
      <c r="A1237" t="s">
        <v>20</v>
      </c>
      <c r="B1237">
        <v>22</v>
      </c>
      <c r="C1237">
        <v>60</v>
      </c>
    </row>
    <row r="1238" spans="1:4" x14ac:dyDescent="0.25">
      <c r="A1238" t="s">
        <v>20</v>
      </c>
      <c r="B1238">
        <v>22</v>
      </c>
      <c r="C1238">
        <v>61</v>
      </c>
    </row>
    <row r="1239" spans="1:4" x14ac:dyDescent="0.25">
      <c r="A1239" t="s">
        <v>20</v>
      </c>
      <c r="B1239">
        <v>22</v>
      </c>
      <c r="C1239">
        <v>62</v>
      </c>
    </row>
    <row r="1240" spans="1:4" x14ac:dyDescent="0.25">
      <c r="A1240" t="s">
        <v>20</v>
      </c>
      <c r="B1240">
        <v>22</v>
      </c>
      <c r="C1240">
        <v>63</v>
      </c>
      <c r="D1240">
        <v>1</v>
      </c>
    </row>
    <row r="1241" spans="1:4" x14ac:dyDescent="0.25">
      <c r="A1241" t="s">
        <v>20</v>
      </c>
      <c r="B1241">
        <v>22</v>
      </c>
      <c r="C1241">
        <v>64</v>
      </c>
    </row>
    <row r="1242" spans="1:4" x14ac:dyDescent="0.25">
      <c r="A1242" t="s">
        <v>20</v>
      </c>
      <c r="B1242">
        <v>22</v>
      </c>
      <c r="C1242">
        <v>65</v>
      </c>
    </row>
    <row r="1243" spans="1:4" x14ac:dyDescent="0.25">
      <c r="A1243" t="s">
        <v>20</v>
      </c>
      <c r="B1243">
        <v>22</v>
      </c>
      <c r="C1243">
        <v>66</v>
      </c>
      <c r="D1243">
        <v>1</v>
      </c>
    </row>
    <row r="1244" spans="1:4" x14ac:dyDescent="0.25">
      <c r="A1244" t="s">
        <v>20</v>
      </c>
      <c r="B1244">
        <v>22</v>
      </c>
      <c r="C1244">
        <v>67</v>
      </c>
    </row>
    <row r="1245" spans="1:4" x14ac:dyDescent="0.25">
      <c r="A1245" t="s">
        <v>20</v>
      </c>
      <c r="B1245">
        <v>22</v>
      </c>
      <c r="C1245">
        <v>68</v>
      </c>
    </row>
    <row r="1246" spans="1:4" x14ac:dyDescent="0.25">
      <c r="A1246" t="s">
        <v>20</v>
      </c>
      <c r="B1246">
        <v>22</v>
      </c>
      <c r="C1246">
        <v>69</v>
      </c>
      <c r="D1246">
        <v>1</v>
      </c>
    </row>
    <row r="1247" spans="1:4" x14ac:dyDescent="0.25">
      <c r="A1247" t="s">
        <v>20</v>
      </c>
      <c r="B1247">
        <v>22</v>
      </c>
      <c r="C1247">
        <v>70</v>
      </c>
      <c r="D1247">
        <v>1</v>
      </c>
    </row>
    <row r="1248" spans="1:4" x14ac:dyDescent="0.25">
      <c r="A1248" t="s">
        <v>20</v>
      </c>
      <c r="B1248">
        <v>22</v>
      </c>
      <c r="C1248">
        <v>71</v>
      </c>
    </row>
    <row r="1249" spans="1:4" x14ac:dyDescent="0.25">
      <c r="A1249" t="s">
        <v>20</v>
      </c>
      <c r="B1249">
        <v>22</v>
      </c>
      <c r="C1249">
        <v>72</v>
      </c>
    </row>
    <row r="1250" spans="1:4" x14ac:dyDescent="0.25">
      <c r="A1250" t="s">
        <v>20</v>
      </c>
      <c r="B1250">
        <v>22</v>
      </c>
      <c r="C1250">
        <v>73</v>
      </c>
      <c r="D1250">
        <v>1</v>
      </c>
    </row>
    <row r="1251" spans="1:4" x14ac:dyDescent="0.25">
      <c r="A1251" t="s">
        <v>20</v>
      </c>
      <c r="B1251">
        <v>22</v>
      </c>
      <c r="C1251">
        <v>74</v>
      </c>
    </row>
    <row r="1252" spans="1:4" x14ac:dyDescent="0.25">
      <c r="A1252" t="s">
        <v>20</v>
      </c>
      <c r="B1252">
        <v>22</v>
      </c>
      <c r="C1252">
        <v>75</v>
      </c>
    </row>
    <row r="1253" spans="1:4" x14ac:dyDescent="0.25">
      <c r="A1253" t="s">
        <v>20</v>
      </c>
      <c r="B1253">
        <v>22</v>
      </c>
      <c r="C1253">
        <v>76</v>
      </c>
    </row>
    <row r="1254" spans="1:4" x14ac:dyDescent="0.25">
      <c r="A1254" t="s">
        <v>20</v>
      </c>
      <c r="B1254">
        <v>22</v>
      </c>
      <c r="C1254">
        <v>77</v>
      </c>
    </row>
    <row r="1255" spans="1:4" x14ac:dyDescent="0.25">
      <c r="A1255" t="s">
        <v>20</v>
      </c>
      <c r="B1255">
        <v>22</v>
      </c>
      <c r="C1255">
        <v>78</v>
      </c>
      <c r="D1255">
        <v>1</v>
      </c>
    </row>
    <row r="1256" spans="1:4" x14ac:dyDescent="0.25">
      <c r="A1256" t="s">
        <v>20</v>
      </c>
      <c r="B1256">
        <v>22</v>
      </c>
      <c r="C1256">
        <v>79</v>
      </c>
    </row>
    <row r="1257" spans="1:4" x14ac:dyDescent="0.25">
      <c r="A1257" t="s">
        <v>20</v>
      </c>
      <c r="B1257">
        <v>22</v>
      </c>
      <c r="C1257">
        <v>80</v>
      </c>
    </row>
    <row r="1258" spans="1:4" x14ac:dyDescent="0.25">
      <c r="A1258" t="s">
        <v>20</v>
      </c>
      <c r="B1258">
        <v>22</v>
      </c>
      <c r="C1258">
        <v>81</v>
      </c>
    </row>
    <row r="1259" spans="1:4" x14ac:dyDescent="0.25">
      <c r="A1259" t="s">
        <v>20</v>
      </c>
      <c r="B1259">
        <v>22</v>
      </c>
      <c r="C1259">
        <v>82</v>
      </c>
    </row>
    <row r="1260" spans="1:4" x14ac:dyDescent="0.25">
      <c r="A1260" t="s">
        <v>20</v>
      </c>
      <c r="B1260">
        <v>22</v>
      </c>
      <c r="C1260">
        <v>83</v>
      </c>
    </row>
    <row r="1261" spans="1:4" x14ac:dyDescent="0.25">
      <c r="A1261" t="s">
        <v>20</v>
      </c>
      <c r="B1261">
        <v>22</v>
      </c>
      <c r="C1261">
        <v>84</v>
      </c>
    </row>
    <row r="1262" spans="1:4" x14ac:dyDescent="0.25">
      <c r="A1262" t="s">
        <v>20</v>
      </c>
      <c r="B1262">
        <v>24</v>
      </c>
      <c r="C1262">
        <v>1</v>
      </c>
    </row>
    <row r="1263" spans="1:4" x14ac:dyDescent="0.25">
      <c r="A1263" t="s">
        <v>20</v>
      </c>
      <c r="B1263">
        <v>24</v>
      </c>
      <c r="C1263">
        <v>2</v>
      </c>
      <c r="D1263">
        <v>1</v>
      </c>
    </row>
    <row r="1264" spans="1:4" x14ac:dyDescent="0.25">
      <c r="A1264" t="s">
        <v>20</v>
      </c>
      <c r="B1264">
        <v>24</v>
      </c>
      <c r="C1264">
        <v>3</v>
      </c>
    </row>
    <row r="1265" spans="1:4" x14ac:dyDescent="0.25">
      <c r="A1265" t="s">
        <v>20</v>
      </c>
      <c r="B1265">
        <v>24</v>
      </c>
      <c r="C1265">
        <v>4</v>
      </c>
    </row>
    <row r="1266" spans="1:4" x14ac:dyDescent="0.25">
      <c r="A1266" t="s">
        <v>20</v>
      </c>
      <c r="B1266">
        <v>24</v>
      </c>
      <c r="C1266">
        <v>5</v>
      </c>
    </row>
    <row r="1267" spans="1:4" x14ac:dyDescent="0.25">
      <c r="A1267" t="s">
        <v>20</v>
      </c>
      <c r="B1267">
        <v>24</v>
      </c>
      <c r="C1267">
        <v>6</v>
      </c>
    </row>
    <row r="1268" spans="1:4" x14ac:dyDescent="0.25">
      <c r="A1268" t="s">
        <v>20</v>
      </c>
      <c r="B1268">
        <v>24</v>
      </c>
      <c r="C1268">
        <v>7</v>
      </c>
    </row>
    <row r="1269" spans="1:4" x14ac:dyDescent="0.25">
      <c r="A1269" t="s">
        <v>20</v>
      </c>
      <c r="B1269">
        <v>24</v>
      </c>
      <c r="C1269">
        <v>8</v>
      </c>
      <c r="D1269">
        <v>1</v>
      </c>
    </row>
    <row r="1270" spans="1:4" x14ac:dyDescent="0.25">
      <c r="A1270" t="s">
        <v>20</v>
      </c>
      <c r="B1270">
        <v>24</v>
      </c>
      <c r="C1270">
        <v>9</v>
      </c>
    </row>
    <row r="1271" spans="1:4" x14ac:dyDescent="0.25">
      <c r="A1271" t="s">
        <v>20</v>
      </c>
      <c r="B1271">
        <v>24</v>
      </c>
      <c r="C1271">
        <v>10</v>
      </c>
    </row>
    <row r="1272" spans="1:4" x14ac:dyDescent="0.25">
      <c r="A1272" t="s">
        <v>20</v>
      </c>
      <c r="B1272">
        <v>24</v>
      </c>
      <c r="C1272">
        <v>11</v>
      </c>
      <c r="D1272">
        <v>1</v>
      </c>
    </row>
    <row r="1273" spans="1:4" x14ac:dyDescent="0.25">
      <c r="A1273" t="s">
        <v>20</v>
      </c>
      <c r="B1273">
        <v>24</v>
      </c>
      <c r="C1273">
        <v>12</v>
      </c>
    </row>
    <row r="1274" spans="1:4" x14ac:dyDescent="0.25">
      <c r="A1274" t="s">
        <v>20</v>
      </c>
      <c r="B1274">
        <v>24</v>
      </c>
      <c r="C1274">
        <v>13</v>
      </c>
    </row>
    <row r="1275" spans="1:4" x14ac:dyDescent="0.25">
      <c r="A1275" t="s">
        <v>20</v>
      </c>
      <c r="B1275">
        <v>24</v>
      </c>
      <c r="C1275">
        <v>14</v>
      </c>
      <c r="D1275">
        <v>1</v>
      </c>
    </row>
    <row r="1276" spans="1:4" x14ac:dyDescent="0.25">
      <c r="A1276" t="s">
        <v>20</v>
      </c>
      <c r="B1276">
        <v>24</v>
      </c>
      <c r="C1276">
        <v>15</v>
      </c>
    </row>
    <row r="1277" spans="1:4" x14ac:dyDescent="0.25">
      <c r="A1277" t="s">
        <v>20</v>
      </c>
      <c r="B1277">
        <v>24</v>
      </c>
      <c r="C1277">
        <v>16</v>
      </c>
    </row>
    <row r="1278" spans="1:4" x14ac:dyDescent="0.25">
      <c r="A1278" t="s">
        <v>20</v>
      </c>
      <c r="B1278">
        <v>24</v>
      </c>
      <c r="C1278">
        <v>17</v>
      </c>
      <c r="D1278">
        <v>1</v>
      </c>
    </row>
    <row r="1279" spans="1:4" x14ac:dyDescent="0.25">
      <c r="A1279" t="s">
        <v>20</v>
      </c>
      <c r="B1279">
        <v>24</v>
      </c>
      <c r="C1279">
        <v>18</v>
      </c>
    </row>
    <row r="1280" spans="1:4" x14ac:dyDescent="0.25">
      <c r="A1280" t="s">
        <v>20</v>
      </c>
      <c r="B1280">
        <v>24</v>
      </c>
      <c r="C1280">
        <v>19</v>
      </c>
    </row>
    <row r="1281" spans="1:4" x14ac:dyDescent="0.25">
      <c r="A1281" t="s">
        <v>20</v>
      </c>
      <c r="B1281">
        <v>24</v>
      </c>
      <c r="C1281">
        <v>20</v>
      </c>
    </row>
    <row r="1282" spans="1:4" x14ac:dyDescent="0.25">
      <c r="A1282" t="s">
        <v>20</v>
      </c>
      <c r="B1282">
        <v>24</v>
      </c>
      <c r="C1282">
        <v>21</v>
      </c>
    </row>
    <row r="1283" spans="1:4" x14ac:dyDescent="0.25">
      <c r="A1283" t="s">
        <v>20</v>
      </c>
      <c r="B1283">
        <v>24</v>
      </c>
      <c r="C1283">
        <v>22</v>
      </c>
    </row>
    <row r="1284" spans="1:4" x14ac:dyDescent="0.25">
      <c r="A1284" t="s">
        <v>20</v>
      </c>
      <c r="B1284">
        <v>24</v>
      </c>
      <c r="C1284">
        <v>23</v>
      </c>
    </row>
    <row r="1285" spans="1:4" x14ac:dyDescent="0.25">
      <c r="A1285" t="s">
        <v>20</v>
      </c>
      <c r="B1285">
        <v>24</v>
      </c>
      <c r="C1285">
        <v>24</v>
      </c>
    </row>
    <row r="1286" spans="1:4" x14ac:dyDescent="0.25">
      <c r="A1286" t="s">
        <v>20</v>
      </c>
      <c r="B1286">
        <v>24</v>
      </c>
      <c r="C1286">
        <v>25</v>
      </c>
    </row>
    <row r="1287" spans="1:4" x14ac:dyDescent="0.25">
      <c r="A1287" t="s">
        <v>20</v>
      </c>
      <c r="B1287">
        <v>24</v>
      </c>
      <c r="C1287">
        <v>26</v>
      </c>
    </row>
    <row r="1288" spans="1:4" x14ac:dyDescent="0.25">
      <c r="A1288" t="s">
        <v>20</v>
      </c>
      <c r="B1288">
        <v>24</v>
      </c>
      <c r="C1288">
        <v>27</v>
      </c>
    </row>
    <row r="1289" spans="1:4" x14ac:dyDescent="0.25">
      <c r="A1289" t="s">
        <v>20</v>
      </c>
      <c r="B1289">
        <v>24</v>
      </c>
      <c r="C1289">
        <v>28</v>
      </c>
    </row>
    <row r="1290" spans="1:4" x14ac:dyDescent="0.25">
      <c r="A1290" t="s">
        <v>20</v>
      </c>
      <c r="B1290">
        <v>24</v>
      </c>
      <c r="C1290">
        <v>29</v>
      </c>
      <c r="D1290">
        <v>1</v>
      </c>
    </row>
    <row r="1291" spans="1:4" x14ac:dyDescent="0.25">
      <c r="A1291" t="s">
        <v>20</v>
      </c>
      <c r="B1291">
        <v>24</v>
      </c>
      <c r="C1291">
        <v>30</v>
      </c>
    </row>
    <row r="1292" spans="1:4" x14ac:dyDescent="0.25">
      <c r="A1292" t="s">
        <v>20</v>
      </c>
      <c r="B1292">
        <v>24</v>
      </c>
      <c r="C1292">
        <v>31</v>
      </c>
    </row>
    <row r="1293" spans="1:4" x14ac:dyDescent="0.25">
      <c r="A1293" t="s">
        <v>20</v>
      </c>
      <c r="B1293">
        <v>24</v>
      </c>
      <c r="C1293">
        <v>32</v>
      </c>
      <c r="D1293">
        <v>1</v>
      </c>
    </row>
    <row r="1294" spans="1:4" x14ac:dyDescent="0.25">
      <c r="A1294" t="s">
        <v>20</v>
      </c>
      <c r="B1294">
        <v>24</v>
      </c>
      <c r="C1294">
        <v>33</v>
      </c>
    </row>
    <row r="1295" spans="1:4" x14ac:dyDescent="0.25">
      <c r="A1295" t="s">
        <v>20</v>
      </c>
      <c r="B1295">
        <v>24</v>
      </c>
      <c r="C1295">
        <v>34</v>
      </c>
    </row>
    <row r="1296" spans="1:4" x14ac:dyDescent="0.25">
      <c r="A1296" t="s">
        <v>20</v>
      </c>
      <c r="B1296">
        <v>24</v>
      </c>
      <c r="C1296">
        <v>35</v>
      </c>
      <c r="D1296">
        <v>1</v>
      </c>
    </row>
    <row r="1297" spans="1:4" x14ac:dyDescent="0.25">
      <c r="A1297" t="s">
        <v>20</v>
      </c>
      <c r="B1297">
        <v>24</v>
      </c>
      <c r="C1297">
        <v>36</v>
      </c>
    </row>
    <row r="1298" spans="1:4" x14ac:dyDescent="0.25">
      <c r="A1298" t="s">
        <v>20</v>
      </c>
      <c r="B1298">
        <v>24</v>
      </c>
      <c r="C1298">
        <v>37</v>
      </c>
    </row>
    <row r="1299" spans="1:4" x14ac:dyDescent="0.25">
      <c r="A1299" t="s">
        <v>20</v>
      </c>
      <c r="B1299">
        <v>24</v>
      </c>
      <c r="C1299">
        <v>38</v>
      </c>
      <c r="D1299">
        <v>1</v>
      </c>
    </row>
    <row r="1300" spans="1:4" x14ac:dyDescent="0.25">
      <c r="A1300" t="s">
        <v>20</v>
      </c>
      <c r="B1300">
        <v>24</v>
      </c>
      <c r="C1300">
        <v>39</v>
      </c>
    </row>
    <row r="1301" spans="1:4" x14ac:dyDescent="0.25">
      <c r="A1301" t="s">
        <v>20</v>
      </c>
      <c r="B1301">
        <v>24</v>
      </c>
      <c r="C1301">
        <v>40</v>
      </c>
    </row>
    <row r="1302" spans="1:4" x14ac:dyDescent="0.25">
      <c r="A1302" t="s">
        <v>20</v>
      </c>
      <c r="B1302">
        <v>24</v>
      </c>
      <c r="C1302">
        <v>41</v>
      </c>
      <c r="D1302">
        <v>1</v>
      </c>
    </row>
    <row r="1303" spans="1:4" x14ac:dyDescent="0.25">
      <c r="A1303" t="s">
        <v>20</v>
      </c>
      <c r="B1303">
        <v>24</v>
      </c>
      <c r="C1303">
        <v>42</v>
      </c>
    </row>
    <row r="1304" spans="1:4" x14ac:dyDescent="0.25">
      <c r="A1304" t="s">
        <v>20</v>
      </c>
      <c r="B1304">
        <v>24</v>
      </c>
      <c r="C1304">
        <v>43</v>
      </c>
    </row>
    <row r="1305" spans="1:4" x14ac:dyDescent="0.25">
      <c r="A1305" t="s">
        <v>20</v>
      </c>
      <c r="B1305">
        <v>24</v>
      </c>
      <c r="C1305">
        <v>44</v>
      </c>
      <c r="D1305">
        <v>1</v>
      </c>
    </row>
    <row r="1306" spans="1:4" x14ac:dyDescent="0.25">
      <c r="A1306" t="s">
        <v>20</v>
      </c>
      <c r="B1306">
        <v>24</v>
      </c>
      <c r="C1306">
        <v>45</v>
      </c>
    </row>
    <row r="1307" spans="1:4" x14ac:dyDescent="0.25">
      <c r="A1307" t="s">
        <v>20</v>
      </c>
      <c r="B1307">
        <v>24</v>
      </c>
      <c r="C1307">
        <v>46</v>
      </c>
    </row>
    <row r="1308" spans="1:4" x14ac:dyDescent="0.25">
      <c r="A1308" t="s">
        <v>20</v>
      </c>
      <c r="B1308">
        <v>24</v>
      </c>
      <c r="C1308">
        <v>47</v>
      </c>
    </row>
    <row r="1309" spans="1:4" x14ac:dyDescent="0.25">
      <c r="A1309" t="s">
        <v>20</v>
      </c>
      <c r="B1309">
        <v>24</v>
      </c>
      <c r="C1309">
        <v>48</v>
      </c>
    </row>
    <row r="1310" spans="1:4" x14ac:dyDescent="0.25">
      <c r="A1310" t="s">
        <v>20</v>
      </c>
      <c r="B1310">
        <v>24</v>
      </c>
      <c r="C1310">
        <v>49</v>
      </c>
    </row>
    <row r="1311" spans="1:4" x14ac:dyDescent="0.25">
      <c r="A1311" t="s">
        <v>20</v>
      </c>
      <c r="B1311">
        <v>24</v>
      </c>
      <c r="C1311">
        <v>50</v>
      </c>
      <c r="D1311">
        <v>1</v>
      </c>
    </row>
    <row r="1312" spans="1:4" x14ac:dyDescent="0.25">
      <c r="A1312" t="s">
        <v>20</v>
      </c>
      <c r="B1312">
        <v>24</v>
      </c>
      <c r="C1312">
        <v>51</v>
      </c>
    </row>
    <row r="1313" spans="1:4" x14ac:dyDescent="0.25">
      <c r="A1313" t="s">
        <v>20</v>
      </c>
      <c r="B1313">
        <v>24</v>
      </c>
      <c r="C1313">
        <v>52</v>
      </c>
    </row>
    <row r="1314" spans="1:4" x14ac:dyDescent="0.25">
      <c r="A1314" t="s">
        <v>20</v>
      </c>
      <c r="B1314">
        <v>24</v>
      </c>
      <c r="C1314">
        <v>53</v>
      </c>
    </row>
    <row r="1315" spans="1:4" x14ac:dyDescent="0.25">
      <c r="A1315" t="s">
        <v>20</v>
      </c>
      <c r="B1315">
        <v>24</v>
      </c>
      <c r="C1315">
        <v>54</v>
      </c>
    </row>
    <row r="1316" spans="1:4" x14ac:dyDescent="0.25">
      <c r="A1316" t="s">
        <v>20</v>
      </c>
      <c r="B1316">
        <v>24</v>
      </c>
      <c r="C1316">
        <v>55</v>
      </c>
    </row>
    <row r="1317" spans="1:4" x14ac:dyDescent="0.25">
      <c r="A1317" t="s">
        <v>20</v>
      </c>
      <c r="B1317">
        <v>24</v>
      </c>
      <c r="C1317">
        <v>56</v>
      </c>
      <c r="D1317">
        <v>1</v>
      </c>
    </row>
    <row r="1318" spans="1:4" x14ac:dyDescent="0.25">
      <c r="A1318" t="s">
        <v>20</v>
      </c>
      <c r="B1318">
        <v>24</v>
      </c>
      <c r="C1318">
        <v>57</v>
      </c>
    </row>
    <row r="1319" spans="1:4" x14ac:dyDescent="0.25">
      <c r="A1319" t="s">
        <v>20</v>
      </c>
      <c r="B1319">
        <v>24</v>
      </c>
      <c r="C1319">
        <v>58</v>
      </c>
    </row>
    <row r="1320" spans="1:4" x14ac:dyDescent="0.25">
      <c r="A1320" t="s">
        <v>20</v>
      </c>
      <c r="B1320">
        <v>24</v>
      </c>
      <c r="C1320">
        <v>59</v>
      </c>
      <c r="D1320">
        <v>1</v>
      </c>
    </row>
    <row r="1321" spans="1:4" x14ac:dyDescent="0.25">
      <c r="A1321" t="s">
        <v>20</v>
      </c>
      <c r="B1321">
        <v>24</v>
      </c>
      <c r="C1321">
        <v>60</v>
      </c>
    </row>
    <row r="1322" spans="1:4" x14ac:dyDescent="0.25">
      <c r="A1322" t="s">
        <v>20</v>
      </c>
      <c r="B1322">
        <v>24</v>
      </c>
      <c r="C1322">
        <v>61</v>
      </c>
    </row>
    <row r="1323" spans="1:4" x14ac:dyDescent="0.25">
      <c r="A1323" t="s">
        <v>20</v>
      </c>
      <c r="B1323">
        <v>24</v>
      </c>
      <c r="C1323">
        <v>62</v>
      </c>
      <c r="D1323">
        <v>1</v>
      </c>
    </row>
    <row r="1324" spans="1:4" x14ac:dyDescent="0.25">
      <c r="A1324" t="s">
        <v>20</v>
      </c>
      <c r="B1324">
        <v>24</v>
      </c>
      <c r="C1324">
        <v>63</v>
      </c>
    </row>
    <row r="1325" spans="1:4" x14ac:dyDescent="0.25">
      <c r="A1325" t="s">
        <v>20</v>
      </c>
      <c r="B1325">
        <v>24</v>
      </c>
      <c r="C1325">
        <v>64</v>
      </c>
    </row>
    <row r="1326" spans="1:4" x14ac:dyDescent="0.25">
      <c r="A1326" t="s">
        <v>20</v>
      </c>
      <c r="B1326">
        <v>24</v>
      </c>
      <c r="C1326">
        <v>65</v>
      </c>
    </row>
    <row r="1327" spans="1:4" x14ac:dyDescent="0.25">
      <c r="A1327" t="s">
        <v>20</v>
      </c>
      <c r="B1327">
        <v>24</v>
      </c>
      <c r="C1327">
        <v>66</v>
      </c>
    </row>
    <row r="1328" spans="1:4" x14ac:dyDescent="0.25">
      <c r="A1328" t="s">
        <v>20</v>
      </c>
      <c r="B1328">
        <v>24</v>
      </c>
      <c r="C1328">
        <v>67</v>
      </c>
    </row>
    <row r="1329" spans="1:4" x14ac:dyDescent="0.25">
      <c r="A1329" t="s">
        <v>20</v>
      </c>
      <c r="B1329">
        <v>24</v>
      </c>
      <c r="C1329">
        <v>68</v>
      </c>
    </row>
    <row r="1330" spans="1:4" x14ac:dyDescent="0.25">
      <c r="A1330" t="s">
        <v>20</v>
      </c>
      <c r="B1330">
        <v>24</v>
      </c>
      <c r="C1330">
        <v>69</v>
      </c>
    </row>
    <row r="1331" spans="1:4" x14ac:dyDescent="0.25">
      <c r="A1331" t="s">
        <v>20</v>
      </c>
      <c r="B1331">
        <v>24</v>
      </c>
      <c r="C1331">
        <v>70</v>
      </c>
    </row>
    <row r="1332" spans="1:4" x14ac:dyDescent="0.25">
      <c r="A1332" t="s">
        <v>20</v>
      </c>
      <c r="B1332">
        <v>24</v>
      </c>
      <c r="C1332">
        <v>71</v>
      </c>
    </row>
    <row r="1333" spans="1:4" x14ac:dyDescent="0.25">
      <c r="A1333" t="s">
        <v>20</v>
      </c>
      <c r="B1333">
        <v>24</v>
      </c>
      <c r="C1333">
        <v>72</v>
      </c>
    </row>
    <row r="1334" spans="1:4" x14ac:dyDescent="0.25">
      <c r="A1334" t="s">
        <v>20</v>
      </c>
      <c r="B1334">
        <v>24</v>
      </c>
      <c r="C1334">
        <v>73</v>
      </c>
    </row>
    <row r="1335" spans="1:4" x14ac:dyDescent="0.25">
      <c r="A1335" t="s">
        <v>20</v>
      </c>
      <c r="B1335">
        <v>24</v>
      </c>
      <c r="C1335">
        <v>74</v>
      </c>
      <c r="D1335">
        <v>1</v>
      </c>
    </row>
    <row r="1336" spans="1:4" x14ac:dyDescent="0.25">
      <c r="A1336" t="s">
        <v>20</v>
      </c>
      <c r="B1336">
        <v>24</v>
      </c>
      <c r="C1336">
        <v>75</v>
      </c>
    </row>
    <row r="1337" spans="1:4" x14ac:dyDescent="0.25">
      <c r="A1337" t="s">
        <v>20</v>
      </c>
      <c r="B1337">
        <v>24</v>
      </c>
      <c r="C1337">
        <v>76</v>
      </c>
    </row>
    <row r="1338" spans="1:4" x14ac:dyDescent="0.25">
      <c r="A1338" t="s">
        <v>20</v>
      </c>
      <c r="B1338">
        <v>24</v>
      </c>
      <c r="C1338">
        <v>77</v>
      </c>
      <c r="D1338">
        <v>1</v>
      </c>
    </row>
    <row r="1339" spans="1:4" x14ac:dyDescent="0.25">
      <c r="A1339" t="s">
        <v>20</v>
      </c>
      <c r="B1339">
        <v>24</v>
      </c>
      <c r="C1339">
        <v>78</v>
      </c>
    </row>
    <row r="1340" spans="1:4" x14ac:dyDescent="0.25">
      <c r="A1340" t="s">
        <v>20</v>
      </c>
      <c r="B1340">
        <v>24</v>
      </c>
      <c r="C1340">
        <v>79</v>
      </c>
    </row>
    <row r="1341" spans="1:4" x14ac:dyDescent="0.25">
      <c r="A1341" t="s">
        <v>20</v>
      </c>
      <c r="B1341">
        <v>24</v>
      </c>
      <c r="C1341">
        <v>80</v>
      </c>
      <c r="D1341">
        <v>1</v>
      </c>
    </row>
    <row r="1342" spans="1:4" x14ac:dyDescent="0.25">
      <c r="A1342" t="s">
        <v>20</v>
      </c>
      <c r="B1342">
        <v>24</v>
      </c>
      <c r="C1342">
        <v>81</v>
      </c>
    </row>
    <row r="1343" spans="1:4" x14ac:dyDescent="0.25">
      <c r="A1343" t="s">
        <v>20</v>
      </c>
      <c r="B1343">
        <v>24</v>
      </c>
      <c r="C1343">
        <v>82</v>
      </c>
    </row>
    <row r="1344" spans="1:4" x14ac:dyDescent="0.25">
      <c r="A1344" t="s">
        <v>20</v>
      </c>
      <c r="B1344">
        <v>24</v>
      </c>
      <c r="C1344">
        <v>83</v>
      </c>
      <c r="D1344">
        <v>1</v>
      </c>
    </row>
    <row r="1345" spans="1:4" x14ac:dyDescent="0.25">
      <c r="A1345" t="s">
        <v>20</v>
      </c>
      <c r="B1345">
        <v>24</v>
      </c>
      <c r="C1345">
        <v>84</v>
      </c>
    </row>
    <row r="1346" spans="1:4" x14ac:dyDescent="0.25">
      <c r="A1346" t="s">
        <v>20</v>
      </c>
      <c r="B1346">
        <v>25</v>
      </c>
      <c r="C1346">
        <v>1</v>
      </c>
    </row>
    <row r="1347" spans="1:4" x14ac:dyDescent="0.25">
      <c r="A1347" t="s">
        <v>20</v>
      </c>
      <c r="B1347">
        <v>25</v>
      </c>
      <c r="C1347">
        <v>2</v>
      </c>
    </row>
    <row r="1348" spans="1:4" x14ac:dyDescent="0.25">
      <c r="A1348" t="s">
        <v>20</v>
      </c>
      <c r="B1348">
        <v>25</v>
      </c>
      <c r="C1348">
        <v>3</v>
      </c>
    </row>
    <row r="1349" spans="1:4" x14ac:dyDescent="0.25">
      <c r="A1349" t="s">
        <v>20</v>
      </c>
      <c r="B1349">
        <v>25</v>
      </c>
      <c r="C1349">
        <v>4</v>
      </c>
    </row>
    <row r="1350" spans="1:4" x14ac:dyDescent="0.25">
      <c r="A1350" t="s">
        <v>20</v>
      </c>
      <c r="B1350">
        <v>25</v>
      </c>
      <c r="C1350">
        <v>5</v>
      </c>
    </row>
    <row r="1351" spans="1:4" x14ac:dyDescent="0.25">
      <c r="A1351" t="s">
        <v>20</v>
      </c>
      <c r="B1351">
        <v>25</v>
      </c>
      <c r="C1351">
        <v>6</v>
      </c>
      <c r="D1351">
        <v>1</v>
      </c>
    </row>
    <row r="1352" spans="1:4" x14ac:dyDescent="0.25">
      <c r="A1352" t="s">
        <v>20</v>
      </c>
      <c r="B1352">
        <v>25</v>
      </c>
      <c r="C1352">
        <v>7</v>
      </c>
    </row>
    <row r="1353" spans="1:4" x14ac:dyDescent="0.25">
      <c r="A1353" t="s">
        <v>20</v>
      </c>
      <c r="B1353">
        <v>25</v>
      </c>
      <c r="C1353">
        <v>8</v>
      </c>
    </row>
    <row r="1354" spans="1:4" x14ac:dyDescent="0.25">
      <c r="A1354" t="s">
        <v>20</v>
      </c>
      <c r="B1354">
        <v>25</v>
      </c>
      <c r="C1354">
        <v>9</v>
      </c>
    </row>
    <row r="1355" spans="1:4" x14ac:dyDescent="0.25">
      <c r="A1355" t="s">
        <v>20</v>
      </c>
      <c r="B1355">
        <v>25</v>
      </c>
      <c r="C1355">
        <v>10</v>
      </c>
    </row>
    <row r="1356" spans="1:4" x14ac:dyDescent="0.25">
      <c r="A1356" t="s">
        <v>20</v>
      </c>
      <c r="B1356">
        <v>25</v>
      </c>
      <c r="C1356">
        <v>11</v>
      </c>
    </row>
    <row r="1357" spans="1:4" x14ac:dyDescent="0.25">
      <c r="A1357" t="s">
        <v>20</v>
      </c>
      <c r="B1357">
        <v>25</v>
      </c>
      <c r="C1357">
        <v>12</v>
      </c>
      <c r="D1357">
        <v>1</v>
      </c>
    </row>
    <row r="1358" spans="1:4" x14ac:dyDescent="0.25">
      <c r="A1358" t="s">
        <v>20</v>
      </c>
      <c r="B1358">
        <v>25</v>
      </c>
      <c r="C1358">
        <v>13</v>
      </c>
    </row>
    <row r="1359" spans="1:4" x14ac:dyDescent="0.25">
      <c r="A1359" t="s">
        <v>20</v>
      </c>
      <c r="B1359">
        <v>25</v>
      </c>
      <c r="C1359">
        <v>14</v>
      </c>
    </row>
    <row r="1360" spans="1:4" x14ac:dyDescent="0.25">
      <c r="A1360" t="s">
        <v>20</v>
      </c>
      <c r="B1360">
        <v>25</v>
      </c>
      <c r="C1360">
        <v>15</v>
      </c>
      <c r="D1360">
        <v>1</v>
      </c>
    </row>
    <row r="1361" spans="1:4" x14ac:dyDescent="0.25">
      <c r="A1361" t="s">
        <v>20</v>
      </c>
      <c r="B1361">
        <v>25</v>
      </c>
      <c r="C1361">
        <v>16</v>
      </c>
    </row>
    <row r="1362" spans="1:4" x14ac:dyDescent="0.25">
      <c r="A1362" t="s">
        <v>20</v>
      </c>
      <c r="B1362">
        <v>25</v>
      </c>
      <c r="C1362">
        <v>17</v>
      </c>
    </row>
    <row r="1363" spans="1:4" x14ac:dyDescent="0.25">
      <c r="A1363" t="s">
        <v>20</v>
      </c>
      <c r="B1363">
        <v>25</v>
      </c>
      <c r="C1363">
        <v>18</v>
      </c>
    </row>
    <row r="1364" spans="1:4" x14ac:dyDescent="0.25">
      <c r="A1364" t="s">
        <v>20</v>
      </c>
      <c r="B1364">
        <v>25</v>
      </c>
      <c r="C1364">
        <v>19</v>
      </c>
    </row>
    <row r="1365" spans="1:4" x14ac:dyDescent="0.25">
      <c r="A1365" t="s">
        <v>20</v>
      </c>
      <c r="B1365">
        <v>25</v>
      </c>
      <c r="C1365">
        <v>20</v>
      </c>
    </row>
    <row r="1366" spans="1:4" x14ac:dyDescent="0.25">
      <c r="A1366" t="s">
        <v>20</v>
      </c>
      <c r="B1366">
        <v>25</v>
      </c>
      <c r="C1366">
        <v>21</v>
      </c>
    </row>
    <row r="1367" spans="1:4" x14ac:dyDescent="0.25">
      <c r="A1367" t="s">
        <v>20</v>
      </c>
      <c r="B1367">
        <v>25</v>
      </c>
      <c r="C1367">
        <v>22</v>
      </c>
    </row>
    <row r="1368" spans="1:4" x14ac:dyDescent="0.25">
      <c r="A1368" t="s">
        <v>20</v>
      </c>
      <c r="B1368">
        <v>25</v>
      </c>
      <c r="C1368">
        <v>23</v>
      </c>
    </row>
    <row r="1369" spans="1:4" x14ac:dyDescent="0.25">
      <c r="A1369" t="s">
        <v>20</v>
      </c>
      <c r="B1369">
        <v>25</v>
      </c>
      <c r="C1369">
        <v>24</v>
      </c>
      <c r="D1369">
        <v>1</v>
      </c>
    </row>
    <row r="1370" spans="1:4" x14ac:dyDescent="0.25">
      <c r="A1370" t="s">
        <v>20</v>
      </c>
      <c r="B1370">
        <v>25</v>
      </c>
      <c r="C1370">
        <v>25</v>
      </c>
    </row>
    <row r="1371" spans="1:4" x14ac:dyDescent="0.25">
      <c r="A1371" t="s">
        <v>20</v>
      </c>
      <c r="B1371">
        <v>25</v>
      </c>
      <c r="C1371">
        <v>26</v>
      </c>
    </row>
    <row r="1372" spans="1:4" x14ac:dyDescent="0.25">
      <c r="A1372" t="s">
        <v>20</v>
      </c>
      <c r="B1372">
        <v>25</v>
      </c>
      <c r="C1372">
        <v>27</v>
      </c>
      <c r="D1372">
        <v>1</v>
      </c>
    </row>
    <row r="1373" spans="1:4" x14ac:dyDescent="0.25">
      <c r="A1373" t="s">
        <v>20</v>
      </c>
      <c r="B1373">
        <v>25</v>
      </c>
      <c r="C1373">
        <v>28</v>
      </c>
    </row>
    <row r="1374" spans="1:4" x14ac:dyDescent="0.25">
      <c r="A1374" t="s">
        <v>20</v>
      </c>
      <c r="B1374">
        <v>25</v>
      </c>
      <c r="C1374">
        <v>29</v>
      </c>
    </row>
    <row r="1375" spans="1:4" x14ac:dyDescent="0.25">
      <c r="A1375" t="s">
        <v>20</v>
      </c>
      <c r="B1375">
        <v>25</v>
      </c>
      <c r="C1375">
        <v>30</v>
      </c>
      <c r="D1375">
        <v>1</v>
      </c>
    </row>
    <row r="1376" spans="1:4" x14ac:dyDescent="0.25">
      <c r="A1376" t="s">
        <v>20</v>
      </c>
      <c r="B1376">
        <v>25</v>
      </c>
      <c r="C1376">
        <v>31</v>
      </c>
    </row>
    <row r="1377" spans="1:4" x14ac:dyDescent="0.25">
      <c r="A1377" t="s">
        <v>20</v>
      </c>
      <c r="B1377">
        <v>25</v>
      </c>
      <c r="C1377">
        <v>32</v>
      </c>
    </row>
    <row r="1378" spans="1:4" x14ac:dyDescent="0.25">
      <c r="A1378" t="s">
        <v>20</v>
      </c>
      <c r="B1378">
        <v>25</v>
      </c>
      <c r="C1378">
        <v>33</v>
      </c>
      <c r="D1378">
        <v>1</v>
      </c>
    </row>
    <row r="1379" spans="1:4" x14ac:dyDescent="0.25">
      <c r="A1379" t="s">
        <v>20</v>
      </c>
      <c r="B1379">
        <v>25</v>
      </c>
      <c r="C1379">
        <v>34</v>
      </c>
    </row>
    <row r="1380" spans="1:4" x14ac:dyDescent="0.25">
      <c r="A1380" t="s">
        <v>20</v>
      </c>
      <c r="B1380">
        <v>25</v>
      </c>
      <c r="C1380">
        <v>35</v>
      </c>
    </row>
    <row r="1381" spans="1:4" x14ac:dyDescent="0.25">
      <c r="A1381" t="s">
        <v>20</v>
      </c>
      <c r="B1381">
        <v>25</v>
      </c>
      <c r="C1381">
        <v>36</v>
      </c>
    </row>
    <row r="1382" spans="1:4" x14ac:dyDescent="0.25">
      <c r="A1382" t="s">
        <v>20</v>
      </c>
      <c r="B1382">
        <v>25</v>
      </c>
      <c r="C1382">
        <v>37</v>
      </c>
    </row>
    <row r="1383" spans="1:4" x14ac:dyDescent="0.25">
      <c r="A1383" t="s">
        <v>20</v>
      </c>
      <c r="B1383">
        <v>25</v>
      </c>
      <c r="C1383">
        <v>38</v>
      </c>
    </row>
    <row r="1384" spans="1:4" x14ac:dyDescent="0.25">
      <c r="A1384" t="s">
        <v>20</v>
      </c>
      <c r="B1384">
        <v>25</v>
      </c>
      <c r="C1384">
        <v>39</v>
      </c>
    </row>
    <row r="1385" spans="1:4" x14ac:dyDescent="0.25">
      <c r="A1385" t="s">
        <v>20</v>
      </c>
      <c r="B1385">
        <v>25</v>
      </c>
      <c r="C1385">
        <v>40</v>
      </c>
    </row>
    <row r="1386" spans="1:4" x14ac:dyDescent="0.25">
      <c r="A1386" t="s">
        <v>20</v>
      </c>
      <c r="B1386">
        <v>25</v>
      </c>
      <c r="C1386">
        <v>41</v>
      </c>
    </row>
    <row r="1387" spans="1:4" x14ac:dyDescent="0.25">
      <c r="A1387" t="s">
        <v>20</v>
      </c>
      <c r="B1387">
        <v>25</v>
      </c>
      <c r="C1387">
        <v>42</v>
      </c>
    </row>
    <row r="1388" spans="1:4" x14ac:dyDescent="0.25">
      <c r="A1388" t="s">
        <v>20</v>
      </c>
      <c r="B1388">
        <v>25</v>
      </c>
      <c r="C1388">
        <v>43</v>
      </c>
    </row>
    <row r="1389" spans="1:4" x14ac:dyDescent="0.25">
      <c r="A1389" t="s">
        <v>20</v>
      </c>
      <c r="B1389">
        <v>25</v>
      </c>
      <c r="C1389">
        <v>44</v>
      </c>
    </row>
    <row r="1390" spans="1:4" x14ac:dyDescent="0.25">
      <c r="A1390" t="s">
        <v>20</v>
      </c>
      <c r="B1390">
        <v>25</v>
      </c>
      <c r="C1390">
        <v>45</v>
      </c>
      <c r="D1390">
        <v>1</v>
      </c>
    </row>
    <row r="1391" spans="1:4" x14ac:dyDescent="0.25">
      <c r="A1391" t="s">
        <v>20</v>
      </c>
      <c r="B1391">
        <v>25</v>
      </c>
      <c r="C1391">
        <v>46</v>
      </c>
    </row>
    <row r="1392" spans="1:4" x14ac:dyDescent="0.25">
      <c r="A1392" t="s">
        <v>20</v>
      </c>
      <c r="B1392">
        <v>25</v>
      </c>
      <c r="C1392">
        <v>47</v>
      </c>
    </row>
    <row r="1393" spans="1:4" x14ac:dyDescent="0.25">
      <c r="A1393" t="s">
        <v>20</v>
      </c>
      <c r="B1393">
        <v>25</v>
      </c>
      <c r="C1393">
        <v>48</v>
      </c>
      <c r="D1393">
        <v>1</v>
      </c>
    </row>
    <row r="1394" spans="1:4" x14ac:dyDescent="0.25">
      <c r="A1394" t="s">
        <v>20</v>
      </c>
      <c r="B1394">
        <v>25</v>
      </c>
      <c r="C1394">
        <v>49</v>
      </c>
    </row>
    <row r="1395" spans="1:4" x14ac:dyDescent="0.25">
      <c r="A1395" t="s">
        <v>20</v>
      </c>
      <c r="B1395">
        <v>25</v>
      </c>
      <c r="C1395">
        <v>50</v>
      </c>
    </row>
    <row r="1396" spans="1:4" x14ac:dyDescent="0.25">
      <c r="A1396" t="s">
        <v>20</v>
      </c>
      <c r="B1396">
        <v>25</v>
      </c>
      <c r="C1396">
        <v>51</v>
      </c>
      <c r="D1396">
        <v>1</v>
      </c>
    </row>
    <row r="1397" spans="1:4" x14ac:dyDescent="0.25">
      <c r="A1397" t="s">
        <v>20</v>
      </c>
      <c r="B1397">
        <v>25</v>
      </c>
      <c r="C1397">
        <v>52</v>
      </c>
    </row>
    <row r="1398" spans="1:4" x14ac:dyDescent="0.25">
      <c r="A1398" t="s">
        <v>20</v>
      </c>
      <c r="B1398">
        <v>25</v>
      </c>
      <c r="C1398">
        <v>53</v>
      </c>
    </row>
    <row r="1399" spans="1:4" x14ac:dyDescent="0.25">
      <c r="A1399" t="s">
        <v>20</v>
      </c>
      <c r="B1399">
        <v>25</v>
      </c>
      <c r="C1399">
        <v>54</v>
      </c>
      <c r="D1399">
        <v>1</v>
      </c>
    </row>
    <row r="1400" spans="1:4" x14ac:dyDescent="0.25">
      <c r="A1400" t="s">
        <v>20</v>
      </c>
      <c r="B1400">
        <v>25</v>
      </c>
      <c r="C1400">
        <v>55</v>
      </c>
    </row>
    <row r="1401" spans="1:4" x14ac:dyDescent="0.25">
      <c r="A1401" t="s">
        <v>20</v>
      </c>
      <c r="B1401">
        <v>25</v>
      </c>
      <c r="C1401">
        <v>56</v>
      </c>
    </row>
    <row r="1402" spans="1:4" x14ac:dyDescent="0.25">
      <c r="A1402" t="s">
        <v>20</v>
      </c>
      <c r="B1402">
        <v>25</v>
      </c>
      <c r="C1402">
        <v>57</v>
      </c>
    </row>
    <row r="1403" spans="1:4" x14ac:dyDescent="0.25">
      <c r="A1403" t="s">
        <v>20</v>
      </c>
      <c r="B1403">
        <v>25</v>
      </c>
      <c r="C1403">
        <v>58</v>
      </c>
    </row>
    <row r="1404" spans="1:4" x14ac:dyDescent="0.25">
      <c r="A1404" t="s">
        <v>20</v>
      </c>
      <c r="B1404">
        <v>25</v>
      </c>
      <c r="C1404">
        <v>59</v>
      </c>
    </row>
    <row r="1405" spans="1:4" x14ac:dyDescent="0.25">
      <c r="A1405" t="s">
        <v>20</v>
      </c>
      <c r="B1405">
        <v>25</v>
      </c>
      <c r="C1405">
        <v>60</v>
      </c>
    </row>
    <row r="1406" spans="1:4" x14ac:dyDescent="0.25">
      <c r="A1406" t="s">
        <v>20</v>
      </c>
      <c r="B1406">
        <v>25</v>
      </c>
      <c r="C1406">
        <v>61</v>
      </c>
    </row>
    <row r="1407" spans="1:4" x14ac:dyDescent="0.25">
      <c r="A1407" t="s">
        <v>20</v>
      </c>
      <c r="B1407">
        <v>25</v>
      </c>
      <c r="C1407">
        <v>62</v>
      </c>
    </row>
    <row r="1408" spans="1:4" x14ac:dyDescent="0.25">
      <c r="A1408" t="s">
        <v>20</v>
      </c>
      <c r="B1408">
        <v>25</v>
      </c>
      <c r="C1408">
        <v>63</v>
      </c>
      <c r="D1408">
        <v>1</v>
      </c>
    </row>
    <row r="1409" spans="1:4" x14ac:dyDescent="0.25">
      <c r="A1409" t="s">
        <v>20</v>
      </c>
      <c r="B1409">
        <v>25</v>
      </c>
      <c r="C1409">
        <v>64</v>
      </c>
    </row>
    <row r="1410" spans="1:4" x14ac:dyDescent="0.25">
      <c r="A1410" t="s">
        <v>20</v>
      </c>
      <c r="B1410">
        <v>25</v>
      </c>
      <c r="C1410">
        <v>65</v>
      </c>
    </row>
    <row r="1411" spans="1:4" x14ac:dyDescent="0.25">
      <c r="A1411" t="s">
        <v>20</v>
      </c>
      <c r="B1411">
        <v>25</v>
      </c>
      <c r="C1411">
        <v>66</v>
      </c>
    </row>
    <row r="1412" spans="1:4" x14ac:dyDescent="0.25">
      <c r="A1412" t="s">
        <v>20</v>
      </c>
      <c r="B1412">
        <v>25</v>
      </c>
      <c r="C1412">
        <v>67</v>
      </c>
    </row>
    <row r="1413" spans="1:4" x14ac:dyDescent="0.25">
      <c r="A1413" t="s">
        <v>20</v>
      </c>
      <c r="B1413">
        <v>25</v>
      </c>
      <c r="C1413">
        <v>68</v>
      </c>
    </row>
    <row r="1414" spans="1:4" x14ac:dyDescent="0.25">
      <c r="A1414" t="s">
        <v>20</v>
      </c>
      <c r="B1414">
        <v>25</v>
      </c>
      <c r="C1414">
        <v>69</v>
      </c>
      <c r="D1414">
        <v>1</v>
      </c>
    </row>
    <row r="1415" spans="1:4" x14ac:dyDescent="0.25">
      <c r="A1415" t="s">
        <v>20</v>
      </c>
      <c r="B1415">
        <v>25</v>
      </c>
      <c r="C1415">
        <v>70</v>
      </c>
    </row>
    <row r="1416" spans="1:4" x14ac:dyDescent="0.25">
      <c r="A1416" t="s">
        <v>20</v>
      </c>
      <c r="B1416">
        <v>25</v>
      </c>
      <c r="C1416">
        <v>71</v>
      </c>
    </row>
    <row r="1417" spans="1:4" x14ac:dyDescent="0.25">
      <c r="A1417" t="s">
        <v>20</v>
      </c>
      <c r="B1417">
        <v>25</v>
      </c>
      <c r="C1417">
        <v>72</v>
      </c>
    </row>
    <row r="1418" spans="1:4" x14ac:dyDescent="0.25">
      <c r="A1418" t="s">
        <v>20</v>
      </c>
      <c r="B1418">
        <v>25</v>
      </c>
      <c r="C1418">
        <v>73</v>
      </c>
    </row>
    <row r="1419" spans="1:4" x14ac:dyDescent="0.25">
      <c r="A1419" t="s">
        <v>20</v>
      </c>
      <c r="B1419">
        <v>25</v>
      </c>
      <c r="C1419">
        <v>74</v>
      </c>
    </row>
    <row r="1420" spans="1:4" x14ac:dyDescent="0.25">
      <c r="A1420" t="s">
        <v>20</v>
      </c>
      <c r="B1420">
        <v>25</v>
      </c>
      <c r="C1420">
        <v>75</v>
      </c>
      <c r="D1420">
        <v>1</v>
      </c>
    </row>
    <row r="1421" spans="1:4" x14ac:dyDescent="0.25">
      <c r="A1421" t="s">
        <v>20</v>
      </c>
      <c r="B1421">
        <v>25</v>
      </c>
      <c r="C1421">
        <v>76</v>
      </c>
    </row>
    <row r="1422" spans="1:4" x14ac:dyDescent="0.25">
      <c r="A1422" t="s">
        <v>20</v>
      </c>
      <c r="B1422">
        <v>25</v>
      </c>
      <c r="C1422">
        <v>77</v>
      </c>
    </row>
    <row r="1423" spans="1:4" x14ac:dyDescent="0.25">
      <c r="A1423" t="s">
        <v>20</v>
      </c>
      <c r="B1423">
        <v>25</v>
      </c>
      <c r="C1423">
        <v>78</v>
      </c>
      <c r="D1423">
        <v>1</v>
      </c>
    </row>
    <row r="1424" spans="1:4" x14ac:dyDescent="0.25">
      <c r="A1424" t="s">
        <v>20</v>
      </c>
      <c r="B1424">
        <v>25</v>
      </c>
      <c r="C1424">
        <v>79</v>
      </c>
    </row>
    <row r="1425" spans="1:4" x14ac:dyDescent="0.25">
      <c r="A1425" t="s">
        <v>20</v>
      </c>
      <c r="B1425">
        <v>25</v>
      </c>
      <c r="C1425">
        <v>80</v>
      </c>
    </row>
    <row r="1426" spans="1:4" x14ac:dyDescent="0.25">
      <c r="A1426" t="s">
        <v>20</v>
      </c>
      <c r="B1426">
        <v>25</v>
      </c>
      <c r="C1426">
        <v>81</v>
      </c>
      <c r="D1426">
        <v>1</v>
      </c>
    </row>
    <row r="1427" spans="1:4" x14ac:dyDescent="0.25">
      <c r="A1427" t="s">
        <v>20</v>
      </c>
      <c r="B1427">
        <v>25</v>
      </c>
      <c r="C1427">
        <v>82</v>
      </c>
    </row>
    <row r="1428" spans="1:4" x14ac:dyDescent="0.25">
      <c r="A1428" t="s">
        <v>20</v>
      </c>
      <c r="B1428">
        <v>25</v>
      </c>
      <c r="C1428">
        <v>83</v>
      </c>
    </row>
    <row r="1429" spans="1:4" x14ac:dyDescent="0.25">
      <c r="A1429" t="s">
        <v>20</v>
      </c>
      <c r="B1429">
        <v>25</v>
      </c>
      <c r="C1429">
        <v>84</v>
      </c>
    </row>
    <row r="1430" spans="1:4" x14ac:dyDescent="0.25">
      <c r="A1430" t="s">
        <v>20</v>
      </c>
      <c r="B1430">
        <v>26</v>
      </c>
      <c r="C1430">
        <v>1</v>
      </c>
    </row>
    <row r="1431" spans="1:4" x14ac:dyDescent="0.25">
      <c r="A1431" t="s">
        <v>20</v>
      </c>
      <c r="B1431">
        <v>26</v>
      </c>
      <c r="C1431">
        <v>2</v>
      </c>
    </row>
    <row r="1432" spans="1:4" x14ac:dyDescent="0.25">
      <c r="A1432" t="s">
        <v>20</v>
      </c>
      <c r="B1432">
        <v>26</v>
      </c>
      <c r="C1432">
        <v>3</v>
      </c>
      <c r="D1432">
        <v>1</v>
      </c>
    </row>
    <row r="1433" spans="1:4" x14ac:dyDescent="0.25">
      <c r="A1433" t="s">
        <v>20</v>
      </c>
      <c r="B1433">
        <v>26</v>
      </c>
      <c r="C1433">
        <v>4</v>
      </c>
    </row>
    <row r="1434" spans="1:4" x14ac:dyDescent="0.25">
      <c r="A1434" t="s">
        <v>20</v>
      </c>
      <c r="B1434">
        <v>26</v>
      </c>
      <c r="C1434">
        <v>5</v>
      </c>
    </row>
    <row r="1435" spans="1:4" x14ac:dyDescent="0.25">
      <c r="A1435" t="s">
        <v>20</v>
      </c>
      <c r="B1435">
        <v>26</v>
      </c>
      <c r="C1435">
        <v>6</v>
      </c>
      <c r="D1435">
        <v>1</v>
      </c>
    </row>
    <row r="1436" spans="1:4" x14ac:dyDescent="0.25">
      <c r="A1436" t="s">
        <v>20</v>
      </c>
      <c r="B1436">
        <v>26</v>
      </c>
      <c r="C1436">
        <v>7</v>
      </c>
    </row>
    <row r="1437" spans="1:4" x14ac:dyDescent="0.25">
      <c r="A1437" t="s">
        <v>20</v>
      </c>
      <c r="B1437">
        <v>26</v>
      </c>
      <c r="C1437">
        <v>8</v>
      </c>
    </row>
    <row r="1438" spans="1:4" x14ac:dyDescent="0.25">
      <c r="A1438" t="s">
        <v>20</v>
      </c>
      <c r="B1438">
        <v>26</v>
      </c>
      <c r="C1438">
        <v>9</v>
      </c>
    </row>
    <row r="1439" spans="1:4" x14ac:dyDescent="0.25">
      <c r="A1439" t="s">
        <v>20</v>
      </c>
      <c r="B1439">
        <v>26</v>
      </c>
      <c r="C1439">
        <v>10</v>
      </c>
    </row>
    <row r="1440" spans="1:4" x14ac:dyDescent="0.25">
      <c r="A1440" t="s">
        <v>20</v>
      </c>
      <c r="B1440">
        <v>26</v>
      </c>
      <c r="C1440">
        <v>11</v>
      </c>
    </row>
    <row r="1441" spans="1:4" x14ac:dyDescent="0.25">
      <c r="A1441" t="s">
        <v>20</v>
      </c>
      <c r="B1441">
        <v>26</v>
      </c>
      <c r="C1441">
        <v>12</v>
      </c>
    </row>
    <row r="1442" spans="1:4" x14ac:dyDescent="0.25">
      <c r="A1442" t="s">
        <v>20</v>
      </c>
      <c r="B1442">
        <v>26</v>
      </c>
      <c r="C1442">
        <v>13</v>
      </c>
    </row>
    <row r="1443" spans="1:4" x14ac:dyDescent="0.25">
      <c r="A1443" t="s">
        <v>20</v>
      </c>
      <c r="B1443">
        <v>26</v>
      </c>
      <c r="C1443">
        <v>14</v>
      </c>
    </row>
    <row r="1444" spans="1:4" x14ac:dyDescent="0.25">
      <c r="A1444" t="s">
        <v>20</v>
      </c>
      <c r="B1444">
        <v>26</v>
      </c>
      <c r="C1444">
        <v>15</v>
      </c>
    </row>
    <row r="1445" spans="1:4" x14ac:dyDescent="0.25">
      <c r="A1445" t="s">
        <v>20</v>
      </c>
      <c r="B1445">
        <v>26</v>
      </c>
      <c r="C1445">
        <v>16</v>
      </c>
    </row>
    <row r="1446" spans="1:4" x14ac:dyDescent="0.25">
      <c r="A1446" t="s">
        <v>20</v>
      </c>
      <c r="B1446">
        <v>26</v>
      </c>
      <c r="C1446">
        <v>17</v>
      </c>
    </row>
    <row r="1447" spans="1:4" x14ac:dyDescent="0.25">
      <c r="A1447" t="s">
        <v>20</v>
      </c>
      <c r="B1447">
        <v>26</v>
      </c>
      <c r="C1447">
        <v>18</v>
      </c>
      <c r="D1447">
        <v>1</v>
      </c>
    </row>
    <row r="1448" spans="1:4" x14ac:dyDescent="0.25">
      <c r="A1448" t="s">
        <v>20</v>
      </c>
      <c r="B1448">
        <v>26</v>
      </c>
      <c r="C1448">
        <v>19</v>
      </c>
    </row>
    <row r="1449" spans="1:4" x14ac:dyDescent="0.25">
      <c r="A1449" t="s">
        <v>20</v>
      </c>
      <c r="B1449">
        <v>26</v>
      </c>
      <c r="C1449">
        <v>20</v>
      </c>
    </row>
    <row r="1450" spans="1:4" x14ac:dyDescent="0.25">
      <c r="A1450" t="s">
        <v>20</v>
      </c>
      <c r="B1450">
        <v>26</v>
      </c>
      <c r="C1450">
        <v>21</v>
      </c>
      <c r="D1450">
        <v>1</v>
      </c>
    </row>
    <row r="1451" spans="1:4" x14ac:dyDescent="0.25">
      <c r="A1451" t="s">
        <v>20</v>
      </c>
      <c r="B1451">
        <v>26</v>
      </c>
      <c r="C1451">
        <v>22</v>
      </c>
    </row>
    <row r="1452" spans="1:4" x14ac:dyDescent="0.25">
      <c r="A1452" t="s">
        <v>20</v>
      </c>
      <c r="B1452">
        <v>26</v>
      </c>
      <c r="C1452">
        <v>23</v>
      </c>
    </row>
    <row r="1453" spans="1:4" x14ac:dyDescent="0.25">
      <c r="A1453" t="s">
        <v>20</v>
      </c>
      <c r="B1453">
        <v>26</v>
      </c>
      <c r="C1453">
        <v>24</v>
      </c>
      <c r="D1453">
        <v>1</v>
      </c>
    </row>
    <row r="1454" spans="1:4" x14ac:dyDescent="0.25">
      <c r="A1454" t="s">
        <v>20</v>
      </c>
      <c r="B1454">
        <v>26</v>
      </c>
      <c r="C1454">
        <v>25</v>
      </c>
    </row>
    <row r="1455" spans="1:4" x14ac:dyDescent="0.25">
      <c r="A1455" t="s">
        <v>20</v>
      </c>
      <c r="B1455">
        <v>26</v>
      </c>
      <c r="C1455">
        <v>26</v>
      </c>
    </row>
    <row r="1456" spans="1:4" x14ac:dyDescent="0.25">
      <c r="A1456" t="s">
        <v>20</v>
      </c>
      <c r="B1456">
        <v>26</v>
      </c>
      <c r="C1456">
        <v>27</v>
      </c>
      <c r="D1456">
        <v>1</v>
      </c>
    </row>
    <row r="1457" spans="1:4" x14ac:dyDescent="0.25">
      <c r="A1457" t="s">
        <v>20</v>
      </c>
      <c r="B1457">
        <v>26</v>
      </c>
      <c r="C1457">
        <v>28</v>
      </c>
    </row>
    <row r="1458" spans="1:4" x14ac:dyDescent="0.25">
      <c r="A1458" t="s">
        <v>20</v>
      </c>
      <c r="B1458">
        <v>26</v>
      </c>
      <c r="C1458">
        <v>29</v>
      </c>
    </row>
    <row r="1459" spans="1:4" x14ac:dyDescent="0.25">
      <c r="A1459" t="s">
        <v>20</v>
      </c>
      <c r="B1459">
        <v>26</v>
      </c>
      <c r="C1459">
        <v>30</v>
      </c>
      <c r="D1459">
        <v>1</v>
      </c>
    </row>
    <row r="1460" spans="1:4" x14ac:dyDescent="0.25">
      <c r="A1460" t="s">
        <v>20</v>
      </c>
      <c r="B1460">
        <v>26</v>
      </c>
      <c r="C1460">
        <v>31</v>
      </c>
    </row>
    <row r="1461" spans="1:4" x14ac:dyDescent="0.25">
      <c r="A1461" t="s">
        <v>20</v>
      </c>
      <c r="B1461">
        <v>26</v>
      </c>
      <c r="C1461">
        <v>32</v>
      </c>
    </row>
    <row r="1462" spans="1:4" x14ac:dyDescent="0.25">
      <c r="A1462" t="s">
        <v>20</v>
      </c>
      <c r="B1462">
        <v>26</v>
      </c>
      <c r="C1462">
        <v>33</v>
      </c>
      <c r="D1462">
        <v>1</v>
      </c>
    </row>
    <row r="1463" spans="1:4" x14ac:dyDescent="0.25">
      <c r="A1463" t="s">
        <v>20</v>
      </c>
      <c r="B1463">
        <v>26</v>
      </c>
      <c r="C1463">
        <v>34</v>
      </c>
    </row>
    <row r="1464" spans="1:4" x14ac:dyDescent="0.25">
      <c r="A1464" t="s">
        <v>20</v>
      </c>
      <c r="B1464">
        <v>26</v>
      </c>
      <c r="C1464">
        <v>35</v>
      </c>
    </row>
    <row r="1465" spans="1:4" x14ac:dyDescent="0.25">
      <c r="A1465" t="s">
        <v>20</v>
      </c>
      <c r="B1465">
        <v>26</v>
      </c>
      <c r="C1465">
        <v>36</v>
      </c>
      <c r="D1465">
        <v>1</v>
      </c>
    </row>
    <row r="1466" spans="1:4" x14ac:dyDescent="0.25">
      <c r="A1466" t="s">
        <v>20</v>
      </c>
      <c r="B1466">
        <v>26</v>
      </c>
      <c r="C1466">
        <v>37</v>
      </c>
    </row>
    <row r="1467" spans="1:4" x14ac:dyDescent="0.25">
      <c r="A1467" t="s">
        <v>20</v>
      </c>
      <c r="B1467">
        <v>26</v>
      </c>
      <c r="C1467">
        <v>38</v>
      </c>
    </row>
    <row r="1468" spans="1:4" x14ac:dyDescent="0.25">
      <c r="A1468" t="s">
        <v>20</v>
      </c>
      <c r="B1468">
        <v>26</v>
      </c>
      <c r="C1468">
        <v>39</v>
      </c>
      <c r="D1468">
        <v>1</v>
      </c>
    </row>
    <row r="1469" spans="1:4" x14ac:dyDescent="0.25">
      <c r="A1469" t="s">
        <v>20</v>
      </c>
      <c r="B1469">
        <v>26</v>
      </c>
      <c r="C1469">
        <v>40</v>
      </c>
    </row>
    <row r="1470" spans="1:4" x14ac:dyDescent="0.25">
      <c r="A1470" t="s">
        <v>20</v>
      </c>
      <c r="B1470">
        <v>26</v>
      </c>
      <c r="C1470">
        <v>41</v>
      </c>
    </row>
    <row r="1471" spans="1:4" x14ac:dyDescent="0.25">
      <c r="A1471" t="s">
        <v>20</v>
      </c>
      <c r="B1471">
        <v>26</v>
      </c>
      <c r="C1471">
        <v>42</v>
      </c>
      <c r="D1471">
        <v>1</v>
      </c>
    </row>
    <row r="1472" spans="1:4" x14ac:dyDescent="0.25">
      <c r="A1472" t="s">
        <v>20</v>
      </c>
      <c r="B1472">
        <v>26</v>
      </c>
      <c r="C1472">
        <v>43</v>
      </c>
    </row>
    <row r="1473" spans="1:4" x14ac:dyDescent="0.25">
      <c r="A1473" t="s">
        <v>20</v>
      </c>
      <c r="B1473">
        <v>26</v>
      </c>
      <c r="C1473">
        <v>44</v>
      </c>
    </row>
    <row r="1474" spans="1:4" x14ac:dyDescent="0.25">
      <c r="A1474" t="s">
        <v>20</v>
      </c>
      <c r="B1474">
        <v>26</v>
      </c>
      <c r="C1474">
        <v>45</v>
      </c>
    </row>
    <row r="1475" spans="1:4" x14ac:dyDescent="0.25">
      <c r="A1475" t="s">
        <v>20</v>
      </c>
      <c r="B1475">
        <v>26</v>
      </c>
      <c r="C1475">
        <v>46</v>
      </c>
    </row>
    <row r="1476" spans="1:4" x14ac:dyDescent="0.25">
      <c r="A1476" t="s">
        <v>20</v>
      </c>
      <c r="B1476">
        <v>26</v>
      </c>
      <c r="C1476">
        <v>47</v>
      </c>
    </row>
    <row r="1477" spans="1:4" x14ac:dyDescent="0.25">
      <c r="A1477" t="s">
        <v>20</v>
      </c>
      <c r="B1477">
        <v>26</v>
      </c>
      <c r="C1477">
        <v>48</v>
      </c>
      <c r="D1477">
        <v>1</v>
      </c>
    </row>
    <row r="1478" spans="1:4" x14ac:dyDescent="0.25">
      <c r="A1478" t="s">
        <v>20</v>
      </c>
      <c r="B1478">
        <v>26</v>
      </c>
      <c r="C1478">
        <v>49</v>
      </c>
    </row>
    <row r="1479" spans="1:4" x14ac:dyDescent="0.25">
      <c r="A1479" t="s">
        <v>20</v>
      </c>
      <c r="B1479">
        <v>26</v>
      </c>
      <c r="C1479">
        <v>50</v>
      </c>
    </row>
    <row r="1480" spans="1:4" x14ac:dyDescent="0.25">
      <c r="A1480" t="s">
        <v>20</v>
      </c>
      <c r="B1480">
        <v>26</v>
      </c>
      <c r="C1480">
        <v>51</v>
      </c>
    </row>
    <row r="1481" spans="1:4" x14ac:dyDescent="0.25">
      <c r="A1481" t="s">
        <v>20</v>
      </c>
      <c r="B1481">
        <v>26</v>
      </c>
      <c r="C1481">
        <v>52</v>
      </c>
    </row>
    <row r="1482" spans="1:4" x14ac:dyDescent="0.25">
      <c r="A1482" t="s">
        <v>20</v>
      </c>
      <c r="B1482">
        <v>26</v>
      </c>
      <c r="C1482">
        <v>53</v>
      </c>
    </row>
    <row r="1483" spans="1:4" x14ac:dyDescent="0.25">
      <c r="A1483" t="s">
        <v>20</v>
      </c>
      <c r="B1483">
        <v>26</v>
      </c>
      <c r="C1483">
        <v>54</v>
      </c>
      <c r="D1483">
        <v>1</v>
      </c>
    </row>
    <row r="1484" spans="1:4" x14ac:dyDescent="0.25">
      <c r="A1484" t="s">
        <v>20</v>
      </c>
      <c r="B1484">
        <v>26</v>
      </c>
      <c r="C1484">
        <v>55</v>
      </c>
    </row>
    <row r="1485" spans="1:4" x14ac:dyDescent="0.25">
      <c r="A1485" t="s">
        <v>20</v>
      </c>
      <c r="B1485">
        <v>26</v>
      </c>
      <c r="C1485">
        <v>56</v>
      </c>
    </row>
    <row r="1486" spans="1:4" x14ac:dyDescent="0.25">
      <c r="A1486" t="s">
        <v>20</v>
      </c>
      <c r="B1486">
        <v>26</v>
      </c>
      <c r="C1486">
        <v>57</v>
      </c>
    </row>
    <row r="1487" spans="1:4" x14ac:dyDescent="0.25">
      <c r="A1487" t="s">
        <v>20</v>
      </c>
      <c r="B1487">
        <v>26</v>
      </c>
      <c r="C1487">
        <v>58</v>
      </c>
    </row>
    <row r="1488" spans="1:4" x14ac:dyDescent="0.25">
      <c r="A1488" t="s">
        <v>20</v>
      </c>
      <c r="B1488">
        <v>26</v>
      </c>
      <c r="C1488">
        <v>59</v>
      </c>
    </row>
    <row r="1489" spans="1:4" x14ac:dyDescent="0.25">
      <c r="A1489" t="s">
        <v>20</v>
      </c>
      <c r="B1489">
        <v>26</v>
      </c>
      <c r="C1489">
        <v>60</v>
      </c>
    </row>
    <row r="1490" spans="1:4" x14ac:dyDescent="0.25">
      <c r="A1490" t="s">
        <v>20</v>
      </c>
      <c r="B1490">
        <v>26</v>
      </c>
      <c r="C1490">
        <v>61</v>
      </c>
    </row>
    <row r="1491" spans="1:4" x14ac:dyDescent="0.25">
      <c r="A1491" t="s">
        <v>20</v>
      </c>
      <c r="B1491">
        <v>26</v>
      </c>
      <c r="C1491">
        <v>62</v>
      </c>
    </row>
    <row r="1492" spans="1:4" x14ac:dyDescent="0.25">
      <c r="A1492" t="s">
        <v>20</v>
      </c>
      <c r="B1492">
        <v>26</v>
      </c>
      <c r="C1492">
        <v>63</v>
      </c>
      <c r="D1492">
        <v>1</v>
      </c>
    </row>
    <row r="1493" spans="1:4" x14ac:dyDescent="0.25">
      <c r="A1493" t="s">
        <v>20</v>
      </c>
      <c r="B1493">
        <v>26</v>
      </c>
      <c r="C1493">
        <v>64</v>
      </c>
    </row>
    <row r="1494" spans="1:4" x14ac:dyDescent="0.25">
      <c r="A1494" t="s">
        <v>20</v>
      </c>
      <c r="B1494">
        <v>26</v>
      </c>
      <c r="C1494">
        <v>65</v>
      </c>
    </row>
    <row r="1495" spans="1:4" x14ac:dyDescent="0.25">
      <c r="A1495" t="s">
        <v>20</v>
      </c>
      <c r="B1495">
        <v>26</v>
      </c>
      <c r="C1495">
        <v>66</v>
      </c>
      <c r="D1495">
        <v>1</v>
      </c>
    </row>
    <row r="1496" spans="1:4" x14ac:dyDescent="0.25">
      <c r="A1496" t="s">
        <v>20</v>
      </c>
      <c r="B1496">
        <v>26</v>
      </c>
      <c r="C1496">
        <v>67</v>
      </c>
    </row>
    <row r="1497" spans="1:4" x14ac:dyDescent="0.25">
      <c r="A1497" t="s">
        <v>20</v>
      </c>
      <c r="B1497">
        <v>26</v>
      </c>
      <c r="C1497">
        <v>68</v>
      </c>
    </row>
    <row r="1498" spans="1:4" x14ac:dyDescent="0.25">
      <c r="A1498" t="s">
        <v>20</v>
      </c>
      <c r="B1498">
        <v>26</v>
      </c>
      <c r="C1498">
        <v>69</v>
      </c>
    </row>
    <row r="1499" spans="1:4" x14ac:dyDescent="0.25">
      <c r="A1499" t="s">
        <v>20</v>
      </c>
      <c r="B1499">
        <v>26</v>
      </c>
      <c r="C1499">
        <v>70</v>
      </c>
    </row>
    <row r="1500" spans="1:4" x14ac:dyDescent="0.25">
      <c r="A1500" t="s">
        <v>20</v>
      </c>
      <c r="B1500">
        <v>26</v>
      </c>
      <c r="C1500">
        <v>71</v>
      </c>
    </row>
    <row r="1501" spans="1:4" x14ac:dyDescent="0.25">
      <c r="A1501" t="s">
        <v>20</v>
      </c>
      <c r="B1501">
        <v>26</v>
      </c>
      <c r="C1501">
        <v>72</v>
      </c>
    </row>
    <row r="1502" spans="1:4" x14ac:dyDescent="0.25">
      <c r="A1502" t="s">
        <v>20</v>
      </c>
      <c r="B1502">
        <v>26</v>
      </c>
      <c r="C1502">
        <v>73</v>
      </c>
    </row>
    <row r="1503" spans="1:4" x14ac:dyDescent="0.25">
      <c r="A1503" t="s">
        <v>20</v>
      </c>
      <c r="B1503">
        <v>26</v>
      </c>
      <c r="C1503">
        <v>74</v>
      </c>
    </row>
    <row r="1504" spans="1:4" x14ac:dyDescent="0.25">
      <c r="A1504" t="s">
        <v>20</v>
      </c>
      <c r="B1504">
        <v>26</v>
      </c>
      <c r="C1504">
        <v>75</v>
      </c>
      <c r="D1504">
        <v>1</v>
      </c>
    </row>
    <row r="1505" spans="1:4" x14ac:dyDescent="0.25">
      <c r="A1505" t="s">
        <v>20</v>
      </c>
      <c r="B1505">
        <v>26</v>
      </c>
      <c r="C1505">
        <v>76</v>
      </c>
    </row>
    <row r="1506" spans="1:4" x14ac:dyDescent="0.25">
      <c r="A1506" t="s">
        <v>20</v>
      </c>
      <c r="B1506">
        <v>26</v>
      </c>
      <c r="C1506">
        <v>77</v>
      </c>
    </row>
    <row r="1507" spans="1:4" x14ac:dyDescent="0.25">
      <c r="A1507" t="s">
        <v>20</v>
      </c>
      <c r="B1507">
        <v>26</v>
      </c>
      <c r="C1507">
        <v>78</v>
      </c>
      <c r="D1507">
        <v>1</v>
      </c>
    </row>
    <row r="1508" spans="1:4" x14ac:dyDescent="0.25">
      <c r="A1508" t="s">
        <v>20</v>
      </c>
      <c r="B1508">
        <v>26</v>
      </c>
      <c r="C1508">
        <v>79</v>
      </c>
    </row>
    <row r="1509" spans="1:4" x14ac:dyDescent="0.25">
      <c r="A1509" t="s">
        <v>20</v>
      </c>
      <c r="B1509">
        <v>26</v>
      </c>
      <c r="C1509">
        <v>80</v>
      </c>
    </row>
    <row r="1510" spans="1:4" x14ac:dyDescent="0.25">
      <c r="A1510" t="s">
        <v>20</v>
      </c>
      <c r="B1510">
        <v>26</v>
      </c>
      <c r="C1510">
        <v>81</v>
      </c>
      <c r="D1510">
        <v>1</v>
      </c>
    </row>
    <row r="1511" spans="1:4" x14ac:dyDescent="0.25">
      <c r="A1511" t="s">
        <v>20</v>
      </c>
      <c r="B1511">
        <v>26</v>
      </c>
      <c r="C1511">
        <v>82</v>
      </c>
    </row>
    <row r="1512" spans="1:4" x14ac:dyDescent="0.25">
      <c r="A1512" t="s">
        <v>20</v>
      </c>
      <c r="B1512">
        <v>26</v>
      </c>
      <c r="C1512">
        <v>83</v>
      </c>
    </row>
    <row r="1513" spans="1:4" x14ac:dyDescent="0.25">
      <c r="A1513" t="s">
        <v>20</v>
      </c>
      <c r="B1513">
        <v>26</v>
      </c>
      <c r="C1513">
        <v>84</v>
      </c>
      <c r="D1513">
        <v>1</v>
      </c>
    </row>
    <row r="1514" spans="1:4" x14ac:dyDescent="0.25">
      <c r="A1514" t="s">
        <v>20</v>
      </c>
      <c r="B1514">
        <v>27</v>
      </c>
      <c r="C1514">
        <v>1</v>
      </c>
    </row>
    <row r="1515" spans="1:4" x14ac:dyDescent="0.25">
      <c r="A1515" t="s">
        <v>20</v>
      </c>
      <c r="B1515">
        <v>27</v>
      </c>
      <c r="C1515">
        <v>2</v>
      </c>
    </row>
    <row r="1516" spans="1:4" x14ac:dyDescent="0.25">
      <c r="A1516" t="s">
        <v>20</v>
      </c>
      <c r="B1516">
        <v>27</v>
      </c>
      <c r="C1516">
        <v>3</v>
      </c>
    </row>
    <row r="1517" spans="1:4" x14ac:dyDescent="0.25">
      <c r="A1517" t="s">
        <v>20</v>
      </c>
      <c r="B1517">
        <v>27</v>
      </c>
      <c r="C1517">
        <v>4</v>
      </c>
    </row>
    <row r="1518" spans="1:4" x14ac:dyDescent="0.25">
      <c r="A1518" t="s">
        <v>20</v>
      </c>
      <c r="B1518">
        <v>27</v>
      </c>
      <c r="C1518">
        <v>5</v>
      </c>
    </row>
    <row r="1519" spans="1:4" x14ac:dyDescent="0.25">
      <c r="A1519" t="s">
        <v>20</v>
      </c>
      <c r="B1519">
        <v>27</v>
      </c>
      <c r="C1519">
        <v>6</v>
      </c>
    </row>
    <row r="1520" spans="1:4" x14ac:dyDescent="0.25">
      <c r="A1520" t="s">
        <v>20</v>
      </c>
      <c r="B1520">
        <v>27</v>
      </c>
      <c r="C1520">
        <v>7</v>
      </c>
    </row>
    <row r="1521" spans="1:4" x14ac:dyDescent="0.25">
      <c r="A1521" t="s">
        <v>20</v>
      </c>
      <c r="B1521">
        <v>27</v>
      </c>
      <c r="C1521">
        <v>8</v>
      </c>
    </row>
    <row r="1522" spans="1:4" x14ac:dyDescent="0.25">
      <c r="A1522" t="s">
        <v>20</v>
      </c>
      <c r="B1522">
        <v>27</v>
      </c>
      <c r="C1522">
        <v>9</v>
      </c>
    </row>
    <row r="1523" spans="1:4" x14ac:dyDescent="0.25">
      <c r="A1523" t="s">
        <v>20</v>
      </c>
      <c r="B1523">
        <v>27</v>
      </c>
      <c r="C1523">
        <v>10</v>
      </c>
    </row>
    <row r="1524" spans="1:4" x14ac:dyDescent="0.25">
      <c r="A1524" t="s">
        <v>20</v>
      </c>
      <c r="B1524">
        <v>27</v>
      </c>
      <c r="C1524">
        <v>11</v>
      </c>
    </row>
    <row r="1525" spans="1:4" x14ac:dyDescent="0.25">
      <c r="A1525" t="s">
        <v>20</v>
      </c>
      <c r="B1525">
        <v>27</v>
      </c>
      <c r="C1525">
        <v>12</v>
      </c>
    </row>
    <row r="1526" spans="1:4" x14ac:dyDescent="0.25">
      <c r="A1526" t="s">
        <v>20</v>
      </c>
      <c r="B1526">
        <v>27</v>
      </c>
      <c r="C1526">
        <v>13</v>
      </c>
    </row>
    <row r="1527" spans="1:4" x14ac:dyDescent="0.25">
      <c r="A1527" t="s">
        <v>20</v>
      </c>
      <c r="B1527">
        <v>27</v>
      </c>
      <c r="C1527">
        <v>14</v>
      </c>
    </row>
    <row r="1528" spans="1:4" x14ac:dyDescent="0.25">
      <c r="A1528" t="s">
        <v>20</v>
      </c>
      <c r="B1528">
        <v>27</v>
      </c>
      <c r="C1528">
        <v>15</v>
      </c>
    </row>
    <row r="1529" spans="1:4" x14ac:dyDescent="0.25">
      <c r="A1529" t="s">
        <v>20</v>
      </c>
      <c r="B1529">
        <v>27</v>
      </c>
      <c r="C1529">
        <v>16</v>
      </c>
    </row>
    <row r="1530" spans="1:4" x14ac:dyDescent="0.25">
      <c r="A1530" t="s">
        <v>20</v>
      </c>
      <c r="B1530">
        <v>27</v>
      </c>
      <c r="C1530">
        <v>17</v>
      </c>
      <c r="D1530">
        <v>1</v>
      </c>
    </row>
    <row r="1531" spans="1:4" x14ac:dyDescent="0.25">
      <c r="A1531" t="s">
        <v>20</v>
      </c>
      <c r="B1531">
        <v>27</v>
      </c>
      <c r="C1531">
        <v>18</v>
      </c>
    </row>
    <row r="1532" spans="1:4" x14ac:dyDescent="0.25">
      <c r="A1532" t="s">
        <v>20</v>
      </c>
      <c r="B1532">
        <v>27</v>
      </c>
      <c r="C1532">
        <v>19</v>
      </c>
    </row>
    <row r="1533" spans="1:4" x14ac:dyDescent="0.25">
      <c r="A1533" t="s">
        <v>20</v>
      </c>
      <c r="B1533">
        <v>27</v>
      </c>
      <c r="C1533">
        <v>20</v>
      </c>
      <c r="D1533">
        <v>1</v>
      </c>
    </row>
    <row r="1534" spans="1:4" x14ac:dyDescent="0.25">
      <c r="A1534" t="s">
        <v>20</v>
      </c>
      <c r="B1534">
        <v>27</v>
      </c>
      <c r="C1534">
        <v>21</v>
      </c>
    </row>
    <row r="1535" spans="1:4" x14ac:dyDescent="0.25">
      <c r="A1535" t="s">
        <v>20</v>
      </c>
      <c r="B1535">
        <v>27</v>
      </c>
      <c r="C1535">
        <v>22</v>
      </c>
    </row>
    <row r="1536" spans="1:4" x14ac:dyDescent="0.25">
      <c r="A1536" t="s">
        <v>20</v>
      </c>
      <c r="B1536">
        <v>27</v>
      </c>
      <c r="C1536">
        <v>23</v>
      </c>
    </row>
    <row r="1537" spans="1:3" x14ac:dyDescent="0.25">
      <c r="A1537" t="s">
        <v>20</v>
      </c>
      <c r="B1537">
        <v>27</v>
      </c>
      <c r="C1537">
        <v>24</v>
      </c>
    </row>
    <row r="1538" spans="1:3" x14ac:dyDescent="0.25">
      <c r="A1538" t="s">
        <v>20</v>
      </c>
      <c r="B1538">
        <v>27</v>
      </c>
      <c r="C1538">
        <v>25</v>
      </c>
    </row>
    <row r="1539" spans="1:3" x14ac:dyDescent="0.25">
      <c r="A1539" t="s">
        <v>20</v>
      </c>
      <c r="B1539">
        <v>27</v>
      </c>
      <c r="C1539">
        <v>26</v>
      </c>
    </row>
    <row r="1540" spans="1:3" x14ac:dyDescent="0.25">
      <c r="A1540" t="s">
        <v>20</v>
      </c>
      <c r="B1540">
        <v>27</v>
      </c>
      <c r="C1540">
        <v>27</v>
      </c>
    </row>
    <row r="1541" spans="1:3" x14ac:dyDescent="0.25">
      <c r="A1541" t="s">
        <v>20</v>
      </c>
      <c r="B1541">
        <v>27</v>
      </c>
      <c r="C1541">
        <v>28</v>
      </c>
    </row>
    <row r="1542" spans="1:3" x14ac:dyDescent="0.25">
      <c r="A1542" t="s">
        <v>20</v>
      </c>
      <c r="B1542">
        <v>27</v>
      </c>
      <c r="C1542">
        <v>29</v>
      </c>
    </row>
    <row r="1543" spans="1:3" x14ac:dyDescent="0.25">
      <c r="A1543" t="s">
        <v>20</v>
      </c>
      <c r="B1543">
        <v>27</v>
      </c>
      <c r="C1543">
        <v>30</v>
      </c>
    </row>
    <row r="1544" spans="1:3" x14ac:dyDescent="0.25">
      <c r="A1544" t="s">
        <v>20</v>
      </c>
      <c r="B1544">
        <v>27</v>
      </c>
      <c r="C1544">
        <v>31</v>
      </c>
    </row>
    <row r="1545" spans="1:3" x14ac:dyDescent="0.25">
      <c r="A1545" t="s">
        <v>20</v>
      </c>
      <c r="B1545">
        <v>27</v>
      </c>
      <c r="C1545">
        <v>32</v>
      </c>
    </row>
    <row r="1546" spans="1:3" x14ac:dyDescent="0.25">
      <c r="A1546" t="s">
        <v>20</v>
      </c>
      <c r="B1546">
        <v>27</v>
      </c>
      <c r="C1546">
        <v>33</v>
      </c>
    </row>
    <row r="1547" spans="1:3" x14ac:dyDescent="0.25">
      <c r="A1547" t="s">
        <v>20</v>
      </c>
      <c r="B1547">
        <v>27</v>
      </c>
      <c r="C1547">
        <v>34</v>
      </c>
    </row>
    <row r="1548" spans="1:3" x14ac:dyDescent="0.25">
      <c r="A1548" t="s">
        <v>20</v>
      </c>
      <c r="B1548">
        <v>27</v>
      </c>
      <c r="C1548">
        <v>35</v>
      </c>
    </row>
    <row r="1549" spans="1:3" x14ac:dyDescent="0.25">
      <c r="A1549" t="s">
        <v>20</v>
      </c>
      <c r="B1549">
        <v>27</v>
      </c>
      <c r="C1549">
        <v>36</v>
      </c>
    </row>
    <row r="1550" spans="1:3" x14ac:dyDescent="0.25">
      <c r="A1550" t="s">
        <v>20</v>
      </c>
      <c r="B1550">
        <v>27</v>
      </c>
      <c r="C1550">
        <v>37</v>
      </c>
    </row>
    <row r="1551" spans="1:3" x14ac:dyDescent="0.25">
      <c r="A1551" t="s">
        <v>20</v>
      </c>
      <c r="B1551">
        <v>27</v>
      </c>
      <c r="C1551">
        <v>38</v>
      </c>
    </row>
    <row r="1552" spans="1:3" x14ac:dyDescent="0.25">
      <c r="A1552" t="s">
        <v>20</v>
      </c>
      <c r="B1552">
        <v>27</v>
      </c>
      <c r="C1552">
        <v>39</v>
      </c>
    </row>
    <row r="1553" spans="1:4" x14ac:dyDescent="0.25">
      <c r="A1553" t="s">
        <v>20</v>
      </c>
      <c r="B1553">
        <v>27</v>
      </c>
      <c r="C1553">
        <v>40</v>
      </c>
    </row>
    <row r="1554" spans="1:4" x14ac:dyDescent="0.25">
      <c r="A1554" t="s">
        <v>20</v>
      </c>
      <c r="B1554">
        <v>27</v>
      </c>
      <c r="C1554">
        <v>41</v>
      </c>
      <c r="D1554">
        <v>1</v>
      </c>
    </row>
    <row r="1555" spans="1:4" x14ac:dyDescent="0.25">
      <c r="A1555" t="s">
        <v>20</v>
      </c>
      <c r="B1555">
        <v>27</v>
      </c>
      <c r="C1555">
        <v>42</v>
      </c>
    </row>
    <row r="1556" spans="1:4" x14ac:dyDescent="0.25">
      <c r="A1556" t="s">
        <v>20</v>
      </c>
      <c r="B1556">
        <v>27</v>
      </c>
      <c r="C1556">
        <v>43</v>
      </c>
    </row>
    <row r="1557" spans="1:4" x14ac:dyDescent="0.25">
      <c r="A1557" t="s">
        <v>20</v>
      </c>
      <c r="B1557">
        <v>27</v>
      </c>
      <c r="C1557">
        <v>44</v>
      </c>
    </row>
    <row r="1558" spans="1:4" x14ac:dyDescent="0.25">
      <c r="A1558" t="s">
        <v>20</v>
      </c>
      <c r="B1558">
        <v>27</v>
      </c>
      <c r="C1558">
        <v>45</v>
      </c>
    </row>
    <row r="1559" spans="1:4" x14ac:dyDescent="0.25">
      <c r="A1559" t="s">
        <v>20</v>
      </c>
      <c r="B1559">
        <v>27</v>
      </c>
      <c r="C1559">
        <v>46</v>
      </c>
    </row>
    <row r="1560" spans="1:4" x14ac:dyDescent="0.25">
      <c r="A1560" t="s">
        <v>20</v>
      </c>
      <c r="B1560">
        <v>27</v>
      </c>
      <c r="C1560">
        <v>47</v>
      </c>
    </row>
    <row r="1561" spans="1:4" x14ac:dyDescent="0.25">
      <c r="A1561" t="s">
        <v>20</v>
      </c>
      <c r="B1561">
        <v>27</v>
      </c>
      <c r="C1561">
        <v>48</v>
      </c>
    </row>
    <row r="1562" spans="1:4" x14ac:dyDescent="0.25">
      <c r="A1562" t="s">
        <v>20</v>
      </c>
      <c r="B1562">
        <v>27</v>
      </c>
      <c r="C1562">
        <v>49</v>
      </c>
    </row>
    <row r="1563" spans="1:4" x14ac:dyDescent="0.25">
      <c r="A1563" t="s">
        <v>20</v>
      </c>
      <c r="B1563">
        <v>27</v>
      </c>
      <c r="C1563">
        <v>50</v>
      </c>
    </row>
    <row r="1564" spans="1:4" x14ac:dyDescent="0.25">
      <c r="A1564" t="s">
        <v>20</v>
      </c>
      <c r="B1564">
        <v>27</v>
      </c>
      <c r="C1564">
        <v>51</v>
      </c>
    </row>
    <row r="1565" spans="1:4" x14ac:dyDescent="0.25">
      <c r="A1565" t="s">
        <v>20</v>
      </c>
      <c r="B1565">
        <v>27</v>
      </c>
      <c r="C1565">
        <v>52</v>
      </c>
    </row>
    <row r="1566" spans="1:4" x14ac:dyDescent="0.25">
      <c r="A1566" t="s">
        <v>20</v>
      </c>
      <c r="B1566">
        <v>27</v>
      </c>
      <c r="C1566">
        <v>53</v>
      </c>
    </row>
    <row r="1567" spans="1:4" x14ac:dyDescent="0.25">
      <c r="A1567" t="s">
        <v>20</v>
      </c>
      <c r="B1567">
        <v>27</v>
      </c>
      <c r="C1567">
        <v>54</v>
      </c>
    </row>
    <row r="1568" spans="1:4" x14ac:dyDescent="0.25">
      <c r="A1568" t="s">
        <v>20</v>
      </c>
      <c r="B1568">
        <v>27</v>
      </c>
      <c r="C1568">
        <v>55</v>
      </c>
    </row>
    <row r="1569" spans="1:3" x14ac:dyDescent="0.25">
      <c r="A1569" t="s">
        <v>20</v>
      </c>
      <c r="B1569">
        <v>27</v>
      </c>
      <c r="C1569">
        <v>56</v>
      </c>
    </row>
    <row r="1570" spans="1:3" x14ac:dyDescent="0.25">
      <c r="A1570" t="s">
        <v>20</v>
      </c>
      <c r="B1570">
        <v>27</v>
      </c>
      <c r="C1570">
        <v>57</v>
      </c>
    </row>
    <row r="1571" spans="1:3" x14ac:dyDescent="0.25">
      <c r="A1571" t="s">
        <v>20</v>
      </c>
      <c r="B1571">
        <v>27</v>
      </c>
      <c r="C1571">
        <v>58</v>
      </c>
    </row>
    <row r="1572" spans="1:3" x14ac:dyDescent="0.25">
      <c r="A1572" t="s">
        <v>20</v>
      </c>
      <c r="B1572">
        <v>27</v>
      </c>
      <c r="C1572">
        <v>59</v>
      </c>
    </row>
    <row r="1573" spans="1:3" x14ac:dyDescent="0.25">
      <c r="A1573" t="s">
        <v>20</v>
      </c>
      <c r="B1573">
        <v>27</v>
      </c>
      <c r="C1573">
        <v>60</v>
      </c>
    </row>
    <row r="1574" spans="1:3" x14ac:dyDescent="0.25">
      <c r="A1574" t="s">
        <v>20</v>
      </c>
      <c r="B1574">
        <v>27</v>
      </c>
      <c r="C1574">
        <v>61</v>
      </c>
    </row>
    <row r="1575" spans="1:3" x14ac:dyDescent="0.25">
      <c r="A1575" t="s">
        <v>20</v>
      </c>
      <c r="B1575">
        <v>27</v>
      </c>
      <c r="C1575">
        <v>62</v>
      </c>
    </row>
    <row r="1576" spans="1:3" x14ac:dyDescent="0.25">
      <c r="A1576" t="s">
        <v>20</v>
      </c>
      <c r="B1576">
        <v>27</v>
      </c>
      <c r="C1576">
        <v>63</v>
      </c>
    </row>
    <row r="1577" spans="1:3" x14ac:dyDescent="0.25">
      <c r="A1577" t="s">
        <v>20</v>
      </c>
      <c r="B1577">
        <v>27</v>
      </c>
      <c r="C1577">
        <v>64</v>
      </c>
    </row>
    <row r="1578" spans="1:3" x14ac:dyDescent="0.25">
      <c r="A1578" t="s">
        <v>20</v>
      </c>
      <c r="B1578">
        <v>27</v>
      </c>
      <c r="C1578">
        <v>65</v>
      </c>
    </row>
    <row r="1579" spans="1:3" x14ac:dyDescent="0.25">
      <c r="A1579" t="s">
        <v>20</v>
      </c>
      <c r="B1579">
        <v>27</v>
      </c>
      <c r="C1579">
        <v>66</v>
      </c>
    </row>
    <row r="1580" spans="1:3" x14ac:dyDescent="0.25">
      <c r="A1580" t="s">
        <v>20</v>
      </c>
      <c r="B1580">
        <v>27</v>
      </c>
      <c r="C1580">
        <v>67</v>
      </c>
    </row>
    <row r="1581" spans="1:3" x14ac:dyDescent="0.25">
      <c r="A1581" t="s">
        <v>20</v>
      </c>
      <c r="B1581">
        <v>27</v>
      </c>
      <c r="C1581">
        <v>68</v>
      </c>
    </row>
    <row r="1582" spans="1:3" x14ac:dyDescent="0.25">
      <c r="A1582" t="s">
        <v>20</v>
      </c>
      <c r="B1582">
        <v>27</v>
      </c>
      <c r="C1582">
        <v>69</v>
      </c>
    </row>
    <row r="1583" spans="1:3" x14ac:dyDescent="0.25">
      <c r="A1583" t="s">
        <v>20</v>
      </c>
      <c r="B1583">
        <v>27</v>
      </c>
      <c r="C1583">
        <v>70</v>
      </c>
    </row>
    <row r="1584" spans="1:3" x14ac:dyDescent="0.25">
      <c r="A1584" t="s">
        <v>20</v>
      </c>
      <c r="B1584">
        <v>27</v>
      </c>
      <c r="C1584">
        <v>71</v>
      </c>
    </row>
    <row r="1585" spans="1:4" x14ac:dyDescent="0.25">
      <c r="A1585" t="s">
        <v>20</v>
      </c>
      <c r="B1585">
        <v>27</v>
      </c>
      <c r="C1585">
        <v>72</v>
      </c>
    </row>
    <row r="1586" spans="1:4" x14ac:dyDescent="0.25">
      <c r="A1586" t="s">
        <v>20</v>
      </c>
      <c r="B1586">
        <v>27</v>
      </c>
      <c r="C1586">
        <v>73</v>
      </c>
    </row>
    <row r="1587" spans="1:4" x14ac:dyDescent="0.25">
      <c r="A1587" t="s">
        <v>20</v>
      </c>
      <c r="B1587">
        <v>27</v>
      </c>
      <c r="C1587">
        <v>74</v>
      </c>
    </row>
    <row r="1588" spans="1:4" x14ac:dyDescent="0.25">
      <c r="A1588" t="s">
        <v>20</v>
      </c>
      <c r="B1588">
        <v>27</v>
      </c>
      <c r="C1588">
        <v>75</v>
      </c>
    </row>
    <row r="1589" spans="1:4" x14ac:dyDescent="0.25">
      <c r="A1589" t="s">
        <v>20</v>
      </c>
      <c r="B1589">
        <v>27</v>
      </c>
      <c r="C1589">
        <v>76</v>
      </c>
    </row>
    <row r="1590" spans="1:4" x14ac:dyDescent="0.25">
      <c r="A1590" t="s">
        <v>20</v>
      </c>
      <c r="B1590">
        <v>27</v>
      </c>
      <c r="C1590">
        <v>77</v>
      </c>
    </row>
    <row r="1591" spans="1:4" x14ac:dyDescent="0.25">
      <c r="A1591" t="s">
        <v>20</v>
      </c>
      <c r="B1591">
        <v>27</v>
      </c>
      <c r="C1591">
        <v>78</v>
      </c>
    </row>
    <row r="1592" spans="1:4" x14ac:dyDescent="0.25">
      <c r="A1592" t="s">
        <v>20</v>
      </c>
      <c r="B1592">
        <v>27</v>
      </c>
      <c r="C1592">
        <v>79</v>
      </c>
    </row>
    <row r="1593" spans="1:4" x14ac:dyDescent="0.25">
      <c r="A1593" t="s">
        <v>20</v>
      </c>
      <c r="B1593">
        <v>27</v>
      </c>
      <c r="C1593">
        <v>80</v>
      </c>
      <c r="D1593">
        <v>1</v>
      </c>
    </row>
    <row r="1594" spans="1:4" x14ac:dyDescent="0.25">
      <c r="A1594" t="s">
        <v>20</v>
      </c>
      <c r="B1594">
        <v>27</v>
      </c>
      <c r="C1594">
        <v>81</v>
      </c>
    </row>
    <row r="1595" spans="1:4" x14ac:dyDescent="0.25">
      <c r="A1595" t="s">
        <v>20</v>
      </c>
      <c r="B1595">
        <v>27</v>
      </c>
      <c r="C1595">
        <v>82</v>
      </c>
    </row>
    <row r="1596" spans="1:4" x14ac:dyDescent="0.25">
      <c r="A1596" t="s">
        <v>20</v>
      </c>
      <c r="B1596">
        <v>27</v>
      </c>
      <c r="C1596">
        <v>83</v>
      </c>
      <c r="D1596">
        <v>1</v>
      </c>
    </row>
    <row r="1597" spans="1:4" x14ac:dyDescent="0.25">
      <c r="A1597" t="s">
        <v>20</v>
      </c>
      <c r="B1597">
        <v>27</v>
      </c>
      <c r="C1597">
        <v>84</v>
      </c>
    </row>
    <row r="1598" spans="1:4" x14ac:dyDescent="0.25">
      <c r="A1598" t="s">
        <v>20</v>
      </c>
      <c r="B1598">
        <v>28</v>
      </c>
      <c r="C1598">
        <v>1</v>
      </c>
      <c r="D1598">
        <v>1</v>
      </c>
    </row>
    <row r="1599" spans="1:4" x14ac:dyDescent="0.25">
      <c r="A1599" t="s">
        <v>20</v>
      </c>
      <c r="B1599">
        <v>28</v>
      </c>
      <c r="C1599">
        <v>2</v>
      </c>
    </row>
    <row r="1600" spans="1:4" x14ac:dyDescent="0.25">
      <c r="A1600" t="s">
        <v>20</v>
      </c>
      <c r="B1600">
        <v>28</v>
      </c>
      <c r="C1600">
        <v>3</v>
      </c>
    </row>
    <row r="1601" spans="1:4" x14ac:dyDescent="0.25">
      <c r="A1601" t="s">
        <v>20</v>
      </c>
      <c r="B1601">
        <v>28</v>
      </c>
      <c r="C1601">
        <v>4</v>
      </c>
    </row>
    <row r="1602" spans="1:4" x14ac:dyDescent="0.25">
      <c r="A1602" t="s">
        <v>20</v>
      </c>
      <c r="B1602">
        <v>28</v>
      </c>
      <c r="C1602">
        <v>5</v>
      </c>
    </row>
    <row r="1603" spans="1:4" x14ac:dyDescent="0.25">
      <c r="A1603" t="s">
        <v>20</v>
      </c>
      <c r="B1603">
        <v>28</v>
      </c>
      <c r="C1603">
        <v>6</v>
      </c>
    </row>
    <row r="1604" spans="1:4" x14ac:dyDescent="0.25">
      <c r="A1604" t="s">
        <v>20</v>
      </c>
      <c r="B1604">
        <v>28</v>
      </c>
      <c r="C1604">
        <v>7</v>
      </c>
      <c r="D1604">
        <v>1</v>
      </c>
    </row>
    <row r="1605" spans="1:4" x14ac:dyDescent="0.25">
      <c r="A1605" t="s">
        <v>20</v>
      </c>
      <c r="B1605">
        <v>28</v>
      </c>
      <c r="C1605">
        <v>8</v>
      </c>
    </row>
    <row r="1606" spans="1:4" x14ac:dyDescent="0.25">
      <c r="A1606" t="s">
        <v>20</v>
      </c>
      <c r="B1606">
        <v>28</v>
      </c>
      <c r="C1606">
        <v>9</v>
      </c>
    </row>
    <row r="1607" spans="1:4" x14ac:dyDescent="0.25">
      <c r="A1607" t="s">
        <v>20</v>
      </c>
      <c r="B1607">
        <v>28</v>
      </c>
      <c r="C1607">
        <v>10</v>
      </c>
      <c r="D1607">
        <v>1</v>
      </c>
    </row>
    <row r="1608" spans="1:4" x14ac:dyDescent="0.25">
      <c r="A1608" t="s">
        <v>20</v>
      </c>
      <c r="B1608">
        <v>28</v>
      </c>
      <c r="C1608">
        <v>11</v>
      </c>
    </row>
    <row r="1609" spans="1:4" x14ac:dyDescent="0.25">
      <c r="A1609" t="s">
        <v>20</v>
      </c>
      <c r="B1609">
        <v>28</v>
      </c>
      <c r="C1609">
        <v>12</v>
      </c>
    </row>
    <row r="1610" spans="1:4" x14ac:dyDescent="0.25">
      <c r="A1610" t="s">
        <v>20</v>
      </c>
      <c r="B1610">
        <v>28</v>
      </c>
      <c r="C1610">
        <v>13</v>
      </c>
      <c r="D1610">
        <v>1</v>
      </c>
    </row>
    <row r="1611" spans="1:4" x14ac:dyDescent="0.25">
      <c r="A1611" t="s">
        <v>20</v>
      </c>
      <c r="B1611">
        <v>28</v>
      </c>
      <c r="C1611">
        <v>14</v>
      </c>
    </row>
    <row r="1612" spans="1:4" x14ac:dyDescent="0.25">
      <c r="A1612" t="s">
        <v>20</v>
      </c>
      <c r="B1612">
        <v>28</v>
      </c>
      <c r="C1612">
        <v>15</v>
      </c>
    </row>
    <row r="1613" spans="1:4" x14ac:dyDescent="0.25">
      <c r="A1613" t="s">
        <v>20</v>
      </c>
      <c r="B1613">
        <v>28</v>
      </c>
      <c r="C1613">
        <v>16</v>
      </c>
      <c r="D1613">
        <v>1</v>
      </c>
    </row>
    <row r="1614" spans="1:4" x14ac:dyDescent="0.25">
      <c r="A1614" t="s">
        <v>20</v>
      </c>
      <c r="B1614">
        <v>28</v>
      </c>
      <c r="C1614">
        <v>17</v>
      </c>
    </row>
    <row r="1615" spans="1:4" x14ac:dyDescent="0.25">
      <c r="A1615" t="s">
        <v>20</v>
      </c>
      <c r="B1615">
        <v>28</v>
      </c>
      <c r="C1615">
        <v>18</v>
      </c>
    </row>
    <row r="1616" spans="1:4" x14ac:dyDescent="0.25">
      <c r="A1616" t="s">
        <v>20</v>
      </c>
      <c r="B1616">
        <v>28</v>
      </c>
      <c r="C1616">
        <v>19</v>
      </c>
    </row>
    <row r="1617" spans="1:4" x14ac:dyDescent="0.25">
      <c r="A1617" t="s">
        <v>20</v>
      </c>
      <c r="B1617">
        <v>28</v>
      </c>
      <c r="C1617">
        <v>20</v>
      </c>
    </row>
    <row r="1618" spans="1:4" x14ac:dyDescent="0.25">
      <c r="A1618" t="s">
        <v>20</v>
      </c>
      <c r="B1618">
        <v>28</v>
      </c>
      <c r="C1618">
        <v>21</v>
      </c>
    </row>
    <row r="1619" spans="1:4" x14ac:dyDescent="0.25">
      <c r="A1619" t="s">
        <v>20</v>
      </c>
      <c r="B1619">
        <v>28</v>
      </c>
      <c r="C1619">
        <v>22</v>
      </c>
      <c r="D1619">
        <v>1</v>
      </c>
    </row>
    <row r="1620" spans="1:4" x14ac:dyDescent="0.25">
      <c r="A1620" t="s">
        <v>20</v>
      </c>
      <c r="B1620">
        <v>28</v>
      </c>
      <c r="C1620">
        <v>23</v>
      </c>
    </row>
    <row r="1621" spans="1:4" x14ac:dyDescent="0.25">
      <c r="A1621" t="s">
        <v>20</v>
      </c>
      <c r="B1621">
        <v>28</v>
      </c>
      <c r="C1621">
        <v>24</v>
      </c>
    </row>
    <row r="1622" spans="1:4" x14ac:dyDescent="0.25">
      <c r="A1622" t="s">
        <v>20</v>
      </c>
      <c r="B1622">
        <v>28</v>
      </c>
      <c r="C1622">
        <v>25</v>
      </c>
      <c r="D1622">
        <v>1</v>
      </c>
    </row>
    <row r="1623" spans="1:4" x14ac:dyDescent="0.25">
      <c r="A1623" t="s">
        <v>20</v>
      </c>
      <c r="B1623">
        <v>28</v>
      </c>
      <c r="C1623">
        <v>26</v>
      </c>
    </row>
    <row r="1624" spans="1:4" x14ac:dyDescent="0.25">
      <c r="A1624" t="s">
        <v>20</v>
      </c>
      <c r="B1624">
        <v>28</v>
      </c>
      <c r="C1624">
        <v>27</v>
      </c>
    </row>
    <row r="1625" spans="1:4" x14ac:dyDescent="0.25">
      <c r="A1625" t="s">
        <v>20</v>
      </c>
      <c r="B1625">
        <v>28</v>
      </c>
      <c r="C1625">
        <v>28</v>
      </c>
      <c r="D1625">
        <v>1</v>
      </c>
    </row>
    <row r="1626" spans="1:4" x14ac:dyDescent="0.25">
      <c r="A1626" t="s">
        <v>20</v>
      </c>
      <c r="B1626">
        <v>28</v>
      </c>
      <c r="C1626">
        <v>29</v>
      </c>
    </row>
    <row r="1627" spans="1:4" x14ac:dyDescent="0.25">
      <c r="A1627" t="s">
        <v>20</v>
      </c>
      <c r="B1627">
        <v>28</v>
      </c>
      <c r="C1627">
        <v>30</v>
      </c>
    </row>
    <row r="1628" spans="1:4" x14ac:dyDescent="0.25">
      <c r="A1628" t="s">
        <v>20</v>
      </c>
      <c r="B1628">
        <v>28</v>
      </c>
      <c r="C1628">
        <v>31</v>
      </c>
      <c r="D1628">
        <v>1</v>
      </c>
    </row>
    <row r="1629" spans="1:4" x14ac:dyDescent="0.25">
      <c r="A1629" t="s">
        <v>20</v>
      </c>
      <c r="B1629">
        <v>28</v>
      </c>
      <c r="C1629">
        <v>32</v>
      </c>
    </row>
    <row r="1630" spans="1:4" x14ac:dyDescent="0.25">
      <c r="A1630" t="s">
        <v>20</v>
      </c>
      <c r="B1630">
        <v>28</v>
      </c>
      <c r="C1630">
        <v>33</v>
      </c>
    </row>
    <row r="1631" spans="1:4" x14ac:dyDescent="0.25">
      <c r="A1631" t="s">
        <v>20</v>
      </c>
      <c r="B1631">
        <v>28</v>
      </c>
      <c r="C1631">
        <v>34</v>
      </c>
      <c r="D1631">
        <v>1</v>
      </c>
    </row>
    <row r="1632" spans="1:4" x14ac:dyDescent="0.25">
      <c r="A1632" t="s">
        <v>20</v>
      </c>
      <c r="B1632">
        <v>28</v>
      </c>
      <c r="C1632">
        <v>35</v>
      </c>
    </row>
    <row r="1633" spans="1:4" x14ac:dyDescent="0.25">
      <c r="A1633" t="s">
        <v>20</v>
      </c>
      <c r="B1633">
        <v>28</v>
      </c>
      <c r="C1633">
        <v>36</v>
      </c>
    </row>
    <row r="1634" spans="1:4" x14ac:dyDescent="0.25">
      <c r="A1634" t="s">
        <v>20</v>
      </c>
      <c r="B1634">
        <v>28</v>
      </c>
      <c r="C1634">
        <v>37</v>
      </c>
    </row>
    <row r="1635" spans="1:4" x14ac:dyDescent="0.25">
      <c r="A1635" t="s">
        <v>20</v>
      </c>
      <c r="B1635">
        <v>28</v>
      </c>
      <c r="C1635">
        <v>38</v>
      </c>
    </row>
    <row r="1636" spans="1:4" x14ac:dyDescent="0.25">
      <c r="A1636" t="s">
        <v>20</v>
      </c>
      <c r="B1636">
        <v>28</v>
      </c>
      <c r="C1636">
        <v>39</v>
      </c>
    </row>
    <row r="1637" spans="1:4" x14ac:dyDescent="0.25">
      <c r="A1637" t="s">
        <v>20</v>
      </c>
      <c r="B1637">
        <v>28</v>
      </c>
      <c r="C1637">
        <v>40</v>
      </c>
      <c r="D1637">
        <v>1</v>
      </c>
    </row>
    <row r="1638" spans="1:4" x14ac:dyDescent="0.25">
      <c r="A1638" t="s">
        <v>20</v>
      </c>
      <c r="B1638">
        <v>28</v>
      </c>
      <c r="C1638">
        <v>41</v>
      </c>
    </row>
    <row r="1639" spans="1:4" x14ac:dyDescent="0.25">
      <c r="A1639" t="s">
        <v>20</v>
      </c>
      <c r="B1639">
        <v>28</v>
      </c>
      <c r="C1639">
        <v>42</v>
      </c>
    </row>
    <row r="1640" spans="1:4" x14ac:dyDescent="0.25">
      <c r="A1640" t="s">
        <v>20</v>
      </c>
      <c r="B1640">
        <v>28</v>
      </c>
      <c r="C1640">
        <v>43</v>
      </c>
      <c r="D1640">
        <v>1</v>
      </c>
    </row>
    <row r="1641" spans="1:4" x14ac:dyDescent="0.25">
      <c r="A1641" t="s">
        <v>20</v>
      </c>
      <c r="B1641">
        <v>28</v>
      </c>
      <c r="C1641">
        <v>44</v>
      </c>
    </row>
    <row r="1642" spans="1:4" x14ac:dyDescent="0.25">
      <c r="A1642" t="s">
        <v>20</v>
      </c>
      <c r="B1642">
        <v>28</v>
      </c>
      <c r="C1642">
        <v>45</v>
      </c>
    </row>
    <row r="1643" spans="1:4" x14ac:dyDescent="0.25">
      <c r="A1643" t="s">
        <v>20</v>
      </c>
      <c r="B1643">
        <v>28</v>
      </c>
      <c r="C1643">
        <v>46</v>
      </c>
      <c r="D1643">
        <v>1</v>
      </c>
    </row>
    <row r="1644" spans="1:4" x14ac:dyDescent="0.25">
      <c r="A1644" t="s">
        <v>20</v>
      </c>
      <c r="B1644">
        <v>28</v>
      </c>
      <c r="C1644">
        <v>47</v>
      </c>
    </row>
    <row r="1645" spans="1:4" x14ac:dyDescent="0.25">
      <c r="A1645" t="s">
        <v>20</v>
      </c>
      <c r="B1645">
        <v>28</v>
      </c>
      <c r="C1645">
        <v>48</v>
      </c>
    </row>
    <row r="1646" spans="1:4" x14ac:dyDescent="0.25">
      <c r="A1646" t="s">
        <v>20</v>
      </c>
      <c r="B1646">
        <v>28</v>
      </c>
      <c r="C1646">
        <v>49</v>
      </c>
      <c r="D1646">
        <v>1</v>
      </c>
    </row>
    <row r="1647" spans="1:4" x14ac:dyDescent="0.25">
      <c r="A1647" t="s">
        <v>20</v>
      </c>
      <c r="B1647">
        <v>28</v>
      </c>
      <c r="C1647">
        <v>50</v>
      </c>
    </row>
    <row r="1648" spans="1:4" x14ac:dyDescent="0.25">
      <c r="A1648" t="s">
        <v>20</v>
      </c>
      <c r="B1648">
        <v>28</v>
      </c>
      <c r="C1648">
        <v>51</v>
      </c>
    </row>
    <row r="1649" spans="1:4" x14ac:dyDescent="0.25">
      <c r="A1649" t="s">
        <v>20</v>
      </c>
      <c r="B1649">
        <v>28</v>
      </c>
      <c r="C1649">
        <v>52</v>
      </c>
      <c r="D1649">
        <v>1</v>
      </c>
    </row>
    <row r="1650" spans="1:4" x14ac:dyDescent="0.25">
      <c r="A1650" t="s">
        <v>20</v>
      </c>
      <c r="B1650">
        <v>28</v>
      </c>
      <c r="C1650">
        <v>53</v>
      </c>
    </row>
    <row r="1651" spans="1:4" x14ac:dyDescent="0.25">
      <c r="A1651" t="s">
        <v>20</v>
      </c>
      <c r="B1651">
        <v>28</v>
      </c>
      <c r="C1651">
        <v>54</v>
      </c>
    </row>
    <row r="1652" spans="1:4" x14ac:dyDescent="0.25">
      <c r="A1652" t="s">
        <v>20</v>
      </c>
      <c r="B1652">
        <v>28</v>
      </c>
      <c r="C1652">
        <v>55</v>
      </c>
      <c r="D1652">
        <v>1</v>
      </c>
    </row>
    <row r="1653" spans="1:4" x14ac:dyDescent="0.25">
      <c r="A1653" t="s">
        <v>20</v>
      </c>
      <c r="B1653">
        <v>28</v>
      </c>
      <c r="C1653">
        <v>56</v>
      </c>
    </row>
    <row r="1654" spans="1:4" x14ac:dyDescent="0.25">
      <c r="A1654" t="s">
        <v>20</v>
      </c>
      <c r="B1654">
        <v>28</v>
      </c>
      <c r="C1654">
        <v>57</v>
      </c>
    </row>
    <row r="1655" spans="1:4" x14ac:dyDescent="0.25">
      <c r="A1655" t="s">
        <v>20</v>
      </c>
      <c r="B1655">
        <v>28</v>
      </c>
      <c r="C1655">
        <v>58</v>
      </c>
      <c r="D1655">
        <v>1</v>
      </c>
    </row>
    <row r="1656" spans="1:4" x14ac:dyDescent="0.25">
      <c r="A1656" t="s">
        <v>20</v>
      </c>
      <c r="B1656">
        <v>28</v>
      </c>
      <c r="C1656">
        <v>59</v>
      </c>
    </row>
    <row r="1657" spans="1:4" x14ac:dyDescent="0.25">
      <c r="A1657" t="s">
        <v>20</v>
      </c>
      <c r="B1657">
        <v>28</v>
      </c>
      <c r="C1657">
        <v>60</v>
      </c>
    </row>
    <row r="1658" spans="1:4" x14ac:dyDescent="0.25">
      <c r="A1658" t="s">
        <v>20</v>
      </c>
      <c r="B1658">
        <v>28</v>
      </c>
      <c r="C1658">
        <v>61</v>
      </c>
    </row>
    <row r="1659" spans="1:4" x14ac:dyDescent="0.25">
      <c r="A1659" t="s">
        <v>20</v>
      </c>
      <c r="B1659">
        <v>28</v>
      </c>
      <c r="C1659">
        <v>62</v>
      </c>
      <c r="D1659">
        <v>1</v>
      </c>
    </row>
    <row r="1660" spans="1:4" x14ac:dyDescent="0.25">
      <c r="A1660" t="s">
        <v>20</v>
      </c>
      <c r="B1660">
        <v>28</v>
      </c>
      <c r="C1660">
        <v>63</v>
      </c>
    </row>
    <row r="1661" spans="1:4" x14ac:dyDescent="0.25">
      <c r="A1661" t="s">
        <v>20</v>
      </c>
      <c r="B1661">
        <v>28</v>
      </c>
      <c r="C1661">
        <v>64</v>
      </c>
    </row>
    <row r="1662" spans="1:4" x14ac:dyDescent="0.25">
      <c r="A1662" t="s">
        <v>20</v>
      </c>
      <c r="B1662">
        <v>28</v>
      </c>
      <c r="C1662">
        <v>65</v>
      </c>
    </row>
    <row r="1663" spans="1:4" x14ac:dyDescent="0.25">
      <c r="A1663" t="s">
        <v>20</v>
      </c>
      <c r="B1663">
        <v>28</v>
      </c>
      <c r="C1663">
        <v>66</v>
      </c>
    </row>
    <row r="1664" spans="1:4" x14ac:dyDescent="0.25">
      <c r="A1664" t="s">
        <v>20</v>
      </c>
      <c r="B1664">
        <v>28</v>
      </c>
      <c r="C1664">
        <v>67</v>
      </c>
      <c r="D1664">
        <v>1</v>
      </c>
    </row>
    <row r="1665" spans="1:4" x14ac:dyDescent="0.25">
      <c r="A1665" t="s">
        <v>20</v>
      </c>
      <c r="B1665">
        <v>28</v>
      </c>
      <c r="C1665">
        <v>68</v>
      </c>
    </row>
    <row r="1666" spans="1:4" x14ac:dyDescent="0.25">
      <c r="A1666" t="s">
        <v>20</v>
      </c>
      <c r="B1666">
        <v>28</v>
      </c>
      <c r="C1666">
        <v>69</v>
      </c>
    </row>
    <row r="1667" spans="1:4" x14ac:dyDescent="0.25">
      <c r="A1667" t="s">
        <v>20</v>
      </c>
      <c r="B1667">
        <v>28</v>
      </c>
      <c r="C1667">
        <v>70</v>
      </c>
      <c r="D1667">
        <v>1</v>
      </c>
    </row>
    <row r="1668" spans="1:4" x14ac:dyDescent="0.25">
      <c r="A1668" t="s">
        <v>20</v>
      </c>
      <c r="B1668">
        <v>28</v>
      </c>
      <c r="C1668">
        <v>71</v>
      </c>
    </row>
    <row r="1669" spans="1:4" x14ac:dyDescent="0.25">
      <c r="A1669" t="s">
        <v>20</v>
      </c>
      <c r="B1669">
        <v>28</v>
      </c>
      <c r="C1669">
        <v>72</v>
      </c>
    </row>
    <row r="1670" spans="1:4" x14ac:dyDescent="0.25">
      <c r="A1670" t="s">
        <v>20</v>
      </c>
      <c r="B1670">
        <v>28</v>
      </c>
      <c r="C1670">
        <v>73</v>
      </c>
      <c r="D1670">
        <v>1</v>
      </c>
    </row>
    <row r="1671" spans="1:4" x14ac:dyDescent="0.25">
      <c r="A1671" t="s">
        <v>20</v>
      </c>
      <c r="B1671">
        <v>28</v>
      </c>
      <c r="C1671">
        <v>74</v>
      </c>
    </row>
    <row r="1672" spans="1:4" x14ac:dyDescent="0.25">
      <c r="A1672" t="s">
        <v>20</v>
      </c>
      <c r="B1672">
        <v>28</v>
      </c>
      <c r="C1672">
        <v>75</v>
      </c>
    </row>
    <row r="1673" spans="1:4" x14ac:dyDescent="0.25">
      <c r="A1673" t="s">
        <v>20</v>
      </c>
      <c r="B1673">
        <v>28</v>
      </c>
      <c r="C1673">
        <v>76</v>
      </c>
      <c r="D1673">
        <v>1</v>
      </c>
    </row>
    <row r="1674" spans="1:4" x14ac:dyDescent="0.25">
      <c r="A1674" t="s">
        <v>20</v>
      </c>
      <c r="B1674">
        <v>28</v>
      </c>
      <c r="C1674">
        <v>77</v>
      </c>
    </row>
    <row r="1675" spans="1:4" x14ac:dyDescent="0.25">
      <c r="A1675" t="s">
        <v>20</v>
      </c>
      <c r="B1675">
        <v>28</v>
      </c>
      <c r="C1675">
        <v>78</v>
      </c>
    </row>
    <row r="1676" spans="1:4" x14ac:dyDescent="0.25">
      <c r="A1676" t="s">
        <v>20</v>
      </c>
      <c r="B1676">
        <v>28</v>
      </c>
      <c r="C1676">
        <v>79</v>
      </c>
      <c r="D1676">
        <v>1</v>
      </c>
    </row>
    <row r="1677" spans="1:4" x14ac:dyDescent="0.25">
      <c r="A1677" t="s">
        <v>20</v>
      </c>
      <c r="B1677">
        <v>28</v>
      </c>
      <c r="C1677">
        <v>80</v>
      </c>
    </row>
    <row r="1678" spans="1:4" x14ac:dyDescent="0.25">
      <c r="A1678" t="s">
        <v>20</v>
      </c>
      <c r="B1678">
        <v>28</v>
      </c>
      <c r="C1678">
        <v>81</v>
      </c>
    </row>
    <row r="1679" spans="1:4" x14ac:dyDescent="0.25">
      <c r="A1679" t="s">
        <v>20</v>
      </c>
      <c r="B1679">
        <v>28</v>
      </c>
      <c r="C1679">
        <v>82</v>
      </c>
    </row>
    <row r="1680" spans="1:4" x14ac:dyDescent="0.25">
      <c r="A1680" t="s">
        <v>20</v>
      </c>
      <c r="B1680">
        <v>28</v>
      </c>
      <c r="C1680">
        <v>83</v>
      </c>
    </row>
    <row r="1681" spans="1:4" x14ac:dyDescent="0.25">
      <c r="A1681" t="s">
        <v>20</v>
      </c>
      <c r="B1681">
        <v>28</v>
      </c>
      <c r="C1681">
        <v>84</v>
      </c>
    </row>
    <row r="1682" spans="1:4" x14ac:dyDescent="0.25">
      <c r="A1682" t="s">
        <v>20</v>
      </c>
      <c r="B1682">
        <v>29</v>
      </c>
      <c r="C1682">
        <v>1</v>
      </c>
    </row>
    <row r="1683" spans="1:4" x14ac:dyDescent="0.25">
      <c r="A1683" t="s">
        <v>20</v>
      </c>
      <c r="B1683">
        <v>29</v>
      </c>
      <c r="C1683">
        <v>2</v>
      </c>
    </row>
    <row r="1684" spans="1:4" x14ac:dyDescent="0.25">
      <c r="A1684" t="s">
        <v>20</v>
      </c>
      <c r="B1684">
        <v>29</v>
      </c>
      <c r="C1684">
        <v>3</v>
      </c>
      <c r="D1684">
        <v>1</v>
      </c>
    </row>
    <row r="1685" spans="1:4" x14ac:dyDescent="0.25">
      <c r="A1685" t="s">
        <v>20</v>
      </c>
      <c r="B1685">
        <v>29</v>
      </c>
      <c r="C1685">
        <v>4</v>
      </c>
    </row>
    <row r="1686" spans="1:4" x14ac:dyDescent="0.25">
      <c r="A1686" t="s">
        <v>20</v>
      </c>
      <c r="B1686">
        <v>29</v>
      </c>
      <c r="C1686">
        <v>5</v>
      </c>
    </row>
    <row r="1687" spans="1:4" x14ac:dyDescent="0.25">
      <c r="A1687" t="s">
        <v>20</v>
      </c>
      <c r="B1687">
        <v>29</v>
      </c>
      <c r="C1687">
        <v>6</v>
      </c>
      <c r="D1687">
        <v>1</v>
      </c>
    </row>
    <row r="1688" spans="1:4" x14ac:dyDescent="0.25">
      <c r="A1688" t="s">
        <v>20</v>
      </c>
      <c r="B1688">
        <v>29</v>
      </c>
      <c r="C1688">
        <v>7</v>
      </c>
    </row>
    <row r="1689" spans="1:4" x14ac:dyDescent="0.25">
      <c r="A1689" t="s">
        <v>20</v>
      </c>
      <c r="B1689">
        <v>29</v>
      </c>
      <c r="C1689">
        <v>8</v>
      </c>
    </row>
    <row r="1690" spans="1:4" x14ac:dyDescent="0.25">
      <c r="A1690" t="s">
        <v>20</v>
      </c>
      <c r="B1690">
        <v>29</v>
      </c>
      <c r="C1690">
        <v>9</v>
      </c>
      <c r="D1690">
        <v>1</v>
      </c>
    </row>
    <row r="1691" spans="1:4" x14ac:dyDescent="0.25">
      <c r="A1691" t="s">
        <v>20</v>
      </c>
      <c r="B1691">
        <v>29</v>
      </c>
      <c r="C1691">
        <v>10</v>
      </c>
    </row>
    <row r="1692" spans="1:4" x14ac:dyDescent="0.25">
      <c r="A1692" t="s">
        <v>20</v>
      </c>
      <c r="B1692">
        <v>29</v>
      </c>
      <c r="C1692">
        <v>11</v>
      </c>
    </row>
    <row r="1693" spans="1:4" x14ac:dyDescent="0.25">
      <c r="A1693" t="s">
        <v>20</v>
      </c>
      <c r="B1693">
        <v>29</v>
      </c>
      <c r="C1693">
        <v>12</v>
      </c>
    </row>
    <row r="1694" spans="1:4" x14ac:dyDescent="0.25">
      <c r="A1694" t="s">
        <v>20</v>
      </c>
      <c r="B1694">
        <v>29</v>
      </c>
      <c r="C1694">
        <v>13</v>
      </c>
    </row>
    <row r="1695" spans="1:4" x14ac:dyDescent="0.25">
      <c r="A1695" t="s">
        <v>20</v>
      </c>
      <c r="B1695">
        <v>29</v>
      </c>
      <c r="C1695">
        <v>14</v>
      </c>
    </row>
    <row r="1696" spans="1:4" x14ac:dyDescent="0.25">
      <c r="A1696" t="s">
        <v>20</v>
      </c>
      <c r="B1696">
        <v>29</v>
      </c>
      <c r="C1696">
        <v>15</v>
      </c>
      <c r="D1696">
        <v>1</v>
      </c>
    </row>
    <row r="1697" spans="1:4" x14ac:dyDescent="0.25">
      <c r="A1697" t="s">
        <v>20</v>
      </c>
      <c r="B1697">
        <v>29</v>
      </c>
      <c r="C1697">
        <v>16</v>
      </c>
    </row>
    <row r="1698" spans="1:4" x14ac:dyDescent="0.25">
      <c r="A1698" t="s">
        <v>20</v>
      </c>
      <c r="B1698">
        <v>29</v>
      </c>
      <c r="C1698">
        <v>17</v>
      </c>
    </row>
    <row r="1699" spans="1:4" x14ac:dyDescent="0.25">
      <c r="A1699" t="s">
        <v>20</v>
      </c>
      <c r="B1699">
        <v>29</v>
      </c>
      <c r="C1699">
        <v>18</v>
      </c>
    </row>
    <row r="1700" spans="1:4" x14ac:dyDescent="0.25">
      <c r="A1700" t="s">
        <v>20</v>
      </c>
      <c r="B1700">
        <v>29</v>
      </c>
      <c r="C1700">
        <v>19</v>
      </c>
    </row>
    <row r="1701" spans="1:4" x14ac:dyDescent="0.25">
      <c r="A1701" t="s">
        <v>20</v>
      </c>
      <c r="B1701">
        <v>29</v>
      </c>
      <c r="C1701">
        <v>20</v>
      </c>
    </row>
    <row r="1702" spans="1:4" x14ac:dyDescent="0.25">
      <c r="A1702" t="s">
        <v>20</v>
      </c>
      <c r="B1702">
        <v>29</v>
      </c>
      <c r="C1702">
        <v>21</v>
      </c>
      <c r="D1702">
        <v>1</v>
      </c>
    </row>
    <row r="1703" spans="1:4" x14ac:dyDescent="0.25">
      <c r="A1703" t="s">
        <v>20</v>
      </c>
      <c r="B1703">
        <v>29</v>
      </c>
      <c r="C1703">
        <v>22</v>
      </c>
    </row>
    <row r="1704" spans="1:4" x14ac:dyDescent="0.25">
      <c r="A1704" t="s">
        <v>20</v>
      </c>
      <c r="B1704">
        <v>29</v>
      </c>
      <c r="C1704">
        <v>23</v>
      </c>
    </row>
    <row r="1705" spans="1:4" x14ac:dyDescent="0.25">
      <c r="A1705" t="s">
        <v>20</v>
      </c>
      <c r="B1705">
        <v>29</v>
      </c>
      <c r="C1705">
        <v>24</v>
      </c>
    </row>
    <row r="1706" spans="1:4" x14ac:dyDescent="0.25">
      <c r="A1706" t="s">
        <v>20</v>
      </c>
      <c r="B1706">
        <v>29</v>
      </c>
      <c r="C1706">
        <v>25</v>
      </c>
    </row>
    <row r="1707" spans="1:4" x14ac:dyDescent="0.25">
      <c r="A1707" t="s">
        <v>20</v>
      </c>
      <c r="B1707">
        <v>29</v>
      </c>
      <c r="C1707">
        <v>26</v>
      </c>
    </row>
    <row r="1708" spans="1:4" x14ac:dyDescent="0.25">
      <c r="A1708" t="s">
        <v>20</v>
      </c>
      <c r="B1708">
        <v>29</v>
      </c>
      <c r="C1708">
        <v>27</v>
      </c>
      <c r="D1708">
        <v>1</v>
      </c>
    </row>
    <row r="1709" spans="1:4" x14ac:dyDescent="0.25">
      <c r="A1709" t="s">
        <v>20</v>
      </c>
      <c r="B1709">
        <v>29</v>
      </c>
      <c r="C1709">
        <v>28</v>
      </c>
    </row>
    <row r="1710" spans="1:4" x14ac:dyDescent="0.25">
      <c r="A1710" t="s">
        <v>20</v>
      </c>
      <c r="B1710">
        <v>29</v>
      </c>
      <c r="C1710">
        <v>29</v>
      </c>
    </row>
    <row r="1711" spans="1:4" x14ac:dyDescent="0.25">
      <c r="A1711" t="s">
        <v>20</v>
      </c>
      <c r="B1711">
        <v>29</v>
      </c>
      <c r="C1711">
        <v>30</v>
      </c>
    </row>
    <row r="1712" spans="1:4" x14ac:dyDescent="0.25">
      <c r="A1712" t="s">
        <v>20</v>
      </c>
      <c r="B1712">
        <v>29</v>
      </c>
      <c r="C1712">
        <v>31</v>
      </c>
    </row>
    <row r="1713" spans="1:4" x14ac:dyDescent="0.25">
      <c r="A1713" t="s">
        <v>20</v>
      </c>
      <c r="B1713">
        <v>29</v>
      </c>
      <c r="C1713">
        <v>32</v>
      </c>
    </row>
    <row r="1714" spans="1:4" x14ac:dyDescent="0.25">
      <c r="A1714" t="s">
        <v>20</v>
      </c>
      <c r="B1714">
        <v>29</v>
      </c>
      <c r="C1714">
        <v>33</v>
      </c>
    </row>
    <row r="1715" spans="1:4" x14ac:dyDescent="0.25">
      <c r="A1715" t="s">
        <v>20</v>
      </c>
      <c r="B1715">
        <v>29</v>
      </c>
      <c r="C1715">
        <v>34</v>
      </c>
    </row>
    <row r="1716" spans="1:4" x14ac:dyDescent="0.25">
      <c r="A1716" t="s">
        <v>20</v>
      </c>
      <c r="B1716">
        <v>29</v>
      </c>
      <c r="C1716">
        <v>35</v>
      </c>
    </row>
    <row r="1717" spans="1:4" x14ac:dyDescent="0.25">
      <c r="A1717" t="s">
        <v>20</v>
      </c>
      <c r="B1717">
        <v>29</v>
      </c>
      <c r="C1717">
        <v>36</v>
      </c>
      <c r="D1717">
        <v>1</v>
      </c>
    </row>
    <row r="1718" spans="1:4" x14ac:dyDescent="0.25">
      <c r="A1718" t="s">
        <v>20</v>
      </c>
      <c r="B1718">
        <v>29</v>
      </c>
      <c r="C1718">
        <v>37</v>
      </c>
    </row>
    <row r="1719" spans="1:4" x14ac:dyDescent="0.25">
      <c r="A1719" t="s">
        <v>20</v>
      </c>
      <c r="B1719">
        <v>29</v>
      </c>
      <c r="C1719">
        <v>38</v>
      </c>
    </row>
    <row r="1720" spans="1:4" x14ac:dyDescent="0.25">
      <c r="A1720" t="s">
        <v>20</v>
      </c>
      <c r="B1720">
        <v>29</v>
      </c>
      <c r="C1720">
        <v>39</v>
      </c>
      <c r="D1720">
        <v>1</v>
      </c>
    </row>
    <row r="1721" spans="1:4" x14ac:dyDescent="0.25">
      <c r="A1721" t="s">
        <v>20</v>
      </c>
      <c r="B1721">
        <v>29</v>
      </c>
      <c r="C1721">
        <v>40</v>
      </c>
    </row>
    <row r="1722" spans="1:4" x14ac:dyDescent="0.25">
      <c r="A1722" t="s">
        <v>20</v>
      </c>
      <c r="B1722">
        <v>29</v>
      </c>
      <c r="C1722">
        <v>41</v>
      </c>
    </row>
    <row r="1723" spans="1:4" x14ac:dyDescent="0.25">
      <c r="A1723" t="s">
        <v>20</v>
      </c>
      <c r="B1723">
        <v>29</v>
      </c>
      <c r="C1723">
        <v>42</v>
      </c>
      <c r="D1723">
        <v>1</v>
      </c>
    </row>
    <row r="1724" spans="1:4" x14ac:dyDescent="0.25">
      <c r="A1724" t="s">
        <v>20</v>
      </c>
      <c r="B1724">
        <v>29</v>
      </c>
      <c r="C1724">
        <v>43</v>
      </c>
    </row>
    <row r="1725" spans="1:4" x14ac:dyDescent="0.25">
      <c r="A1725" t="s">
        <v>20</v>
      </c>
      <c r="B1725">
        <v>29</v>
      </c>
      <c r="C1725">
        <v>44</v>
      </c>
    </row>
    <row r="1726" spans="1:4" x14ac:dyDescent="0.25">
      <c r="A1726" t="s">
        <v>20</v>
      </c>
      <c r="B1726">
        <v>29</v>
      </c>
      <c r="C1726">
        <v>45</v>
      </c>
      <c r="D1726">
        <v>1</v>
      </c>
    </row>
    <row r="1727" spans="1:4" x14ac:dyDescent="0.25">
      <c r="A1727" t="s">
        <v>20</v>
      </c>
      <c r="B1727">
        <v>29</v>
      </c>
      <c r="C1727">
        <v>46</v>
      </c>
    </row>
    <row r="1728" spans="1:4" x14ac:dyDescent="0.25">
      <c r="A1728" t="s">
        <v>20</v>
      </c>
      <c r="B1728">
        <v>29</v>
      </c>
      <c r="C1728">
        <v>47</v>
      </c>
    </row>
    <row r="1729" spans="1:4" x14ac:dyDescent="0.25">
      <c r="A1729" t="s">
        <v>20</v>
      </c>
      <c r="B1729">
        <v>29</v>
      </c>
      <c r="C1729">
        <v>48</v>
      </c>
    </row>
    <row r="1730" spans="1:4" x14ac:dyDescent="0.25">
      <c r="A1730" t="s">
        <v>20</v>
      </c>
      <c r="B1730">
        <v>29</v>
      </c>
      <c r="C1730">
        <v>49</v>
      </c>
    </row>
    <row r="1731" spans="1:4" x14ac:dyDescent="0.25">
      <c r="A1731" t="s">
        <v>20</v>
      </c>
      <c r="B1731">
        <v>29</v>
      </c>
      <c r="C1731">
        <v>50</v>
      </c>
    </row>
    <row r="1732" spans="1:4" x14ac:dyDescent="0.25">
      <c r="A1732" t="s">
        <v>20</v>
      </c>
      <c r="B1732">
        <v>29</v>
      </c>
      <c r="C1732">
        <v>51</v>
      </c>
    </row>
    <row r="1733" spans="1:4" x14ac:dyDescent="0.25">
      <c r="A1733" t="s">
        <v>20</v>
      </c>
      <c r="B1733">
        <v>29</v>
      </c>
      <c r="C1733">
        <v>52</v>
      </c>
    </row>
    <row r="1734" spans="1:4" x14ac:dyDescent="0.25">
      <c r="A1734" t="s">
        <v>20</v>
      </c>
      <c r="B1734">
        <v>29</v>
      </c>
      <c r="C1734">
        <v>53</v>
      </c>
    </row>
    <row r="1735" spans="1:4" x14ac:dyDescent="0.25">
      <c r="A1735" t="s">
        <v>20</v>
      </c>
      <c r="B1735">
        <v>29</v>
      </c>
      <c r="C1735">
        <v>54</v>
      </c>
      <c r="D1735">
        <v>1</v>
      </c>
    </row>
    <row r="1736" spans="1:4" x14ac:dyDescent="0.25">
      <c r="A1736" t="s">
        <v>20</v>
      </c>
      <c r="B1736">
        <v>29</v>
      </c>
      <c r="C1736">
        <v>55</v>
      </c>
    </row>
    <row r="1737" spans="1:4" x14ac:dyDescent="0.25">
      <c r="A1737" t="s">
        <v>20</v>
      </c>
      <c r="B1737">
        <v>29</v>
      </c>
      <c r="C1737">
        <v>56</v>
      </c>
    </row>
    <row r="1738" spans="1:4" x14ac:dyDescent="0.25">
      <c r="A1738" t="s">
        <v>20</v>
      </c>
      <c r="B1738">
        <v>29</v>
      </c>
      <c r="C1738">
        <v>57</v>
      </c>
      <c r="D1738">
        <v>1</v>
      </c>
    </row>
    <row r="1739" spans="1:4" x14ac:dyDescent="0.25">
      <c r="A1739" t="s">
        <v>20</v>
      </c>
      <c r="B1739">
        <v>29</v>
      </c>
      <c r="C1739">
        <v>58</v>
      </c>
    </row>
    <row r="1740" spans="1:4" x14ac:dyDescent="0.25">
      <c r="A1740" t="s">
        <v>20</v>
      </c>
      <c r="B1740">
        <v>29</v>
      </c>
      <c r="C1740">
        <v>59</v>
      </c>
    </row>
    <row r="1741" spans="1:4" x14ac:dyDescent="0.25">
      <c r="A1741" t="s">
        <v>20</v>
      </c>
      <c r="B1741">
        <v>29</v>
      </c>
      <c r="C1741">
        <v>60</v>
      </c>
      <c r="D1741">
        <v>1</v>
      </c>
    </row>
    <row r="1742" spans="1:4" x14ac:dyDescent="0.25">
      <c r="A1742" t="s">
        <v>20</v>
      </c>
      <c r="B1742">
        <v>29</v>
      </c>
      <c r="C1742">
        <v>61</v>
      </c>
    </row>
    <row r="1743" spans="1:4" x14ac:dyDescent="0.25">
      <c r="A1743" t="s">
        <v>20</v>
      </c>
      <c r="B1743">
        <v>29</v>
      </c>
      <c r="C1743">
        <v>62</v>
      </c>
    </row>
    <row r="1744" spans="1:4" x14ac:dyDescent="0.25">
      <c r="A1744" t="s">
        <v>20</v>
      </c>
      <c r="B1744">
        <v>29</v>
      </c>
      <c r="C1744">
        <v>63</v>
      </c>
    </row>
    <row r="1745" spans="1:4" x14ac:dyDescent="0.25">
      <c r="A1745" t="s">
        <v>20</v>
      </c>
      <c r="B1745">
        <v>29</v>
      </c>
      <c r="C1745">
        <v>64</v>
      </c>
    </row>
    <row r="1746" spans="1:4" x14ac:dyDescent="0.25">
      <c r="A1746" t="s">
        <v>20</v>
      </c>
      <c r="B1746">
        <v>29</v>
      </c>
      <c r="C1746">
        <v>65</v>
      </c>
    </row>
    <row r="1747" spans="1:4" x14ac:dyDescent="0.25">
      <c r="A1747" t="s">
        <v>20</v>
      </c>
      <c r="B1747">
        <v>29</v>
      </c>
      <c r="C1747">
        <v>66</v>
      </c>
    </row>
    <row r="1748" spans="1:4" x14ac:dyDescent="0.25">
      <c r="A1748" t="s">
        <v>20</v>
      </c>
      <c r="B1748">
        <v>29</v>
      </c>
      <c r="C1748">
        <v>67</v>
      </c>
    </row>
    <row r="1749" spans="1:4" x14ac:dyDescent="0.25">
      <c r="A1749" t="s">
        <v>20</v>
      </c>
      <c r="B1749">
        <v>29</v>
      </c>
      <c r="C1749">
        <v>68</v>
      </c>
    </row>
    <row r="1750" spans="1:4" x14ac:dyDescent="0.25">
      <c r="A1750" t="s">
        <v>20</v>
      </c>
      <c r="B1750">
        <v>29</v>
      </c>
      <c r="C1750">
        <v>69</v>
      </c>
    </row>
    <row r="1751" spans="1:4" x14ac:dyDescent="0.25">
      <c r="A1751" t="s">
        <v>20</v>
      </c>
      <c r="B1751">
        <v>29</v>
      </c>
      <c r="C1751">
        <v>70</v>
      </c>
    </row>
    <row r="1752" spans="1:4" x14ac:dyDescent="0.25">
      <c r="A1752" t="s">
        <v>20</v>
      </c>
      <c r="B1752">
        <v>29</v>
      </c>
      <c r="C1752">
        <v>71</v>
      </c>
    </row>
    <row r="1753" spans="1:4" x14ac:dyDescent="0.25">
      <c r="A1753" t="s">
        <v>20</v>
      </c>
      <c r="B1753">
        <v>29</v>
      </c>
      <c r="C1753">
        <v>72</v>
      </c>
    </row>
    <row r="1754" spans="1:4" x14ac:dyDescent="0.25">
      <c r="A1754" t="s">
        <v>20</v>
      </c>
      <c r="B1754">
        <v>29</v>
      </c>
      <c r="C1754">
        <v>73</v>
      </c>
    </row>
    <row r="1755" spans="1:4" x14ac:dyDescent="0.25">
      <c r="A1755" t="s">
        <v>20</v>
      </c>
      <c r="B1755">
        <v>29</v>
      </c>
      <c r="C1755">
        <v>74</v>
      </c>
    </row>
    <row r="1756" spans="1:4" x14ac:dyDescent="0.25">
      <c r="A1756" t="s">
        <v>20</v>
      </c>
      <c r="B1756">
        <v>29</v>
      </c>
      <c r="C1756">
        <v>75</v>
      </c>
      <c r="D1756">
        <v>1</v>
      </c>
    </row>
    <row r="1757" spans="1:4" x14ac:dyDescent="0.25">
      <c r="A1757" t="s">
        <v>20</v>
      </c>
      <c r="B1757">
        <v>29</v>
      </c>
      <c r="C1757">
        <v>76</v>
      </c>
    </row>
    <row r="1758" spans="1:4" x14ac:dyDescent="0.25">
      <c r="A1758" t="s">
        <v>20</v>
      </c>
      <c r="B1758">
        <v>29</v>
      </c>
      <c r="C1758">
        <v>77</v>
      </c>
    </row>
    <row r="1759" spans="1:4" x14ac:dyDescent="0.25">
      <c r="A1759" t="s">
        <v>20</v>
      </c>
      <c r="B1759">
        <v>29</v>
      </c>
      <c r="C1759">
        <v>78</v>
      </c>
      <c r="D1759">
        <v>1</v>
      </c>
    </row>
    <row r="1760" spans="1:4" x14ac:dyDescent="0.25">
      <c r="A1760" t="s">
        <v>20</v>
      </c>
      <c r="B1760">
        <v>29</v>
      </c>
      <c r="C1760">
        <v>79</v>
      </c>
    </row>
    <row r="1761" spans="1:4" x14ac:dyDescent="0.25">
      <c r="A1761" t="s">
        <v>20</v>
      </c>
      <c r="B1761">
        <v>29</v>
      </c>
      <c r="C1761">
        <v>80</v>
      </c>
    </row>
    <row r="1762" spans="1:4" x14ac:dyDescent="0.25">
      <c r="A1762" t="s">
        <v>20</v>
      </c>
      <c r="B1762">
        <v>29</v>
      </c>
      <c r="C1762">
        <v>81</v>
      </c>
      <c r="D1762">
        <v>1</v>
      </c>
    </row>
    <row r="1763" spans="1:4" x14ac:dyDescent="0.25">
      <c r="A1763" t="s">
        <v>20</v>
      </c>
      <c r="B1763">
        <v>29</v>
      </c>
      <c r="C1763">
        <v>82</v>
      </c>
    </row>
    <row r="1764" spans="1:4" x14ac:dyDescent="0.25">
      <c r="A1764" t="s">
        <v>20</v>
      </c>
      <c r="B1764">
        <v>29</v>
      </c>
      <c r="C1764">
        <v>83</v>
      </c>
    </row>
    <row r="1765" spans="1:4" x14ac:dyDescent="0.25">
      <c r="A1765" t="s">
        <v>20</v>
      </c>
      <c r="B1765">
        <v>29</v>
      </c>
      <c r="C1765">
        <v>84</v>
      </c>
      <c r="D1765">
        <v>1</v>
      </c>
    </row>
    <row r="1766" spans="1:4" x14ac:dyDescent="0.25">
      <c r="A1766" t="s">
        <v>20</v>
      </c>
      <c r="B1766">
        <v>30</v>
      </c>
      <c r="C1766">
        <v>1</v>
      </c>
    </row>
    <row r="1767" spans="1:4" x14ac:dyDescent="0.25">
      <c r="A1767" t="s">
        <v>20</v>
      </c>
      <c r="B1767">
        <v>30</v>
      </c>
      <c r="C1767">
        <v>2</v>
      </c>
      <c r="D1767">
        <v>1</v>
      </c>
    </row>
    <row r="1768" spans="1:4" x14ac:dyDescent="0.25">
      <c r="A1768" t="s">
        <v>20</v>
      </c>
      <c r="B1768">
        <v>30</v>
      </c>
      <c r="C1768">
        <v>3</v>
      </c>
    </row>
    <row r="1769" spans="1:4" x14ac:dyDescent="0.25">
      <c r="A1769" t="s">
        <v>20</v>
      </c>
      <c r="B1769">
        <v>30</v>
      </c>
      <c r="C1769">
        <v>4</v>
      </c>
    </row>
    <row r="1770" spans="1:4" x14ac:dyDescent="0.25">
      <c r="A1770" t="s">
        <v>20</v>
      </c>
      <c r="B1770">
        <v>30</v>
      </c>
      <c r="C1770">
        <v>5</v>
      </c>
      <c r="D1770">
        <v>1</v>
      </c>
    </row>
    <row r="1771" spans="1:4" x14ac:dyDescent="0.25">
      <c r="A1771" t="s">
        <v>20</v>
      </c>
      <c r="B1771">
        <v>30</v>
      </c>
      <c r="C1771">
        <v>6</v>
      </c>
    </row>
    <row r="1772" spans="1:4" x14ac:dyDescent="0.25">
      <c r="A1772" t="s">
        <v>20</v>
      </c>
      <c r="B1772">
        <v>30</v>
      </c>
      <c r="C1772">
        <v>7</v>
      </c>
    </row>
    <row r="1773" spans="1:4" x14ac:dyDescent="0.25">
      <c r="A1773" t="s">
        <v>20</v>
      </c>
      <c r="B1773">
        <v>30</v>
      </c>
      <c r="C1773">
        <v>8</v>
      </c>
    </row>
    <row r="1774" spans="1:4" x14ac:dyDescent="0.25">
      <c r="A1774" t="s">
        <v>20</v>
      </c>
      <c r="B1774">
        <v>30</v>
      </c>
      <c r="C1774">
        <v>9</v>
      </c>
    </row>
    <row r="1775" spans="1:4" x14ac:dyDescent="0.25">
      <c r="A1775" t="s">
        <v>20</v>
      </c>
      <c r="B1775">
        <v>30</v>
      </c>
      <c r="C1775">
        <v>10</v>
      </c>
    </row>
    <row r="1776" spans="1:4" x14ac:dyDescent="0.25">
      <c r="A1776" t="s">
        <v>20</v>
      </c>
      <c r="B1776">
        <v>30</v>
      </c>
      <c r="C1776">
        <v>11</v>
      </c>
      <c r="D1776">
        <v>1</v>
      </c>
    </row>
    <row r="1777" spans="1:4" x14ac:dyDescent="0.25">
      <c r="A1777" t="s">
        <v>20</v>
      </c>
      <c r="B1777">
        <v>30</v>
      </c>
      <c r="C1777">
        <v>12</v>
      </c>
    </row>
    <row r="1778" spans="1:4" x14ac:dyDescent="0.25">
      <c r="A1778" t="s">
        <v>20</v>
      </c>
      <c r="B1778">
        <v>30</v>
      </c>
      <c r="C1778">
        <v>13</v>
      </c>
    </row>
    <row r="1779" spans="1:4" x14ac:dyDescent="0.25">
      <c r="A1779" t="s">
        <v>20</v>
      </c>
      <c r="B1779">
        <v>30</v>
      </c>
      <c r="C1779">
        <v>14</v>
      </c>
      <c r="D1779">
        <v>1</v>
      </c>
    </row>
    <row r="1780" spans="1:4" x14ac:dyDescent="0.25">
      <c r="A1780" t="s">
        <v>20</v>
      </c>
      <c r="B1780">
        <v>30</v>
      </c>
      <c r="C1780">
        <v>15</v>
      </c>
    </row>
    <row r="1781" spans="1:4" x14ac:dyDescent="0.25">
      <c r="A1781" t="s">
        <v>20</v>
      </c>
      <c r="B1781">
        <v>30</v>
      </c>
      <c r="C1781">
        <v>16</v>
      </c>
      <c r="D1781">
        <v>1</v>
      </c>
    </row>
    <row r="1782" spans="1:4" x14ac:dyDescent="0.25">
      <c r="A1782" t="s">
        <v>20</v>
      </c>
      <c r="B1782">
        <v>30</v>
      </c>
      <c r="C1782">
        <v>17</v>
      </c>
    </row>
    <row r="1783" spans="1:4" x14ac:dyDescent="0.25">
      <c r="A1783" t="s">
        <v>20</v>
      </c>
      <c r="B1783">
        <v>30</v>
      </c>
      <c r="C1783">
        <v>18</v>
      </c>
    </row>
    <row r="1784" spans="1:4" x14ac:dyDescent="0.25">
      <c r="A1784" t="s">
        <v>20</v>
      </c>
      <c r="B1784">
        <v>30</v>
      </c>
      <c r="C1784">
        <v>19</v>
      </c>
    </row>
    <row r="1785" spans="1:4" x14ac:dyDescent="0.25">
      <c r="A1785" t="s">
        <v>20</v>
      </c>
      <c r="B1785">
        <v>30</v>
      </c>
      <c r="C1785">
        <v>20</v>
      </c>
    </row>
    <row r="1786" spans="1:4" x14ac:dyDescent="0.25">
      <c r="A1786" t="s">
        <v>20</v>
      </c>
      <c r="B1786">
        <v>30</v>
      </c>
      <c r="C1786">
        <v>21</v>
      </c>
    </row>
    <row r="1787" spans="1:4" x14ac:dyDescent="0.25">
      <c r="A1787" t="s">
        <v>20</v>
      </c>
      <c r="B1787">
        <v>30</v>
      </c>
      <c r="C1787">
        <v>22</v>
      </c>
    </row>
    <row r="1788" spans="1:4" x14ac:dyDescent="0.25">
      <c r="A1788" t="s">
        <v>20</v>
      </c>
      <c r="B1788">
        <v>30</v>
      </c>
      <c r="C1788">
        <v>23</v>
      </c>
      <c r="D1788">
        <v>1</v>
      </c>
    </row>
    <row r="1789" spans="1:4" x14ac:dyDescent="0.25">
      <c r="A1789" t="s">
        <v>20</v>
      </c>
      <c r="B1789">
        <v>30</v>
      </c>
      <c r="C1789">
        <v>24</v>
      </c>
    </row>
    <row r="1790" spans="1:4" x14ac:dyDescent="0.25">
      <c r="A1790" t="s">
        <v>20</v>
      </c>
      <c r="B1790">
        <v>30</v>
      </c>
      <c r="C1790">
        <v>25</v>
      </c>
    </row>
    <row r="1791" spans="1:4" x14ac:dyDescent="0.25">
      <c r="A1791" t="s">
        <v>20</v>
      </c>
      <c r="B1791">
        <v>30</v>
      </c>
      <c r="C1791">
        <v>26</v>
      </c>
      <c r="D1791">
        <v>1</v>
      </c>
    </row>
    <row r="1792" spans="1:4" x14ac:dyDescent="0.25">
      <c r="A1792" t="s">
        <v>20</v>
      </c>
      <c r="B1792">
        <v>30</v>
      </c>
      <c r="C1792">
        <v>27</v>
      </c>
    </row>
    <row r="1793" spans="1:4" x14ac:dyDescent="0.25">
      <c r="A1793" t="s">
        <v>20</v>
      </c>
      <c r="B1793">
        <v>30</v>
      </c>
      <c r="C1793">
        <v>28</v>
      </c>
    </row>
    <row r="1794" spans="1:4" x14ac:dyDescent="0.25">
      <c r="A1794" t="s">
        <v>20</v>
      </c>
      <c r="B1794">
        <v>30</v>
      </c>
      <c r="C1794">
        <v>29</v>
      </c>
      <c r="D1794">
        <v>1</v>
      </c>
    </row>
    <row r="1795" spans="1:4" x14ac:dyDescent="0.25">
      <c r="A1795" t="s">
        <v>20</v>
      </c>
      <c r="B1795">
        <v>30</v>
      </c>
      <c r="C1795">
        <v>30</v>
      </c>
    </row>
    <row r="1796" spans="1:4" x14ac:dyDescent="0.25">
      <c r="A1796" t="s">
        <v>20</v>
      </c>
      <c r="B1796">
        <v>30</v>
      </c>
      <c r="C1796">
        <v>31</v>
      </c>
    </row>
    <row r="1797" spans="1:4" x14ac:dyDescent="0.25">
      <c r="A1797" t="s">
        <v>20</v>
      </c>
      <c r="B1797">
        <v>30</v>
      </c>
      <c r="C1797">
        <v>32</v>
      </c>
      <c r="D1797">
        <v>1</v>
      </c>
    </row>
    <row r="1798" spans="1:4" x14ac:dyDescent="0.25">
      <c r="A1798" t="s">
        <v>20</v>
      </c>
      <c r="B1798">
        <v>30</v>
      </c>
      <c r="C1798">
        <v>33</v>
      </c>
    </row>
    <row r="1799" spans="1:4" x14ac:dyDescent="0.25">
      <c r="A1799" t="s">
        <v>20</v>
      </c>
      <c r="B1799">
        <v>30</v>
      </c>
      <c r="C1799">
        <v>34</v>
      </c>
    </row>
    <row r="1800" spans="1:4" x14ac:dyDescent="0.25">
      <c r="A1800" t="s">
        <v>20</v>
      </c>
      <c r="B1800">
        <v>30</v>
      </c>
      <c r="C1800">
        <v>35</v>
      </c>
      <c r="D1800">
        <v>1</v>
      </c>
    </row>
    <row r="1801" spans="1:4" x14ac:dyDescent="0.25">
      <c r="A1801" t="s">
        <v>20</v>
      </c>
      <c r="B1801">
        <v>30</v>
      </c>
      <c r="C1801">
        <v>36</v>
      </c>
    </row>
    <row r="1802" spans="1:4" x14ac:dyDescent="0.25">
      <c r="A1802" t="s">
        <v>20</v>
      </c>
      <c r="B1802">
        <v>30</v>
      </c>
      <c r="C1802">
        <v>37</v>
      </c>
    </row>
    <row r="1803" spans="1:4" x14ac:dyDescent="0.25">
      <c r="A1803" t="s">
        <v>20</v>
      </c>
      <c r="B1803">
        <v>30</v>
      </c>
      <c r="C1803">
        <v>38</v>
      </c>
      <c r="D1803">
        <v>1</v>
      </c>
    </row>
    <row r="1804" spans="1:4" x14ac:dyDescent="0.25">
      <c r="A1804" t="s">
        <v>20</v>
      </c>
      <c r="B1804">
        <v>30</v>
      </c>
      <c r="C1804">
        <v>39</v>
      </c>
    </row>
    <row r="1805" spans="1:4" x14ac:dyDescent="0.25">
      <c r="A1805" t="s">
        <v>20</v>
      </c>
      <c r="B1805">
        <v>30</v>
      </c>
      <c r="C1805">
        <v>40</v>
      </c>
    </row>
    <row r="1806" spans="1:4" x14ac:dyDescent="0.25">
      <c r="A1806" t="s">
        <v>20</v>
      </c>
      <c r="B1806">
        <v>30</v>
      </c>
      <c r="C1806">
        <v>41</v>
      </c>
    </row>
    <row r="1807" spans="1:4" x14ac:dyDescent="0.25">
      <c r="A1807" t="s">
        <v>20</v>
      </c>
      <c r="B1807">
        <v>30</v>
      </c>
      <c r="C1807">
        <v>42</v>
      </c>
    </row>
    <row r="1808" spans="1:4" x14ac:dyDescent="0.25">
      <c r="A1808" t="s">
        <v>20</v>
      </c>
      <c r="B1808">
        <v>30</v>
      </c>
      <c r="C1808">
        <v>43</v>
      </c>
    </row>
    <row r="1809" spans="1:4" x14ac:dyDescent="0.25">
      <c r="A1809" t="s">
        <v>20</v>
      </c>
      <c r="B1809">
        <v>30</v>
      </c>
      <c r="C1809">
        <v>44</v>
      </c>
      <c r="D1809">
        <v>1</v>
      </c>
    </row>
    <row r="1810" spans="1:4" x14ac:dyDescent="0.25">
      <c r="A1810" t="s">
        <v>20</v>
      </c>
      <c r="B1810">
        <v>30</v>
      </c>
      <c r="C1810">
        <v>45</v>
      </c>
    </row>
    <row r="1811" spans="1:4" x14ac:dyDescent="0.25">
      <c r="A1811" t="s">
        <v>20</v>
      </c>
      <c r="B1811">
        <v>30</v>
      </c>
      <c r="C1811">
        <v>46</v>
      </c>
    </row>
    <row r="1812" spans="1:4" x14ac:dyDescent="0.25">
      <c r="A1812" t="s">
        <v>20</v>
      </c>
      <c r="B1812">
        <v>30</v>
      </c>
      <c r="C1812">
        <v>47</v>
      </c>
      <c r="D1812">
        <v>1</v>
      </c>
    </row>
    <row r="1813" spans="1:4" x14ac:dyDescent="0.25">
      <c r="A1813" t="s">
        <v>20</v>
      </c>
      <c r="B1813">
        <v>30</v>
      </c>
      <c r="C1813">
        <v>48</v>
      </c>
    </row>
    <row r="1814" spans="1:4" x14ac:dyDescent="0.25">
      <c r="A1814" t="s">
        <v>20</v>
      </c>
      <c r="B1814">
        <v>30</v>
      </c>
      <c r="C1814">
        <v>49</v>
      </c>
    </row>
    <row r="1815" spans="1:4" x14ac:dyDescent="0.25">
      <c r="A1815" t="s">
        <v>20</v>
      </c>
      <c r="B1815">
        <v>30</v>
      </c>
      <c r="C1815">
        <v>50</v>
      </c>
    </row>
    <row r="1816" spans="1:4" x14ac:dyDescent="0.25">
      <c r="A1816" t="s">
        <v>20</v>
      </c>
      <c r="B1816">
        <v>30</v>
      </c>
      <c r="C1816">
        <v>51</v>
      </c>
    </row>
    <row r="1817" spans="1:4" x14ac:dyDescent="0.25">
      <c r="A1817" t="s">
        <v>20</v>
      </c>
      <c r="B1817">
        <v>30</v>
      </c>
      <c r="C1817">
        <v>52</v>
      </c>
    </row>
    <row r="1818" spans="1:4" x14ac:dyDescent="0.25">
      <c r="A1818" t="s">
        <v>20</v>
      </c>
      <c r="B1818">
        <v>30</v>
      </c>
      <c r="C1818">
        <v>53</v>
      </c>
    </row>
    <row r="1819" spans="1:4" x14ac:dyDescent="0.25">
      <c r="A1819" t="s">
        <v>20</v>
      </c>
      <c r="B1819">
        <v>30</v>
      </c>
      <c r="C1819">
        <v>54</v>
      </c>
    </row>
    <row r="1820" spans="1:4" x14ac:dyDescent="0.25">
      <c r="A1820" t="s">
        <v>20</v>
      </c>
      <c r="B1820">
        <v>30</v>
      </c>
      <c r="C1820">
        <v>55</v>
      </c>
    </row>
    <row r="1821" spans="1:4" x14ac:dyDescent="0.25">
      <c r="A1821" t="s">
        <v>20</v>
      </c>
      <c r="B1821">
        <v>30</v>
      </c>
      <c r="C1821">
        <v>56</v>
      </c>
      <c r="D1821">
        <v>1</v>
      </c>
    </row>
    <row r="1822" spans="1:4" x14ac:dyDescent="0.25">
      <c r="A1822" t="s">
        <v>20</v>
      </c>
      <c r="B1822">
        <v>30</v>
      </c>
      <c r="C1822">
        <v>57</v>
      </c>
    </row>
    <row r="1823" spans="1:4" x14ac:dyDescent="0.25">
      <c r="A1823" t="s">
        <v>20</v>
      </c>
      <c r="B1823">
        <v>30</v>
      </c>
      <c r="C1823">
        <v>58</v>
      </c>
      <c r="D1823">
        <v>1</v>
      </c>
    </row>
    <row r="1824" spans="1:4" x14ac:dyDescent="0.25">
      <c r="A1824" t="s">
        <v>20</v>
      </c>
      <c r="B1824">
        <v>30</v>
      </c>
      <c r="C1824">
        <v>59</v>
      </c>
    </row>
    <row r="1825" spans="1:4" x14ac:dyDescent="0.25">
      <c r="A1825" t="s">
        <v>20</v>
      </c>
      <c r="B1825">
        <v>30</v>
      </c>
      <c r="C1825">
        <v>60</v>
      </c>
    </row>
    <row r="1826" spans="1:4" x14ac:dyDescent="0.25">
      <c r="A1826" t="s">
        <v>20</v>
      </c>
      <c r="B1826">
        <v>30</v>
      </c>
      <c r="C1826">
        <v>61</v>
      </c>
    </row>
    <row r="1827" spans="1:4" x14ac:dyDescent="0.25">
      <c r="A1827" t="s">
        <v>20</v>
      </c>
      <c r="B1827">
        <v>30</v>
      </c>
      <c r="C1827">
        <v>62</v>
      </c>
      <c r="D1827">
        <v>1</v>
      </c>
    </row>
    <row r="1828" spans="1:4" x14ac:dyDescent="0.25">
      <c r="A1828" t="s">
        <v>20</v>
      </c>
      <c r="B1828">
        <v>30</v>
      </c>
      <c r="C1828">
        <v>63</v>
      </c>
    </row>
    <row r="1829" spans="1:4" x14ac:dyDescent="0.25">
      <c r="A1829" t="s">
        <v>20</v>
      </c>
      <c r="B1829">
        <v>30</v>
      </c>
      <c r="C1829">
        <v>64</v>
      </c>
      <c r="D1829">
        <v>1</v>
      </c>
    </row>
    <row r="1830" spans="1:4" x14ac:dyDescent="0.25">
      <c r="A1830" t="s">
        <v>20</v>
      </c>
      <c r="B1830">
        <v>30</v>
      </c>
      <c r="C1830">
        <v>65</v>
      </c>
    </row>
    <row r="1831" spans="1:4" x14ac:dyDescent="0.25">
      <c r="A1831" t="s">
        <v>20</v>
      </c>
      <c r="B1831">
        <v>30</v>
      </c>
      <c r="C1831">
        <v>66</v>
      </c>
    </row>
    <row r="1832" spans="1:4" x14ac:dyDescent="0.25">
      <c r="A1832" t="s">
        <v>20</v>
      </c>
      <c r="B1832">
        <v>30</v>
      </c>
      <c r="C1832">
        <v>67</v>
      </c>
    </row>
    <row r="1833" spans="1:4" x14ac:dyDescent="0.25">
      <c r="A1833" t="s">
        <v>20</v>
      </c>
      <c r="B1833">
        <v>30</v>
      </c>
      <c r="C1833">
        <v>68</v>
      </c>
    </row>
    <row r="1834" spans="1:4" x14ac:dyDescent="0.25">
      <c r="A1834" t="s">
        <v>20</v>
      </c>
      <c r="B1834">
        <v>30</v>
      </c>
      <c r="C1834">
        <v>69</v>
      </c>
    </row>
    <row r="1835" spans="1:4" x14ac:dyDescent="0.25">
      <c r="A1835" t="s">
        <v>20</v>
      </c>
      <c r="B1835">
        <v>30</v>
      </c>
      <c r="C1835">
        <v>70</v>
      </c>
    </row>
    <row r="1836" spans="1:4" x14ac:dyDescent="0.25">
      <c r="A1836" t="s">
        <v>20</v>
      </c>
      <c r="B1836">
        <v>30</v>
      </c>
      <c r="C1836">
        <v>71</v>
      </c>
    </row>
    <row r="1837" spans="1:4" x14ac:dyDescent="0.25">
      <c r="A1837" t="s">
        <v>20</v>
      </c>
      <c r="B1837">
        <v>30</v>
      </c>
      <c r="C1837">
        <v>72</v>
      </c>
    </row>
    <row r="1838" spans="1:4" x14ac:dyDescent="0.25">
      <c r="A1838" t="s">
        <v>20</v>
      </c>
      <c r="B1838">
        <v>30</v>
      </c>
      <c r="C1838">
        <v>73</v>
      </c>
    </row>
    <row r="1839" spans="1:4" x14ac:dyDescent="0.25">
      <c r="A1839" t="s">
        <v>20</v>
      </c>
      <c r="B1839">
        <v>30</v>
      </c>
      <c r="C1839">
        <v>74</v>
      </c>
    </row>
    <row r="1840" spans="1:4" x14ac:dyDescent="0.25">
      <c r="A1840" t="s">
        <v>20</v>
      </c>
      <c r="B1840">
        <v>30</v>
      </c>
      <c r="C1840">
        <v>75</v>
      </c>
    </row>
    <row r="1841" spans="1:4" x14ac:dyDescent="0.25">
      <c r="A1841" t="s">
        <v>20</v>
      </c>
      <c r="B1841">
        <v>30</v>
      </c>
      <c r="C1841">
        <v>76</v>
      </c>
    </row>
    <row r="1842" spans="1:4" x14ac:dyDescent="0.25">
      <c r="A1842" t="s">
        <v>20</v>
      </c>
      <c r="B1842">
        <v>30</v>
      </c>
      <c r="C1842">
        <v>77</v>
      </c>
    </row>
    <row r="1843" spans="1:4" x14ac:dyDescent="0.25">
      <c r="A1843" t="s">
        <v>20</v>
      </c>
      <c r="B1843">
        <v>30</v>
      </c>
      <c r="C1843">
        <v>78</v>
      </c>
    </row>
    <row r="1844" spans="1:4" x14ac:dyDescent="0.25">
      <c r="A1844" t="s">
        <v>20</v>
      </c>
      <c r="B1844">
        <v>30</v>
      </c>
      <c r="C1844">
        <v>79</v>
      </c>
    </row>
    <row r="1845" spans="1:4" x14ac:dyDescent="0.25">
      <c r="A1845" t="s">
        <v>20</v>
      </c>
      <c r="B1845">
        <v>30</v>
      </c>
      <c r="C1845">
        <v>80</v>
      </c>
    </row>
    <row r="1846" spans="1:4" x14ac:dyDescent="0.25">
      <c r="A1846" t="s">
        <v>20</v>
      </c>
      <c r="B1846">
        <v>30</v>
      </c>
      <c r="C1846">
        <v>81</v>
      </c>
    </row>
    <row r="1847" spans="1:4" x14ac:dyDescent="0.25">
      <c r="A1847" t="s">
        <v>20</v>
      </c>
      <c r="B1847">
        <v>30</v>
      </c>
      <c r="C1847">
        <v>82</v>
      </c>
    </row>
    <row r="1848" spans="1:4" x14ac:dyDescent="0.25">
      <c r="A1848" t="s">
        <v>20</v>
      </c>
      <c r="B1848">
        <v>30</v>
      </c>
      <c r="C1848">
        <v>83</v>
      </c>
    </row>
    <row r="1849" spans="1:4" x14ac:dyDescent="0.25">
      <c r="A1849" t="s">
        <v>20</v>
      </c>
      <c r="B1849">
        <v>30</v>
      </c>
      <c r="C1849">
        <v>84</v>
      </c>
    </row>
    <row r="1850" spans="1:4" x14ac:dyDescent="0.25">
      <c r="A1850" t="s">
        <v>20</v>
      </c>
      <c r="B1850">
        <v>31</v>
      </c>
      <c r="C1850">
        <v>1</v>
      </c>
    </row>
    <row r="1851" spans="1:4" x14ac:dyDescent="0.25">
      <c r="A1851" t="s">
        <v>20</v>
      </c>
      <c r="B1851">
        <v>31</v>
      </c>
      <c r="C1851">
        <v>2</v>
      </c>
      <c r="D1851">
        <v>1</v>
      </c>
    </row>
    <row r="1852" spans="1:4" x14ac:dyDescent="0.25">
      <c r="A1852" t="s">
        <v>20</v>
      </c>
      <c r="B1852">
        <v>31</v>
      </c>
      <c r="C1852">
        <v>3</v>
      </c>
    </row>
    <row r="1853" spans="1:4" x14ac:dyDescent="0.25">
      <c r="A1853" t="s">
        <v>20</v>
      </c>
      <c r="B1853">
        <v>31</v>
      </c>
      <c r="C1853">
        <v>4</v>
      </c>
    </row>
    <row r="1854" spans="1:4" x14ac:dyDescent="0.25">
      <c r="A1854" t="s">
        <v>20</v>
      </c>
      <c r="B1854">
        <v>31</v>
      </c>
      <c r="C1854">
        <v>5</v>
      </c>
      <c r="D1854">
        <v>1</v>
      </c>
    </row>
    <row r="1855" spans="1:4" x14ac:dyDescent="0.25">
      <c r="A1855" t="s">
        <v>20</v>
      </c>
      <c r="B1855">
        <v>31</v>
      </c>
      <c r="C1855">
        <v>6</v>
      </c>
    </row>
    <row r="1856" spans="1:4" x14ac:dyDescent="0.25">
      <c r="A1856" t="s">
        <v>20</v>
      </c>
      <c r="B1856">
        <v>31</v>
      </c>
      <c r="C1856">
        <v>7</v>
      </c>
    </row>
    <row r="1857" spans="1:4" x14ac:dyDescent="0.25">
      <c r="A1857" t="s">
        <v>20</v>
      </c>
      <c r="B1857">
        <v>31</v>
      </c>
      <c r="C1857">
        <v>8</v>
      </c>
      <c r="D1857">
        <v>1</v>
      </c>
    </row>
    <row r="1858" spans="1:4" x14ac:dyDescent="0.25">
      <c r="A1858" t="s">
        <v>20</v>
      </c>
      <c r="B1858">
        <v>31</v>
      </c>
      <c r="C1858">
        <v>9</v>
      </c>
    </row>
    <row r="1859" spans="1:4" x14ac:dyDescent="0.25">
      <c r="A1859" t="s">
        <v>20</v>
      </c>
      <c r="B1859">
        <v>31</v>
      </c>
      <c r="C1859">
        <v>10</v>
      </c>
    </row>
    <row r="1860" spans="1:4" x14ac:dyDescent="0.25">
      <c r="A1860" t="s">
        <v>20</v>
      </c>
      <c r="B1860">
        <v>31</v>
      </c>
      <c r="C1860">
        <v>11</v>
      </c>
      <c r="D1860">
        <v>1</v>
      </c>
    </row>
    <row r="1861" spans="1:4" x14ac:dyDescent="0.25">
      <c r="A1861" t="s">
        <v>20</v>
      </c>
      <c r="B1861">
        <v>31</v>
      </c>
      <c r="C1861">
        <v>12</v>
      </c>
    </row>
    <row r="1862" spans="1:4" x14ac:dyDescent="0.25">
      <c r="A1862" t="s">
        <v>20</v>
      </c>
      <c r="B1862">
        <v>31</v>
      </c>
      <c r="C1862">
        <v>13</v>
      </c>
    </row>
    <row r="1863" spans="1:4" x14ac:dyDescent="0.25">
      <c r="A1863" t="s">
        <v>20</v>
      </c>
      <c r="B1863">
        <v>31</v>
      </c>
      <c r="C1863">
        <v>14</v>
      </c>
    </row>
    <row r="1864" spans="1:4" x14ac:dyDescent="0.25">
      <c r="A1864" t="s">
        <v>20</v>
      </c>
      <c r="B1864">
        <v>31</v>
      </c>
      <c r="C1864">
        <v>15</v>
      </c>
    </row>
    <row r="1865" spans="1:4" x14ac:dyDescent="0.25">
      <c r="A1865" t="s">
        <v>20</v>
      </c>
      <c r="B1865">
        <v>31</v>
      </c>
      <c r="C1865">
        <v>16</v>
      </c>
    </row>
    <row r="1866" spans="1:4" x14ac:dyDescent="0.25">
      <c r="A1866" t="s">
        <v>20</v>
      </c>
      <c r="B1866">
        <v>31</v>
      </c>
      <c r="C1866">
        <v>17</v>
      </c>
    </row>
    <row r="1867" spans="1:4" x14ac:dyDescent="0.25">
      <c r="A1867" t="s">
        <v>20</v>
      </c>
      <c r="B1867">
        <v>31</v>
      </c>
      <c r="C1867">
        <v>18</v>
      </c>
    </row>
    <row r="1868" spans="1:4" x14ac:dyDescent="0.25">
      <c r="A1868" t="s">
        <v>20</v>
      </c>
      <c r="B1868">
        <v>31</v>
      </c>
      <c r="C1868">
        <v>19</v>
      </c>
    </row>
    <row r="1869" spans="1:4" x14ac:dyDescent="0.25">
      <c r="A1869" t="s">
        <v>20</v>
      </c>
      <c r="B1869">
        <v>31</v>
      </c>
      <c r="C1869">
        <v>20</v>
      </c>
    </row>
    <row r="1870" spans="1:4" x14ac:dyDescent="0.25">
      <c r="A1870" t="s">
        <v>20</v>
      </c>
      <c r="B1870">
        <v>31</v>
      </c>
      <c r="C1870">
        <v>21</v>
      </c>
    </row>
    <row r="1871" spans="1:4" x14ac:dyDescent="0.25">
      <c r="A1871" t="s">
        <v>20</v>
      </c>
      <c r="B1871">
        <v>31</v>
      </c>
      <c r="C1871">
        <v>22</v>
      </c>
    </row>
    <row r="1872" spans="1:4" x14ac:dyDescent="0.25">
      <c r="A1872" t="s">
        <v>20</v>
      </c>
      <c r="B1872">
        <v>31</v>
      </c>
      <c r="C1872">
        <v>23</v>
      </c>
    </row>
    <row r="1873" spans="1:4" x14ac:dyDescent="0.25">
      <c r="A1873" t="s">
        <v>20</v>
      </c>
      <c r="B1873">
        <v>31</v>
      </c>
      <c r="C1873">
        <v>24</v>
      </c>
    </row>
    <row r="1874" spans="1:4" x14ac:dyDescent="0.25">
      <c r="A1874" t="s">
        <v>20</v>
      </c>
      <c r="B1874">
        <v>31</v>
      </c>
      <c r="C1874">
        <v>25</v>
      </c>
    </row>
    <row r="1875" spans="1:4" x14ac:dyDescent="0.25">
      <c r="A1875" t="s">
        <v>20</v>
      </c>
      <c r="B1875">
        <v>31</v>
      </c>
      <c r="C1875">
        <v>26</v>
      </c>
      <c r="D1875">
        <v>1</v>
      </c>
    </row>
    <row r="1876" spans="1:4" x14ac:dyDescent="0.25">
      <c r="A1876" t="s">
        <v>20</v>
      </c>
      <c r="B1876">
        <v>31</v>
      </c>
      <c r="C1876">
        <v>27</v>
      </c>
    </row>
    <row r="1877" spans="1:4" x14ac:dyDescent="0.25">
      <c r="A1877" t="s">
        <v>20</v>
      </c>
      <c r="B1877">
        <v>31</v>
      </c>
      <c r="C1877">
        <v>28</v>
      </c>
    </row>
    <row r="1878" spans="1:4" x14ac:dyDescent="0.25">
      <c r="A1878" t="s">
        <v>20</v>
      </c>
      <c r="B1878">
        <v>31</v>
      </c>
      <c r="C1878">
        <v>29</v>
      </c>
    </row>
    <row r="1879" spans="1:4" x14ac:dyDescent="0.25">
      <c r="A1879" t="s">
        <v>20</v>
      </c>
      <c r="B1879">
        <v>31</v>
      </c>
      <c r="C1879">
        <v>30</v>
      </c>
    </row>
    <row r="1880" spans="1:4" x14ac:dyDescent="0.25">
      <c r="A1880" t="s">
        <v>20</v>
      </c>
      <c r="B1880">
        <v>31</v>
      </c>
      <c r="C1880">
        <v>31</v>
      </c>
    </row>
    <row r="1881" spans="1:4" x14ac:dyDescent="0.25">
      <c r="A1881" t="s">
        <v>20</v>
      </c>
      <c r="B1881">
        <v>31</v>
      </c>
      <c r="C1881">
        <v>32</v>
      </c>
      <c r="D1881">
        <v>1</v>
      </c>
    </row>
    <row r="1882" spans="1:4" x14ac:dyDescent="0.25">
      <c r="A1882" t="s">
        <v>20</v>
      </c>
      <c r="B1882">
        <v>31</v>
      </c>
      <c r="C1882">
        <v>33</v>
      </c>
    </row>
    <row r="1883" spans="1:4" x14ac:dyDescent="0.25">
      <c r="A1883" t="s">
        <v>20</v>
      </c>
      <c r="B1883">
        <v>31</v>
      </c>
      <c r="C1883">
        <v>34</v>
      </c>
    </row>
    <row r="1884" spans="1:4" x14ac:dyDescent="0.25">
      <c r="A1884" t="s">
        <v>20</v>
      </c>
      <c r="B1884">
        <v>31</v>
      </c>
      <c r="C1884">
        <v>35</v>
      </c>
      <c r="D1884">
        <v>1</v>
      </c>
    </row>
    <row r="1885" spans="1:4" x14ac:dyDescent="0.25">
      <c r="A1885" t="s">
        <v>20</v>
      </c>
      <c r="B1885">
        <v>31</v>
      </c>
      <c r="C1885">
        <v>36</v>
      </c>
    </row>
    <row r="1886" spans="1:4" x14ac:dyDescent="0.25">
      <c r="A1886" t="s">
        <v>20</v>
      </c>
      <c r="B1886">
        <v>31</v>
      </c>
      <c r="C1886">
        <v>37</v>
      </c>
    </row>
    <row r="1887" spans="1:4" x14ac:dyDescent="0.25">
      <c r="A1887" t="s">
        <v>20</v>
      </c>
      <c r="B1887">
        <v>31</v>
      </c>
      <c r="C1887">
        <v>38</v>
      </c>
    </row>
    <row r="1888" spans="1:4" x14ac:dyDescent="0.25">
      <c r="A1888" t="s">
        <v>20</v>
      </c>
      <c r="B1888">
        <v>31</v>
      </c>
      <c r="C1888">
        <v>39</v>
      </c>
    </row>
    <row r="1889" spans="1:4" x14ac:dyDescent="0.25">
      <c r="A1889" t="s">
        <v>20</v>
      </c>
      <c r="B1889">
        <v>31</v>
      </c>
      <c r="C1889">
        <v>40</v>
      </c>
    </row>
    <row r="1890" spans="1:4" x14ac:dyDescent="0.25">
      <c r="A1890" t="s">
        <v>20</v>
      </c>
      <c r="B1890">
        <v>31</v>
      </c>
      <c r="C1890">
        <v>41</v>
      </c>
    </row>
    <row r="1891" spans="1:4" x14ac:dyDescent="0.25">
      <c r="A1891" t="s">
        <v>20</v>
      </c>
      <c r="B1891">
        <v>31</v>
      </c>
      <c r="C1891">
        <v>42</v>
      </c>
    </row>
    <row r="1892" spans="1:4" x14ac:dyDescent="0.25">
      <c r="A1892" t="s">
        <v>20</v>
      </c>
      <c r="B1892">
        <v>31</v>
      </c>
      <c r="C1892">
        <v>43</v>
      </c>
    </row>
    <row r="1893" spans="1:4" x14ac:dyDescent="0.25">
      <c r="A1893" t="s">
        <v>20</v>
      </c>
      <c r="B1893">
        <v>31</v>
      </c>
      <c r="C1893">
        <v>44</v>
      </c>
      <c r="D1893">
        <v>1</v>
      </c>
    </row>
    <row r="1894" spans="1:4" x14ac:dyDescent="0.25">
      <c r="A1894" t="s">
        <v>20</v>
      </c>
      <c r="B1894">
        <v>31</v>
      </c>
      <c r="C1894">
        <v>45</v>
      </c>
    </row>
    <row r="1895" spans="1:4" x14ac:dyDescent="0.25">
      <c r="A1895" t="s">
        <v>20</v>
      </c>
      <c r="B1895">
        <v>31</v>
      </c>
      <c r="C1895">
        <v>46</v>
      </c>
    </row>
    <row r="1896" spans="1:4" x14ac:dyDescent="0.25">
      <c r="A1896" t="s">
        <v>20</v>
      </c>
      <c r="B1896">
        <v>31</v>
      </c>
      <c r="C1896">
        <v>47</v>
      </c>
      <c r="D1896">
        <v>1</v>
      </c>
    </row>
    <row r="1897" spans="1:4" x14ac:dyDescent="0.25">
      <c r="A1897" t="s">
        <v>20</v>
      </c>
      <c r="B1897">
        <v>31</v>
      </c>
      <c r="C1897">
        <v>48</v>
      </c>
    </row>
    <row r="1898" spans="1:4" x14ac:dyDescent="0.25">
      <c r="A1898" t="s">
        <v>20</v>
      </c>
      <c r="B1898">
        <v>31</v>
      </c>
      <c r="C1898">
        <v>49</v>
      </c>
    </row>
    <row r="1899" spans="1:4" x14ac:dyDescent="0.25">
      <c r="A1899" t="s">
        <v>20</v>
      </c>
      <c r="B1899">
        <v>31</v>
      </c>
      <c r="C1899">
        <v>50</v>
      </c>
      <c r="D1899">
        <v>1</v>
      </c>
    </row>
    <row r="1900" spans="1:4" x14ac:dyDescent="0.25">
      <c r="A1900" t="s">
        <v>20</v>
      </c>
      <c r="B1900">
        <v>31</v>
      </c>
      <c r="C1900">
        <v>51</v>
      </c>
    </row>
    <row r="1901" spans="1:4" x14ac:dyDescent="0.25">
      <c r="A1901" t="s">
        <v>20</v>
      </c>
      <c r="B1901">
        <v>31</v>
      </c>
      <c r="C1901">
        <v>52</v>
      </c>
    </row>
    <row r="1902" spans="1:4" x14ac:dyDescent="0.25">
      <c r="A1902" t="s">
        <v>20</v>
      </c>
      <c r="B1902">
        <v>31</v>
      </c>
      <c r="C1902">
        <v>53</v>
      </c>
      <c r="D1902">
        <v>1</v>
      </c>
    </row>
    <row r="1903" spans="1:4" x14ac:dyDescent="0.25">
      <c r="A1903" t="s">
        <v>20</v>
      </c>
      <c r="B1903">
        <v>31</v>
      </c>
      <c r="C1903">
        <v>54</v>
      </c>
    </row>
    <row r="1904" spans="1:4" x14ac:dyDescent="0.25">
      <c r="A1904" t="s">
        <v>20</v>
      </c>
      <c r="B1904">
        <v>31</v>
      </c>
      <c r="C1904">
        <v>55</v>
      </c>
    </row>
    <row r="1905" spans="1:4" x14ac:dyDescent="0.25">
      <c r="A1905" t="s">
        <v>20</v>
      </c>
      <c r="B1905">
        <v>31</v>
      </c>
      <c r="C1905">
        <v>56</v>
      </c>
      <c r="D1905">
        <v>1</v>
      </c>
    </row>
    <row r="1906" spans="1:4" x14ac:dyDescent="0.25">
      <c r="A1906" t="s">
        <v>20</v>
      </c>
      <c r="B1906">
        <v>31</v>
      </c>
      <c r="C1906">
        <v>57</v>
      </c>
    </row>
    <row r="1907" spans="1:4" x14ac:dyDescent="0.25">
      <c r="A1907" t="s">
        <v>20</v>
      </c>
      <c r="B1907">
        <v>31</v>
      </c>
      <c r="C1907">
        <v>58</v>
      </c>
    </row>
    <row r="1908" spans="1:4" x14ac:dyDescent="0.25">
      <c r="A1908" t="s">
        <v>20</v>
      </c>
      <c r="B1908">
        <v>31</v>
      </c>
      <c r="C1908">
        <v>59</v>
      </c>
    </row>
    <row r="1909" spans="1:4" x14ac:dyDescent="0.25">
      <c r="A1909" t="s">
        <v>20</v>
      </c>
      <c r="B1909">
        <v>31</v>
      </c>
      <c r="C1909">
        <v>60</v>
      </c>
    </row>
    <row r="1910" spans="1:4" x14ac:dyDescent="0.25">
      <c r="A1910" t="s">
        <v>20</v>
      </c>
      <c r="B1910">
        <v>31</v>
      </c>
      <c r="C1910">
        <v>61</v>
      </c>
    </row>
    <row r="1911" spans="1:4" x14ac:dyDescent="0.25">
      <c r="A1911" t="s">
        <v>20</v>
      </c>
      <c r="B1911">
        <v>31</v>
      </c>
      <c r="C1911">
        <v>62</v>
      </c>
      <c r="D1911">
        <v>1</v>
      </c>
    </row>
    <row r="1912" spans="1:4" x14ac:dyDescent="0.25">
      <c r="A1912" t="s">
        <v>20</v>
      </c>
      <c r="B1912">
        <v>31</v>
      </c>
      <c r="C1912">
        <v>63</v>
      </c>
    </row>
    <row r="1913" spans="1:4" x14ac:dyDescent="0.25">
      <c r="A1913" t="s">
        <v>20</v>
      </c>
      <c r="B1913">
        <v>31</v>
      </c>
      <c r="C1913">
        <v>64</v>
      </c>
    </row>
    <row r="1914" spans="1:4" x14ac:dyDescent="0.25">
      <c r="A1914" t="s">
        <v>20</v>
      </c>
      <c r="B1914">
        <v>31</v>
      </c>
      <c r="C1914">
        <v>65</v>
      </c>
    </row>
    <row r="1915" spans="1:4" x14ac:dyDescent="0.25">
      <c r="A1915" t="s">
        <v>20</v>
      </c>
      <c r="B1915">
        <v>31</v>
      </c>
      <c r="C1915">
        <v>66</v>
      </c>
    </row>
    <row r="1916" spans="1:4" x14ac:dyDescent="0.25">
      <c r="A1916" t="s">
        <v>20</v>
      </c>
      <c r="B1916">
        <v>31</v>
      </c>
      <c r="C1916">
        <v>67</v>
      </c>
    </row>
    <row r="1917" spans="1:4" x14ac:dyDescent="0.25">
      <c r="A1917" t="s">
        <v>20</v>
      </c>
      <c r="B1917">
        <v>31</v>
      </c>
      <c r="C1917">
        <v>68</v>
      </c>
      <c r="D1917">
        <v>1</v>
      </c>
    </row>
    <row r="1918" spans="1:4" x14ac:dyDescent="0.25">
      <c r="A1918" t="s">
        <v>20</v>
      </c>
      <c r="B1918">
        <v>31</v>
      </c>
      <c r="C1918">
        <v>69</v>
      </c>
    </row>
    <row r="1919" spans="1:4" x14ac:dyDescent="0.25">
      <c r="A1919" t="s">
        <v>20</v>
      </c>
      <c r="B1919">
        <v>31</v>
      </c>
      <c r="C1919">
        <v>70</v>
      </c>
    </row>
    <row r="1920" spans="1:4" x14ac:dyDescent="0.25">
      <c r="A1920" t="s">
        <v>20</v>
      </c>
      <c r="B1920">
        <v>31</v>
      </c>
      <c r="C1920">
        <v>71</v>
      </c>
    </row>
    <row r="1921" spans="1:4" x14ac:dyDescent="0.25">
      <c r="A1921" t="s">
        <v>20</v>
      </c>
      <c r="B1921">
        <v>31</v>
      </c>
      <c r="C1921">
        <v>72</v>
      </c>
    </row>
    <row r="1922" spans="1:4" x14ac:dyDescent="0.25">
      <c r="A1922" t="s">
        <v>20</v>
      </c>
      <c r="B1922">
        <v>31</v>
      </c>
      <c r="C1922">
        <v>73</v>
      </c>
    </row>
    <row r="1923" spans="1:4" x14ac:dyDescent="0.25">
      <c r="A1923" t="s">
        <v>20</v>
      </c>
      <c r="B1923">
        <v>31</v>
      </c>
      <c r="C1923">
        <v>74</v>
      </c>
      <c r="D1923">
        <v>1</v>
      </c>
    </row>
    <row r="1924" spans="1:4" x14ac:dyDescent="0.25">
      <c r="A1924" t="s">
        <v>20</v>
      </c>
      <c r="B1924">
        <v>31</v>
      </c>
      <c r="C1924">
        <v>75</v>
      </c>
    </row>
    <row r="1925" spans="1:4" x14ac:dyDescent="0.25">
      <c r="A1925" t="s">
        <v>20</v>
      </c>
      <c r="B1925">
        <v>31</v>
      </c>
      <c r="C1925">
        <v>76</v>
      </c>
    </row>
    <row r="1926" spans="1:4" x14ac:dyDescent="0.25">
      <c r="A1926" t="s">
        <v>20</v>
      </c>
      <c r="B1926">
        <v>31</v>
      </c>
      <c r="C1926">
        <v>77</v>
      </c>
      <c r="D1926">
        <v>1</v>
      </c>
    </row>
    <row r="1927" spans="1:4" x14ac:dyDescent="0.25">
      <c r="A1927" t="s">
        <v>20</v>
      </c>
      <c r="B1927">
        <v>31</v>
      </c>
      <c r="C1927">
        <v>78</v>
      </c>
    </row>
    <row r="1928" spans="1:4" x14ac:dyDescent="0.25">
      <c r="A1928" t="s">
        <v>20</v>
      </c>
      <c r="B1928">
        <v>31</v>
      </c>
      <c r="C1928">
        <v>79</v>
      </c>
    </row>
    <row r="1929" spans="1:4" x14ac:dyDescent="0.25">
      <c r="A1929" t="s">
        <v>20</v>
      </c>
      <c r="B1929">
        <v>31</v>
      </c>
      <c r="C1929">
        <v>80</v>
      </c>
    </row>
    <row r="1930" spans="1:4" x14ac:dyDescent="0.25">
      <c r="A1930" t="s">
        <v>20</v>
      </c>
      <c r="B1930">
        <v>31</v>
      </c>
      <c r="C1930">
        <v>81</v>
      </c>
    </row>
    <row r="1931" spans="1:4" x14ac:dyDescent="0.25">
      <c r="A1931" t="s">
        <v>20</v>
      </c>
      <c r="B1931">
        <v>31</v>
      </c>
      <c r="C1931">
        <v>82</v>
      </c>
    </row>
    <row r="1932" spans="1:4" x14ac:dyDescent="0.25">
      <c r="A1932" t="s">
        <v>20</v>
      </c>
      <c r="B1932">
        <v>31</v>
      </c>
      <c r="C1932">
        <v>83</v>
      </c>
    </row>
    <row r="1933" spans="1:4" x14ac:dyDescent="0.25">
      <c r="A1933" t="s">
        <v>20</v>
      </c>
      <c r="B1933">
        <v>31</v>
      </c>
      <c r="C1933">
        <v>84</v>
      </c>
    </row>
    <row r="1934" spans="1:4" x14ac:dyDescent="0.25">
      <c r="A1934" t="s">
        <v>20</v>
      </c>
      <c r="B1934">
        <v>32</v>
      </c>
      <c r="C1934">
        <v>1</v>
      </c>
    </row>
    <row r="1935" spans="1:4" x14ac:dyDescent="0.25">
      <c r="A1935" t="s">
        <v>20</v>
      </c>
      <c r="B1935">
        <v>32</v>
      </c>
      <c r="C1935">
        <v>2</v>
      </c>
    </row>
    <row r="1936" spans="1:4" x14ac:dyDescent="0.25">
      <c r="A1936" t="s">
        <v>20</v>
      </c>
      <c r="B1936">
        <v>32</v>
      </c>
      <c r="C1936">
        <v>3</v>
      </c>
    </row>
    <row r="1937" spans="1:4" x14ac:dyDescent="0.25">
      <c r="A1937" t="s">
        <v>20</v>
      </c>
      <c r="B1937">
        <v>32</v>
      </c>
      <c r="C1937">
        <v>4</v>
      </c>
      <c r="D1937">
        <v>1</v>
      </c>
    </row>
    <row r="1938" spans="1:4" x14ac:dyDescent="0.25">
      <c r="A1938" t="s">
        <v>20</v>
      </c>
      <c r="B1938">
        <v>32</v>
      </c>
      <c r="C1938">
        <v>5</v>
      </c>
    </row>
    <row r="1939" spans="1:4" x14ac:dyDescent="0.25">
      <c r="A1939" t="s">
        <v>20</v>
      </c>
      <c r="B1939">
        <v>32</v>
      </c>
      <c r="C1939">
        <v>6</v>
      </c>
    </row>
    <row r="1940" spans="1:4" x14ac:dyDescent="0.25">
      <c r="A1940" t="s">
        <v>20</v>
      </c>
      <c r="B1940">
        <v>32</v>
      </c>
      <c r="C1940">
        <v>7</v>
      </c>
      <c r="D1940">
        <v>1</v>
      </c>
    </row>
    <row r="1941" spans="1:4" x14ac:dyDescent="0.25">
      <c r="A1941" t="s">
        <v>20</v>
      </c>
      <c r="B1941">
        <v>32</v>
      </c>
      <c r="C1941">
        <v>8</v>
      </c>
    </row>
    <row r="1942" spans="1:4" x14ac:dyDescent="0.25">
      <c r="A1942" t="s">
        <v>20</v>
      </c>
      <c r="B1942">
        <v>32</v>
      </c>
      <c r="C1942">
        <v>9</v>
      </c>
    </row>
    <row r="1943" spans="1:4" x14ac:dyDescent="0.25">
      <c r="A1943" t="s">
        <v>20</v>
      </c>
      <c r="B1943">
        <v>32</v>
      </c>
      <c r="C1943">
        <v>10</v>
      </c>
      <c r="D1943">
        <v>1</v>
      </c>
    </row>
    <row r="1944" spans="1:4" x14ac:dyDescent="0.25">
      <c r="A1944" t="s">
        <v>20</v>
      </c>
      <c r="B1944">
        <v>32</v>
      </c>
      <c r="C1944">
        <v>11</v>
      </c>
    </row>
    <row r="1945" spans="1:4" x14ac:dyDescent="0.25">
      <c r="A1945" t="s">
        <v>20</v>
      </c>
      <c r="B1945">
        <v>32</v>
      </c>
      <c r="C1945">
        <v>12</v>
      </c>
    </row>
    <row r="1946" spans="1:4" x14ac:dyDescent="0.25">
      <c r="A1946" t="s">
        <v>20</v>
      </c>
      <c r="B1946">
        <v>32</v>
      </c>
      <c r="C1946">
        <v>13</v>
      </c>
      <c r="D1946">
        <v>1</v>
      </c>
    </row>
    <row r="1947" spans="1:4" x14ac:dyDescent="0.25">
      <c r="A1947" t="s">
        <v>20</v>
      </c>
      <c r="B1947">
        <v>32</v>
      </c>
      <c r="C1947">
        <v>14</v>
      </c>
    </row>
    <row r="1948" spans="1:4" x14ac:dyDescent="0.25">
      <c r="A1948" t="s">
        <v>20</v>
      </c>
      <c r="B1948">
        <v>32</v>
      </c>
      <c r="C1948">
        <v>15</v>
      </c>
    </row>
    <row r="1949" spans="1:4" x14ac:dyDescent="0.25">
      <c r="A1949" t="s">
        <v>20</v>
      </c>
      <c r="B1949">
        <v>32</v>
      </c>
      <c r="C1949">
        <v>16</v>
      </c>
    </row>
    <row r="1950" spans="1:4" x14ac:dyDescent="0.25">
      <c r="A1950" t="s">
        <v>20</v>
      </c>
      <c r="B1950">
        <v>32</v>
      </c>
      <c r="C1950">
        <v>17</v>
      </c>
    </row>
    <row r="1951" spans="1:4" x14ac:dyDescent="0.25">
      <c r="A1951" t="s">
        <v>20</v>
      </c>
      <c r="B1951">
        <v>32</v>
      </c>
      <c r="C1951">
        <v>18</v>
      </c>
    </row>
    <row r="1952" spans="1:4" x14ac:dyDescent="0.25">
      <c r="A1952" t="s">
        <v>20</v>
      </c>
      <c r="B1952">
        <v>32</v>
      </c>
      <c r="C1952">
        <v>19</v>
      </c>
    </row>
    <row r="1953" spans="1:4" x14ac:dyDescent="0.25">
      <c r="A1953" t="s">
        <v>20</v>
      </c>
      <c r="B1953">
        <v>32</v>
      </c>
      <c r="C1953">
        <v>20</v>
      </c>
    </row>
    <row r="1954" spans="1:4" x14ac:dyDescent="0.25">
      <c r="A1954" t="s">
        <v>20</v>
      </c>
      <c r="B1954">
        <v>32</v>
      </c>
      <c r="C1954">
        <v>21</v>
      </c>
    </row>
    <row r="1955" spans="1:4" x14ac:dyDescent="0.25">
      <c r="A1955" t="s">
        <v>20</v>
      </c>
      <c r="B1955">
        <v>32</v>
      </c>
      <c r="C1955">
        <v>22</v>
      </c>
      <c r="D1955">
        <v>1</v>
      </c>
    </row>
    <row r="1956" spans="1:4" x14ac:dyDescent="0.25">
      <c r="A1956" t="s">
        <v>20</v>
      </c>
      <c r="B1956">
        <v>32</v>
      </c>
      <c r="C1956">
        <v>23</v>
      </c>
    </row>
    <row r="1957" spans="1:4" x14ac:dyDescent="0.25">
      <c r="A1957" t="s">
        <v>20</v>
      </c>
      <c r="B1957">
        <v>32</v>
      </c>
      <c r="C1957">
        <v>24</v>
      </c>
    </row>
    <row r="1958" spans="1:4" x14ac:dyDescent="0.25">
      <c r="A1958" t="s">
        <v>20</v>
      </c>
      <c r="B1958">
        <v>32</v>
      </c>
      <c r="C1958">
        <v>25</v>
      </c>
      <c r="D1958">
        <v>1</v>
      </c>
    </row>
    <row r="1959" spans="1:4" x14ac:dyDescent="0.25">
      <c r="A1959" t="s">
        <v>20</v>
      </c>
      <c r="B1959">
        <v>32</v>
      </c>
      <c r="C1959">
        <v>26</v>
      </c>
    </row>
    <row r="1960" spans="1:4" x14ac:dyDescent="0.25">
      <c r="A1960" t="s">
        <v>20</v>
      </c>
      <c r="B1960">
        <v>32</v>
      </c>
      <c r="C1960">
        <v>27</v>
      </c>
    </row>
    <row r="1961" spans="1:4" x14ac:dyDescent="0.25">
      <c r="A1961" t="s">
        <v>20</v>
      </c>
      <c r="B1961">
        <v>32</v>
      </c>
      <c r="C1961">
        <v>28</v>
      </c>
      <c r="D1961">
        <v>1</v>
      </c>
    </row>
    <row r="1962" spans="1:4" x14ac:dyDescent="0.25">
      <c r="A1962" t="s">
        <v>20</v>
      </c>
      <c r="B1962">
        <v>32</v>
      </c>
      <c r="C1962">
        <v>29</v>
      </c>
    </row>
    <row r="1963" spans="1:4" x14ac:dyDescent="0.25">
      <c r="A1963" t="s">
        <v>20</v>
      </c>
      <c r="B1963">
        <v>32</v>
      </c>
      <c r="C1963">
        <v>30</v>
      </c>
    </row>
    <row r="1964" spans="1:4" x14ac:dyDescent="0.25">
      <c r="A1964" t="s">
        <v>20</v>
      </c>
      <c r="B1964">
        <v>32</v>
      </c>
      <c r="C1964">
        <v>31</v>
      </c>
      <c r="D1964">
        <v>1</v>
      </c>
    </row>
    <row r="1965" spans="1:4" x14ac:dyDescent="0.25">
      <c r="A1965" t="s">
        <v>20</v>
      </c>
      <c r="B1965">
        <v>32</v>
      </c>
      <c r="C1965">
        <v>32</v>
      </c>
    </row>
    <row r="1966" spans="1:4" x14ac:dyDescent="0.25">
      <c r="A1966" t="s">
        <v>20</v>
      </c>
      <c r="B1966">
        <v>32</v>
      </c>
      <c r="C1966">
        <v>33</v>
      </c>
    </row>
    <row r="1967" spans="1:4" x14ac:dyDescent="0.25">
      <c r="A1967" t="s">
        <v>20</v>
      </c>
      <c r="B1967">
        <v>32</v>
      </c>
      <c r="C1967">
        <v>34</v>
      </c>
    </row>
    <row r="1968" spans="1:4" x14ac:dyDescent="0.25">
      <c r="A1968" t="s">
        <v>20</v>
      </c>
      <c r="B1968">
        <v>32</v>
      </c>
      <c r="C1968">
        <v>35</v>
      </c>
    </row>
    <row r="1969" spans="1:4" x14ac:dyDescent="0.25">
      <c r="A1969" t="s">
        <v>20</v>
      </c>
      <c r="B1969">
        <v>32</v>
      </c>
      <c r="C1969">
        <v>36</v>
      </c>
    </row>
    <row r="1970" spans="1:4" x14ac:dyDescent="0.25">
      <c r="A1970" t="s">
        <v>20</v>
      </c>
      <c r="B1970">
        <v>32</v>
      </c>
      <c r="C1970">
        <v>37</v>
      </c>
    </row>
    <row r="1971" spans="1:4" x14ac:dyDescent="0.25">
      <c r="A1971" t="s">
        <v>20</v>
      </c>
      <c r="B1971">
        <v>32</v>
      </c>
      <c r="C1971">
        <v>38</v>
      </c>
    </row>
    <row r="1972" spans="1:4" x14ac:dyDescent="0.25">
      <c r="A1972" t="s">
        <v>20</v>
      </c>
      <c r="B1972">
        <v>32</v>
      </c>
      <c r="C1972">
        <v>39</v>
      </c>
    </row>
    <row r="1973" spans="1:4" x14ac:dyDescent="0.25">
      <c r="A1973" t="s">
        <v>20</v>
      </c>
      <c r="B1973">
        <v>32</v>
      </c>
      <c r="C1973">
        <v>40</v>
      </c>
    </row>
    <row r="1974" spans="1:4" x14ac:dyDescent="0.25">
      <c r="A1974" t="s">
        <v>20</v>
      </c>
      <c r="B1974">
        <v>32</v>
      </c>
      <c r="C1974">
        <v>41</v>
      </c>
    </row>
    <row r="1975" spans="1:4" x14ac:dyDescent="0.25">
      <c r="A1975" t="s">
        <v>20</v>
      </c>
      <c r="B1975">
        <v>32</v>
      </c>
      <c r="C1975">
        <v>42</v>
      </c>
    </row>
    <row r="1976" spans="1:4" x14ac:dyDescent="0.25">
      <c r="A1976" t="s">
        <v>20</v>
      </c>
      <c r="B1976">
        <v>32</v>
      </c>
      <c r="C1976">
        <v>43</v>
      </c>
    </row>
    <row r="1977" spans="1:4" x14ac:dyDescent="0.25">
      <c r="A1977" t="s">
        <v>20</v>
      </c>
      <c r="B1977">
        <v>32</v>
      </c>
      <c r="C1977">
        <v>44</v>
      </c>
    </row>
    <row r="1978" spans="1:4" x14ac:dyDescent="0.25">
      <c r="A1978" t="s">
        <v>20</v>
      </c>
      <c r="B1978">
        <v>32</v>
      </c>
      <c r="C1978">
        <v>45</v>
      </c>
    </row>
    <row r="1979" spans="1:4" x14ac:dyDescent="0.25">
      <c r="A1979" t="s">
        <v>20</v>
      </c>
      <c r="B1979">
        <v>32</v>
      </c>
      <c r="C1979">
        <v>46</v>
      </c>
      <c r="D1979">
        <v>1</v>
      </c>
    </row>
    <row r="1980" spans="1:4" x14ac:dyDescent="0.25">
      <c r="A1980" t="s">
        <v>20</v>
      </c>
      <c r="B1980">
        <v>32</v>
      </c>
      <c r="C1980">
        <v>47</v>
      </c>
    </row>
    <row r="1981" spans="1:4" x14ac:dyDescent="0.25">
      <c r="A1981" t="s">
        <v>20</v>
      </c>
      <c r="B1981">
        <v>32</v>
      </c>
      <c r="C1981">
        <v>48</v>
      </c>
    </row>
    <row r="1982" spans="1:4" x14ac:dyDescent="0.25">
      <c r="A1982" t="s">
        <v>20</v>
      </c>
      <c r="B1982">
        <v>32</v>
      </c>
      <c r="C1982">
        <v>49</v>
      </c>
      <c r="D1982">
        <v>1</v>
      </c>
    </row>
    <row r="1983" spans="1:4" x14ac:dyDescent="0.25">
      <c r="A1983" t="s">
        <v>20</v>
      </c>
      <c r="B1983">
        <v>32</v>
      </c>
      <c r="C1983">
        <v>50</v>
      </c>
    </row>
    <row r="1984" spans="1:4" x14ac:dyDescent="0.25">
      <c r="A1984" t="s">
        <v>20</v>
      </c>
      <c r="B1984">
        <v>32</v>
      </c>
      <c r="C1984">
        <v>51</v>
      </c>
    </row>
    <row r="1985" spans="1:4" x14ac:dyDescent="0.25">
      <c r="A1985" t="s">
        <v>20</v>
      </c>
      <c r="B1985">
        <v>32</v>
      </c>
      <c r="C1985">
        <v>52</v>
      </c>
      <c r="D1985">
        <v>1</v>
      </c>
    </row>
    <row r="1986" spans="1:4" x14ac:dyDescent="0.25">
      <c r="A1986" t="s">
        <v>20</v>
      </c>
      <c r="B1986">
        <v>32</v>
      </c>
      <c r="C1986">
        <v>53</v>
      </c>
    </row>
    <row r="1987" spans="1:4" x14ac:dyDescent="0.25">
      <c r="A1987" t="s">
        <v>20</v>
      </c>
      <c r="B1987">
        <v>32</v>
      </c>
      <c r="C1987">
        <v>54</v>
      </c>
    </row>
    <row r="1988" spans="1:4" x14ac:dyDescent="0.25">
      <c r="A1988" t="s">
        <v>20</v>
      </c>
      <c r="B1988">
        <v>32</v>
      </c>
      <c r="C1988">
        <v>55</v>
      </c>
      <c r="D1988">
        <v>1</v>
      </c>
    </row>
    <row r="1989" spans="1:4" x14ac:dyDescent="0.25">
      <c r="A1989" t="s">
        <v>20</v>
      </c>
      <c r="B1989">
        <v>32</v>
      </c>
      <c r="C1989">
        <v>56</v>
      </c>
    </row>
    <row r="1990" spans="1:4" x14ac:dyDescent="0.25">
      <c r="A1990" t="s">
        <v>20</v>
      </c>
      <c r="B1990">
        <v>32</v>
      </c>
      <c r="C1990">
        <v>57</v>
      </c>
    </row>
    <row r="1991" spans="1:4" x14ac:dyDescent="0.25">
      <c r="A1991" t="s">
        <v>20</v>
      </c>
      <c r="B1991">
        <v>32</v>
      </c>
      <c r="C1991">
        <v>58</v>
      </c>
    </row>
    <row r="1992" spans="1:4" x14ac:dyDescent="0.25">
      <c r="A1992" t="s">
        <v>20</v>
      </c>
      <c r="B1992">
        <v>32</v>
      </c>
      <c r="C1992">
        <v>59</v>
      </c>
    </row>
    <row r="1993" spans="1:4" x14ac:dyDescent="0.25">
      <c r="A1993" t="s">
        <v>20</v>
      </c>
      <c r="B1993">
        <v>32</v>
      </c>
      <c r="C1993">
        <v>60</v>
      </c>
    </row>
    <row r="1994" spans="1:4" x14ac:dyDescent="0.25">
      <c r="A1994" t="s">
        <v>20</v>
      </c>
      <c r="B1994">
        <v>32</v>
      </c>
      <c r="C1994">
        <v>61</v>
      </c>
    </row>
    <row r="1995" spans="1:4" x14ac:dyDescent="0.25">
      <c r="A1995" t="s">
        <v>20</v>
      </c>
      <c r="B1995">
        <v>32</v>
      </c>
      <c r="C1995">
        <v>62</v>
      </c>
      <c r="D1995">
        <v>1</v>
      </c>
    </row>
    <row r="1996" spans="1:4" x14ac:dyDescent="0.25">
      <c r="A1996" t="s">
        <v>20</v>
      </c>
      <c r="B1996">
        <v>32</v>
      </c>
      <c r="C1996">
        <v>63</v>
      </c>
    </row>
    <row r="1997" spans="1:4" x14ac:dyDescent="0.25">
      <c r="A1997" t="s">
        <v>20</v>
      </c>
      <c r="B1997">
        <v>32</v>
      </c>
      <c r="C1997">
        <v>64</v>
      </c>
    </row>
    <row r="1998" spans="1:4" x14ac:dyDescent="0.25">
      <c r="A1998" t="s">
        <v>20</v>
      </c>
      <c r="B1998">
        <v>32</v>
      </c>
      <c r="C1998">
        <v>65</v>
      </c>
    </row>
    <row r="1999" spans="1:4" x14ac:dyDescent="0.25">
      <c r="A1999" t="s">
        <v>20</v>
      </c>
      <c r="B1999">
        <v>32</v>
      </c>
      <c r="C1999">
        <v>66</v>
      </c>
    </row>
    <row r="2000" spans="1:4" x14ac:dyDescent="0.25">
      <c r="A2000" t="s">
        <v>20</v>
      </c>
      <c r="B2000">
        <v>32</v>
      </c>
      <c r="C2000">
        <v>67</v>
      </c>
      <c r="D2000">
        <v>1</v>
      </c>
    </row>
    <row r="2001" spans="1:4" x14ac:dyDescent="0.25">
      <c r="A2001" t="s">
        <v>20</v>
      </c>
      <c r="B2001">
        <v>32</v>
      </c>
      <c r="C2001">
        <v>68</v>
      </c>
    </row>
    <row r="2002" spans="1:4" x14ac:dyDescent="0.25">
      <c r="A2002" t="s">
        <v>20</v>
      </c>
      <c r="B2002">
        <v>32</v>
      </c>
      <c r="C2002">
        <v>69</v>
      </c>
    </row>
    <row r="2003" spans="1:4" x14ac:dyDescent="0.25">
      <c r="A2003" t="s">
        <v>20</v>
      </c>
      <c r="B2003">
        <v>32</v>
      </c>
      <c r="C2003">
        <v>70</v>
      </c>
      <c r="D2003">
        <v>1</v>
      </c>
    </row>
    <row r="2004" spans="1:4" x14ac:dyDescent="0.25">
      <c r="A2004" t="s">
        <v>20</v>
      </c>
      <c r="B2004">
        <v>32</v>
      </c>
      <c r="C2004">
        <v>71</v>
      </c>
    </row>
    <row r="2005" spans="1:4" x14ac:dyDescent="0.25">
      <c r="A2005" t="s">
        <v>20</v>
      </c>
      <c r="B2005">
        <v>32</v>
      </c>
      <c r="C2005">
        <v>72</v>
      </c>
    </row>
    <row r="2006" spans="1:4" x14ac:dyDescent="0.25">
      <c r="A2006" t="s">
        <v>20</v>
      </c>
      <c r="B2006">
        <v>32</v>
      </c>
      <c r="C2006">
        <v>73</v>
      </c>
      <c r="D2006">
        <v>1</v>
      </c>
    </row>
    <row r="2007" spans="1:4" x14ac:dyDescent="0.25">
      <c r="A2007" t="s">
        <v>20</v>
      </c>
      <c r="B2007">
        <v>32</v>
      </c>
      <c r="C2007">
        <v>74</v>
      </c>
    </row>
    <row r="2008" spans="1:4" x14ac:dyDescent="0.25">
      <c r="A2008" t="s">
        <v>20</v>
      </c>
      <c r="B2008">
        <v>32</v>
      </c>
      <c r="C2008">
        <v>75</v>
      </c>
    </row>
    <row r="2009" spans="1:4" x14ac:dyDescent="0.25">
      <c r="A2009" t="s">
        <v>20</v>
      </c>
      <c r="B2009">
        <v>32</v>
      </c>
      <c r="C2009">
        <v>76</v>
      </c>
      <c r="D2009">
        <v>1</v>
      </c>
    </row>
    <row r="2010" spans="1:4" x14ac:dyDescent="0.25">
      <c r="A2010" t="s">
        <v>20</v>
      </c>
      <c r="B2010">
        <v>32</v>
      </c>
      <c r="C2010">
        <v>77</v>
      </c>
    </row>
    <row r="2011" spans="1:4" x14ac:dyDescent="0.25">
      <c r="A2011" t="s">
        <v>20</v>
      </c>
      <c r="B2011">
        <v>32</v>
      </c>
      <c r="C2011">
        <v>78</v>
      </c>
    </row>
    <row r="2012" spans="1:4" x14ac:dyDescent="0.25">
      <c r="A2012" t="s">
        <v>20</v>
      </c>
      <c r="B2012">
        <v>32</v>
      </c>
      <c r="C2012">
        <v>79</v>
      </c>
    </row>
    <row r="2013" spans="1:4" x14ac:dyDescent="0.25">
      <c r="A2013" t="s">
        <v>20</v>
      </c>
      <c r="B2013">
        <v>32</v>
      </c>
      <c r="C2013">
        <v>80</v>
      </c>
    </row>
    <row r="2014" spans="1:4" x14ac:dyDescent="0.25">
      <c r="A2014" t="s">
        <v>20</v>
      </c>
      <c r="B2014">
        <v>32</v>
      </c>
      <c r="C2014">
        <v>81</v>
      </c>
    </row>
    <row r="2015" spans="1:4" x14ac:dyDescent="0.25">
      <c r="A2015" t="s">
        <v>20</v>
      </c>
      <c r="B2015">
        <v>32</v>
      </c>
      <c r="C2015">
        <v>82</v>
      </c>
    </row>
    <row r="2016" spans="1:4" x14ac:dyDescent="0.25">
      <c r="A2016" t="s">
        <v>20</v>
      </c>
      <c r="B2016">
        <v>32</v>
      </c>
      <c r="C2016">
        <v>83</v>
      </c>
    </row>
    <row r="2017" spans="1:4" x14ac:dyDescent="0.25">
      <c r="A2017" t="s">
        <v>20</v>
      </c>
      <c r="B2017">
        <v>32</v>
      </c>
      <c r="C2017">
        <v>84</v>
      </c>
    </row>
    <row r="2018" spans="1:4" x14ac:dyDescent="0.25">
      <c r="A2018" t="s">
        <v>20</v>
      </c>
      <c r="B2018">
        <v>36</v>
      </c>
      <c r="C2018">
        <v>1</v>
      </c>
      <c r="D2018">
        <v>1</v>
      </c>
    </row>
    <row r="2019" spans="1:4" x14ac:dyDescent="0.25">
      <c r="A2019" t="s">
        <v>20</v>
      </c>
      <c r="B2019">
        <v>36</v>
      </c>
      <c r="C2019">
        <v>2</v>
      </c>
    </row>
    <row r="2020" spans="1:4" x14ac:dyDescent="0.25">
      <c r="A2020" t="s">
        <v>20</v>
      </c>
      <c r="B2020">
        <v>36</v>
      </c>
      <c r="C2020">
        <v>3</v>
      </c>
    </row>
    <row r="2021" spans="1:4" x14ac:dyDescent="0.25">
      <c r="A2021" t="s">
        <v>20</v>
      </c>
      <c r="B2021">
        <v>36</v>
      </c>
      <c r="C2021">
        <v>4</v>
      </c>
      <c r="D2021">
        <v>1</v>
      </c>
    </row>
    <row r="2022" spans="1:4" x14ac:dyDescent="0.25">
      <c r="A2022" t="s">
        <v>20</v>
      </c>
      <c r="B2022">
        <v>36</v>
      </c>
      <c r="C2022">
        <v>5</v>
      </c>
    </row>
    <row r="2023" spans="1:4" x14ac:dyDescent="0.25">
      <c r="A2023" t="s">
        <v>20</v>
      </c>
      <c r="B2023">
        <v>36</v>
      </c>
      <c r="C2023">
        <v>6</v>
      </c>
    </row>
    <row r="2024" spans="1:4" x14ac:dyDescent="0.25">
      <c r="A2024" t="s">
        <v>20</v>
      </c>
      <c r="B2024">
        <v>36</v>
      </c>
      <c r="C2024">
        <v>7</v>
      </c>
      <c r="D2024">
        <v>1</v>
      </c>
    </row>
    <row r="2025" spans="1:4" x14ac:dyDescent="0.25">
      <c r="A2025" t="s">
        <v>20</v>
      </c>
      <c r="B2025">
        <v>36</v>
      </c>
      <c r="C2025">
        <v>8</v>
      </c>
    </row>
    <row r="2026" spans="1:4" x14ac:dyDescent="0.25">
      <c r="A2026" t="s">
        <v>20</v>
      </c>
      <c r="B2026">
        <v>36</v>
      </c>
      <c r="C2026">
        <v>9</v>
      </c>
    </row>
    <row r="2027" spans="1:4" x14ac:dyDescent="0.25">
      <c r="A2027" t="s">
        <v>20</v>
      </c>
      <c r="B2027">
        <v>36</v>
      </c>
      <c r="C2027">
        <v>10</v>
      </c>
      <c r="D2027">
        <v>1</v>
      </c>
    </row>
    <row r="2028" spans="1:4" x14ac:dyDescent="0.25">
      <c r="A2028" t="s">
        <v>20</v>
      </c>
      <c r="B2028">
        <v>36</v>
      </c>
      <c r="C2028">
        <v>11</v>
      </c>
    </row>
    <row r="2029" spans="1:4" x14ac:dyDescent="0.25">
      <c r="A2029" t="s">
        <v>20</v>
      </c>
      <c r="B2029">
        <v>36</v>
      </c>
      <c r="C2029">
        <v>12</v>
      </c>
    </row>
    <row r="2030" spans="1:4" x14ac:dyDescent="0.25">
      <c r="A2030" t="s">
        <v>20</v>
      </c>
      <c r="B2030">
        <v>36</v>
      </c>
      <c r="C2030">
        <v>13</v>
      </c>
    </row>
    <row r="2031" spans="1:4" x14ac:dyDescent="0.25">
      <c r="A2031" t="s">
        <v>20</v>
      </c>
      <c r="B2031">
        <v>36</v>
      </c>
      <c r="C2031">
        <v>14</v>
      </c>
    </row>
    <row r="2032" spans="1:4" x14ac:dyDescent="0.25">
      <c r="A2032" t="s">
        <v>20</v>
      </c>
      <c r="B2032">
        <v>36</v>
      </c>
      <c r="C2032">
        <v>15</v>
      </c>
    </row>
    <row r="2033" spans="1:4" x14ac:dyDescent="0.25">
      <c r="A2033" t="s">
        <v>20</v>
      </c>
      <c r="B2033">
        <v>36</v>
      </c>
      <c r="C2033">
        <v>16</v>
      </c>
      <c r="D2033">
        <v>1</v>
      </c>
    </row>
    <row r="2034" spans="1:4" x14ac:dyDescent="0.25">
      <c r="A2034" t="s">
        <v>20</v>
      </c>
      <c r="B2034">
        <v>36</v>
      </c>
      <c r="C2034">
        <v>17</v>
      </c>
    </row>
    <row r="2035" spans="1:4" x14ac:dyDescent="0.25">
      <c r="A2035" t="s">
        <v>20</v>
      </c>
      <c r="B2035">
        <v>36</v>
      </c>
      <c r="C2035">
        <v>18</v>
      </c>
    </row>
    <row r="2036" spans="1:4" x14ac:dyDescent="0.25">
      <c r="A2036" t="s">
        <v>20</v>
      </c>
      <c r="B2036">
        <v>36</v>
      </c>
      <c r="C2036">
        <v>19</v>
      </c>
    </row>
    <row r="2037" spans="1:4" x14ac:dyDescent="0.25">
      <c r="A2037" t="s">
        <v>20</v>
      </c>
      <c r="B2037">
        <v>36</v>
      </c>
      <c r="C2037">
        <v>20</v>
      </c>
    </row>
    <row r="2038" spans="1:4" x14ac:dyDescent="0.25">
      <c r="A2038" t="s">
        <v>20</v>
      </c>
      <c r="B2038">
        <v>36</v>
      </c>
      <c r="C2038">
        <v>21</v>
      </c>
    </row>
    <row r="2039" spans="1:4" x14ac:dyDescent="0.25">
      <c r="A2039" t="s">
        <v>20</v>
      </c>
      <c r="B2039">
        <v>36</v>
      </c>
      <c r="C2039">
        <v>22</v>
      </c>
      <c r="D2039">
        <v>1</v>
      </c>
    </row>
    <row r="2040" spans="1:4" x14ac:dyDescent="0.25">
      <c r="A2040" t="s">
        <v>20</v>
      </c>
      <c r="B2040">
        <v>36</v>
      </c>
      <c r="C2040">
        <v>23</v>
      </c>
    </row>
    <row r="2041" spans="1:4" x14ac:dyDescent="0.25">
      <c r="A2041" t="s">
        <v>20</v>
      </c>
      <c r="B2041">
        <v>36</v>
      </c>
      <c r="C2041">
        <v>24</v>
      </c>
    </row>
    <row r="2042" spans="1:4" x14ac:dyDescent="0.25">
      <c r="A2042" t="s">
        <v>20</v>
      </c>
      <c r="B2042">
        <v>36</v>
      </c>
      <c r="C2042">
        <v>25</v>
      </c>
      <c r="D2042">
        <v>1</v>
      </c>
    </row>
    <row r="2043" spans="1:4" x14ac:dyDescent="0.25">
      <c r="A2043" t="s">
        <v>20</v>
      </c>
      <c r="B2043">
        <v>36</v>
      </c>
      <c r="C2043">
        <v>26</v>
      </c>
    </row>
    <row r="2044" spans="1:4" x14ac:dyDescent="0.25">
      <c r="A2044" t="s">
        <v>20</v>
      </c>
      <c r="B2044">
        <v>36</v>
      </c>
      <c r="C2044">
        <v>27</v>
      </c>
    </row>
    <row r="2045" spans="1:4" x14ac:dyDescent="0.25">
      <c r="A2045" t="s">
        <v>20</v>
      </c>
      <c r="B2045">
        <v>36</v>
      </c>
      <c r="C2045">
        <v>28</v>
      </c>
      <c r="D2045">
        <v>1</v>
      </c>
    </row>
    <row r="2046" spans="1:4" x14ac:dyDescent="0.25">
      <c r="A2046" t="s">
        <v>20</v>
      </c>
      <c r="B2046">
        <v>36</v>
      </c>
      <c r="C2046">
        <v>29</v>
      </c>
    </row>
    <row r="2047" spans="1:4" x14ac:dyDescent="0.25">
      <c r="A2047" t="s">
        <v>20</v>
      </c>
      <c r="B2047">
        <v>36</v>
      </c>
      <c r="C2047">
        <v>30</v>
      </c>
    </row>
    <row r="2048" spans="1:4" x14ac:dyDescent="0.25">
      <c r="A2048" t="s">
        <v>20</v>
      </c>
      <c r="B2048">
        <v>36</v>
      </c>
      <c r="C2048">
        <v>31</v>
      </c>
      <c r="D2048">
        <v>1</v>
      </c>
    </row>
    <row r="2049" spans="1:4" x14ac:dyDescent="0.25">
      <c r="A2049" t="s">
        <v>20</v>
      </c>
      <c r="B2049">
        <v>36</v>
      </c>
      <c r="C2049">
        <v>32</v>
      </c>
    </row>
    <row r="2050" spans="1:4" x14ac:dyDescent="0.25">
      <c r="A2050" t="s">
        <v>20</v>
      </c>
      <c r="B2050">
        <v>36</v>
      </c>
      <c r="C2050">
        <v>33</v>
      </c>
    </row>
    <row r="2051" spans="1:4" x14ac:dyDescent="0.25">
      <c r="A2051" t="s">
        <v>20</v>
      </c>
      <c r="B2051">
        <v>36</v>
      </c>
      <c r="C2051">
        <v>34</v>
      </c>
      <c r="D2051">
        <v>1</v>
      </c>
    </row>
    <row r="2052" spans="1:4" x14ac:dyDescent="0.25">
      <c r="A2052" t="s">
        <v>20</v>
      </c>
      <c r="B2052">
        <v>36</v>
      </c>
      <c r="C2052">
        <v>35</v>
      </c>
    </row>
    <row r="2053" spans="1:4" x14ac:dyDescent="0.25">
      <c r="A2053" t="s">
        <v>20</v>
      </c>
      <c r="B2053">
        <v>36</v>
      </c>
      <c r="C2053">
        <v>36</v>
      </c>
    </row>
    <row r="2054" spans="1:4" x14ac:dyDescent="0.25">
      <c r="A2054" t="s">
        <v>20</v>
      </c>
      <c r="B2054">
        <v>36</v>
      </c>
      <c r="C2054">
        <v>37</v>
      </c>
      <c r="D2054">
        <v>1</v>
      </c>
    </row>
    <row r="2055" spans="1:4" x14ac:dyDescent="0.25">
      <c r="A2055" t="s">
        <v>20</v>
      </c>
      <c r="B2055">
        <v>36</v>
      </c>
      <c r="C2055">
        <v>38</v>
      </c>
    </row>
    <row r="2056" spans="1:4" x14ac:dyDescent="0.25">
      <c r="A2056" t="s">
        <v>20</v>
      </c>
      <c r="B2056">
        <v>36</v>
      </c>
      <c r="C2056">
        <v>39</v>
      </c>
    </row>
    <row r="2057" spans="1:4" x14ac:dyDescent="0.25">
      <c r="A2057" t="s">
        <v>20</v>
      </c>
      <c r="B2057">
        <v>36</v>
      </c>
      <c r="C2057">
        <v>40</v>
      </c>
      <c r="D2057">
        <v>1</v>
      </c>
    </row>
    <row r="2058" spans="1:4" x14ac:dyDescent="0.25">
      <c r="A2058" t="s">
        <v>20</v>
      </c>
      <c r="B2058">
        <v>36</v>
      </c>
      <c r="C2058">
        <v>41</v>
      </c>
    </row>
    <row r="2059" spans="1:4" x14ac:dyDescent="0.25">
      <c r="A2059" t="s">
        <v>20</v>
      </c>
      <c r="B2059">
        <v>36</v>
      </c>
      <c r="C2059">
        <v>42</v>
      </c>
    </row>
    <row r="2060" spans="1:4" x14ac:dyDescent="0.25">
      <c r="A2060" t="s">
        <v>20</v>
      </c>
      <c r="B2060">
        <v>36</v>
      </c>
      <c r="C2060">
        <v>43</v>
      </c>
    </row>
    <row r="2061" spans="1:4" x14ac:dyDescent="0.25">
      <c r="A2061" t="s">
        <v>20</v>
      </c>
      <c r="B2061">
        <v>36</v>
      </c>
      <c r="C2061">
        <v>44</v>
      </c>
    </row>
    <row r="2062" spans="1:4" x14ac:dyDescent="0.25">
      <c r="A2062" t="s">
        <v>20</v>
      </c>
      <c r="B2062">
        <v>36</v>
      </c>
      <c r="C2062">
        <v>45</v>
      </c>
    </row>
    <row r="2063" spans="1:4" x14ac:dyDescent="0.25">
      <c r="A2063" t="s">
        <v>20</v>
      </c>
      <c r="B2063">
        <v>36</v>
      </c>
      <c r="C2063">
        <v>46</v>
      </c>
      <c r="D2063">
        <v>1</v>
      </c>
    </row>
    <row r="2064" spans="1:4" x14ac:dyDescent="0.25">
      <c r="A2064" t="s">
        <v>20</v>
      </c>
      <c r="B2064">
        <v>36</v>
      </c>
      <c r="C2064">
        <v>47</v>
      </c>
    </row>
    <row r="2065" spans="1:4" x14ac:dyDescent="0.25">
      <c r="A2065" t="s">
        <v>20</v>
      </c>
      <c r="B2065">
        <v>36</v>
      </c>
      <c r="C2065">
        <v>48</v>
      </c>
    </row>
    <row r="2066" spans="1:4" x14ac:dyDescent="0.25">
      <c r="A2066" t="s">
        <v>20</v>
      </c>
      <c r="B2066">
        <v>36</v>
      </c>
      <c r="C2066">
        <v>49</v>
      </c>
      <c r="D2066">
        <v>1</v>
      </c>
    </row>
    <row r="2067" spans="1:4" x14ac:dyDescent="0.25">
      <c r="A2067" t="s">
        <v>20</v>
      </c>
      <c r="B2067">
        <v>36</v>
      </c>
      <c r="C2067">
        <v>50</v>
      </c>
    </row>
    <row r="2068" spans="1:4" x14ac:dyDescent="0.25">
      <c r="A2068" t="s">
        <v>20</v>
      </c>
      <c r="B2068">
        <v>36</v>
      </c>
      <c r="C2068">
        <v>51</v>
      </c>
    </row>
    <row r="2069" spans="1:4" x14ac:dyDescent="0.25">
      <c r="A2069" t="s">
        <v>20</v>
      </c>
      <c r="B2069">
        <v>36</v>
      </c>
      <c r="C2069">
        <v>52</v>
      </c>
      <c r="D2069">
        <v>1</v>
      </c>
    </row>
    <row r="2070" spans="1:4" x14ac:dyDescent="0.25">
      <c r="A2070" t="s">
        <v>20</v>
      </c>
      <c r="B2070">
        <v>36</v>
      </c>
      <c r="C2070">
        <v>53</v>
      </c>
    </row>
    <row r="2071" spans="1:4" x14ac:dyDescent="0.25">
      <c r="A2071" t="s">
        <v>20</v>
      </c>
      <c r="B2071">
        <v>36</v>
      </c>
      <c r="C2071">
        <v>54</v>
      </c>
    </row>
    <row r="2072" spans="1:4" x14ac:dyDescent="0.25">
      <c r="A2072" t="s">
        <v>20</v>
      </c>
      <c r="B2072">
        <v>36</v>
      </c>
      <c r="C2072">
        <v>55</v>
      </c>
      <c r="D2072">
        <v>1</v>
      </c>
    </row>
    <row r="2073" spans="1:4" x14ac:dyDescent="0.25">
      <c r="A2073" t="s">
        <v>20</v>
      </c>
      <c r="B2073">
        <v>36</v>
      </c>
      <c r="C2073">
        <v>56</v>
      </c>
    </row>
    <row r="2074" spans="1:4" x14ac:dyDescent="0.25">
      <c r="A2074" t="s">
        <v>20</v>
      </c>
      <c r="B2074">
        <v>36</v>
      </c>
      <c r="C2074">
        <v>57</v>
      </c>
    </row>
    <row r="2075" spans="1:4" x14ac:dyDescent="0.25">
      <c r="A2075" t="s">
        <v>20</v>
      </c>
      <c r="B2075">
        <v>36</v>
      </c>
      <c r="C2075">
        <v>58</v>
      </c>
      <c r="D2075">
        <v>1</v>
      </c>
    </row>
    <row r="2076" spans="1:4" x14ac:dyDescent="0.25">
      <c r="A2076" t="s">
        <v>20</v>
      </c>
      <c r="B2076">
        <v>36</v>
      </c>
      <c r="C2076">
        <v>59</v>
      </c>
    </row>
    <row r="2077" spans="1:4" x14ac:dyDescent="0.25">
      <c r="A2077" t="s">
        <v>20</v>
      </c>
      <c r="B2077">
        <v>36</v>
      </c>
      <c r="C2077">
        <v>60</v>
      </c>
    </row>
    <row r="2078" spans="1:4" x14ac:dyDescent="0.25">
      <c r="A2078" t="s">
        <v>20</v>
      </c>
      <c r="B2078">
        <v>36</v>
      </c>
      <c r="C2078">
        <v>61</v>
      </c>
    </row>
    <row r="2079" spans="1:4" x14ac:dyDescent="0.25">
      <c r="A2079" t="s">
        <v>20</v>
      </c>
      <c r="B2079">
        <v>36</v>
      </c>
      <c r="C2079">
        <v>62</v>
      </c>
    </row>
    <row r="2080" spans="1:4" x14ac:dyDescent="0.25">
      <c r="A2080" t="s">
        <v>20</v>
      </c>
      <c r="B2080">
        <v>36</v>
      </c>
      <c r="C2080">
        <v>63</v>
      </c>
    </row>
    <row r="2081" spans="1:4" x14ac:dyDescent="0.25">
      <c r="A2081" t="s">
        <v>20</v>
      </c>
      <c r="B2081">
        <v>36</v>
      </c>
      <c r="C2081">
        <v>64</v>
      </c>
    </row>
    <row r="2082" spans="1:4" x14ac:dyDescent="0.25">
      <c r="A2082" t="s">
        <v>20</v>
      </c>
      <c r="B2082">
        <v>36</v>
      </c>
      <c r="C2082">
        <v>65</v>
      </c>
    </row>
    <row r="2083" spans="1:4" x14ac:dyDescent="0.25">
      <c r="A2083" t="s">
        <v>20</v>
      </c>
      <c r="B2083">
        <v>36</v>
      </c>
      <c r="C2083">
        <v>66</v>
      </c>
    </row>
    <row r="2084" spans="1:4" x14ac:dyDescent="0.25">
      <c r="A2084" t="s">
        <v>20</v>
      </c>
      <c r="B2084">
        <v>36</v>
      </c>
      <c r="C2084">
        <v>67</v>
      </c>
      <c r="D2084">
        <v>1</v>
      </c>
    </row>
    <row r="2085" spans="1:4" x14ac:dyDescent="0.25">
      <c r="A2085" t="s">
        <v>20</v>
      </c>
      <c r="B2085">
        <v>36</v>
      </c>
      <c r="C2085">
        <v>68</v>
      </c>
    </row>
    <row r="2086" spans="1:4" x14ac:dyDescent="0.25">
      <c r="A2086" t="s">
        <v>20</v>
      </c>
      <c r="B2086">
        <v>36</v>
      </c>
      <c r="C2086">
        <v>69</v>
      </c>
    </row>
    <row r="2087" spans="1:4" x14ac:dyDescent="0.25">
      <c r="A2087" t="s">
        <v>20</v>
      </c>
      <c r="B2087">
        <v>36</v>
      </c>
      <c r="C2087">
        <v>70</v>
      </c>
      <c r="D2087">
        <v>1</v>
      </c>
    </row>
    <row r="2088" spans="1:4" x14ac:dyDescent="0.25">
      <c r="A2088" t="s">
        <v>20</v>
      </c>
      <c r="B2088">
        <v>36</v>
      </c>
      <c r="C2088">
        <v>71</v>
      </c>
    </row>
    <row r="2089" spans="1:4" x14ac:dyDescent="0.25">
      <c r="A2089" t="s">
        <v>20</v>
      </c>
      <c r="B2089">
        <v>36</v>
      </c>
      <c r="C2089">
        <v>72</v>
      </c>
    </row>
    <row r="2090" spans="1:4" x14ac:dyDescent="0.25">
      <c r="A2090" t="s">
        <v>20</v>
      </c>
      <c r="B2090">
        <v>36</v>
      </c>
      <c r="C2090">
        <v>73</v>
      </c>
      <c r="D2090">
        <v>1</v>
      </c>
    </row>
    <row r="2091" spans="1:4" x14ac:dyDescent="0.25">
      <c r="A2091" t="s">
        <v>20</v>
      </c>
      <c r="B2091">
        <v>36</v>
      </c>
      <c r="C2091">
        <v>74</v>
      </c>
    </row>
    <row r="2092" spans="1:4" x14ac:dyDescent="0.25">
      <c r="A2092" t="s">
        <v>20</v>
      </c>
      <c r="B2092">
        <v>36</v>
      </c>
      <c r="C2092">
        <v>75</v>
      </c>
    </row>
    <row r="2093" spans="1:4" x14ac:dyDescent="0.25">
      <c r="A2093" t="s">
        <v>20</v>
      </c>
      <c r="B2093">
        <v>36</v>
      </c>
      <c r="C2093">
        <v>76</v>
      </c>
      <c r="D2093">
        <v>1</v>
      </c>
    </row>
    <row r="2094" spans="1:4" x14ac:dyDescent="0.25">
      <c r="A2094" t="s">
        <v>20</v>
      </c>
      <c r="B2094">
        <v>36</v>
      </c>
      <c r="C2094">
        <v>77</v>
      </c>
    </row>
    <row r="2095" spans="1:4" x14ac:dyDescent="0.25">
      <c r="A2095" t="s">
        <v>20</v>
      </c>
      <c r="B2095">
        <v>36</v>
      </c>
      <c r="C2095">
        <v>78</v>
      </c>
    </row>
    <row r="2096" spans="1:4" x14ac:dyDescent="0.25">
      <c r="A2096" t="s">
        <v>20</v>
      </c>
      <c r="B2096">
        <v>36</v>
      </c>
      <c r="C2096">
        <v>79</v>
      </c>
      <c r="D2096">
        <v>1</v>
      </c>
    </row>
    <row r="2097" spans="1:4" x14ac:dyDescent="0.25">
      <c r="A2097" t="s">
        <v>20</v>
      </c>
      <c r="B2097">
        <v>36</v>
      </c>
      <c r="C2097">
        <v>80</v>
      </c>
    </row>
    <row r="2098" spans="1:4" x14ac:dyDescent="0.25">
      <c r="A2098" t="s">
        <v>20</v>
      </c>
      <c r="B2098">
        <v>36</v>
      </c>
      <c r="C2098">
        <v>81</v>
      </c>
    </row>
    <row r="2099" spans="1:4" x14ac:dyDescent="0.25">
      <c r="A2099" t="s">
        <v>20</v>
      </c>
      <c r="B2099">
        <v>36</v>
      </c>
      <c r="C2099">
        <v>82</v>
      </c>
    </row>
    <row r="2100" spans="1:4" x14ac:dyDescent="0.25">
      <c r="A2100" t="s">
        <v>20</v>
      </c>
      <c r="B2100">
        <v>36</v>
      </c>
      <c r="C2100">
        <v>83</v>
      </c>
    </row>
    <row r="2101" spans="1:4" x14ac:dyDescent="0.25">
      <c r="A2101" t="s">
        <v>20</v>
      </c>
      <c r="B2101">
        <v>36</v>
      </c>
      <c r="C2101">
        <v>84</v>
      </c>
    </row>
    <row r="2102" spans="1:4" x14ac:dyDescent="0.25">
      <c r="A2102" t="s">
        <v>20</v>
      </c>
      <c r="B2102">
        <v>37</v>
      </c>
      <c r="C2102">
        <v>1</v>
      </c>
      <c r="D2102">
        <v>1</v>
      </c>
    </row>
    <row r="2103" spans="1:4" x14ac:dyDescent="0.25">
      <c r="A2103" t="s">
        <v>20</v>
      </c>
      <c r="B2103">
        <v>37</v>
      </c>
      <c r="C2103">
        <v>2</v>
      </c>
    </row>
    <row r="2104" spans="1:4" x14ac:dyDescent="0.25">
      <c r="A2104" t="s">
        <v>20</v>
      </c>
      <c r="B2104">
        <v>37</v>
      </c>
      <c r="C2104">
        <v>3</v>
      </c>
    </row>
    <row r="2105" spans="1:4" x14ac:dyDescent="0.25">
      <c r="A2105" t="s">
        <v>20</v>
      </c>
      <c r="B2105">
        <v>37</v>
      </c>
      <c r="C2105">
        <v>4</v>
      </c>
      <c r="D2105">
        <v>1</v>
      </c>
    </row>
    <row r="2106" spans="1:4" x14ac:dyDescent="0.25">
      <c r="A2106" t="s">
        <v>20</v>
      </c>
      <c r="B2106">
        <v>37</v>
      </c>
      <c r="C2106">
        <v>5</v>
      </c>
    </row>
    <row r="2107" spans="1:4" x14ac:dyDescent="0.25">
      <c r="A2107" t="s">
        <v>20</v>
      </c>
      <c r="B2107">
        <v>37</v>
      </c>
      <c r="C2107">
        <v>6</v>
      </c>
    </row>
    <row r="2108" spans="1:4" x14ac:dyDescent="0.25">
      <c r="A2108" t="s">
        <v>20</v>
      </c>
      <c r="B2108">
        <v>37</v>
      </c>
      <c r="C2108">
        <v>7</v>
      </c>
      <c r="D2108">
        <v>1</v>
      </c>
    </row>
    <row r="2109" spans="1:4" x14ac:dyDescent="0.25">
      <c r="A2109" t="s">
        <v>20</v>
      </c>
      <c r="B2109">
        <v>37</v>
      </c>
      <c r="C2109">
        <v>8</v>
      </c>
    </row>
    <row r="2110" spans="1:4" x14ac:dyDescent="0.25">
      <c r="A2110" t="s">
        <v>20</v>
      </c>
      <c r="B2110">
        <v>37</v>
      </c>
      <c r="C2110">
        <v>9</v>
      </c>
    </row>
    <row r="2111" spans="1:4" x14ac:dyDescent="0.25">
      <c r="A2111" t="s">
        <v>20</v>
      </c>
      <c r="B2111">
        <v>37</v>
      </c>
      <c r="C2111">
        <v>10</v>
      </c>
      <c r="D2111">
        <v>1</v>
      </c>
    </row>
    <row r="2112" spans="1:4" x14ac:dyDescent="0.25">
      <c r="A2112" t="s">
        <v>20</v>
      </c>
      <c r="B2112">
        <v>37</v>
      </c>
      <c r="C2112">
        <v>11</v>
      </c>
    </row>
    <row r="2113" spans="1:4" x14ac:dyDescent="0.25">
      <c r="A2113" t="s">
        <v>20</v>
      </c>
      <c r="B2113">
        <v>37</v>
      </c>
      <c r="C2113">
        <v>12</v>
      </c>
    </row>
    <row r="2114" spans="1:4" x14ac:dyDescent="0.25">
      <c r="A2114" t="s">
        <v>20</v>
      </c>
      <c r="B2114">
        <v>37</v>
      </c>
      <c r="C2114">
        <v>13</v>
      </c>
      <c r="D2114">
        <v>1</v>
      </c>
    </row>
    <row r="2115" spans="1:4" x14ac:dyDescent="0.25">
      <c r="A2115" t="s">
        <v>20</v>
      </c>
      <c r="B2115">
        <v>37</v>
      </c>
      <c r="C2115">
        <v>14</v>
      </c>
    </row>
    <row r="2116" spans="1:4" x14ac:dyDescent="0.25">
      <c r="A2116" t="s">
        <v>20</v>
      </c>
      <c r="B2116">
        <v>37</v>
      </c>
      <c r="C2116">
        <v>15</v>
      </c>
    </row>
    <row r="2117" spans="1:4" x14ac:dyDescent="0.25">
      <c r="A2117" t="s">
        <v>20</v>
      </c>
      <c r="B2117">
        <v>37</v>
      </c>
      <c r="C2117">
        <v>16</v>
      </c>
    </row>
    <row r="2118" spans="1:4" x14ac:dyDescent="0.25">
      <c r="A2118" t="s">
        <v>20</v>
      </c>
      <c r="B2118">
        <v>37</v>
      </c>
      <c r="C2118">
        <v>17</v>
      </c>
    </row>
    <row r="2119" spans="1:4" x14ac:dyDescent="0.25">
      <c r="A2119" t="s">
        <v>20</v>
      </c>
      <c r="B2119">
        <v>37</v>
      </c>
      <c r="C2119">
        <v>18</v>
      </c>
    </row>
    <row r="2120" spans="1:4" x14ac:dyDescent="0.25">
      <c r="A2120" t="s">
        <v>20</v>
      </c>
      <c r="B2120">
        <v>37</v>
      </c>
      <c r="C2120">
        <v>19</v>
      </c>
    </row>
    <row r="2121" spans="1:4" x14ac:dyDescent="0.25">
      <c r="A2121" t="s">
        <v>20</v>
      </c>
      <c r="B2121">
        <v>37</v>
      </c>
      <c r="C2121">
        <v>20</v>
      </c>
    </row>
    <row r="2122" spans="1:4" x14ac:dyDescent="0.25">
      <c r="A2122" t="s">
        <v>20</v>
      </c>
      <c r="B2122">
        <v>37</v>
      </c>
      <c r="C2122">
        <v>21</v>
      </c>
    </row>
    <row r="2123" spans="1:4" x14ac:dyDescent="0.25">
      <c r="A2123" t="s">
        <v>20</v>
      </c>
      <c r="B2123">
        <v>37</v>
      </c>
      <c r="C2123">
        <v>22</v>
      </c>
      <c r="D2123">
        <v>1</v>
      </c>
    </row>
    <row r="2124" spans="1:4" x14ac:dyDescent="0.25">
      <c r="A2124" t="s">
        <v>20</v>
      </c>
      <c r="B2124">
        <v>37</v>
      </c>
      <c r="C2124">
        <v>23</v>
      </c>
    </row>
    <row r="2125" spans="1:4" x14ac:dyDescent="0.25">
      <c r="A2125" t="s">
        <v>20</v>
      </c>
      <c r="B2125">
        <v>37</v>
      </c>
      <c r="C2125">
        <v>24</v>
      </c>
    </row>
    <row r="2126" spans="1:4" x14ac:dyDescent="0.25">
      <c r="A2126" t="s">
        <v>20</v>
      </c>
      <c r="B2126">
        <v>37</v>
      </c>
      <c r="C2126">
        <v>25</v>
      </c>
      <c r="D2126">
        <v>1</v>
      </c>
    </row>
    <row r="2127" spans="1:4" x14ac:dyDescent="0.25">
      <c r="A2127" t="s">
        <v>20</v>
      </c>
      <c r="B2127">
        <v>37</v>
      </c>
      <c r="C2127">
        <v>26</v>
      </c>
    </row>
    <row r="2128" spans="1:4" x14ac:dyDescent="0.25">
      <c r="A2128" t="s">
        <v>20</v>
      </c>
      <c r="B2128">
        <v>37</v>
      </c>
      <c r="C2128">
        <v>27</v>
      </c>
    </row>
    <row r="2129" spans="1:4" x14ac:dyDescent="0.25">
      <c r="A2129" t="s">
        <v>20</v>
      </c>
      <c r="B2129">
        <v>37</v>
      </c>
      <c r="C2129">
        <v>28</v>
      </c>
    </row>
    <row r="2130" spans="1:4" x14ac:dyDescent="0.25">
      <c r="A2130" t="s">
        <v>20</v>
      </c>
      <c r="B2130">
        <v>37</v>
      </c>
      <c r="C2130">
        <v>29</v>
      </c>
    </row>
    <row r="2131" spans="1:4" x14ac:dyDescent="0.25">
      <c r="A2131" t="s">
        <v>20</v>
      </c>
      <c r="B2131">
        <v>37</v>
      </c>
      <c r="C2131">
        <v>30</v>
      </c>
    </row>
    <row r="2132" spans="1:4" x14ac:dyDescent="0.25">
      <c r="A2132" t="s">
        <v>20</v>
      </c>
      <c r="B2132">
        <v>37</v>
      </c>
      <c r="C2132">
        <v>31</v>
      </c>
      <c r="D2132">
        <v>1</v>
      </c>
    </row>
    <row r="2133" spans="1:4" x14ac:dyDescent="0.25">
      <c r="A2133" t="s">
        <v>20</v>
      </c>
      <c r="B2133">
        <v>37</v>
      </c>
      <c r="C2133">
        <v>32</v>
      </c>
    </row>
    <row r="2134" spans="1:4" x14ac:dyDescent="0.25">
      <c r="A2134" t="s">
        <v>20</v>
      </c>
      <c r="B2134">
        <v>37</v>
      </c>
      <c r="C2134">
        <v>33</v>
      </c>
    </row>
    <row r="2135" spans="1:4" x14ac:dyDescent="0.25">
      <c r="A2135" t="s">
        <v>20</v>
      </c>
      <c r="B2135">
        <v>37</v>
      </c>
      <c r="C2135">
        <v>34</v>
      </c>
      <c r="D2135">
        <v>1</v>
      </c>
    </row>
    <row r="2136" spans="1:4" x14ac:dyDescent="0.25">
      <c r="A2136" t="s">
        <v>20</v>
      </c>
      <c r="B2136">
        <v>37</v>
      </c>
      <c r="C2136">
        <v>35</v>
      </c>
    </row>
    <row r="2137" spans="1:4" x14ac:dyDescent="0.25">
      <c r="A2137" t="s">
        <v>20</v>
      </c>
      <c r="B2137">
        <v>37</v>
      </c>
      <c r="C2137">
        <v>36</v>
      </c>
    </row>
    <row r="2138" spans="1:4" x14ac:dyDescent="0.25">
      <c r="A2138" t="s">
        <v>20</v>
      </c>
      <c r="B2138">
        <v>37</v>
      </c>
      <c r="C2138">
        <v>37</v>
      </c>
    </row>
    <row r="2139" spans="1:4" x14ac:dyDescent="0.25">
      <c r="A2139" t="s">
        <v>20</v>
      </c>
      <c r="B2139">
        <v>37</v>
      </c>
      <c r="C2139">
        <v>38</v>
      </c>
    </row>
    <row r="2140" spans="1:4" x14ac:dyDescent="0.25">
      <c r="A2140" t="s">
        <v>20</v>
      </c>
      <c r="B2140">
        <v>37</v>
      </c>
      <c r="C2140">
        <v>39</v>
      </c>
    </row>
    <row r="2141" spans="1:4" x14ac:dyDescent="0.25">
      <c r="A2141" t="s">
        <v>20</v>
      </c>
      <c r="B2141">
        <v>37</v>
      </c>
      <c r="C2141">
        <v>40</v>
      </c>
    </row>
    <row r="2142" spans="1:4" x14ac:dyDescent="0.25">
      <c r="A2142" t="s">
        <v>20</v>
      </c>
      <c r="B2142">
        <v>37</v>
      </c>
      <c r="C2142">
        <v>41</v>
      </c>
    </row>
    <row r="2143" spans="1:4" x14ac:dyDescent="0.25">
      <c r="A2143" t="s">
        <v>20</v>
      </c>
      <c r="B2143">
        <v>37</v>
      </c>
      <c r="C2143">
        <v>42</v>
      </c>
    </row>
    <row r="2144" spans="1:4" x14ac:dyDescent="0.25">
      <c r="A2144" t="s">
        <v>20</v>
      </c>
      <c r="B2144">
        <v>37</v>
      </c>
      <c r="C2144">
        <v>43</v>
      </c>
    </row>
    <row r="2145" spans="1:4" x14ac:dyDescent="0.25">
      <c r="A2145" t="s">
        <v>20</v>
      </c>
      <c r="B2145">
        <v>37</v>
      </c>
      <c r="C2145">
        <v>44</v>
      </c>
    </row>
    <row r="2146" spans="1:4" x14ac:dyDescent="0.25">
      <c r="A2146" t="s">
        <v>20</v>
      </c>
      <c r="B2146">
        <v>37</v>
      </c>
      <c r="C2146">
        <v>45</v>
      </c>
    </row>
    <row r="2147" spans="1:4" x14ac:dyDescent="0.25">
      <c r="A2147" t="s">
        <v>20</v>
      </c>
      <c r="B2147">
        <v>37</v>
      </c>
      <c r="C2147">
        <v>46</v>
      </c>
      <c r="D2147">
        <v>1</v>
      </c>
    </row>
    <row r="2148" spans="1:4" x14ac:dyDescent="0.25">
      <c r="A2148" t="s">
        <v>20</v>
      </c>
      <c r="B2148">
        <v>37</v>
      </c>
      <c r="C2148">
        <v>47</v>
      </c>
    </row>
    <row r="2149" spans="1:4" x14ac:dyDescent="0.25">
      <c r="A2149" t="s">
        <v>20</v>
      </c>
      <c r="B2149">
        <v>37</v>
      </c>
      <c r="C2149">
        <v>48</v>
      </c>
    </row>
    <row r="2150" spans="1:4" x14ac:dyDescent="0.25">
      <c r="A2150" t="s">
        <v>20</v>
      </c>
      <c r="B2150">
        <v>37</v>
      </c>
      <c r="C2150">
        <v>49</v>
      </c>
      <c r="D2150">
        <v>1</v>
      </c>
    </row>
    <row r="2151" spans="1:4" x14ac:dyDescent="0.25">
      <c r="A2151" t="s">
        <v>20</v>
      </c>
      <c r="B2151">
        <v>37</v>
      </c>
      <c r="C2151">
        <v>50</v>
      </c>
    </row>
    <row r="2152" spans="1:4" x14ac:dyDescent="0.25">
      <c r="A2152" t="s">
        <v>20</v>
      </c>
      <c r="B2152">
        <v>37</v>
      </c>
      <c r="C2152">
        <v>51</v>
      </c>
    </row>
    <row r="2153" spans="1:4" x14ac:dyDescent="0.25">
      <c r="A2153" t="s">
        <v>20</v>
      </c>
      <c r="B2153">
        <v>37</v>
      </c>
      <c r="C2153">
        <v>52</v>
      </c>
      <c r="D2153">
        <v>1</v>
      </c>
    </row>
    <row r="2154" spans="1:4" x14ac:dyDescent="0.25">
      <c r="A2154" t="s">
        <v>20</v>
      </c>
      <c r="B2154">
        <v>37</v>
      </c>
      <c r="C2154">
        <v>53</v>
      </c>
    </row>
    <row r="2155" spans="1:4" x14ac:dyDescent="0.25">
      <c r="A2155" t="s">
        <v>20</v>
      </c>
      <c r="B2155">
        <v>37</v>
      </c>
      <c r="C2155">
        <v>54</v>
      </c>
    </row>
    <row r="2156" spans="1:4" x14ac:dyDescent="0.25">
      <c r="A2156" t="s">
        <v>20</v>
      </c>
      <c r="B2156">
        <v>37</v>
      </c>
      <c r="C2156">
        <v>55</v>
      </c>
      <c r="D2156">
        <v>1</v>
      </c>
    </row>
    <row r="2157" spans="1:4" x14ac:dyDescent="0.25">
      <c r="A2157" t="s">
        <v>20</v>
      </c>
      <c r="B2157">
        <v>37</v>
      </c>
      <c r="C2157">
        <v>56</v>
      </c>
    </row>
    <row r="2158" spans="1:4" x14ac:dyDescent="0.25">
      <c r="A2158" t="s">
        <v>20</v>
      </c>
      <c r="B2158">
        <v>37</v>
      </c>
      <c r="C2158">
        <v>57</v>
      </c>
    </row>
    <row r="2159" spans="1:4" x14ac:dyDescent="0.25">
      <c r="A2159" t="s">
        <v>20</v>
      </c>
      <c r="B2159">
        <v>37</v>
      </c>
      <c r="C2159">
        <v>58</v>
      </c>
      <c r="D2159">
        <v>1</v>
      </c>
    </row>
    <row r="2160" spans="1:4" x14ac:dyDescent="0.25">
      <c r="A2160" t="s">
        <v>20</v>
      </c>
      <c r="B2160">
        <v>37</v>
      </c>
      <c r="C2160">
        <v>59</v>
      </c>
    </row>
    <row r="2161" spans="1:4" x14ac:dyDescent="0.25">
      <c r="A2161" t="s">
        <v>20</v>
      </c>
      <c r="B2161">
        <v>37</v>
      </c>
      <c r="C2161">
        <v>60</v>
      </c>
    </row>
    <row r="2162" spans="1:4" x14ac:dyDescent="0.25">
      <c r="A2162" t="s">
        <v>20</v>
      </c>
      <c r="B2162">
        <v>37</v>
      </c>
      <c r="C2162">
        <v>61</v>
      </c>
    </row>
    <row r="2163" spans="1:4" x14ac:dyDescent="0.25">
      <c r="A2163" t="s">
        <v>20</v>
      </c>
      <c r="B2163">
        <v>37</v>
      </c>
      <c r="C2163">
        <v>62</v>
      </c>
      <c r="D2163">
        <v>1</v>
      </c>
    </row>
    <row r="2164" spans="1:4" x14ac:dyDescent="0.25">
      <c r="A2164" t="s">
        <v>20</v>
      </c>
      <c r="B2164">
        <v>37</v>
      </c>
      <c r="C2164">
        <v>63</v>
      </c>
    </row>
    <row r="2165" spans="1:4" x14ac:dyDescent="0.25">
      <c r="A2165" t="s">
        <v>20</v>
      </c>
      <c r="B2165">
        <v>37</v>
      </c>
      <c r="C2165">
        <v>64</v>
      </c>
    </row>
    <row r="2166" spans="1:4" x14ac:dyDescent="0.25">
      <c r="A2166" t="s">
        <v>20</v>
      </c>
      <c r="B2166">
        <v>37</v>
      </c>
      <c r="C2166">
        <v>65</v>
      </c>
    </row>
    <row r="2167" spans="1:4" x14ac:dyDescent="0.25">
      <c r="A2167" t="s">
        <v>20</v>
      </c>
      <c r="B2167">
        <v>37</v>
      </c>
      <c r="C2167">
        <v>66</v>
      </c>
    </row>
    <row r="2168" spans="1:4" x14ac:dyDescent="0.25">
      <c r="A2168" t="s">
        <v>20</v>
      </c>
      <c r="B2168">
        <v>37</v>
      </c>
      <c r="C2168">
        <v>67</v>
      </c>
      <c r="D2168">
        <v>1</v>
      </c>
    </row>
    <row r="2169" spans="1:4" x14ac:dyDescent="0.25">
      <c r="A2169" t="s">
        <v>20</v>
      </c>
      <c r="B2169">
        <v>37</v>
      </c>
      <c r="C2169">
        <v>68</v>
      </c>
    </row>
    <row r="2170" spans="1:4" x14ac:dyDescent="0.25">
      <c r="A2170" t="s">
        <v>20</v>
      </c>
      <c r="B2170">
        <v>37</v>
      </c>
      <c r="C2170">
        <v>69</v>
      </c>
    </row>
    <row r="2171" spans="1:4" x14ac:dyDescent="0.25">
      <c r="A2171" t="s">
        <v>20</v>
      </c>
      <c r="B2171">
        <v>37</v>
      </c>
      <c r="C2171">
        <v>70</v>
      </c>
      <c r="D2171">
        <v>1</v>
      </c>
    </row>
    <row r="2172" spans="1:4" x14ac:dyDescent="0.25">
      <c r="A2172" t="s">
        <v>20</v>
      </c>
      <c r="B2172">
        <v>37</v>
      </c>
      <c r="C2172">
        <v>71</v>
      </c>
    </row>
    <row r="2173" spans="1:4" x14ac:dyDescent="0.25">
      <c r="A2173" t="s">
        <v>20</v>
      </c>
      <c r="B2173">
        <v>37</v>
      </c>
      <c r="C2173">
        <v>72</v>
      </c>
    </row>
    <row r="2174" spans="1:4" x14ac:dyDescent="0.25">
      <c r="A2174" t="s">
        <v>20</v>
      </c>
      <c r="B2174">
        <v>37</v>
      </c>
      <c r="C2174">
        <v>73</v>
      </c>
      <c r="D2174">
        <v>1</v>
      </c>
    </row>
    <row r="2175" spans="1:4" x14ac:dyDescent="0.25">
      <c r="A2175" t="s">
        <v>20</v>
      </c>
      <c r="B2175">
        <v>37</v>
      </c>
      <c r="C2175">
        <v>74</v>
      </c>
    </row>
    <row r="2176" spans="1:4" x14ac:dyDescent="0.25">
      <c r="A2176" t="s">
        <v>20</v>
      </c>
      <c r="B2176">
        <v>37</v>
      </c>
      <c r="C2176">
        <v>75</v>
      </c>
    </row>
    <row r="2177" spans="1:4" x14ac:dyDescent="0.25">
      <c r="A2177" t="s">
        <v>20</v>
      </c>
      <c r="B2177">
        <v>37</v>
      </c>
      <c r="C2177">
        <v>76</v>
      </c>
      <c r="D2177">
        <v>1</v>
      </c>
    </row>
    <row r="2178" spans="1:4" x14ac:dyDescent="0.25">
      <c r="A2178" t="s">
        <v>20</v>
      </c>
      <c r="B2178">
        <v>37</v>
      </c>
      <c r="C2178">
        <v>77</v>
      </c>
    </row>
    <row r="2179" spans="1:4" x14ac:dyDescent="0.25">
      <c r="A2179" t="s">
        <v>20</v>
      </c>
      <c r="B2179">
        <v>37</v>
      </c>
      <c r="C2179">
        <v>78</v>
      </c>
    </row>
    <row r="2180" spans="1:4" x14ac:dyDescent="0.25">
      <c r="A2180" t="s">
        <v>20</v>
      </c>
      <c r="B2180">
        <v>37</v>
      </c>
      <c r="C2180">
        <v>79</v>
      </c>
      <c r="D2180">
        <v>1</v>
      </c>
    </row>
    <row r="2181" spans="1:4" x14ac:dyDescent="0.25">
      <c r="A2181" t="s">
        <v>20</v>
      </c>
      <c r="B2181">
        <v>37</v>
      </c>
      <c r="C2181">
        <v>80</v>
      </c>
    </row>
    <row r="2182" spans="1:4" x14ac:dyDescent="0.25">
      <c r="A2182" t="s">
        <v>20</v>
      </c>
      <c r="B2182">
        <v>37</v>
      </c>
      <c r="C2182">
        <v>81</v>
      </c>
    </row>
    <row r="2183" spans="1:4" x14ac:dyDescent="0.25">
      <c r="A2183" t="s">
        <v>20</v>
      </c>
      <c r="B2183">
        <v>37</v>
      </c>
      <c r="C2183">
        <v>82</v>
      </c>
    </row>
    <row r="2184" spans="1:4" x14ac:dyDescent="0.25">
      <c r="A2184" t="s">
        <v>20</v>
      </c>
      <c r="B2184">
        <v>37</v>
      </c>
      <c r="C2184">
        <v>83</v>
      </c>
    </row>
    <row r="2185" spans="1:4" x14ac:dyDescent="0.25">
      <c r="A2185" t="s">
        <v>20</v>
      </c>
      <c r="B2185">
        <v>37</v>
      </c>
      <c r="C2185">
        <v>84</v>
      </c>
    </row>
    <row r="2186" spans="1:4" x14ac:dyDescent="0.25">
      <c r="A2186" t="s">
        <v>20</v>
      </c>
      <c r="B2186">
        <v>38</v>
      </c>
      <c r="C2186">
        <v>1</v>
      </c>
    </row>
    <row r="2187" spans="1:4" x14ac:dyDescent="0.25">
      <c r="A2187" t="s">
        <v>20</v>
      </c>
      <c r="B2187">
        <v>38</v>
      </c>
      <c r="C2187">
        <v>2</v>
      </c>
      <c r="D2187">
        <v>1</v>
      </c>
    </row>
    <row r="2188" spans="1:4" x14ac:dyDescent="0.25">
      <c r="A2188" t="s">
        <v>20</v>
      </c>
      <c r="B2188">
        <v>38</v>
      </c>
      <c r="C2188">
        <v>3</v>
      </c>
    </row>
    <row r="2189" spans="1:4" x14ac:dyDescent="0.25">
      <c r="A2189" t="s">
        <v>20</v>
      </c>
      <c r="B2189">
        <v>38</v>
      </c>
      <c r="C2189">
        <v>4</v>
      </c>
    </row>
    <row r="2190" spans="1:4" x14ac:dyDescent="0.25">
      <c r="A2190" t="s">
        <v>20</v>
      </c>
      <c r="B2190">
        <v>38</v>
      </c>
      <c r="C2190">
        <v>5</v>
      </c>
      <c r="D2190">
        <v>1</v>
      </c>
    </row>
    <row r="2191" spans="1:4" x14ac:dyDescent="0.25">
      <c r="A2191" t="s">
        <v>20</v>
      </c>
      <c r="B2191">
        <v>38</v>
      </c>
      <c r="C2191">
        <v>6</v>
      </c>
    </row>
    <row r="2192" spans="1:4" x14ac:dyDescent="0.25">
      <c r="A2192" t="s">
        <v>20</v>
      </c>
      <c r="B2192">
        <v>38</v>
      </c>
      <c r="C2192">
        <v>7</v>
      </c>
    </row>
    <row r="2193" spans="1:4" x14ac:dyDescent="0.25">
      <c r="A2193" t="s">
        <v>20</v>
      </c>
      <c r="B2193">
        <v>38</v>
      </c>
      <c r="C2193">
        <v>8</v>
      </c>
      <c r="D2193">
        <v>1</v>
      </c>
    </row>
    <row r="2194" spans="1:4" x14ac:dyDescent="0.25">
      <c r="A2194" t="s">
        <v>20</v>
      </c>
      <c r="B2194">
        <v>38</v>
      </c>
      <c r="C2194">
        <v>9</v>
      </c>
    </row>
    <row r="2195" spans="1:4" x14ac:dyDescent="0.25">
      <c r="A2195" t="s">
        <v>20</v>
      </c>
      <c r="B2195">
        <v>38</v>
      </c>
      <c r="C2195">
        <v>10</v>
      </c>
    </row>
    <row r="2196" spans="1:4" x14ac:dyDescent="0.25">
      <c r="A2196" t="s">
        <v>20</v>
      </c>
      <c r="B2196">
        <v>38</v>
      </c>
      <c r="C2196">
        <v>11</v>
      </c>
      <c r="D2196">
        <v>1</v>
      </c>
    </row>
    <row r="2197" spans="1:4" x14ac:dyDescent="0.25">
      <c r="A2197" t="s">
        <v>20</v>
      </c>
      <c r="B2197">
        <v>38</v>
      </c>
      <c r="C2197">
        <v>12</v>
      </c>
    </row>
    <row r="2198" spans="1:4" x14ac:dyDescent="0.25">
      <c r="A2198" t="s">
        <v>20</v>
      </c>
      <c r="B2198">
        <v>38</v>
      </c>
      <c r="C2198">
        <v>13</v>
      </c>
    </row>
    <row r="2199" spans="1:4" x14ac:dyDescent="0.25">
      <c r="A2199" t="s">
        <v>20</v>
      </c>
      <c r="B2199">
        <v>38</v>
      </c>
      <c r="C2199">
        <v>14</v>
      </c>
      <c r="D2199">
        <v>1</v>
      </c>
    </row>
    <row r="2200" spans="1:4" x14ac:dyDescent="0.25">
      <c r="A2200" t="s">
        <v>20</v>
      </c>
      <c r="B2200">
        <v>38</v>
      </c>
      <c r="C2200">
        <v>15</v>
      </c>
    </row>
    <row r="2201" spans="1:4" x14ac:dyDescent="0.25">
      <c r="A2201" t="s">
        <v>20</v>
      </c>
      <c r="B2201">
        <v>38</v>
      </c>
      <c r="C2201">
        <v>16</v>
      </c>
    </row>
    <row r="2202" spans="1:4" x14ac:dyDescent="0.25">
      <c r="A2202" t="s">
        <v>20</v>
      </c>
      <c r="B2202">
        <v>38</v>
      </c>
      <c r="C2202">
        <v>17</v>
      </c>
      <c r="D2202">
        <v>1</v>
      </c>
    </row>
    <row r="2203" spans="1:4" x14ac:dyDescent="0.25">
      <c r="A2203" t="s">
        <v>20</v>
      </c>
      <c r="B2203">
        <v>38</v>
      </c>
      <c r="C2203">
        <v>18</v>
      </c>
    </row>
    <row r="2204" spans="1:4" x14ac:dyDescent="0.25">
      <c r="A2204" t="s">
        <v>20</v>
      </c>
      <c r="B2204">
        <v>38</v>
      </c>
      <c r="C2204">
        <v>19</v>
      </c>
    </row>
    <row r="2205" spans="1:4" x14ac:dyDescent="0.25">
      <c r="A2205" t="s">
        <v>20</v>
      </c>
      <c r="B2205">
        <v>38</v>
      </c>
      <c r="C2205">
        <v>20</v>
      </c>
    </row>
    <row r="2206" spans="1:4" x14ac:dyDescent="0.25">
      <c r="A2206" t="s">
        <v>20</v>
      </c>
      <c r="B2206">
        <v>38</v>
      </c>
      <c r="C2206">
        <v>21</v>
      </c>
    </row>
    <row r="2207" spans="1:4" x14ac:dyDescent="0.25">
      <c r="A2207" t="s">
        <v>20</v>
      </c>
      <c r="B2207">
        <v>38</v>
      </c>
      <c r="C2207">
        <v>22</v>
      </c>
    </row>
    <row r="2208" spans="1:4" x14ac:dyDescent="0.25">
      <c r="A2208" t="s">
        <v>20</v>
      </c>
      <c r="B2208">
        <v>38</v>
      </c>
      <c r="C2208">
        <v>23</v>
      </c>
      <c r="D2208">
        <v>1</v>
      </c>
    </row>
    <row r="2209" spans="1:4" x14ac:dyDescent="0.25">
      <c r="A2209" t="s">
        <v>20</v>
      </c>
      <c r="B2209">
        <v>38</v>
      </c>
      <c r="C2209">
        <v>24</v>
      </c>
    </row>
    <row r="2210" spans="1:4" x14ac:dyDescent="0.25">
      <c r="A2210" t="s">
        <v>20</v>
      </c>
      <c r="B2210">
        <v>38</v>
      </c>
      <c r="C2210">
        <v>25</v>
      </c>
    </row>
    <row r="2211" spans="1:4" x14ac:dyDescent="0.25">
      <c r="A2211" t="s">
        <v>20</v>
      </c>
      <c r="B2211">
        <v>38</v>
      </c>
      <c r="C2211">
        <v>26</v>
      </c>
      <c r="D2211">
        <v>1</v>
      </c>
    </row>
    <row r="2212" spans="1:4" x14ac:dyDescent="0.25">
      <c r="A2212" t="s">
        <v>20</v>
      </c>
      <c r="B2212">
        <v>38</v>
      </c>
      <c r="C2212">
        <v>27</v>
      </c>
    </row>
    <row r="2213" spans="1:4" x14ac:dyDescent="0.25">
      <c r="A2213" t="s">
        <v>20</v>
      </c>
      <c r="B2213">
        <v>38</v>
      </c>
      <c r="C2213">
        <v>28</v>
      </c>
    </row>
    <row r="2214" spans="1:4" x14ac:dyDescent="0.25">
      <c r="A2214" t="s">
        <v>20</v>
      </c>
      <c r="B2214">
        <v>38</v>
      </c>
      <c r="C2214">
        <v>29</v>
      </c>
      <c r="D2214">
        <v>1</v>
      </c>
    </row>
    <row r="2215" spans="1:4" x14ac:dyDescent="0.25">
      <c r="A2215" t="s">
        <v>20</v>
      </c>
      <c r="B2215">
        <v>38</v>
      </c>
      <c r="C2215">
        <v>30</v>
      </c>
    </row>
    <row r="2216" spans="1:4" x14ac:dyDescent="0.25">
      <c r="A2216" t="s">
        <v>20</v>
      </c>
      <c r="B2216">
        <v>38</v>
      </c>
      <c r="C2216">
        <v>31</v>
      </c>
    </row>
    <row r="2217" spans="1:4" x14ac:dyDescent="0.25">
      <c r="A2217" t="s">
        <v>20</v>
      </c>
      <c r="B2217">
        <v>38</v>
      </c>
      <c r="C2217">
        <v>32</v>
      </c>
      <c r="D2217">
        <v>1</v>
      </c>
    </row>
    <row r="2218" spans="1:4" x14ac:dyDescent="0.25">
      <c r="A2218" t="s">
        <v>20</v>
      </c>
      <c r="B2218">
        <v>38</v>
      </c>
      <c r="C2218">
        <v>33</v>
      </c>
    </row>
    <row r="2219" spans="1:4" x14ac:dyDescent="0.25">
      <c r="A2219" t="s">
        <v>20</v>
      </c>
      <c r="B2219">
        <v>38</v>
      </c>
      <c r="C2219">
        <v>34</v>
      </c>
    </row>
    <row r="2220" spans="1:4" x14ac:dyDescent="0.25">
      <c r="A2220" t="s">
        <v>20</v>
      </c>
      <c r="B2220">
        <v>38</v>
      </c>
      <c r="C2220">
        <v>35</v>
      </c>
      <c r="D2220">
        <v>1</v>
      </c>
    </row>
    <row r="2221" spans="1:4" x14ac:dyDescent="0.25">
      <c r="A2221" t="s">
        <v>20</v>
      </c>
      <c r="B2221">
        <v>38</v>
      </c>
      <c r="C2221">
        <v>36</v>
      </c>
    </row>
    <row r="2222" spans="1:4" x14ac:dyDescent="0.25">
      <c r="A2222" t="s">
        <v>20</v>
      </c>
      <c r="B2222">
        <v>38</v>
      </c>
      <c r="C2222">
        <v>37</v>
      </c>
    </row>
    <row r="2223" spans="1:4" x14ac:dyDescent="0.25">
      <c r="A2223" t="s">
        <v>20</v>
      </c>
      <c r="B2223">
        <v>38</v>
      </c>
      <c r="C2223">
        <v>38</v>
      </c>
      <c r="D2223">
        <v>1</v>
      </c>
    </row>
    <row r="2224" spans="1:4" x14ac:dyDescent="0.25">
      <c r="A2224" t="s">
        <v>20</v>
      </c>
      <c r="B2224">
        <v>38</v>
      </c>
      <c r="C2224">
        <v>39</v>
      </c>
    </row>
    <row r="2225" spans="1:4" x14ac:dyDescent="0.25">
      <c r="A2225" t="s">
        <v>20</v>
      </c>
      <c r="B2225">
        <v>38</v>
      </c>
      <c r="C2225">
        <v>40</v>
      </c>
    </row>
    <row r="2226" spans="1:4" x14ac:dyDescent="0.25">
      <c r="A2226" t="s">
        <v>20</v>
      </c>
      <c r="B2226">
        <v>38</v>
      </c>
      <c r="C2226">
        <v>41</v>
      </c>
      <c r="D2226">
        <v>1</v>
      </c>
    </row>
    <row r="2227" spans="1:4" x14ac:dyDescent="0.25">
      <c r="A2227" t="s">
        <v>20</v>
      </c>
      <c r="B2227">
        <v>38</v>
      </c>
      <c r="C2227">
        <v>42</v>
      </c>
    </row>
    <row r="2228" spans="1:4" x14ac:dyDescent="0.25">
      <c r="A2228" t="s">
        <v>20</v>
      </c>
      <c r="B2228">
        <v>38</v>
      </c>
      <c r="C2228">
        <v>43</v>
      </c>
    </row>
    <row r="2229" spans="1:4" x14ac:dyDescent="0.25">
      <c r="A2229" t="s">
        <v>20</v>
      </c>
      <c r="B2229">
        <v>38</v>
      </c>
      <c r="C2229">
        <v>44</v>
      </c>
    </row>
    <row r="2230" spans="1:4" x14ac:dyDescent="0.25">
      <c r="A2230" t="s">
        <v>20</v>
      </c>
      <c r="B2230">
        <v>38</v>
      </c>
      <c r="C2230">
        <v>45</v>
      </c>
    </row>
    <row r="2231" spans="1:4" x14ac:dyDescent="0.25">
      <c r="A2231" t="s">
        <v>20</v>
      </c>
      <c r="B2231">
        <v>38</v>
      </c>
      <c r="C2231">
        <v>46</v>
      </c>
    </row>
    <row r="2232" spans="1:4" x14ac:dyDescent="0.25">
      <c r="A2232" t="s">
        <v>20</v>
      </c>
      <c r="B2232">
        <v>38</v>
      </c>
      <c r="C2232">
        <v>47</v>
      </c>
      <c r="D2232">
        <v>1</v>
      </c>
    </row>
    <row r="2233" spans="1:4" x14ac:dyDescent="0.25">
      <c r="A2233" t="s">
        <v>20</v>
      </c>
      <c r="B2233">
        <v>38</v>
      </c>
      <c r="C2233">
        <v>48</v>
      </c>
    </row>
    <row r="2234" spans="1:4" x14ac:dyDescent="0.25">
      <c r="A2234" t="s">
        <v>20</v>
      </c>
      <c r="B2234">
        <v>38</v>
      </c>
      <c r="C2234">
        <v>49</v>
      </c>
    </row>
    <row r="2235" spans="1:4" x14ac:dyDescent="0.25">
      <c r="A2235" t="s">
        <v>20</v>
      </c>
      <c r="B2235">
        <v>38</v>
      </c>
      <c r="C2235">
        <v>50</v>
      </c>
      <c r="D2235">
        <v>1</v>
      </c>
    </row>
    <row r="2236" spans="1:4" x14ac:dyDescent="0.25">
      <c r="A2236" t="s">
        <v>20</v>
      </c>
      <c r="B2236">
        <v>38</v>
      </c>
      <c r="C2236">
        <v>51</v>
      </c>
    </row>
    <row r="2237" spans="1:4" x14ac:dyDescent="0.25">
      <c r="A2237" t="s">
        <v>20</v>
      </c>
      <c r="B2237">
        <v>38</v>
      </c>
      <c r="C2237">
        <v>52</v>
      </c>
    </row>
    <row r="2238" spans="1:4" x14ac:dyDescent="0.25">
      <c r="A2238" t="s">
        <v>20</v>
      </c>
      <c r="B2238">
        <v>38</v>
      </c>
      <c r="C2238">
        <v>53</v>
      </c>
      <c r="D2238">
        <v>1</v>
      </c>
    </row>
    <row r="2239" spans="1:4" x14ac:dyDescent="0.25">
      <c r="A2239" t="s">
        <v>20</v>
      </c>
      <c r="B2239">
        <v>38</v>
      </c>
      <c r="C2239">
        <v>54</v>
      </c>
    </row>
    <row r="2240" spans="1:4" x14ac:dyDescent="0.25">
      <c r="A2240" t="s">
        <v>20</v>
      </c>
      <c r="B2240">
        <v>38</v>
      </c>
      <c r="C2240">
        <v>55</v>
      </c>
    </row>
    <row r="2241" spans="1:4" x14ac:dyDescent="0.25">
      <c r="A2241" t="s">
        <v>20</v>
      </c>
      <c r="B2241">
        <v>38</v>
      </c>
      <c r="C2241">
        <v>56</v>
      </c>
      <c r="D2241">
        <v>1</v>
      </c>
    </row>
    <row r="2242" spans="1:4" x14ac:dyDescent="0.25">
      <c r="A2242" t="s">
        <v>20</v>
      </c>
      <c r="B2242">
        <v>38</v>
      </c>
      <c r="C2242">
        <v>57</v>
      </c>
    </row>
    <row r="2243" spans="1:4" x14ac:dyDescent="0.25">
      <c r="A2243" t="s">
        <v>20</v>
      </c>
      <c r="B2243">
        <v>38</v>
      </c>
      <c r="C2243">
        <v>58</v>
      </c>
    </row>
    <row r="2244" spans="1:4" x14ac:dyDescent="0.25">
      <c r="A2244" t="s">
        <v>20</v>
      </c>
      <c r="B2244">
        <v>38</v>
      </c>
      <c r="C2244">
        <v>59</v>
      </c>
      <c r="D2244">
        <v>1</v>
      </c>
    </row>
    <row r="2245" spans="1:4" x14ac:dyDescent="0.25">
      <c r="A2245" t="s">
        <v>20</v>
      </c>
      <c r="B2245">
        <v>38</v>
      </c>
      <c r="C2245">
        <v>60</v>
      </c>
    </row>
    <row r="2246" spans="1:4" x14ac:dyDescent="0.25">
      <c r="A2246" t="s">
        <v>20</v>
      </c>
      <c r="B2246">
        <v>38</v>
      </c>
      <c r="C2246">
        <v>61</v>
      </c>
    </row>
    <row r="2247" spans="1:4" x14ac:dyDescent="0.25">
      <c r="A2247" t="s">
        <v>20</v>
      </c>
      <c r="B2247">
        <v>38</v>
      </c>
      <c r="C2247">
        <v>62</v>
      </c>
      <c r="D2247">
        <v>1</v>
      </c>
    </row>
    <row r="2248" spans="1:4" x14ac:dyDescent="0.25">
      <c r="A2248" t="s">
        <v>20</v>
      </c>
      <c r="B2248">
        <v>38</v>
      </c>
      <c r="C2248">
        <v>63</v>
      </c>
    </row>
    <row r="2249" spans="1:4" x14ac:dyDescent="0.25">
      <c r="A2249" t="s">
        <v>20</v>
      </c>
      <c r="B2249">
        <v>38</v>
      </c>
      <c r="C2249">
        <v>64</v>
      </c>
    </row>
    <row r="2250" spans="1:4" x14ac:dyDescent="0.25">
      <c r="A2250" t="s">
        <v>20</v>
      </c>
      <c r="B2250">
        <v>38</v>
      </c>
      <c r="C2250">
        <v>65</v>
      </c>
    </row>
    <row r="2251" spans="1:4" x14ac:dyDescent="0.25">
      <c r="A2251" t="s">
        <v>20</v>
      </c>
      <c r="B2251">
        <v>38</v>
      </c>
      <c r="C2251">
        <v>66</v>
      </c>
    </row>
    <row r="2252" spans="1:4" x14ac:dyDescent="0.25">
      <c r="A2252" t="s">
        <v>20</v>
      </c>
      <c r="B2252">
        <v>38</v>
      </c>
      <c r="C2252">
        <v>67</v>
      </c>
    </row>
    <row r="2253" spans="1:4" x14ac:dyDescent="0.25">
      <c r="A2253" t="s">
        <v>20</v>
      </c>
      <c r="B2253">
        <v>38</v>
      </c>
      <c r="C2253">
        <v>68</v>
      </c>
    </row>
    <row r="2254" spans="1:4" x14ac:dyDescent="0.25">
      <c r="A2254" t="s">
        <v>20</v>
      </c>
      <c r="B2254">
        <v>38</v>
      </c>
      <c r="C2254">
        <v>69</v>
      </c>
    </row>
    <row r="2255" spans="1:4" x14ac:dyDescent="0.25">
      <c r="A2255" t="s">
        <v>20</v>
      </c>
      <c r="B2255">
        <v>38</v>
      </c>
      <c r="C2255">
        <v>70</v>
      </c>
    </row>
    <row r="2256" spans="1:4" x14ac:dyDescent="0.25">
      <c r="A2256" t="s">
        <v>20</v>
      </c>
      <c r="B2256">
        <v>38</v>
      </c>
      <c r="C2256">
        <v>71</v>
      </c>
    </row>
    <row r="2257" spans="1:4" x14ac:dyDescent="0.25">
      <c r="A2257" t="s">
        <v>20</v>
      </c>
      <c r="B2257">
        <v>38</v>
      </c>
      <c r="C2257">
        <v>72</v>
      </c>
    </row>
    <row r="2258" spans="1:4" x14ac:dyDescent="0.25">
      <c r="A2258" t="s">
        <v>20</v>
      </c>
      <c r="B2258">
        <v>38</v>
      </c>
      <c r="C2258">
        <v>73</v>
      </c>
    </row>
    <row r="2259" spans="1:4" x14ac:dyDescent="0.25">
      <c r="A2259" t="s">
        <v>20</v>
      </c>
      <c r="B2259">
        <v>38</v>
      </c>
      <c r="C2259">
        <v>74</v>
      </c>
      <c r="D2259">
        <v>1</v>
      </c>
    </row>
    <row r="2260" spans="1:4" x14ac:dyDescent="0.25">
      <c r="A2260" t="s">
        <v>20</v>
      </c>
      <c r="B2260">
        <v>38</v>
      </c>
      <c r="C2260">
        <v>75</v>
      </c>
    </row>
    <row r="2261" spans="1:4" x14ac:dyDescent="0.25">
      <c r="A2261" t="s">
        <v>20</v>
      </c>
      <c r="B2261">
        <v>38</v>
      </c>
      <c r="C2261">
        <v>76</v>
      </c>
    </row>
    <row r="2262" spans="1:4" x14ac:dyDescent="0.25">
      <c r="A2262" t="s">
        <v>20</v>
      </c>
      <c r="B2262">
        <v>38</v>
      </c>
      <c r="C2262">
        <v>77</v>
      </c>
      <c r="D2262">
        <v>1</v>
      </c>
    </row>
    <row r="2263" spans="1:4" x14ac:dyDescent="0.25">
      <c r="A2263" t="s">
        <v>20</v>
      </c>
      <c r="B2263">
        <v>38</v>
      </c>
      <c r="C2263">
        <v>78</v>
      </c>
    </row>
    <row r="2264" spans="1:4" x14ac:dyDescent="0.25">
      <c r="A2264" t="s">
        <v>20</v>
      </c>
      <c r="B2264">
        <v>38</v>
      </c>
      <c r="C2264">
        <v>79</v>
      </c>
    </row>
    <row r="2265" spans="1:4" x14ac:dyDescent="0.25">
      <c r="A2265" t="s">
        <v>20</v>
      </c>
      <c r="B2265">
        <v>38</v>
      </c>
      <c r="C2265">
        <v>80</v>
      </c>
      <c r="D2265">
        <v>1</v>
      </c>
    </row>
    <row r="2266" spans="1:4" x14ac:dyDescent="0.25">
      <c r="A2266" t="s">
        <v>20</v>
      </c>
      <c r="B2266">
        <v>38</v>
      </c>
      <c r="C2266">
        <v>81</v>
      </c>
    </row>
    <row r="2267" spans="1:4" x14ac:dyDescent="0.25">
      <c r="A2267" t="s">
        <v>20</v>
      </c>
      <c r="B2267">
        <v>38</v>
      </c>
      <c r="C2267">
        <v>82</v>
      </c>
    </row>
    <row r="2268" spans="1:4" x14ac:dyDescent="0.25">
      <c r="A2268" t="s">
        <v>20</v>
      </c>
      <c r="B2268">
        <v>38</v>
      </c>
      <c r="C2268">
        <v>83</v>
      </c>
      <c r="D2268">
        <v>1</v>
      </c>
    </row>
    <row r="2269" spans="1:4" x14ac:dyDescent="0.25">
      <c r="A2269" t="s">
        <v>20</v>
      </c>
      <c r="B2269">
        <v>38</v>
      </c>
      <c r="C2269">
        <v>84</v>
      </c>
    </row>
    <row r="2270" spans="1:4" x14ac:dyDescent="0.25">
      <c r="A2270" t="s">
        <v>20</v>
      </c>
      <c r="B2270">
        <v>40</v>
      </c>
      <c r="C2270">
        <v>1</v>
      </c>
    </row>
    <row r="2271" spans="1:4" x14ac:dyDescent="0.25">
      <c r="A2271" t="s">
        <v>20</v>
      </c>
      <c r="B2271">
        <v>40</v>
      </c>
      <c r="C2271">
        <v>2</v>
      </c>
    </row>
    <row r="2272" spans="1:4" x14ac:dyDescent="0.25">
      <c r="A2272" t="s">
        <v>20</v>
      </c>
      <c r="B2272">
        <v>40</v>
      </c>
      <c r="C2272">
        <v>3</v>
      </c>
    </row>
    <row r="2273" spans="1:4" x14ac:dyDescent="0.25">
      <c r="A2273" t="s">
        <v>20</v>
      </c>
      <c r="B2273">
        <v>40</v>
      </c>
      <c r="C2273">
        <v>4</v>
      </c>
      <c r="D2273">
        <v>1</v>
      </c>
    </row>
    <row r="2274" spans="1:4" x14ac:dyDescent="0.25">
      <c r="A2274" t="s">
        <v>20</v>
      </c>
      <c r="B2274">
        <v>40</v>
      </c>
      <c r="C2274">
        <v>5</v>
      </c>
    </row>
    <row r="2275" spans="1:4" x14ac:dyDescent="0.25">
      <c r="A2275" t="s">
        <v>20</v>
      </c>
      <c r="B2275">
        <v>40</v>
      </c>
      <c r="C2275">
        <v>6</v>
      </c>
    </row>
    <row r="2276" spans="1:4" x14ac:dyDescent="0.25">
      <c r="A2276" t="s">
        <v>20</v>
      </c>
      <c r="B2276">
        <v>40</v>
      </c>
      <c r="C2276">
        <v>7</v>
      </c>
      <c r="D2276">
        <v>1</v>
      </c>
    </row>
    <row r="2277" spans="1:4" x14ac:dyDescent="0.25">
      <c r="A2277" t="s">
        <v>20</v>
      </c>
      <c r="B2277">
        <v>40</v>
      </c>
      <c r="C2277">
        <v>8</v>
      </c>
    </row>
    <row r="2278" spans="1:4" x14ac:dyDescent="0.25">
      <c r="A2278" t="s">
        <v>20</v>
      </c>
      <c r="B2278">
        <v>40</v>
      </c>
      <c r="C2278">
        <v>9</v>
      </c>
    </row>
    <row r="2279" spans="1:4" x14ac:dyDescent="0.25">
      <c r="A2279" t="s">
        <v>20</v>
      </c>
      <c r="B2279">
        <v>40</v>
      </c>
      <c r="C2279">
        <v>10</v>
      </c>
      <c r="D2279">
        <v>1</v>
      </c>
    </row>
    <row r="2280" spans="1:4" x14ac:dyDescent="0.25">
      <c r="A2280" t="s">
        <v>20</v>
      </c>
      <c r="B2280">
        <v>40</v>
      </c>
      <c r="C2280">
        <v>11</v>
      </c>
    </row>
    <row r="2281" spans="1:4" x14ac:dyDescent="0.25">
      <c r="A2281" t="s">
        <v>20</v>
      </c>
      <c r="B2281">
        <v>40</v>
      </c>
      <c r="C2281">
        <v>12</v>
      </c>
    </row>
    <row r="2282" spans="1:4" x14ac:dyDescent="0.25">
      <c r="A2282" t="s">
        <v>20</v>
      </c>
      <c r="B2282">
        <v>40</v>
      </c>
      <c r="C2282">
        <v>13</v>
      </c>
      <c r="D2282">
        <v>1</v>
      </c>
    </row>
    <row r="2283" spans="1:4" x14ac:dyDescent="0.25">
      <c r="A2283" t="s">
        <v>20</v>
      </c>
      <c r="B2283">
        <v>40</v>
      </c>
      <c r="C2283">
        <v>14</v>
      </c>
    </row>
    <row r="2284" spans="1:4" x14ac:dyDescent="0.25">
      <c r="A2284" t="s">
        <v>20</v>
      </c>
      <c r="B2284">
        <v>40</v>
      </c>
      <c r="C2284">
        <v>15</v>
      </c>
    </row>
    <row r="2285" spans="1:4" x14ac:dyDescent="0.25">
      <c r="A2285" t="s">
        <v>20</v>
      </c>
      <c r="B2285">
        <v>40</v>
      </c>
      <c r="C2285">
        <v>16</v>
      </c>
      <c r="D2285">
        <v>1</v>
      </c>
    </row>
    <row r="2286" spans="1:4" x14ac:dyDescent="0.25">
      <c r="A2286" t="s">
        <v>20</v>
      </c>
      <c r="B2286">
        <v>40</v>
      </c>
      <c r="C2286">
        <v>17</v>
      </c>
    </row>
    <row r="2287" spans="1:4" x14ac:dyDescent="0.25">
      <c r="A2287" t="s">
        <v>20</v>
      </c>
      <c r="B2287">
        <v>40</v>
      </c>
      <c r="C2287">
        <v>18</v>
      </c>
    </row>
    <row r="2288" spans="1:4" x14ac:dyDescent="0.25">
      <c r="A2288" t="s">
        <v>20</v>
      </c>
      <c r="B2288">
        <v>40</v>
      </c>
      <c r="C2288">
        <v>19</v>
      </c>
    </row>
    <row r="2289" spans="1:4" x14ac:dyDescent="0.25">
      <c r="A2289" t="s">
        <v>20</v>
      </c>
      <c r="B2289">
        <v>40</v>
      </c>
      <c r="C2289">
        <v>20</v>
      </c>
    </row>
    <row r="2290" spans="1:4" x14ac:dyDescent="0.25">
      <c r="A2290" t="s">
        <v>20</v>
      </c>
      <c r="B2290">
        <v>40</v>
      </c>
      <c r="C2290">
        <v>21</v>
      </c>
    </row>
    <row r="2291" spans="1:4" x14ac:dyDescent="0.25">
      <c r="A2291" t="s">
        <v>20</v>
      </c>
      <c r="B2291">
        <v>40</v>
      </c>
      <c r="C2291">
        <v>22</v>
      </c>
      <c r="D2291">
        <v>1</v>
      </c>
    </row>
    <row r="2292" spans="1:4" x14ac:dyDescent="0.25">
      <c r="A2292" t="s">
        <v>20</v>
      </c>
      <c r="B2292">
        <v>40</v>
      </c>
      <c r="C2292">
        <v>23</v>
      </c>
    </row>
    <row r="2293" spans="1:4" x14ac:dyDescent="0.25">
      <c r="A2293" t="s">
        <v>20</v>
      </c>
      <c r="B2293">
        <v>40</v>
      </c>
      <c r="C2293">
        <v>24</v>
      </c>
    </row>
    <row r="2294" spans="1:4" x14ac:dyDescent="0.25">
      <c r="A2294" t="s">
        <v>20</v>
      </c>
      <c r="B2294">
        <v>40</v>
      </c>
      <c r="C2294">
        <v>25</v>
      </c>
      <c r="D2294">
        <v>1</v>
      </c>
    </row>
    <row r="2295" spans="1:4" x14ac:dyDescent="0.25">
      <c r="A2295" t="s">
        <v>20</v>
      </c>
      <c r="B2295">
        <v>40</v>
      </c>
      <c r="C2295">
        <v>26</v>
      </c>
    </row>
    <row r="2296" spans="1:4" x14ac:dyDescent="0.25">
      <c r="A2296" t="s">
        <v>20</v>
      </c>
      <c r="B2296">
        <v>40</v>
      </c>
      <c r="C2296">
        <v>27</v>
      </c>
    </row>
    <row r="2297" spans="1:4" x14ac:dyDescent="0.25">
      <c r="A2297" t="s">
        <v>20</v>
      </c>
      <c r="B2297">
        <v>40</v>
      </c>
      <c r="C2297">
        <v>28</v>
      </c>
      <c r="D2297">
        <v>1</v>
      </c>
    </row>
    <row r="2298" spans="1:4" x14ac:dyDescent="0.25">
      <c r="A2298" t="s">
        <v>20</v>
      </c>
      <c r="B2298">
        <v>40</v>
      </c>
      <c r="C2298">
        <v>29</v>
      </c>
    </row>
    <row r="2299" spans="1:4" x14ac:dyDescent="0.25">
      <c r="A2299" t="s">
        <v>20</v>
      </c>
      <c r="B2299">
        <v>40</v>
      </c>
      <c r="C2299">
        <v>30</v>
      </c>
    </row>
    <row r="2300" spans="1:4" x14ac:dyDescent="0.25">
      <c r="A2300" t="s">
        <v>20</v>
      </c>
      <c r="B2300">
        <v>40</v>
      </c>
      <c r="C2300">
        <v>31</v>
      </c>
    </row>
    <row r="2301" spans="1:4" x14ac:dyDescent="0.25">
      <c r="A2301" t="s">
        <v>20</v>
      </c>
      <c r="B2301">
        <v>40</v>
      </c>
      <c r="C2301">
        <v>32</v>
      </c>
    </row>
    <row r="2302" spans="1:4" x14ac:dyDescent="0.25">
      <c r="A2302" t="s">
        <v>20</v>
      </c>
      <c r="B2302">
        <v>40</v>
      </c>
      <c r="C2302">
        <v>33</v>
      </c>
    </row>
    <row r="2303" spans="1:4" x14ac:dyDescent="0.25">
      <c r="A2303" t="s">
        <v>20</v>
      </c>
      <c r="B2303">
        <v>40</v>
      </c>
      <c r="C2303">
        <v>34</v>
      </c>
      <c r="D2303">
        <v>1</v>
      </c>
    </row>
    <row r="2304" spans="1:4" x14ac:dyDescent="0.25">
      <c r="A2304" t="s">
        <v>20</v>
      </c>
      <c r="B2304">
        <v>40</v>
      </c>
      <c r="C2304">
        <v>35</v>
      </c>
    </row>
    <row r="2305" spans="1:4" x14ac:dyDescent="0.25">
      <c r="A2305" t="s">
        <v>20</v>
      </c>
      <c r="B2305">
        <v>40</v>
      </c>
      <c r="C2305">
        <v>36</v>
      </c>
    </row>
    <row r="2306" spans="1:4" x14ac:dyDescent="0.25">
      <c r="A2306" t="s">
        <v>20</v>
      </c>
      <c r="B2306">
        <v>40</v>
      </c>
      <c r="C2306">
        <v>37</v>
      </c>
      <c r="D2306">
        <v>1</v>
      </c>
    </row>
    <row r="2307" spans="1:4" x14ac:dyDescent="0.25">
      <c r="A2307" t="s">
        <v>20</v>
      </c>
      <c r="B2307">
        <v>40</v>
      </c>
      <c r="C2307">
        <v>38</v>
      </c>
    </row>
    <row r="2308" spans="1:4" x14ac:dyDescent="0.25">
      <c r="A2308" t="s">
        <v>20</v>
      </c>
      <c r="B2308">
        <v>40</v>
      </c>
      <c r="C2308">
        <v>39</v>
      </c>
    </row>
    <row r="2309" spans="1:4" x14ac:dyDescent="0.25">
      <c r="A2309" t="s">
        <v>20</v>
      </c>
      <c r="B2309">
        <v>40</v>
      </c>
      <c r="C2309">
        <v>40</v>
      </c>
    </row>
    <row r="2310" spans="1:4" x14ac:dyDescent="0.25">
      <c r="A2310" t="s">
        <v>20</v>
      </c>
      <c r="B2310">
        <v>40</v>
      </c>
      <c r="C2310">
        <v>41</v>
      </c>
    </row>
    <row r="2311" spans="1:4" x14ac:dyDescent="0.25">
      <c r="A2311" t="s">
        <v>20</v>
      </c>
      <c r="B2311">
        <v>40</v>
      </c>
      <c r="C2311">
        <v>42</v>
      </c>
    </row>
    <row r="2312" spans="1:4" x14ac:dyDescent="0.25">
      <c r="A2312" t="s">
        <v>20</v>
      </c>
      <c r="B2312">
        <v>40</v>
      </c>
      <c r="C2312">
        <v>43</v>
      </c>
    </row>
    <row r="2313" spans="1:4" x14ac:dyDescent="0.25">
      <c r="A2313" t="s">
        <v>20</v>
      </c>
      <c r="B2313">
        <v>40</v>
      </c>
      <c r="C2313">
        <v>44</v>
      </c>
    </row>
    <row r="2314" spans="1:4" x14ac:dyDescent="0.25">
      <c r="A2314" t="s">
        <v>20</v>
      </c>
      <c r="B2314">
        <v>40</v>
      </c>
      <c r="C2314">
        <v>45</v>
      </c>
    </row>
    <row r="2315" spans="1:4" x14ac:dyDescent="0.25">
      <c r="A2315" t="s">
        <v>20</v>
      </c>
      <c r="B2315">
        <v>40</v>
      </c>
      <c r="C2315">
        <v>46</v>
      </c>
      <c r="D2315">
        <v>1</v>
      </c>
    </row>
    <row r="2316" spans="1:4" x14ac:dyDescent="0.25">
      <c r="A2316" t="s">
        <v>20</v>
      </c>
      <c r="B2316">
        <v>40</v>
      </c>
      <c r="C2316">
        <v>47</v>
      </c>
    </row>
    <row r="2317" spans="1:4" x14ac:dyDescent="0.25">
      <c r="A2317" t="s">
        <v>20</v>
      </c>
      <c r="B2317">
        <v>40</v>
      </c>
      <c r="C2317">
        <v>48</v>
      </c>
    </row>
    <row r="2318" spans="1:4" x14ac:dyDescent="0.25">
      <c r="A2318" t="s">
        <v>20</v>
      </c>
      <c r="B2318">
        <v>40</v>
      </c>
      <c r="C2318">
        <v>49</v>
      </c>
      <c r="D2318">
        <v>1</v>
      </c>
    </row>
    <row r="2319" spans="1:4" x14ac:dyDescent="0.25">
      <c r="A2319" t="s">
        <v>20</v>
      </c>
      <c r="B2319">
        <v>40</v>
      </c>
      <c r="C2319">
        <v>50</v>
      </c>
    </row>
    <row r="2320" spans="1:4" x14ac:dyDescent="0.25">
      <c r="A2320" t="s">
        <v>20</v>
      </c>
      <c r="B2320">
        <v>40</v>
      </c>
      <c r="C2320">
        <v>51</v>
      </c>
    </row>
    <row r="2321" spans="1:4" x14ac:dyDescent="0.25">
      <c r="A2321" t="s">
        <v>20</v>
      </c>
      <c r="B2321">
        <v>40</v>
      </c>
      <c r="C2321">
        <v>52</v>
      </c>
      <c r="D2321">
        <v>1</v>
      </c>
    </row>
    <row r="2322" spans="1:4" x14ac:dyDescent="0.25">
      <c r="A2322" t="s">
        <v>20</v>
      </c>
      <c r="B2322">
        <v>40</v>
      </c>
      <c r="C2322">
        <v>53</v>
      </c>
    </row>
    <row r="2323" spans="1:4" x14ac:dyDescent="0.25">
      <c r="A2323" t="s">
        <v>20</v>
      </c>
      <c r="B2323">
        <v>40</v>
      </c>
      <c r="C2323">
        <v>54</v>
      </c>
    </row>
    <row r="2324" spans="1:4" x14ac:dyDescent="0.25">
      <c r="A2324" t="s">
        <v>20</v>
      </c>
      <c r="B2324">
        <v>40</v>
      </c>
      <c r="C2324">
        <v>55</v>
      </c>
      <c r="D2324">
        <v>1</v>
      </c>
    </row>
    <row r="2325" spans="1:4" x14ac:dyDescent="0.25">
      <c r="A2325" t="s">
        <v>20</v>
      </c>
      <c r="B2325">
        <v>40</v>
      </c>
      <c r="C2325">
        <v>56</v>
      </c>
    </row>
    <row r="2326" spans="1:4" x14ac:dyDescent="0.25">
      <c r="A2326" t="s">
        <v>20</v>
      </c>
      <c r="B2326">
        <v>40</v>
      </c>
      <c r="C2326">
        <v>57</v>
      </c>
    </row>
    <row r="2327" spans="1:4" x14ac:dyDescent="0.25">
      <c r="A2327" t="s">
        <v>20</v>
      </c>
      <c r="B2327">
        <v>40</v>
      </c>
      <c r="C2327">
        <v>58</v>
      </c>
      <c r="D2327">
        <v>1</v>
      </c>
    </row>
    <row r="2328" spans="1:4" x14ac:dyDescent="0.25">
      <c r="A2328" t="s">
        <v>20</v>
      </c>
      <c r="B2328">
        <v>40</v>
      </c>
      <c r="C2328">
        <v>59</v>
      </c>
    </row>
    <row r="2329" spans="1:4" x14ac:dyDescent="0.25">
      <c r="A2329" t="s">
        <v>20</v>
      </c>
      <c r="B2329">
        <v>40</v>
      </c>
      <c r="C2329">
        <v>60</v>
      </c>
    </row>
    <row r="2330" spans="1:4" x14ac:dyDescent="0.25">
      <c r="A2330" t="s">
        <v>20</v>
      </c>
      <c r="B2330">
        <v>40</v>
      </c>
      <c r="C2330">
        <v>61</v>
      </c>
      <c r="D2330">
        <v>1</v>
      </c>
    </row>
    <row r="2331" spans="1:4" x14ac:dyDescent="0.25">
      <c r="A2331" t="s">
        <v>20</v>
      </c>
      <c r="B2331">
        <v>40</v>
      </c>
      <c r="C2331">
        <v>62</v>
      </c>
    </row>
    <row r="2332" spans="1:4" x14ac:dyDescent="0.25">
      <c r="A2332" t="s">
        <v>20</v>
      </c>
      <c r="B2332">
        <v>40</v>
      </c>
      <c r="C2332">
        <v>63</v>
      </c>
    </row>
    <row r="2333" spans="1:4" x14ac:dyDescent="0.25">
      <c r="A2333" t="s">
        <v>20</v>
      </c>
      <c r="B2333">
        <v>40</v>
      </c>
      <c r="C2333">
        <v>64</v>
      </c>
    </row>
    <row r="2334" spans="1:4" x14ac:dyDescent="0.25">
      <c r="A2334" t="s">
        <v>20</v>
      </c>
      <c r="B2334">
        <v>40</v>
      </c>
      <c r="C2334">
        <v>65</v>
      </c>
    </row>
    <row r="2335" spans="1:4" x14ac:dyDescent="0.25">
      <c r="A2335" t="s">
        <v>20</v>
      </c>
      <c r="B2335">
        <v>40</v>
      </c>
      <c r="C2335">
        <v>66</v>
      </c>
    </row>
    <row r="2336" spans="1:4" x14ac:dyDescent="0.25">
      <c r="A2336" t="s">
        <v>20</v>
      </c>
      <c r="B2336">
        <v>40</v>
      </c>
      <c r="C2336">
        <v>67</v>
      </c>
      <c r="D2336">
        <v>1</v>
      </c>
    </row>
    <row r="2337" spans="1:4" x14ac:dyDescent="0.25">
      <c r="A2337" t="s">
        <v>20</v>
      </c>
      <c r="B2337">
        <v>40</v>
      </c>
      <c r="C2337">
        <v>68</v>
      </c>
    </row>
    <row r="2338" spans="1:4" x14ac:dyDescent="0.25">
      <c r="A2338" t="s">
        <v>20</v>
      </c>
      <c r="B2338">
        <v>40</v>
      </c>
      <c r="C2338">
        <v>69</v>
      </c>
    </row>
    <row r="2339" spans="1:4" x14ac:dyDescent="0.25">
      <c r="A2339" t="s">
        <v>20</v>
      </c>
      <c r="B2339">
        <v>40</v>
      </c>
      <c r="C2339">
        <v>70</v>
      </c>
      <c r="D2339">
        <v>1</v>
      </c>
    </row>
    <row r="2340" spans="1:4" x14ac:dyDescent="0.25">
      <c r="A2340" t="s">
        <v>20</v>
      </c>
      <c r="B2340">
        <v>40</v>
      </c>
      <c r="C2340">
        <v>71</v>
      </c>
    </row>
    <row r="2341" spans="1:4" x14ac:dyDescent="0.25">
      <c r="A2341" t="s">
        <v>20</v>
      </c>
      <c r="B2341">
        <v>40</v>
      </c>
      <c r="C2341">
        <v>72</v>
      </c>
    </row>
    <row r="2342" spans="1:4" x14ac:dyDescent="0.25">
      <c r="A2342" t="s">
        <v>20</v>
      </c>
      <c r="B2342">
        <v>40</v>
      </c>
      <c r="C2342">
        <v>73</v>
      </c>
      <c r="D2342">
        <v>1</v>
      </c>
    </row>
    <row r="2343" spans="1:4" x14ac:dyDescent="0.25">
      <c r="A2343" t="s">
        <v>20</v>
      </c>
      <c r="B2343">
        <v>40</v>
      </c>
      <c r="C2343">
        <v>74</v>
      </c>
    </row>
    <row r="2344" spans="1:4" x14ac:dyDescent="0.25">
      <c r="A2344" t="s">
        <v>20</v>
      </c>
      <c r="B2344">
        <v>40</v>
      </c>
      <c r="C2344">
        <v>75</v>
      </c>
    </row>
    <row r="2345" spans="1:4" x14ac:dyDescent="0.25">
      <c r="A2345" t="s">
        <v>20</v>
      </c>
      <c r="B2345">
        <v>40</v>
      </c>
      <c r="C2345">
        <v>76</v>
      </c>
      <c r="D2345">
        <v>1</v>
      </c>
    </row>
    <row r="2346" spans="1:4" x14ac:dyDescent="0.25">
      <c r="A2346" t="s">
        <v>20</v>
      </c>
      <c r="B2346">
        <v>40</v>
      </c>
      <c r="C2346">
        <v>77</v>
      </c>
    </row>
    <row r="2347" spans="1:4" x14ac:dyDescent="0.25">
      <c r="A2347" t="s">
        <v>20</v>
      </c>
      <c r="B2347">
        <v>40</v>
      </c>
      <c r="C2347">
        <v>78</v>
      </c>
    </row>
    <row r="2348" spans="1:4" x14ac:dyDescent="0.25">
      <c r="A2348" t="s">
        <v>20</v>
      </c>
      <c r="B2348">
        <v>40</v>
      </c>
      <c r="C2348">
        <v>79</v>
      </c>
      <c r="D2348">
        <v>1</v>
      </c>
    </row>
    <row r="2349" spans="1:4" x14ac:dyDescent="0.25">
      <c r="A2349" t="s">
        <v>20</v>
      </c>
      <c r="B2349">
        <v>40</v>
      </c>
      <c r="C2349">
        <v>80</v>
      </c>
    </row>
    <row r="2350" spans="1:4" x14ac:dyDescent="0.25">
      <c r="A2350" t="s">
        <v>20</v>
      </c>
      <c r="B2350">
        <v>40</v>
      </c>
      <c r="C2350">
        <v>81</v>
      </c>
    </row>
    <row r="2351" spans="1:4" x14ac:dyDescent="0.25">
      <c r="A2351" t="s">
        <v>20</v>
      </c>
      <c r="B2351">
        <v>40</v>
      </c>
      <c r="C2351">
        <v>82</v>
      </c>
    </row>
    <row r="2352" spans="1:4" x14ac:dyDescent="0.25">
      <c r="A2352" t="s">
        <v>20</v>
      </c>
      <c r="B2352">
        <v>40</v>
      </c>
      <c r="C2352">
        <v>83</v>
      </c>
    </row>
    <row r="2353" spans="1:3" x14ac:dyDescent="0.25">
      <c r="A2353" t="s">
        <v>20</v>
      </c>
      <c r="B2353">
        <v>40</v>
      </c>
      <c r="C2353">
        <v>84</v>
      </c>
    </row>
    <row r="2354" spans="1:3" x14ac:dyDescent="0.25">
      <c r="A2354" t="s">
        <v>20</v>
      </c>
      <c r="B2354">
        <v>41</v>
      </c>
      <c r="C2354">
        <v>1</v>
      </c>
    </row>
    <row r="2355" spans="1:3" x14ac:dyDescent="0.25">
      <c r="A2355" t="s">
        <v>20</v>
      </c>
      <c r="B2355">
        <v>41</v>
      </c>
      <c r="C2355">
        <v>2</v>
      </c>
    </row>
    <row r="2356" spans="1:3" x14ac:dyDescent="0.25">
      <c r="A2356" t="s">
        <v>20</v>
      </c>
      <c r="B2356">
        <v>41</v>
      </c>
      <c r="C2356">
        <v>3</v>
      </c>
    </row>
    <row r="2357" spans="1:3" x14ac:dyDescent="0.25">
      <c r="A2357" t="s">
        <v>20</v>
      </c>
      <c r="B2357">
        <v>41</v>
      </c>
      <c r="C2357">
        <v>4</v>
      </c>
    </row>
    <row r="2358" spans="1:3" x14ac:dyDescent="0.25">
      <c r="A2358" t="s">
        <v>20</v>
      </c>
      <c r="B2358">
        <v>41</v>
      </c>
      <c r="C2358">
        <v>5</v>
      </c>
    </row>
    <row r="2359" spans="1:3" x14ac:dyDescent="0.25">
      <c r="A2359" t="s">
        <v>20</v>
      </c>
      <c r="B2359">
        <v>41</v>
      </c>
      <c r="C2359">
        <v>6</v>
      </c>
    </row>
    <row r="2360" spans="1:3" x14ac:dyDescent="0.25">
      <c r="A2360" t="s">
        <v>20</v>
      </c>
      <c r="B2360">
        <v>41</v>
      </c>
      <c r="C2360">
        <v>7</v>
      </c>
    </row>
    <row r="2361" spans="1:3" x14ac:dyDescent="0.25">
      <c r="A2361" t="s">
        <v>20</v>
      </c>
      <c r="B2361">
        <v>41</v>
      </c>
      <c r="C2361">
        <v>8</v>
      </c>
    </row>
    <row r="2362" spans="1:3" x14ac:dyDescent="0.25">
      <c r="A2362" t="s">
        <v>20</v>
      </c>
      <c r="B2362">
        <v>41</v>
      </c>
      <c r="C2362">
        <v>9</v>
      </c>
    </row>
    <row r="2363" spans="1:3" x14ac:dyDescent="0.25">
      <c r="A2363" t="s">
        <v>20</v>
      </c>
      <c r="B2363">
        <v>41</v>
      </c>
      <c r="C2363">
        <v>10</v>
      </c>
    </row>
    <row r="2364" spans="1:3" x14ac:dyDescent="0.25">
      <c r="A2364" t="s">
        <v>20</v>
      </c>
      <c r="B2364">
        <v>41</v>
      </c>
      <c r="C2364">
        <v>11</v>
      </c>
    </row>
    <row r="2365" spans="1:3" x14ac:dyDescent="0.25">
      <c r="A2365" t="s">
        <v>20</v>
      </c>
      <c r="B2365">
        <v>41</v>
      </c>
      <c r="C2365">
        <v>12</v>
      </c>
    </row>
    <row r="2366" spans="1:3" x14ac:dyDescent="0.25">
      <c r="A2366" t="s">
        <v>20</v>
      </c>
      <c r="B2366">
        <v>41</v>
      </c>
      <c r="C2366">
        <v>13</v>
      </c>
    </row>
    <row r="2367" spans="1:3" x14ac:dyDescent="0.25">
      <c r="A2367" t="s">
        <v>20</v>
      </c>
      <c r="B2367">
        <v>41</v>
      </c>
      <c r="C2367">
        <v>14</v>
      </c>
    </row>
    <row r="2368" spans="1:3" x14ac:dyDescent="0.25">
      <c r="A2368" t="s">
        <v>20</v>
      </c>
      <c r="B2368">
        <v>41</v>
      </c>
      <c r="C2368">
        <v>15</v>
      </c>
    </row>
    <row r="2369" spans="1:3" x14ac:dyDescent="0.25">
      <c r="A2369" t="s">
        <v>20</v>
      </c>
      <c r="B2369">
        <v>41</v>
      </c>
      <c r="C2369">
        <v>16</v>
      </c>
    </row>
    <row r="2370" spans="1:3" x14ac:dyDescent="0.25">
      <c r="A2370" t="s">
        <v>20</v>
      </c>
      <c r="B2370">
        <v>41</v>
      </c>
      <c r="C2370">
        <v>17</v>
      </c>
    </row>
    <row r="2371" spans="1:3" x14ac:dyDescent="0.25">
      <c r="A2371" t="s">
        <v>20</v>
      </c>
      <c r="B2371">
        <v>41</v>
      </c>
      <c r="C2371">
        <v>18</v>
      </c>
    </row>
    <row r="2372" spans="1:3" x14ac:dyDescent="0.25">
      <c r="A2372" t="s">
        <v>20</v>
      </c>
      <c r="B2372">
        <v>41</v>
      </c>
      <c r="C2372">
        <v>19</v>
      </c>
    </row>
    <row r="2373" spans="1:3" x14ac:dyDescent="0.25">
      <c r="A2373" t="s">
        <v>20</v>
      </c>
      <c r="B2373">
        <v>41</v>
      </c>
      <c r="C2373">
        <v>20</v>
      </c>
    </row>
    <row r="2374" spans="1:3" x14ac:dyDescent="0.25">
      <c r="A2374" t="s">
        <v>20</v>
      </c>
      <c r="B2374">
        <v>41</v>
      </c>
      <c r="C2374">
        <v>21</v>
      </c>
    </row>
    <row r="2375" spans="1:3" x14ac:dyDescent="0.25">
      <c r="A2375" t="s">
        <v>20</v>
      </c>
      <c r="B2375">
        <v>41</v>
      </c>
      <c r="C2375">
        <v>22</v>
      </c>
    </row>
    <row r="2376" spans="1:3" x14ac:dyDescent="0.25">
      <c r="A2376" t="s">
        <v>20</v>
      </c>
      <c r="B2376">
        <v>41</v>
      </c>
      <c r="C2376">
        <v>23</v>
      </c>
    </row>
    <row r="2377" spans="1:3" x14ac:dyDescent="0.25">
      <c r="A2377" t="s">
        <v>20</v>
      </c>
      <c r="B2377">
        <v>41</v>
      </c>
      <c r="C2377">
        <v>24</v>
      </c>
    </row>
    <row r="2378" spans="1:3" x14ac:dyDescent="0.25">
      <c r="A2378" t="s">
        <v>20</v>
      </c>
      <c r="B2378">
        <v>41</v>
      </c>
      <c r="C2378">
        <v>25</v>
      </c>
    </row>
    <row r="2379" spans="1:3" x14ac:dyDescent="0.25">
      <c r="A2379" t="s">
        <v>20</v>
      </c>
      <c r="B2379">
        <v>41</v>
      </c>
      <c r="C2379">
        <v>26</v>
      </c>
    </row>
    <row r="2380" spans="1:3" x14ac:dyDescent="0.25">
      <c r="A2380" t="s">
        <v>20</v>
      </c>
      <c r="B2380">
        <v>41</v>
      </c>
      <c r="C2380">
        <v>27</v>
      </c>
    </row>
    <row r="2381" spans="1:3" x14ac:dyDescent="0.25">
      <c r="A2381" t="s">
        <v>20</v>
      </c>
      <c r="B2381">
        <v>41</v>
      </c>
      <c r="C2381">
        <v>28</v>
      </c>
    </row>
    <row r="2382" spans="1:3" x14ac:dyDescent="0.25">
      <c r="A2382" t="s">
        <v>20</v>
      </c>
      <c r="B2382">
        <v>41</v>
      </c>
      <c r="C2382">
        <v>29</v>
      </c>
    </row>
    <row r="2383" spans="1:3" x14ac:dyDescent="0.25">
      <c r="A2383" t="s">
        <v>20</v>
      </c>
      <c r="B2383">
        <v>41</v>
      </c>
      <c r="C2383">
        <v>30</v>
      </c>
    </row>
    <row r="2384" spans="1:3" x14ac:dyDescent="0.25">
      <c r="A2384" t="s">
        <v>20</v>
      </c>
      <c r="B2384">
        <v>41</v>
      </c>
      <c r="C2384">
        <v>31</v>
      </c>
    </row>
    <row r="2385" spans="1:3" x14ac:dyDescent="0.25">
      <c r="A2385" t="s">
        <v>20</v>
      </c>
      <c r="B2385">
        <v>41</v>
      </c>
      <c r="C2385">
        <v>32</v>
      </c>
    </row>
    <row r="2386" spans="1:3" x14ac:dyDescent="0.25">
      <c r="A2386" t="s">
        <v>20</v>
      </c>
      <c r="B2386">
        <v>41</v>
      </c>
      <c r="C2386">
        <v>33</v>
      </c>
    </row>
    <row r="2387" spans="1:3" x14ac:dyDescent="0.25">
      <c r="A2387" t="s">
        <v>20</v>
      </c>
      <c r="B2387">
        <v>41</v>
      </c>
      <c r="C2387">
        <v>34</v>
      </c>
    </row>
    <row r="2388" spans="1:3" x14ac:dyDescent="0.25">
      <c r="A2388" t="s">
        <v>20</v>
      </c>
      <c r="B2388">
        <v>41</v>
      </c>
      <c r="C2388">
        <v>35</v>
      </c>
    </row>
    <row r="2389" spans="1:3" x14ac:dyDescent="0.25">
      <c r="A2389" t="s">
        <v>20</v>
      </c>
      <c r="B2389">
        <v>41</v>
      </c>
      <c r="C2389">
        <v>36</v>
      </c>
    </row>
    <row r="2390" spans="1:3" x14ac:dyDescent="0.25">
      <c r="A2390" t="s">
        <v>20</v>
      </c>
      <c r="B2390">
        <v>41</v>
      </c>
      <c r="C2390">
        <v>37</v>
      </c>
    </row>
    <row r="2391" spans="1:3" x14ac:dyDescent="0.25">
      <c r="A2391" t="s">
        <v>20</v>
      </c>
      <c r="B2391">
        <v>41</v>
      </c>
      <c r="C2391">
        <v>38</v>
      </c>
    </row>
    <row r="2392" spans="1:3" x14ac:dyDescent="0.25">
      <c r="A2392" t="s">
        <v>20</v>
      </c>
      <c r="B2392">
        <v>41</v>
      </c>
      <c r="C2392">
        <v>39</v>
      </c>
    </row>
    <row r="2393" spans="1:3" x14ac:dyDescent="0.25">
      <c r="A2393" t="s">
        <v>20</v>
      </c>
      <c r="B2393">
        <v>41</v>
      </c>
      <c r="C2393">
        <v>40</v>
      </c>
    </row>
    <row r="2394" spans="1:3" x14ac:dyDescent="0.25">
      <c r="A2394" t="s">
        <v>20</v>
      </c>
      <c r="B2394">
        <v>41</v>
      </c>
      <c r="C2394">
        <v>41</v>
      </c>
    </row>
    <row r="2395" spans="1:3" x14ac:dyDescent="0.25">
      <c r="A2395" t="s">
        <v>20</v>
      </c>
      <c r="B2395">
        <v>41</v>
      </c>
      <c r="C2395">
        <v>42</v>
      </c>
    </row>
    <row r="2396" spans="1:3" x14ac:dyDescent="0.25">
      <c r="A2396" t="s">
        <v>20</v>
      </c>
      <c r="B2396">
        <v>41</v>
      </c>
      <c r="C2396">
        <v>43</v>
      </c>
    </row>
    <row r="2397" spans="1:3" x14ac:dyDescent="0.25">
      <c r="A2397" t="s">
        <v>20</v>
      </c>
      <c r="B2397">
        <v>41</v>
      </c>
      <c r="C2397">
        <v>44</v>
      </c>
    </row>
    <row r="2398" spans="1:3" x14ac:dyDescent="0.25">
      <c r="A2398" t="s">
        <v>20</v>
      </c>
      <c r="B2398">
        <v>41</v>
      </c>
      <c r="C2398">
        <v>45</v>
      </c>
    </row>
    <row r="2399" spans="1:3" x14ac:dyDescent="0.25">
      <c r="A2399" t="s">
        <v>20</v>
      </c>
      <c r="B2399">
        <v>41</v>
      </c>
      <c r="C2399">
        <v>46</v>
      </c>
    </row>
    <row r="2400" spans="1:3" x14ac:dyDescent="0.25">
      <c r="A2400" t="s">
        <v>20</v>
      </c>
      <c r="B2400">
        <v>41</v>
      </c>
      <c r="C2400">
        <v>47</v>
      </c>
    </row>
    <row r="2401" spans="1:3" x14ac:dyDescent="0.25">
      <c r="A2401" t="s">
        <v>20</v>
      </c>
      <c r="B2401">
        <v>41</v>
      </c>
      <c r="C2401">
        <v>48</v>
      </c>
    </row>
    <row r="2402" spans="1:3" x14ac:dyDescent="0.25">
      <c r="A2402" t="s">
        <v>20</v>
      </c>
      <c r="B2402">
        <v>41</v>
      </c>
      <c r="C2402">
        <v>49</v>
      </c>
    </row>
    <row r="2403" spans="1:3" x14ac:dyDescent="0.25">
      <c r="A2403" t="s">
        <v>20</v>
      </c>
      <c r="B2403">
        <v>41</v>
      </c>
      <c r="C2403">
        <v>50</v>
      </c>
    </row>
    <row r="2404" spans="1:3" x14ac:dyDescent="0.25">
      <c r="A2404" t="s">
        <v>20</v>
      </c>
      <c r="B2404">
        <v>41</v>
      </c>
      <c r="C2404">
        <v>51</v>
      </c>
    </row>
    <row r="2405" spans="1:3" x14ac:dyDescent="0.25">
      <c r="A2405" t="s">
        <v>20</v>
      </c>
      <c r="B2405">
        <v>41</v>
      </c>
      <c r="C2405">
        <v>52</v>
      </c>
    </row>
    <row r="2406" spans="1:3" x14ac:dyDescent="0.25">
      <c r="A2406" t="s">
        <v>20</v>
      </c>
      <c r="B2406">
        <v>41</v>
      </c>
      <c r="C2406">
        <v>53</v>
      </c>
    </row>
    <row r="2407" spans="1:3" x14ac:dyDescent="0.25">
      <c r="A2407" t="s">
        <v>20</v>
      </c>
      <c r="B2407">
        <v>41</v>
      </c>
      <c r="C2407">
        <v>54</v>
      </c>
    </row>
    <row r="2408" spans="1:3" x14ac:dyDescent="0.25">
      <c r="A2408" t="s">
        <v>20</v>
      </c>
      <c r="B2408">
        <v>41</v>
      </c>
      <c r="C2408">
        <v>55</v>
      </c>
    </row>
    <row r="2409" spans="1:3" x14ac:dyDescent="0.25">
      <c r="A2409" t="s">
        <v>20</v>
      </c>
      <c r="B2409">
        <v>41</v>
      </c>
      <c r="C2409">
        <v>56</v>
      </c>
    </row>
    <row r="2410" spans="1:3" x14ac:dyDescent="0.25">
      <c r="A2410" t="s">
        <v>20</v>
      </c>
      <c r="B2410">
        <v>41</v>
      </c>
      <c r="C2410">
        <v>57</v>
      </c>
    </row>
    <row r="2411" spans="1:3" x14ac:dyDescent="0.25">
      <c r="A2411" t="s">
        <v>20</v>
      </c>
      <c r="B2411">
        <v>41</v>
      </c>
      <c r="C2411">
        <v>58</v>
      </c>
    </row>
    <row r="2412" spans="1:3" x14ac:dyDescent="0.25">
      <c r="A2412" t="s">
        <v>20</v>
      </c>
      <c r="B2412">
        <v>41</v>
      </c>
      <c r="C2412">
        <v>59</v>
      </c>
    </row>
    <row r="2413" spans="1:3" x14ac:dyDescent="0.25">
      <c r="A2413" t="s">
        <v>20</v>
      </c>
      <c r="B2413">
        <v>41</v>
      </c>
      <c r="C2413">
        <v>60</v>
      </c>
    </row>
    <row r="2414" spans="1:3" x14ac:dyDescent="0.25">
      <c r="A2414" t="s">
        <v>20</v>
      </c>
      <c r="B2414">
        <v>41</v>
      </c>
      <c r="C2414">
        <v>61</v>
      </c>
    </row>
    <row r="2415" spans="1:3" x14ac:dyDescent="0.25">
      <c r="A2415" t="s">
        <v>20</v>
      </c>
      <c r="B2415">
        <v>41</v>
      </c>
      <c r="C2415">
        <v>62</v>
      </c>
    </row>
    <row r="2416" spans="1:3" x14ac:dyDescent="0.25">
      <c r="A2416" t="s">
        <v>20</v>
      </c>
      <c r="B2416">
        <v>41</v>
      </c>
      <c r="C2416">
        <v>63</v>
      </c>
    </row>
    <row r="2417" spans="1:3" x14ac:dyDescent="0.25">
      <c r="A2417" t="s">
        <v>20</v>
      </c>
      <c r="B2417">
        <v>41</v>
      </c>
      <c r="C2417">
        <v>64</v>
      </c>
    </row>
    <row r="2418" spans="1:3" x14ac:dyDescent="0.25">
      <c r="A2418" t="s">
        <v>20</v>
      </c>
      <c r="B2418">
        <v>41</v>
      </c>
      <c r="C2418">
        <v>65</v>
      </c>
    </row>
    <row r="2419" spans="1:3" x14ac:dyDescent="0.25">
      <c r="A2419" t="s">
        <v>20</v>
      </c>
      <c r="B2419">
        <v>41</v>
      </c>
      <c r="C2419">
        <v>66</v>
      </c>
    </row>
    <row r="2420" spans="1:3" x14ac:dyDescent="0.25">
      <c r="A2420" t="s">
        <v>20</v>
      </c>
      <c r="B2420">
        <v>41</v>
      </c>
      <c r="C2420">
        <v>67</v>
      </c>
    </row>
    <row r="2421" spans="1:3" x14ac:dyDescent="0.25">
      <c r="A2421" t="s">
        <v>20</v>
      </c>
      <c r="B2421">
        <v>41</v>
      </c>
      <c r="C2421">
        <v>68</v>
      </c>
    </row>
    <row r="2422" spans="1:3" x14ac:dyDescent="0.25">
      <c r="A2422" t="s">
        <v>20</v>
      </c>
      <c r="B2422">
        <v>41</v>
      </c>
      <c r="C2422">
        <v>69</v>
      </c>
    </row>
    <row r="2423" spans="1:3" x14ac:dyDescent="0.25">
      <c r="A2423" t="s">
        <v>20</v>
      </c>
      <c r="B2423">
        <v>41</v>
      </c>
      <c r="C2423">
        <v>70</v>
      </c>
    </row>
    <row r="2424" spans="1:3" x14ac:dyDescent="0.25">
      <c r="A2424" t="s">
        <v>20</v>
      </c>
      <c r="B2424">
        <v>41</v>
      </c>
      <c r="C2424">
        <v>71</v>
      </c>
    </row>
    <row r="2425" spans="1:3" x14ac:dyDescent="0.25">
      <c r="A2425" t="s">
        <v>20</v>
      </c>
      <c r="B2425">
        <v>41</v>
      </c>
      <c r="C2425">
        <v>72</v>
      </c>
    </row>
    <row r="2426" spans="1:3" x14ac:dyDescent="0.25">
      <c r="A2426" t="s">
        <v>20</v>
      </c>
      <c r="B2426">
        <v>41</v>
      </c>
      <c r="C2426">
        <v>73</v>
      </c>
    </row>
    <row r="2427" spans="1:3" x14ac:dyDescent="0.25">
      <c r="A2427" t="s">
        <v>20</v>
      </c>
      <c r="B2427">
        <v>41</v>
      </c>
      <c r="C2427">
        <v>74</v>
      </c>
    </row>
    <row r="2428" spans="1:3" x14ac:dyDescent="0.25">
      <c r="A2428" t="s">
        <v>20</v>
      </c>
      <c r="B2428">
        <v>41</v>
      </c>
      <c r="C2428">
        <v>75</v>
      </c>
    </row>
    <row r="2429" spans="1:3" x14ac:dyDescent="0.25">
      <c r="A2429" t="s">
        <v>20</v>
      </c>
      <c r="B2429">
        <v>41</v>
      </c>
      <c r="C2429">
        <v>76</v>
      </c>
    </row>
    <row r="2430" spans="1:3" x14ac:dyDescent="0.25">
      <c r="A2430" t="s">
        <v>20</v>
      </c>
      <c r="B2430">
        <v>41</v>
      </c>
      <c r="C2430">
        <v>77</v>
      </c>
    </row>
    <row r="2431" spans="1:3" x14ac:dyDescent="0.25">
      <c r="A2431" t="s">
        <v>20</v>
      </c>
      <c r="B2431">
        <v>41</v>
      </c>
      <c r="C2431">
        <v>78</v>
      </c>
    </row>
    <row r="2432" spans="1:3" x14ac:dyDescent="0.25">
      <c r="A2432" t="s">
        <v>20</v>
      </c>
      <c r="B2432">
        <v>41</v>
      </c>
      <c r="C2432">
        <v>79</v>
      </c>
    </row>
    <row r="2433" spans="1:4" x14ac:dyDescent="0.25">
      <c r="A2433" t="s">
        <v>20</v>
      </c>
      <c r="B2433">
        <v>41</v>
      </c>
      <c r="C2433">
        <v>80</v>
      </c>
    </row>
    <row r="2434" spans="1:4" x14ac:dyDescent="0.25">
      <c r="A2434" t="s">
        <v>20</v>
      </c>
      <c r="B2434">
        <v>41</v>
      </c>
      <c r="C2434">
        <v>81</v>
      </c>
    </row>
    <row r="2435" spans="1:4" x14ac:dyDescent="0.25">
      <c r="A2435" t="s">
        <v>20</v>
      </c>
      <c r="B2435">
        <v>41</v>
      </c>
      <c r="C2435">
        <v>82</v>
      </c>
    </row>
    <row r="2436" spans="1:4" x14ac:dyDescent="0.25">
      <c r="A2436" t="s">
        <v>20</v>
      </c>
      <c r="B2436">
        <v>41</v>
      </c>
      <c r="C2436">
        <v>83</v>
      </c>
    </row>
    <row r="2437" spans="1:4" x14ac:dyDescent="0.25">
      <c r="A2437" t="s">
        <v>20</v>
      </c>
      <c r="B2437">
        <v>41</v>
      </c>
      <c r="C2437">
        <v>84</v>
      </c>
    </row>
    <row r="2438" spans="1:4" x14ac:dyDescent="0.25">
      <c r="A2438" t="s">
        <v>20</v>
      </c>
      <c r="B2438">
        <v>42</v>
      </c>
      <c r="C2438">
        <v>1</v>
      </c>
      <c r="D2438">
        <v>1</v>
      </c>
    </row>
    <row r="2439" spans="1:4" x14ac:dyDescent="0.25">
      <c r="A2439" t="s">
        <v>20</v>
      </c>
      <c r="B2439">
        <v>42</v>
      </c>
      <c r="C2439">
        <v>2</v>
      </c>
    </row>
    <row r="2440" spans="1:4" x14ac:dyDescent="0.25">
      <c r="A2440" t="s">
        <v>20</v>
      </c>
      <c r="B2440">
        <v>42</v>
      </c>
      <c r="C2440">
        <v>3</v>
      </c>
    </row>
    <row r="2441" spans="1:4" x14ac:dyDescent="0.25">
      <c r="A2441" t="s">
        <v>20</v>
      </c>
      <c r="B2441">
        <v>42</v>
      </c>
      <c r="C2441">
        <v>4</v>
      </c>
    </row>
    <row r="2442" spans="1:4" x14ac:dyDescent="0.25">
      <c r="A2442" t="s">
        <v>20</v>
      </c>
      <c r="B2442">
        <v>42</v>
      </c>
      <c r="C2442">
        <v>5</v>
      </c>
    </row>
    <row r="2443" spans="1:4" x14ac:dyDescent="0.25">
      <c r="A2443" t="s">
        <v>20</v>
      </c>
      <c r="B2443">
        <v>42</v>
      </c>
      <c r="C2443">
        <v>6</v>
      </c>
    </row>
    <row r="2444" spans="1:4" x14ac:dyDescent="0.25">
      <c r="A2444" t="s">
        <v>20</v>
      </c>
      <c r="B2444">
        <v>42</v>
      </c>
      <c r="C2444">
        <v>7</v>
      </c>
    </row>
    <row r="2445" spans="1:4" x14ac:dyDescent="0.25">
      <c r="A2445" t="s">
        <v>20</v>
      </c>
      <c r="B2445">
        <v>42</v>
      </c>
      <c r="C2445">
        <v>8</v>
      </c>
    </row>
    <row r="2446" spans="1:4" x14ac:dyDescent="0.25">
      <c r="A2446" t="s">
        <v>20</v>
      </c>
      <c r="B2446">
        <v>42</v>
      </c>
      <c r="C2446">
        <v>9</v>
      </c>
    </row>
    <row r="2447" spans="1:4" x14ac:dyDescent="0.25">
      <c r="A2447" t="s">
        <v>20</v>
      </c>
      <c r="B2447">
        <v>42</v>
      </c>
      <c r="C2447">
        <v>10</v>
      </c>
      <c r="D2447">
        <v>1</v>
      </c>
    </row>
    <row r="2448" spans="1:4" x14ac:dyDescent="0.25">
      <c r="A2448" t="s">
        <v>20</v>
      </c>
      <c r="B2448">
        <v>42</v>
      </c>
      <c r="C2448">
        <v>11</v>
      </c>
    </row>
    <row r="2449" spans="1:4" x14ac:dyDescent="0.25">
      <c r="A2449" t="s">
        <v>20</v>
      </c>
      <c r="B2449">
        <v>42</v>
      </c>
      <c r="C2449">
        <v>12</v>
      </c>
    </row>
    <row r="2450" spans="1:4" x14ac:dyDescent="0.25">
      <c r="A2450" t="s">
        <v>20</v>
      </c>
      <c r="B2450">
        <v>42</v>
      </c>
      <c r="C2450">
        <v>13</v>
      </c>
      <c r="D2450">
        <v>1</v>
      </c>
    </row>
    <row r="2451" spans="1:4" x14ac:dyDescent="0.25">
      <c r="A2451" t="s">
        <v>20</v>
      </c>
      <c r="B2451">
        <v>42</v>
      </c>
      <c r="C2451">
        <v>14</v>
      </c>
    </row>
    <row r="2452" spans="1:4" x14ac:dyDescent="0.25">
      <c r="A2452" t="s">
        <v>20</v>
      </c>
      <c r="B2452">
        <v>42</v>
      </c>
      <c r="C2452">
        <v>15</v>
      </c>
    </row>
    <row r="2453" spans="1:4" x14ac:dyDescent="0.25">
      <c r="A2453" t="s">
        <v>20</v>
      </c>
      <c r="B2453">
        <v>42</v>
      </c>
      <c r="C2453">
        <v>16</v>
      </c>
      <c r="D2453">
        <v>1</v>
      </c>
    </row>
    <row r="2454" spans="1:4" x14ac:dyDescent="0.25">
      <c r="A2454" t="s">
        <v>20</v>
      </c>
      <c r="B2454">
        <v>42</v>
      </c>
      <c r="C2454">
        <v>17</v>
      </c>
    </row>
    <row r="2455" spans="1:4" x14ac:dyDescent="0.25">
      <c r="A2455" t="s">
        <v>20</v>
      </c>
      <c r="B2455">
        <v>42</v>
      </c>
      <c r="C2455">
        <v>18</v>
      </c>
    </row>
    <row r="2456" spans="1:4" x14ac:dyDescent="0.25">
      <c r="A2456" t="s">
        <v>20</v>
      </c>
      <c r="B2456">
        <v>42</v>
      </c>
      <c r="C2456">
        <v>19</v>
      </c>
    </row>
    <row r="2457" spans="1:4" x14ac:dyDescent="0.25">
      <c r="A2457" t="s">
        <v>20</v>
      </c>
      <c r="B2457">
        <v>42</v>
      </c>
      <c r="C2457">
        <v>20</v>
      </c>
    </row>
    <row r="2458" spans="1:4" x14ac:dyDescent="0.25">
      <c r="A2458" t="s">
        <v>20</v>
      </c>
      <c r="B2458">
        <v>42</v>
      </c>
      <c r="C2458">
        <v>21</v>
      </c>
    </row>
    <row r="2459" spans="1:4" x14ac:dyDescent="0.25">
      <c r="A2459" t="s">
        <v>20</v>
      </c>
      <c r="B2459">
        <v>42</v>
      </c>
      <c r="C2459">
        <v>22</v>
      </c>
      <c r="D2459">
        <v>1</v>
      </c>
    </row>
    <row r="2460" spans="1:4" x14ac:dyDescent="0.25">
      <c r="A2460" t="s">
        <v>20</v>
      </c>
      <c r="B2460">
        <v>42</v>
      </c>
      <c r="C2460">
        <v>23</v>
      </c>
    </row>
    <row r="2461" spans="1:4" x14ac:dyDescent="0.25">
      <c r="A2461" t="s">
        <v>20</v>
      </c>
      <c r="B2461">
        <v>42</v>
      </c>
      <c r="C2461">
        <v>24</v>
      </c>
    </row>
    <row r="2462" spans="1:4" x14ac:dyDescent="0.25">
      <c r="A2462" t="s">
        <v>20</v>
      </c>
      <c r="B2462">
        <v>42</v>
      </c>
      <c r="C2462">
        <v>25</v>
      </c>
    </row>
    <row r="2463" spans="1:4" x14ac:dyDescent="0.25">
      <c r="A2463" t="s">
        <v>20</v>
      </c>
      <c r="B2463">
        <v>42</v>
      </c>
      <c r="C2463">
        <v>26</v>
      </c>
    </row>
    <row r="2464" spans="1:4" x14ac:dyDescent="0.25">
      <c r="A2464" t="s">
        <v>20</v>
      </c>
      <c r="B2464">
        <v>42</v>
      </c>
      <c r="C2464">
        <v>27</v>
      </c>
    </row>
    <row r="2465" spans="1:4" x14ac:dyDescent="0.25">
      <c r="A2465" t="s">
        <v>20</v>
      </c>
      <c r="B2465">
        <v>42</v>
      </c>
      <c r="C2465">
        <v>28</v>
      </c>
      <c r="D2465">
        <v>1</v>
      </c>
    </row>
    <row r="2466" spans="1:4" x14ac:dyDescent="0.25">
      <c r="A2466" t="s">
        <v>20</v>
      </c>
      <c r="B2466">
        <v>42</v>
      </c>
      <c r="C2466">
        <v>29</v>
      </c>
    </row>
    <row r="2467" spans="1:4" x14ac:dyDescent="0.25">
      <c r="A2467" t="s">
        <v>20</v>
      </c>
      <c r="B2467">
        <v>42</v>
      </c>
      <c r="C2467">
        <v>30</v>
      </c>
    </row>
    <row r="2468" spans="1:4" x14ac:dyDescent="0.25">
      <c r="A2468" t="s">
        <v>20</v>
      </c>
      <c r="B2468">
        <v>42</v>
      </c>
      <c r="C2468">
        <v>31</v>
      </c>
    </row>
    <row r="2469" spans="1:4" x14ac:dyDescent="0.25">
      <c r="A2469" t="s">
        <v>20</v>
      </c>
      <c r="B2469">
        <v>42</v>
      </c>
      <c r="C2469">
        <v>32</v>
      </c>
    </row>
    <row r="2470" spans="1:4" x14ac:dyDescent="0.25">
      <c r="A2470" t="s">
        <v>20</v>
      </c>
      <c r="B2470">
        <v>42</v>
      </c>
      <c r="C2470">
        <v>33</v>
      </c>
    </row>
    <row r="2471" spans="1:4" x14ac:dyDescent="0.25">
      <c r="A2471" t="s">
        <v>20</v>
      </c>
      <c r="B2471">
        <v>42</v>
      </c>
      <c r="C2471">
        <v>34</v>
      </c>
      <c r="D2471">
        <v>1</v>
      </c>
    </row>
    <row r="2472" spans="1:4" x14ac:dyDescent="0.25">
      <c r="A2472" t="s">
        <v>20</v>
      </c>
      <c r="B2472">
        <v>42</v>
      </c>
      <c r="C2472">
        <v>35</v>
      </c>
    </row>
    <row r="2473" spans="1:4" x14ac:dyDescent="0.25">
      <c r="A2473" t="s">
        <v>20</v>
      </c>
      <c r="B2473">
        <v>42</v>
      </c>
      <c r="C2473">
        <v>36</v>
      </c>
    </row>
    <row r="2474" spans="1:4" x14ac:dyDescent="0.25">
      <c r="A2474" t="s">
        <v>20</v>
      </c>
      <c r="B2474">
        <v>42</v>
      </c>
      <c r="C2474">
        <v>37</v>
      </c>
      <c r="D2474">
        <v>1</v>
      </c>
    </row>
    <row r="2475" spans="1:4" x14ac:dyDescent="0.25">
      <c r="A2475" t="s">
        <v>20</v>
      </c>
      <c r="B2475">
        <v>42</v>
      </c>
      <c r="C2475">
        <v>38</v>
      </c>
    </row>
    <row r="2476" spans="1:4" x14ac:dyDescent="0.25">
      <c r="A2476" t="s">
        <v>20</v>
      </c>
      <c r="B2476">
        <v>42</v>
      </c>
      <c r="C2476">
        <v>39</v>
      </c>
    </row>
    <row r="2477" spans="1:4" x14ac:dyDescent="0.25">
      <c r="A2477" t="s">
        <v>20</v>
      </c>
      <c r="B2477">
        <v>42</v>
      </c>
      <c r="C2477">
        <v>40</v>
      </c>
    </row>
    <row r="2478" spans="1:4" x14ac:dyDescent="0.25">
      <c r="A2478" t="s">
        <v>20</v>
      </c>
      <c r="B2478">
        <v>42</v>
      </c>
      <c r="C2478">
        <v>41</v>
      </c>
    </row>
    <row r="2479" spans="1:4" x14ac:dyDescent="0.25">
      <c r="A2479" t="s">
        <v>20</v>
      </c>
      <c r="B2479">
        <v>42</v>
      </c>
      <c r="C2479">
        <v>42</v>
      </c>
    </row>
    <row r="2480" spans="1:4" x14ac:dyDescent="0.25">
      <c r="A2480" t="s">
        <v>20</v>
      </c>
      <c r="B2480">
        <v>42</v>
      </c>
      <c r="C2480">
        <v>43</v>
      </c>
    </row>
    <row r="2481" spans="1:4" x14ac:dyDescent="0.25">
      <c r="A2481" t="s">
        <v>20</v>
      </c>
      <c r="B2481">
        <v>42</v>
      </c>
      <c r="C2481">
        <v>44</v>
      </c>
    </row>
    <row r="2482" spans="1:4" x14ac:dyDescent="0.25">
      <c r="A2482" t="s">
        <v>20</v>
      </c>
      <c r="B2482">
        <v>42</v>
      </c>
      <c r="C2482">
        <v>45</v>
      </c>
    </row>
    <row r="2483" spans="1:4" x14ac:dyDescent="0.25">
      <c r="A2483" t="s">
        <v>20</v>
      </c>
      <c r="B2483">
        <v>42</v>
      </c>
      <c r="C2483">
        <v>46</v>
      </c>
      <c r="D2483">
        <v>1</v>
      </c>
    </row>
    <row r="2484" spans="1:4" x14ac:dyDescent="0.25">
      <c r="A2484" t="s">
        <v>20</v>
      </c>
      <c r="B2484">
        <v>42</v>
      </c>
      <c r="C2484">
        <v>47</v>
      </c>
    </row>
    <row r="2485" spans="1:4" x14ac:dyDescent="0.25">
      <c r="A2485" t="s">
        <v>20</v>
      </c>
      <c r="B2485">
        <v>42</v>
      </c>
      <c r="C2485">
        <v>48</v>
      </c>
    </row>
    <row r="2486" spans="1:4" x14ac:dyDescent="0.25">
      <c r="A2486" t="s">
        <v>20</v>
      </c>
      <c r="B2486">
        <v>42</v>
      </c>
      <c r="C2486">
        <v>49</v>
      </c>
      <c r="D2486">
        <v>1</v>
      </c>
    </row>
    <row r="2487" spans="1:4" x14ac:dyDescent="0.25">
      <c r="A2487" t="s">
        <v>20</v>
      </c>
      <c r="B2487">
        <v>42</v>
      </c>
      <c r="C2487">
        <v>50</v>
      </c>
    </row>
    <row r="2488" spans="1:4" x14ac:dyDescent="0.25">
      <c r="A2488" t="s">
        <v>20</v>
      </c>
      <c r="B2488">
        <v>42</v>
      </c>
      <c r="C2488">
        <v>51</v>
      </c>
    </row>
    <row r="2489" spans="1:4" x14ac:dyDescent="0.25">
      <c r="A2489" t="s">
        <v>20</v>
      </c>
      <c r="B2489">
        <v>42</v>
      </c>
      <c r="C2489">
        <v>52</v>
      </c>
      <c r="D2489">
        <v>1</v>
      </c>
    </row>
    <row r="2490" spans="1:4" x14ac:dyDescent="0.25">
      <c r="A2490" t="s">
        <v>20</v>
      </c>
      <c r="B2490">
        <v>42</v>
      </c>
      <c r="C2490">
        <v>53</v>
      </c>
    </row>
    <row r="2491" spans="1:4" x14ac:dyDescent="0.25">
      <c r="A2491" t="s">
        <v>20</v>
      </c>
      <c r="B2491">
        <v>42</v>
      </c>
      <c r="C2491">
        <v>54</v>
      </c>
    </row>
    <row r="2492" spans="1:4" x14ac:dyDescent="0.25">
      <c r="A2492" t="s">
        <v>20</v>
      </c>
      <c r="B2492">
        <v>42</v>
      </c>
      <c r="C2492">
        <v>55</v>
      </c>
      <c r="D2492">
        <v>1</v>
      </c>
    </row>
    <row r="2493" spans="1:4" x14ac:dyDescent="0.25">
      <c r="A2493" t="s">
        <v>20</v>
      </c>
      <c r="B2493">
        <v>42</v>
      </c>
      <c r="C2493">
        <v>56</v>
      </c>
    </row>
    <row r="2494" spans="1:4" x14ac:dyDescent="0.25">
      <c r="A2494" t="s">
        <v>20</v>
      </c>
      <c r="B2494">
        <v>42</v>
      </c>
      <c r="C2494">
        <v>57</v>
      </c>
    </row>
    <row r="2495" spans="1:4" x14ac:dyDescent="0.25">
      <c r="A2495" t="s">
        <v>20</v>
      </c>
      <c r="B2495">
        <v>42</v>
      </c>
      <c r="C2495">
        <v>58</v>
      </c>
    </row>
    <row r="2496" spans="1:4" x14ac:dyDescent="0.25">
      <c r="A2496" t="s">
        <v>20</v>
      </c>
      <c r="B2496">
        <v>42</v>
      </c>
      <c r="C2496">
        <v>59</v>
      </c>
    </row>
    <row r="2497" spans="1:4" x14ac:dyDescent="0.25">
      <c r="A2497" t="s">
        <v>20</v>
      </c>
      <c r="B2497">
        <v>42</v>
      </c>
      <c r="C2497">
        <v>60</v>
      </c>
    </row>
    <row r="2498" spans="1:4" x14ac:dyDescent="0.25">
      <c r="A2498" t="s">
        <v>20</v>
      </c>
      <c r="B2498">
        <v>42</v>
      </c>
      <c r="C2498">
        <v>61</v>
      </c>
    </row>
    <row r="2499" spans="1:4" x14ac:dyDescent="0.25">
      <c r="A2499" t="s">
        <v>20</v>
      </c>
      <c r="B2499">
        <v>42</v>
      </c>
      <c r="C2499">
        <v>62</v>
      </c>
      <c r="D2499">
        <v>1</v>
      </c>
    </row>
    <row r="2500" spans="1:4" x14ac:dyDescent="0.25">
      <c r="A2500" t="s">
        <v>20</v>
      </c>
      <c r="B2500">
        <v>42</v>
      </c>
      <c r="C2500">
        <v>63</v>
      </c>
    </row>
    <row r="2501" spans="1:4" x14ac:dyDescent="0.25">
      <c r="A2501" t="s">
        <v>20</v>
      </c>
      <c r="B2501">
        <v>42</v>
      </c>
      <c r="C2501">
        <v>64</v>
      </c>
      <c r="D2501">
        <v>1</v>
      </c>
    </row>
    <row r="2502" spans="1:4" x14ac:dyDescent="0.25">
      <c r="A2502" t="s">
        <v>20</v>
      </c>
      <c r="B2502">
        <v>42</v>
      </c>
      <c r="C2502">
        <v>65</v>
      </c>
    </row>
    <row r="2503" spans="1:4" x14ac:dyDescent="0.25">
      <c r="A2503" t="s">
        <v>20</v>
      </c>
      <c r="B2503">
        <v>42</v>
      </c>
      <c r="C2503">
        <v>66</v>
      </c>
    </row>
    <row r="2504" spans="1:4" x14ac:dyDescent="0.25">
      <c r="A2504" t="s">
        <v>20</v>
      </c>
      <c r="B2504">
        <v>42</v>
      </c>
      <c r="C2504">
        <v>67</v>
      </c>
      <c r="D2504">
        <v>1</v>
      </c>
    </row>
    <row r="2505" spans="1:4" x14ac:dyDescent="0.25">
      <c r="A2505" t="s">
        <v>20</v>
      </c>
      <c r="B2505">
        <v>42</v>
      </c>
      <c r="C2505">
        <v>68</v>
      </c>
    </row>
    <row r="2506" spans="1:4" x14ac:dyDescent="0.25">
      <c r="A2506" t="s">
        <v>20</v>
      </c>
      <c r="B2506">
        <v>42</v>
      </c>
      <c r="C2506">
        <v>69</v>
      </c>
    </row>
    <row r="2507" spans="1:4" x14ac:dyDescent="0.25">
      <c r="A2507" t="s">
        <v>20</v>
      </c>
      <c r="B2507">
        <v>42</v>
      </c>
      <c r="C2507">
        <v>70</v>
      </c>
      <c r="D2507">
        <v>1</v>
      </c>
    </row>
    <row r="2508" spans="1:4" x14ac:dyDescent="0.25">
      <c r="A2508" t="s">
        <v>20</v>
      </c>
      <c r="B2508">
        <v>42</v>
      </c>
      <c r="C2508">
        <v>71</v>
      </c>
    </row>
    <row r="2509" spans="1:4" x14ac:dyDescent="0.25">
      <c r="A2509" t="s">
        <v>20</v>
      </c>
      <c r="B2509">
        <v>42</v>
      </c>
      <c r="C2509">
        <v>72</v>
      </c>
    </row>
    <row r="2510" spans="1:4" x14ac:dyDescent="0.25">
      <c r="A2510" t="s">
        <v>20</v>
      </c>
      <c r="B2510">
        <v>42</v>
      </c>
      <c r="C2510">
        <v>73</v>
      </c>
    </row>
    <row r="2511" spans="1:4" x14ac:dyDescent="0.25">
      <c r="A2511" t="s">
        <v>20</v>
      </c>
      <c r="B2511">
        <v>42</v>
      </c>
      <c r="C2511">
        <v>74</v>
      </c>
    </row>
    <row r="2512" spans="1:4" x14ac:dyDescent="0.25">
      <c r="A2512" t="s">
        <v>20</v>
      </c>
      <c r="B2512">
        <v>42</v>
      </c>
      <c r="C2512">
        <v>75</v>
      </c>
    </row>
    <row r="2513" spans="1:4" x14ac:dyDescent="0.25">
      <c r="A2513" t="s">
        <v>20</v>
      </c>
      <c r="B2513">
        <v>42</v>
      </c>
      <c r="C2513">
        <v>76</v>
      </c>
      <c r="D2513">
        <v>1</v>
      </c>
    </row>
    <row r="2514" spans="1:4" x14ac:dyDescent="0.25">
      <c r="A2514" t="s">
        <v>20</v>
      </c>
      <c r="B2514">
        <v>42</v>
      </c>
      <c r="C2514">
        <v>77</v>
      </c>
    </row>
    <row r="2515" spans="1:4" x14ac:dyDescent="0.25">
      <c r="A2515" t="s">
        <v>20</v>
      </c>
      <c r="B2515">
        <v>42</v>
      </c>
      <c r="C2515">
        <v>78</v>
      </c>
    </row>
    <row r="2516" spans="1:4" x14ac:dyDescent="0.25">
      <c r="A2516" t="s">
        <v>20</v>
      </c>
      <c r="B2516">
        <v>42</v>
      </c>
      <c r="C2516">
        <v>79</v>
      </c>
      <c r="D2516">
        <v>1</v>
      </c>
    </row>
    <row r="2517" spans="1:4" x14ac:dyDescent="0.25">
      <c r="A2517" t="s">
        <v>20</v>
      </c>
      <c r="B2517">
        <v>42</v>
      </c>
      <c r="C2517">
        <v>80</v>
      </c>
    </row>
    <row r="2518" spans="1:4" x14ac:dyDescent="0.25">
      <c r="A2518" t="s">
        <v>20</v>
      </c>
      <c r="B2518">
        <v>42</v>
      </c>
      <c r="C2518">
        <v>81</v>
      </c>
    </row>
    <row r="2519" spans="1:4" x14ac:dyDescent="0.25">
      <c r="A2519" t="s">
        <v>20</v>
      </c>
      <c r="B2519">
        <v>42</v>
      </c>
      <c r="C2519">
        <v>82</v>
      </c>
      <c r="D2519">
        <v>1</v>
      </c>
    </row>
    <row r="2520" spans="1:4" x14ac:dyDescent="0.25">
      <c r="A2520" t="s">
        <v>20</v>
      </c>
      <c r="B2520">
        <v>42</v>
      </c>
      <c r="C2520">
        <v>83</v>
      </c>
    </row>
    <row r="2521" spans="1:4" x14ac:dyDescent="0.25">
      <c r="A2521" t="s">
        <v>20</v>
      </c>
      <c r="B2521">
        <v>42</v>
      </c>
      <c r="C2521">
        <v>84</v>
      </c>
    </row>
    <row r="2522" spans="1:4" x14ac:dyDescent="0.25">
      <c r="A2522" t="s">
        <v>20</v>
      </c>
      <c r="B2522">
        <v>43</v>
      </c>
      <c r="C2522">
        <v>1</v>
      </c>
      <c r="D2522">
        <v>1</v>
      </c>
    </row>
    <row r="2523" spans="1:4" x14ac:dyDescent="0.25">
      <c r="A2523" t="s">
        <v>20</v>
      </c>
      <c r="B2523">
        <v>43</v>
      </c>
      <c r="C2523">
        <v>2</v>
      </c>
    </row>
    <row r="2524" spans="1:4" x14ac:dyDescent="0.25">
      <c r="A2524" t="s">
        <v>20</v>
      </c>
      <c r="B2524">
        <v>43</v>
      </c>
      <c r="C2524">
        <v>3</v>
      </c>
    </row>
    <row r="2525" spans="1:4" x14ac:dyDescent="0.25">
      <c r="A2525" t="s">
        <v>20</v>
      </c>
      <c r="B2525">
        <v>43</v>
      </c>
      <c r="C2525">
        <v>4</v>
      </c>
      <c r="D2525">
        <v>1</v>
      </c>
    </row>
    <row r="2526" spans="1:4" x14ac:dyDescent="0.25">
      <c r="A2526" t="s">
        <v>20</v>
      </c>
      <c r="B2526">
        <v>43</v>
      </c>
      <c r="C2526">
        <v>5</v>
      </c>
      <c r="D2526">
        <v>1</v>
      </c>
    </row>
    <row r="2527" spans="1:4" x14ac:dyDescent="0.25">
      <c r="A2527" t="s">
        <v>20</v>
      </c>
      <c r="B2527">
        <v>43</v>
      </c>
      <c r="C2527">
        <v>6</v>
      </c>
    </row>
    <row r="2528" spans="1:4" x14ac:dyDescent="0.25">
      <c r="A2528" t="s">
        <v>20</v>
      </c>
      <c r="B2528">
        <v>43</v>
      </c>
      <c r="C2528">
        <v>7</v>
      </c>
      <c r="D2528">
        <v>1</v>
      </c>
    </row>
    <row r="2529" spans="1:4" x14ac:dyDescent="0.25">
      <c r="A2529" t="s">
        <v>20</v>
      </c>
      <c r="B2529">
        <v>43</v>
      </c>
      <c r="C2529">
        <v>8</v>
      </c>
      <c r="D2529">
        <v>1</v>
      </c>
    </row>
    <row r="2530" spans="1:4" x14ac:dyDescent="0.25">
      <c r="A2530" t="s">
        <v>20</v>
      </c>
      <c r="B2530">
        <v>43</v>
      </c>
      <c r="C2530">
        <v>9</v>
      </c>
    </row>
    <row r="2531" spans="1:4" x14ac:dyDescent="0.25">
      <c r="A2531" t="s">
        <v>20</v>
      </c>
      <c r="B2531">
        <v>43</v>
      </c>
      <c r="C2531">
        <v>10</v>
      </c>
      <c r="D2531">
        <v>1</v>
      </c>
    </row>
    <row r="2532" spans="1:4" x14ac:dyDescent="0.25">
      <c r="A2532" t="s">
        <v>20</v>
      </c>
      <c r="B2532">
        <v>43</v>
      </c>
      <c r="C2532">
        <v>11</v>
      </c>
      <c r="D2532">
        <v>1</v>
      </c>
    </row>
    <row r="2533" spans="1:4" x14ac:dyDescent="0.25">
      <c r="A2533" t="s">
        <v>20</v>
      </c>
      <c r="B2533">
        <v>43</v>
      </c>
      <c r="C2533">
        <v>12</v>
      </c>
    </row>
    <row r="2534" spans="1:4" x14ac:dyDescent="0.25">
      <c r="A2534" t="s">
        <v>20</v>
      </c>
      <c r="B2534">
        <v>43</v>
      </c>
      <c r="C2534">
        <v>13</v>
      </c>
      <c r="D2534">
        <v>1</v>
      </c>
    </row>
    <row r="2535" spans="1:4" x14ac:dyDescent="0.25">
      <c r="A2535" t="s">
        <v>20</v>
      </c>
      <c r="B2535">
        <v>43</v>
      </c>
      <c r="C2535">
        <v>14</v>
      </c>
    </row>
    <row r="2536" spans="1:4" x14ac:dyDescent="0.25">
      <c r="A2536" t="s">
        <v>20</v>
      </c>
      <c r="B2536">
        <v>43</v>
      </c>
      <c r="C2536">
        <v>15</v>
      </c>
    </row>
    <row r="2537" spans="1:4" x14ac:dyDescent="0.25">
      <c r="A2537" t="s">
        <v>20</v>
      </c>
      <c r="B2537">
        <v>43</v>
      </c>
      <c r="C2537">
        <v>16</v>
      </c>
      <c r="D2537">
        <v>1</v>
      </c>
    </row>
    <row r="2538" spans="1:4" x14ac:dyDescent="0.25">
      <c r="A2538" t="s">
        <v>20</v>
      </c>
      <c r="B2538">
        <v>43</v>
      </c>
      <c r="C2538">
        <v>17</v>
      </c>
    </row>
    <row r="2539" spans="1:4" x14ac:dyDescent="0.25">
      <c r="A2539" t="s">
        <v>20</v>
      </c>
      <c r="B2539">
        <v>43</v>
      </c>
      <c r="C2539">
        <v>18</v>
      </c>
    </row>
    <row r="2540" spans="1:4" x14ac:dyDescent="0.25">
      <c r="A2540" t="s">
        <v>20</v>
      </c>
      <c r="B2540">
        <v>43</v>
      </c>
      <c r="C2540">
        <v>19</v>
      </c>
    </row>
    <row r="2541" spans="1:4" x14ac:dyDescent="0.25">
      <c r="A2541" t="s">
        <v>20</v>
      </c>
      <c r="B2541">
        <v>43</v>
      </c>
      <c r="C2541">
        <v>20</v>
      </c>
      <c r="D2541">
        <v>1</v>
      </c>
    </row>
    <row r="2542" spans="1:4" x14ac:dyDescent="0.25">
      <c r="A2542" t="s">
        <v>20</v>
      </c>
      <c r="B2542">
        <v>43</v>
      </c>
      <c r="C2542">
        <v>21</v>
      </c>
    </row>
    <row r="2543" spans="1:4" x14ac:dyDescent="0.25">
      <c r="A2543" t="s">
        <v>20</v>
      </c>
      <c r="B2543">
        <v>43</v>
      </c>
      <c r="C2543">
        <v>22</v>
      </c>
      <c r="D2543">
        <v>1</v>
      </c>
    </row>
    <row r="2544" spans="1:4" x14ac:dyDescent="0.25">
      <c r="A2544" t="s">
        <v>20</v>
      </c>
      <c r="B2544">
        <v>43</v>
      </c>
      <c r="C2544">
        <v>23</v>
      </c>
    </row>
    <row r="2545" spans="1:3" x14ac:dyDescent="0.25">
      <c r="A2545" t="s">
        <v>20</v>
      </c>
      <c r="B2545">
        <v>43</v>
      </c>
      <c r="C2545">
        <v>24</v>
      </c>
    </row>
    <row r="2546" spans="1:3" x14ac:dyDescent="0.25">
      <c r="A2546" t="s">
        <v>20</v>
      </c>
      <c r="B2546">
        <v>43</v>
      </c>
      <c r="C2546">
        <v>25</v>
      </c>
    </row>
    <row r="2547" spans="1:3" x14ac:dyDescent="0.25">
      <c r="A2547" t="s">
        <v>20</v>
      </c>
      <c r="B2547">
        <v>43</v>
      </c>
      <c r="C2547">
        <v>26</v>
      </c>
    </row>
    <row r="2548" spans="1:3" x14ac:dyDescent="0.25">
      <c r="A2548" t="s">
        <v>20</v>
      </c>
      <c r="B2548">
        <v>43</v>
      </c>
      <c r="C2548">
        <v>27</v>
      </c>
    </row>
    <row r="2549" spans="1:3" x14ac:dyDescent="0.25">
      <c r="A2549" t="s">
        <v>20</v>
      </c>
      <c r="B2549">
        <v>43</v>
      </c>
      <c r="C2549">
        <v>28</v>
      </c>
    </row>
    <row r="2550" spans="1:3" x14ac:dyDescent="0.25">
      <c r="A2550" t="s">
        <v>20</v>
      </c>
      <c r="B2550">
        <v>43</v>
      </c>
      <c r="C2550">
        <v>29</v>
      </c>
    </row>
    <row r="2551" spans="1:3" x14ac:dyDescent="0.25">
      <c r="A2551" t="s">
        <v>20</v>
      </c>
      <c r="B2551">
        <v>43</v>
      </c>
      <c r="C2551">
        <v>30</v>
      </c>
    </row>
    <row r="2552" spans="1:3" x14ac:dyDescent="0.25">
      <c r="A2552" t="s">
        <v>20</v>
      </c>
      <c r="B2552">
        <v>43</v>
      </c>
      <c r="C2552">
        <v>31</v>
      </c>
    </row>
    <row r="2553" spans="1:3" x14ac:dyDescent="0.25">
      <c r="A2553" t="s">
        <v>20</v>
      </c>
      <c r="B2553">
        <v>43</v>
      </c>
      <c r="C2553">
        <v>32</v>
      </c>
    </row>
    <row r="2554" spans="1:3" x14ac:dyDescent="0.25">
      <c r="A2554" t="s">
        <v>20</v>
      </c>
      <c r="B2554">
        <v>43</v>
      </c>
      <c r="C2554">
        <v>33</v>
      </c>
    </row>
    <row r="2555" spans="1:3" x14ac:dyDescent="0.25">
      <c r="A2555" t="s">
        <v>20</v>
      </c>
      <c r="B2555">
        <v>43</v>
      </c>
      <c r="C2555">
        <v>34</v>
      </c>
    </row>
    <row r="2556" spans="1:3" x14ac:dyDescent="0.25">
      <c r="A2556" t="s">
        <v>20</v>
      </c>
      <c r="B2556">
        <v>43</v>
      </c>
      <c r="C2556">
        <v>35</v>
      </c>
    </row>
    <row r="2557" spans="1:3" x14ac:dyDescent="0.25">
      <c r="A2557" t="s">
        <v>20</v>
      </c>
      <c r="B2557">
        <v>43</v>
      </c>
      <c r="C2557">
        <v>36</v>
      </c>
    </row>
    <row r="2558" spans="1:3" x14ac:dyDescent="0.25">
      <c r="A2558" t="s">
        <v>20</v>
      </c>
      <c r="B2558">
        <v>43</v>
      </c>
      <c r="C2558">
        <v>37</v>
      </c>
    </row>
    <row r="2559" spans="1:3" x14ac:dyDescent="0.25">
      <c r="A2559" t="s">
        <v>20</v>
      </c>
      <c r="B2559">
        <v>43</v>
      </c>
      <c r="C2559">
        <v>38</v>
      </c>
    </row>
    <row r="2560" spans="1:3" x14ac:dyDescent="0.25">
      <c r="A2560" t="s">
        <v>20</v>
      </c>
      <c r="B2560">
        <v>43</v>
      </c>
      <c r="C2560">
        <v>39</v>
      </c>
    </row>
    <row r="2561" spans="1:3" x14ac:dyDescent="0.25">
      <c r="A2561" t="s">
        <v>20</v>
      </c>
      <c r="B2561">
        <v>43</v>
      </c>
      <c r="C2561">
        <v>40</v>
      </c>
    </row>
    <row r="2562" spans="1:3" x14ac:dyDescent="0.25">
      <c r="A2562" t="s">
        <v>20</v>
      </c>
      <c r="B2562">
        <v>43</v>
      </c>
      <c r="C2562">
        <v>41</v>
      </c>
    </row>
    <row r="2563" spans="1:3" x14ac:dyDescent="0.25">
      <c r="A2563" t="s">
        <v>20</v>
      </c>
      <c r="B2563">
        <v>43</v>
      </c>
      <c r="C2563">
        <v>42</v>
      </c>
    </row>
    <row r="2564" spans="1:3" x14ac:dyDescent="0.25">
      <c r="A2564" t="s">
        <v>20</v>
      </c>
      <c r="B2564">
        <v>43</v>
      </c>
      <c r="C2564">
        <v>43</v>
      </c>
    </row>
    <row r="2565" spans="1:3" x14ac:dyDescent="0.25">
      <c r="A2565" t="s">
        <v>20</v>
      </c>
      <c r="B2565">
        <v>43</v>
      </c>
      <c r="C2565">
        <v>44</v>
      </c>
    </row>
    <row r="2566" spans="1:3" x14ac:dyDescent="0.25">
      <c r="A2566" t="s">
        <v>20</v>
      </c>
      <c r="B2566">
        <v>43</v>
      </c>
      <c r="C2566">
        <v>45</v>
      </c>
    </row>
    <row r="2567" spans="1:3" x14ac:dyDescent="0.25">
      <c r="A2567" t="s">
        <v>20</v>
      </c>
      <c r="B2567">
        <v>43</v>
      </c>
      <c r="C2567">
        <v>46</v>
      </c>
    </row>
    <row r="2568" spans="1:3" x14ac:dyDescent="0.25">
      <c r="A2568" t="s">
        <v>20</v>
      </c>
      <c r="B2568">
        <v>43</v>
      </c>
      <c r="C2568">
        <v>47</v>
      </c>
    </row>
    <row r="2569" spans="1:3" x14ac:dyDescent="0.25">
      <c r="A2569" t="s">
        <v>20</v>
      </c>
      <c r="B2569">
        <v>43</v>
      </c>
      <c r="C2569">
        <v>48</v>
      </c>
    </row>
    <row r="2570" spans="1:3" x14ac:dyDescent="0.25">
      <c r="A2570" t="s">
        <v>20</v>
      </c>
      <c r="B2570">
        <v>43</v>
      </c>
      <c r="C2570">
        <v>49</v>
      </c>
    </row>
    <row r="2571" spans="1:3" x14ac:dyDescent="0.25">
      <c r="A2571" t="s">
        <v>20</v>
      </c>
      <c r="B2571">
        <v>43</v>
      </c>
      <c r="C2571">
        <v>50</v>
      </c>
    </row>
    <row r="2572" spans="1:3" x14ac:dyDescent="0.25">
      <c r="A2572" t="s">
        <v>20</v>
      </c>
      <c r="B2572">
        <v>43</v>
      </c>
      <c r="C2572">
        <v>51</v>
      </c>
    </row>
    <row r="2573" spans="1:3" x14ac:dyDescent="0.25">
      <c r="A2573" t="s">
        <v>20</v>
      </c>
      <c r="B2573">
        <v>43</v>
      </c>
      <c r="C2573">
        <v>52</v>
      </c>
    </row>
    <row r="2574" spans="1:3" x14ac:dyDescent="0.25">
      <c r="A2574" t="s">
        <v>20</v>
      </c>
      <c r="B2574">
        <v>43</v>
      </c>
      <c r="C2574">
        <v>53</v>
      </c>
    </row>
    <row r="2575" spans="1:3" x14ac:dyDescent="0.25">
      <c r="A2575" t="s">
        <v>20</v>
      </c>
      <c r="B2575">
        <v>43</v>
      </c>
      <c r="C2575">
        <v>54</v>
      </c>
    </row>
    <row r="2576" spans="1:3" x14ac:dyDescent="0.25">
      <c r="A2576" t="s">
        <v>20</v>
      </c>
      <c r="B2576">
        <v>43</v>
      </c>
      <c r="C2576">
        <v>55</v>
      </c>
    </row>
    <row r="2577" spans="1:4" x14ac:dyDescent="0.25">
      <c r="A2577" t="s">
        <v>20</v>
      </c>
      <c r="B2577">
        <v>43</v>
      </c>
      <c r="C2577">
        <v>56</v>
      </c>
    </row>
    <row r="2578" spans="1:4" x14ac:dyDescent="0.25">
      <c r="A2578" t="s">
        <v>20</v>
      </c>
      <c r="B2578">
        <v>43</v>
      </c>
      <c r="C2578">
        <v>57</v>
      </c>
    </row>
    <row r="2579" spans="1:4" x14ac:dyDescent="0.25">
      <c r="A2579" t="s">
        <v>20</v>
      </c>
      <c r="B2579">
        <v>43</v>
      </c>
      <c r="C2579">
        <v>58</v>
      </c>
      <c r="D2579">
        <v>1</v>
      </c>
    </row>
    <row r="2580" spans="1:4" x14ac:dyDescent="0.25">
      <c r="A2580" t="s">
        <v>20</v>
      </c>
      <c r="B2580">
        <v>43</v>
      </c>
      <c r="C2580">
        <v>59</v>
      </c>
    </row>
    <row r="2581" spans="1:4" x14ac:dyDescent="0.25">
      <c r="A2581" t="s">
        <v>20</v>
      </c>
      <c r="B2581">
        <v>43</v>
      </c>
      <c r="C2581">
        <v>60</v>
      </c>
    </row>
    <row r="2582" spans="1:4" x14ac:dyDescent="0.25">
      <c r="A2582" t="s">
        <v>20</v>
      </c>
      <c r="B2582">
        <v>43</v>
      </c>
      <c r="C2582">
        <v>61</v>
      </c>
    </row>
    <row r="2583" spans="1:4" x14ac:dyDescent="0.25">
      <c r="A2583" t="s">
        <v>20</v>
      </c>
      <c r="B2583">
        <v>43</v>
      </c>
      <c r="C2583">
        <v>62</v>
      </c>
      <c r="D2583">
        <v>1</v>
      </c>
    </row>
    <row r="2584" spans="1:4" x14ac:dyDescent="0.25">
      <c r="A2584" t="s">
        <v>20</v>
      </c>
      <c r="B2584">
        <v>43</v>
      </c>
      <c r="C2584">
        <v>63</v>
      </c>
    </row>
    <row r="2585" spans="1:4" x14ac:dyDescent="0.25">
      <c r="A2585" t="s">
        <v>20</v>
      </c>
      <c r="B2585">
        <v>43</v>
      </c>
      <c r="C2585">
        <v>64</v>
      </c>
    </row>
    <row r="2586" spans="1:4" x14ac:dyDescent="0.25">
      <c r="A2586" t="s">
        <v>20</v>
      </c>
      <c r="B2586">
        <v>43</v>
      </c>
      <c r="C2586">
        <v>65</v>
      </c>
      <c r="D2586">
        <v>1</v>
      </c>
    </row>
    <row r="2587" spans="1:4" x14ac:dyDescent="0.25">
      <c r="A2587" t="s">
        <v>20</v>
      </c>
      <c r="B2587">
        <v>43</v>
      </c>
      <c r="C2587">
        <v>66</v>
      </c>
    </row>
    <row r="2588" spans="1:4" x14ac:dyDescent="0.25">
      <c r="A2588" t="s">
        <v>20</v>
      </c>
      <c r="B2588">
        <v>43</v>
      </c>
      <c r="C2588">
        <v>67</v>
      </c>
      <c r="D2588">
        <v>1</v>
      </c>
    </row>
    <row r="2589" spans="1:4" x14ac:dyDescent="0.25">
      <c r="A2589" t="s">
        <v>20</v>
      </c>
      <c r="B2589">
        <v>43</v>
      </c>
      <c r="C2589">
        <v>68</v>
      </c>
    </row>
    <row r="2590" spans="1:4" x14ac:dyDescent="0.25">
      <c r="A2590" t="s">
        <v>20</v>
      </c>
      <c r="B2590">
        <v>43</v>
      </c>
      <c r="C2590">
        <v>69</v>
      </c>
    </row>
    <row r="2591" spans="1:4" x14ac:dyDescent="0.25">
      <c r="A2591" t="s">
        <v>20</v>
      </c>
      <c r="B2591">
        <v>43</v>
      </c>
      <c r="C2591">
        <v>70</v>
      </c>
      <c r="D2591">
        <v>1</v>
      </c>
    </row>
    <row r="2592" spans="1:4" x14ac:dyDescent="0.25">
      <c r="A2592" t="s">
        <v>20</v>
      </c>
      <c r="B2592">
        <v>43</v>
      </c>
      <c r="C2592">
        <v>71</v>
      </c>
    </row>
    <row r="2593" spans="1:4" x14ac:dyDescent="0.25">
      <c r="A2593" t="s">
        <v>20</v>
      </c>
      <c r="B2593">
        <v>43</v>
      </c>
      <c r="C2593">
        <v>72</v>
      </c>
    </row>
    <row r="2594" spans="1:4" x14ac:dyDescent="0.25">
      <c r="A2594" t="s">
        <v>20</v>
      </c>
      <c r="B2594">
        <v>43</v>
      </c>
      <c r="C2594">
        <v>73</v>
      </c>
      <c r="D2594">
        <v>1</v>
      </c>
    </row>
    <row r="2595" spans="1:4" x14ac:dyDescent="0.25">
      <c r="A2595" t="s">
        <v>20</v>
      </c>
      <c r="B2595">
        <v>43</v>
      </c>
      <c r="C2595">
        <v>74</v>
      </c>
    </row>
    <row r="2596" spans="1:4" x14ac:dyDescent="0.25">
      <c r="A2596" t="s">
        <v>20</v>
      </c>
      <c r="B2596">
        <v>43</v>
      </c>
      <c r="C2596">
        <v>75</v>
      </c>
    </row>
    <row r="2597" spans="1:4" x14ac:dyDescent="0.25">
      <c r="A2597" t="s">
        <v>20</v>
      </c>
      <c r="B2597">
        <v>43</v>
      </c>
      <c r="C2597">
        <v>76</v>
      </c>
      <c r="D2597">
        <v>1</v>
      </c>
    </row>
    <row r="2598" spans="1:4" x14ac:dyDescent="0.25">
      <c r="A2598" t="s">
        <v>20</v>
      </c>
      <c r="B2598">
        <v>43</v>
      </c>
      <c r="C2598">
        <v>77</v>
      </c>
    </row>
    <row r="2599" spans="1:4" x14ac:dyDescent="0.25">
      <c r="A2599" t="s">
        <v>20</v>
      </c>
      <c r="B2599">
        <v>43</v>
      </c>
      <c r="C2599">
        <v>78</v>
      </c>
    </row>
    <row r="2600" spans="1:4" x14ac:dyDescent="0.25">
      <c r="A2600" t="s">
        <v>20</v>
      </c>
      <c r="B2600">
        <v>43</v>
      </c>
      <c r="C2600">
        <v>79</v>
      </c>
      <c r="D2600">
        <v>1</v>
      </c>
    </row>
    <row r="2601" spans="1:4" x14ac:dyDescent="0.25">
      <c r="A2601" t="s">
        <v>20</v>
      </c>
      <c r="B2601">
        <v>43</v>
      </c>
      <c r="C2601">
        <v>80</v>
      </c>
    </row>
    <row r="2602" spans="1:4" x14ac:dyDescent="0.25">
      <c r="A2602" t="s">
        <v>20</v>
      </c>
      <c r="B2602">
        <v>43</v>
      </c>
      <c r="C2602">
        <v>81</v>
      </c>
    </row>
    <row r="2603" spans="1:4" x14ac:dyDescent="0.25">
      <c r="A2603" t="s">
        <v>20</v>
      </c>
      <c r="B2603">
        <v>43</v>
      </c>
      <c r="C2603">
        <v>82</v>
      </c>
      <c r="D2603">
        <v>1</v>
      </c>
    </row>
    <row r="2604" spans="1:4" x14ac:dyDescent="0.25">
      <c r="A2604" t="s">
        <v>20</v>
      </c>
      <c r="B2604">
        <v>43</v>
      </c>
      <c r="C2604">
        <v>83</v>
      </c>
    </row>
    <row r="2605" spans="1:4" x14ac:dyDescent="0.25">
      <c r="A2605" t="s">
        <v>20</v>
      </c>
      <c r="B2605">
        <v>43</v>
      </c>
      <c r="C2605">
        <v>84</v>
      </c>
    </row>
    <row r="2606" spans="1:4" x14ac:dyDescent="0.25">
      <c r="A2606" t="s">
        <v>20</v>
      </c>
      <c r="B2606">
        <v>44</v>
      </c>
      <c r="C2606">
        <v>1</v>
      </c>
      <c r="D2606">
        <v>1</v>
      </c>
    </row>
    <row r="2607" spans="1:4" x14ac:dyDescent="0.25">
      <c r="A2607" t="s">
        <v>20</v>
      </c>
      <c r="B2607">
        <v>44</v>
      </c>
      <c r="C2607">
        <v>2</v>
      </c>
    </row>
    <row r="2608" spans="1:4" x14ac:dyDescent="0.25">
      <c r="A2608" t="s">
        <v>20</v>
      </c>
      <c r="B2608">
        <v>44</v>
      </c>
      <c r="C2608">
        <v>3</v>
      </c>
    </row>
    <row r="2609" spans="1:4" x14ac:dyDescent="0.25">
      <c r="A2609" t="s">
        <v>20</v>
      </c>
      <c r="B2609">
        <v>44</v>
      </c>
      <c r="C2609">
        <v>4</v>
      </c>
      <c r="D2609">
        <v>1</v>
      </c>
    </row>
    <row r="2610" spans="1:4" x14ac:dyDescent="0.25">
      <c r="A2610" t="s">
        <v>20</v>
      </c>
      <c r="B2610">
        <v>44</v>
      </c>
      <c r="C2610">
        <v>5</v>
      </c>
    </row>
    <row r="2611" spans="1:4" x14ac:dyDescent="0.25">
      <c r="A2611" t="s">
        <v>20</v>
      </c>
      <c r="B2611">
        <v>44</v>
      </c>
      <c r="C2611">
        <v>6</v>
      </c>
    </row>
    <row r="2612" spans="1:4" x14ac:dyDescent="0.25">
      <c r="A2612" t="s">
        <v>20</v>
      </c>
      <c r="B2612">
        <v>44</v>
      </c>
      <c r="C2612">
        <v>7</v>
      </c>
      <c r="D2612">
        <v>1</v>
      </c>
    </row>
    <row r="2613" spans="1:4" x14ac:dyDescent="0.25">
      <c r="A2613" t="s">
        <v>20</v>
      </c>
      <c r="B2613">
        <v>44</v>
      </c>
      <c r="C2613">
        <v>8</v>
      </c>
    </row>
    <row r="2614" spans="1:4" x14ac:dyDescent="0.25">
      <c r="A2614" t="s">
        <v>20</v>
      </c>
      <c r="B2614">
        <v>44</v>
      </c>
      <c r="C2614">
        <v>9</v>
      </c>
    </row>
    <row r="2615" spans="1:4" x14ac:dyDescent="0.25">
      <c r="A2615" t="s">
        <v>20</v>
      </c>
      <c r="B2615">
        <v>44</v>
      </c>
      <c r="C2615">
        <v>10</v>
      </c>
    </row>
    <row r="2616" spans="1:4" x14ac:dyDescent="0.25">
      <c r="A2616" t="s">
        <v>20</v>
      </c>
      <c r="B2616">
        <v>44</v>
      </c>
      <c r="C2616">
        <v>11</v>
      </c>
    </row>
    <row r="2617" spans="1:4" x14ac:dyDescent="0.25">
      <c r="A2617" t="s">
        <v>20</v>
      </c>
      <c r="B2617">
        <v>44</v>
      </c>
      <c r="C2617">
        <v>12</v>
      </c>
    </row>
    <row r="2618" spans="1:4" x14ac:dyDescent="0.25">
      <c r="A2618" t="s">
        <v>20</v>
      </c>
      <c r="B2618">
        <v>44</v>
      </c>
      <c r="C2618">
        <v>13</v>
      </c>
      <c r="D2618">
        <v>1</v>
      </c>
    </row>
    <row r="2619" spans="1:4" x14ac:dyDescent="0.25">
      <c r="A2619" t="s">
        <v>20</v>
      </c>
      <c r="B2619">
        <v>44</v>
      </c>
      <c r="C2619">
        <v>14</v>
      </c>
    </row>
    <row r="2620" spans="1:4" x14ac:dyDescent="0.25">
      <c r="A2620" t="s">
        <v>20</v>
      </c>
      <c r="B2620">
        <v>44</v>
      </c>
      <c r="C2620">
        <v>15</v>
      </c>
    </row>
    <row r="2621" spans="1:4" x14ac:dyDescent="0.25">
      <c r="A2621" t="s">
        <v>20</v>
      </c>
      <c r="B2621">
        <v>44</v>
      </c>
      <c r="C2621">
        <v>16</v>
      </c>
      <c r="D2621">
        <v>1</v>
      </c>
    </row>
    <row r="2622" spans="1:4" x14ac:dyDescent="0.25">
      <c r="A2622" t="s">
        <v>20</v>
      </c>
      <c r="B2622">
        <v>44</v>
      </c>
      <c r="C2622">
        <v>17</v>
      </c>
    </row>
    <row r="2623" spans="1:4" x14ac:dyDescent="0.25">
      <c r="A2623" t="s">
        <v>20</v>
      </c>
      <c r="B2623">
        <v>44</v>
      </c>
      <c r="C2623">
        <v>18</v>
      </c>
    </row>
    <row r="2624" spans="1:4" x14ac:dyDescent="0.25">
      <c r="A2624" t="s">
        <v>20</v>
      </c>
      <c r="B2624">
        <v>44</v>
      </c>
      <c r="C2624">
        <v>19</v>
      </c>
      <c r="D2624">
        <v>1</v>
      </c>
    </row>
    <row r="2625" spans="1:4" x14ac:dyDescent="0.25">
      <c r="A2625" t="s">
        <v>20</v>
      </c>
      <c r="B2625">
        <v>44</v>
      </c>
      <c r="C2625">
        <v>20</v>
      </c>
    </row>
    <row r="2626" spans="1:4" x14ac:dyDescent="0.25">
      <c r="A2626" t="s">
        <v>20</v>
      </c>
      <c r="B2626">
        <v>44</v>
      </c>
      <c r="C2626">
        <v>21</v>
      </c>
    </row>
    <row r="2627" spans="1:4" x14ac:dyDescent="0.25">
      <c r="A2627" t="s">
        <v>20</v>
      </c>
      <c r="B2627">
        <v>44</v>
      </c>
      <c r="C2627">
        <v>22</v>
      </c>
      <c r="D2627">
        <v>1</v>
      </c>
    </row>
    <row r="2628" spans="1:4" x14ac:dyDescent="0.25">
      <c r="A2628" t="s">
        <v>20</v>
      </c>
      <c r="B2628">
        <v>44</v>
      </c>
      <c r="C2628">
        <v>23</v>
      </c>
    </row>
    <row r="2629" spans="1:4" x14ac:dyDescent="0.25">
      <c r="A2629" t="s">
        <v>20</v>
      </c>
      <c r="B2629">
        <v>44</v>
      </c>
      <c r="C2629">
        <v>24</v>
      </c>
    </row>
    <row r="2630" spans="1:4" x14ac:dyDescent="0.25">
      <c r="A2630" t="s">
        <v>20</v>
      </c>
      <c r="B2630">
        <v>44</v>
      </c>
      <c r="C2630">
        <v>25</v>
      </c>
      <c r="D2630">
        <v>1</v>
      </c>
    </row>
    <row r="2631" spans="1:4" x14ac:dyDescent="0.25">
      <c r="A2631" t="s">
        <v>20</v>
      </c>
      <c r="B2631">
        <v>44</v>
      </c>
      <c r="C2631">
        <v>26</v>
      </c>
    </row>
    <row r="2632" spans="1:4" x14ac:dyDescent="0.25">
      <c r="A2632" t="s">
        <v>20</v>
      </c>
      <c r="B2632">
        <v>44</v>
      </c>
      <c r="C2632">
        <v>27</v>
      </c>
    </row>
    <row r="2633" spans="1:4" x14ac:dyDescent="0.25">
      <c r="A2633" t="s">
        <v>20</v>
      </c>
      <c r="B2633">
        <v>44</v>
      </c>
      <c r="C2633">
        <v>28</v>
      </c>
      <c r="D2633">
        <v>1</v>
      </c>
    </row>
    <row r="2634" spans="1:4" x14ac:dyDescent="0.25">
      <c r="A2634" t="s">
        <v>20</v>
      </c>
      <c r="B2634">
        <v>44</v>
      </c>
      <c r="C2634">
        <v>29</v>
      </c>
    </row>
    <row r="2635" spans="1:4" x14ac:dyDescent="0.25">
      <c r="A2635" t="s">
        <v>20</v>
      </c>
      <c r="B2635">
        <v>44</v>
      </c>
      <c r="C2635">
        <v>30</v>
      </c>
    </row>
    <row r="2636" spans="1:4" x14ac:dyDescent="0.25">
      <c r="A2636" t="s">
        <v>20</v>
      </c>
      <c r="B2636">
        <v>44</v>
      </c>
      <c r="C2636">
        <v>31</v>
      </c>
    </row>
    <row r="2637" spans="1:4" x14ac:dyDescent="0.25">
      <c r="A2637" t="s">
        <v>20</v>
      </c>
      <c r="B2637">
        <v>44</v>
      </c>
      <c r="C2637">
        <v>32</v>
      </c>
    </row>
    <row r="2638" spans="1:4" x14ac:dyDescent="0.25">
      <c r="A2638" t="s">
        <v>20</v>
      </c>
      <c r="B2638">
        <v>44</v>
      </c>
      <c r="C2638">
        <v>33</v>
      </c>
    </row>
    <row r="2639" spans="1:4" x14ac:dyDescent="0.25">
      <c r="A2639" t="s">
        <v>20</v>
      </c>
      <c r="B2639">
        <v>44</v>
      </c>
      <c r="C2639">
        <v>34</v>
      </c>
      <c r="D2639">
        <v>1</v>
      </c>
    </row>
    <row r="2640" spans="1:4" x14ac:dyDescent="0.25">
      <c r="A2640" t="s">
        <v>20</v>
      </c>
      <c r="B2640">
        <v>44</v>
      </c>
      <c r="C2640">
        <v>35</v>
      </c>
    </row>
    <row r="2641" spans="1:4" x14ac:dyDescent="0.25">
      <c r="A2641" t="s">
        <v>20</v>
      </c>
      <c r="B2641">
        <v>44</v>
      </c>
      <c r="C2641">
        <v>36</v>
      </c>
    </row>
    <row r="2642" spans="1:4" x14ac:dyDescent="0.25">
      <c r="A2642" t="s">
        <v>20</v>
      </c>
      <c r="B2642">
        <v>44</v>
      </c>
      <c r="C2642">
        <v>37</v>
      </c>
      <c r="D2642">
        <v>1</v>
      </c>
    </row>
    <row r="2643" spans="1:4" x14ac:dyDescent="0.25">
      <c r="A2643" t="s">
        <v>20</v>
      </c>
      <c r="B2643">
        <v>44</v>
      </c>
      <c r="C2643">
        <v>38</v>
      </c>
    </row>
    <row r="2644" spans="1:4" x14ac:dyDescent="0.25">
      <c r="A2644" t="s">
        <v>20</v>
      </c>
      <c r="B2644">
        <v>44</v>
      </c>
      <c r="C2644">
        <v>39</v>
      </c>
    </row>
    <row r="2645" spans="1:4" x14ac:dyDescent="0.25">
      <c r="A2645" t="s">
        <v>20</v>
      </c>
      <c r="B2645">
        <v>44</v>
      </c>
      <c r="C2645">
        <v>40</v>
      </c>
      <c r="D2645">
        <v>1</v>
      </c>
    </row>
    <row r="2646" spans="1:4" x14ac:dyDescent="0.25">
      <c r="A2646" t="s">
        <v>20</v>
      </c>
      <c r="B2646">
        <v>44</v>
      </c>
      <c r="C2646">
        <v>41</v>
      </c>
    </row>
    <row r="2647" spans="1:4" x14ac:dyDescent="0.25">
      <c r="A2647" t="s">
        <v>20</v>
      </c>
      <c r="B2647">
        <v>44</v>
      </c>
      <c r="C2647">
        <v>42</v>
      </c>
    </row>
    <row r="2648" spans="1:4" x14ac:dyDescent="0.25">
      <c r="A2648" t="s">
        <v>20</v>
      </c>
      <c r="B2648">
        <v>44</v>
      </c>
      <c r="C2648">
        <v>43</v>
      </c>
    </row>
    <row r="2649" spans="1:4" x14ac:dyDescent="0.25">
      <c r="A2649" t="s">
        <v>20</v>
      </c>
      <c r="B2649">
        <v>44</v>
      </c>
      <c r="C2649">
        <v>44</v>
      </c>
    </row>
    <row r="2650" spans="1:4" x14ac:dyDescent="0.25">
      <c r="A2650" t="s">
        <v>20</v>
      </c>
      <c r="B2650">
        <v>44</v>
      </c>
      <c r="C2650">
        <v>45</v>
      </c>
    </row>
    <row r="2651" spans="1:4" x14ac:dyDescent="0.25">
      <c r="A2651" t="s">
        <v>20</v>
      </c>
      <c r="B2651">
        <v>44</v>
      </c>
      <c r="C2651">
        <v>46</v>
      </c>
      <c r="D2651">
        <v>1</v>
      </c>
    </row>
    <row r="2652" spans="1:4" x14ac:dyDescent="0.25">
      <c r="A2652" t="s">
        <v>20</v>
      </c>
      <c r="B2652">
        <v>44</v>
      </c>
      <c r="C2652">
        <v>47</v>
      </c>
    </row>
    <row r="2653" spans="1:4" x14ac:dyDescent="0.25">
      <c r="A2653" t="s">
        <v>20</v>
      </c>
      <c r="B2653">
        <v>44</v>
      </c>
      <c r="C2653">
        <v>48</v>
      </c>
    </row>
    <row r="2654" spans="1:4" x14ac:dyDescent="0.25">
      <c r="A2654" t="s">
        <v>20</v>
      </c>
      <c r="B2654">
        <v>44</v>
      </c>
      <c r="C2654">
        <v>49</v>
      </c>
      <c r="D2654">
        <v>1</v>
      </c>
    </row>
    <row r="2655" spans="1:4" x14ac:dyDescent="0.25">
      <c r="A2655" t="s">
        <v>20</v>
      </c>
      <c r="B2655">
        <v>44</v>
      </c>
      <c r="C2655">
        <v>50</v>
      </c>
    </row>
    <row r="2656" spans="1:4" x14ac:dyDescent="0.25">
      <c r="A2656" t="s">
        <v>20</v>
      </c>
      <c r="B2656">
        <v>44</v>
      </c>
      <c r="C2656">
        <v>51</v>
      </c>
    </row>
    <row r="2657" spans="1:4" x14ac:dyDescent="0.25">
      <c r="A2657" t="s">
        <v>20</v>
      </c>
      <c r="B2657">
        <v>44</v>
      </c>
      <c r="C2657">
        <v>52</v>
      </c>
    </row>
    <row r="2658" spans="1:4" x14ac:dyDescent="0.25">
      <c r="A2658" t="s">
        <v>20</v>
      </c>
      <c r="B2658">
        <v>44</v>
      </c>
      <c r="C2658">
        <v>53</v>
      </c>
    </row>
    <row r="2659" spans="1:4" x14ac:dyDescent="0.25">
      <c r="A2659" t="s">
        <v>20</v>
      </c>
      <c r="B2659">
        <v>44</v>
      </c>
      <c r="C2659">
        <v>54</v>
      </c>
    </row>
    <row r="2660" spans="1:4" x14ac:dyDescent="0.25">
      <c r="A2660" t="s">
        <v>20</v>
      </c>
      <c r="B2660">
        <v>44</v>
      </c>
      <c r="C2660">
        <v>55</v>
      </c>
      <c r="D2660">
        <v>1</v>
      </c>
    </row>
    <row r="2661" spans="1:4" x14ac:dyDescent="0.25">
      <c r="A2661" t="s">
        <v>20</v>
      </c>
      <c r="B2661">
        <v>44</v>
      </c>
      <c r="C2661">
        <v>56</v>
      </c>
    </row>
    <row r="2662" spans="1:4" x14ac:dyDescent="0.25">
      <c r="A2662" t="s">
        <v>20</v>
      </c>
      <c r="B2662">
        <v>44</v>
      </c>
      <c r="C2662">
        <v>57</v>
      </c>
    </row>
    <row r="2663" spans="1:4" x14ac:dyDescent="0.25">
      <c r="A2663" t="s">
        <v>20</v>
      </c>
      <c r="B2663">
        <v>44</v>
      </c>
      <c r="C2663">
        <v>58</v>
      </c>
      <c r="D2663">
        <v>1</v>
      </c>
    </row>
    <row r="2664" spans="1:4" x14ac:dyDescent="0.25">
      <c r="A2664" t="s">
        <v>20</v>
      </c>
      <c r="B2664">
        <v>44</v>
      </c>
      <c r="C2664">
        <v>59</v>
      </c>
    </row>
    <row r="2665" spans="1:4" x14ac:dyDescent="0.25">
      <c r="A2665" t="s">
        <v>20</v>
      </c>
      <c r="B2665">
        <v>44</v>
      </c>
      <c r="C2665">
        <v>60</v>
      </c>
    </row>
    <row r="2666" spans="1:4" x14ac:dyDescent="0.25">
      <c r="A2666" t="s">
        <v>20</v>
      </c>
      <c r="B2666">
        <v>44</v>
      </c>
      <c r="C2666">
        <v>61</v>
      </c>
      <c r="D2666">
        <v>1</v>
      </c>
    </row>
    <row r="2667" spans="1:4" x14ac:dyDescent="0.25">
      <c r="A2667" t="s">
        <v>20</v>
      </c>
      <c r="B2667">
        <v>44</v>
      </c>
      <c r="C2667">
        <v>62</v>
      </c>
    </row>
    <row r="2668" spans="1:4" x14ac:dyDescent="0.25">
      <c r="A2668" t="s">
        <v>20</v>
      </c>
      <c r="B2668">
        <v>44</v>
      </c>
      <c r="C2668">
        <v>63</v>
      </c>
    </row>
    <row r="2669" spans="1:4" x14ac:dyDescent="0.25">
      <c r="A2669" t="s">
        <v>20</v>
      </c>
      <c r="B2669">
        <v>44</v>
      </c>
      <c r="C2669">
        <v>64</v>
      </c>
      <c r="D2669">
        <v>1</v>
      </c>
    </row>
    <row r="2670" spans="1:4" x14ac:dyDescent="0.25">
      <c r="A2670" t="s">
        <v>20</v>
      </c>
      <c r="B2670">
        <v>44</v>
      </c>
      <c r="C2670">
        <v>65</v>
      </c>
    </row>
    <row r="2671" spans="1:4" x14ac:dyDescent="0.25">
      <c r="A2671" t="s">
        <v>20</v>
      </c>
      <c r="B2671">
        <v>44</v>
      </c>
      <c r="C2671">
        <v>66</v>
      </c>
    </row>
    <row r="2672" spans="1:4" x14ac:dyDescent="0.25">
      <c r="A2672" t="s">
        <v>20</v>
      </c>
      <c r="B2672">
        <v>44</v>
      </c>
      <c r="C2672">
        <v>67</v>
      </c>
      <c r="D2672">
        <v>1</v>
      </c>
    </row>
    <row r="2673" spans="1:4" x14ac:dyDescent="0.25">
      <c r="A2673" t="s">
        <v>20</v>
      </c>
      <c r="B2673">
        <v>44</v>
      </c>
      <c r="C2673">
        <v>68</v>
      </c>
    </row>
    <row r="2674" spans="1:4" x14ac:dyDescent="0.25">
      <c r="A2674" t="s">
        <v>20</v>
      </c>
      <c r="B2674">
        <v>44</v>
      </c>
      <c r="C2674">
        <v>69</v>
      </c>
    </row>
    <row r="2675" spans="1:4" x14ac:dyDescent="0.25">
      <c r="A2675" t="s">
        <v>20</v>
      </c>
      <c r="B2675">
        <v>44</v>
      </c>
      <c r="C2675">
        <v>70</v>
      </c>
      <c r="D2675">
        <v>1</v>
      </c>
    </row>
    <row r="2676" spans="1:4" x14ac:dyDescent="0.25">
      <c r="A2676" t="s">
        <v>20</v>
      </c>
      <c r="B2676">
        <v>44</v>
      </c>
      <c r="C2676">
        <v>71</v>
      </c>
    </row>
    <row r="2677" spans="1:4" x14ac:dyDescent="0.25">
      <c r="A2677" t="s">
        <v>20</v>
      </c>
      <c r="B2677">
        <v>44</v>
      </c>
      <c r="C2677">
        <v>72</v>
      </c>
    </row>
    <row r="2678" spans="1:4" x14ac:dyDescent="0.25">
      <c r="A2678" t="s">
        <v>20</v>
      </c>
      <c r="B2678">
        <v>44</v>
      </c>
      <c r="C2678">
        <v>73</v>
      </c>
    </row>
    <row r="2679" spans="1:4" x14ac:dyDescent="0.25">
      <c r="A2679" t="s">
        <v>20</v>
      </c>
      <c r="B2679">
        <v>44</v>
      </c>
      <c r="C2679">
        <v>74</v>
      </c>
    </row>
    <row r="2680" spans="1:4" x14ac:dyDescent="0.25">
      <c r="A2680" t="s">
        <v>20</v>
      </c>
      <c r="B2680">
        <v>44</v>
      </c>
      <c r="C2680">
        <v>75</v>
      </c>
    </row>
    <row r="2681" spans="1:4" x14ac:dyDescent="0.25">
      <c r="A2681" t="s">
        <v>20</v>
      </c>
      <c r="B2681">
        <v>44</v>
      </c>
      <c r="C2681">
        <v>76</v>
      </c>
      <c r="D2681">
        <v>1</v>
      </c>
    </row>
    <row r="2682" spans="1:4" x14ac:dyDescent="0.25">
      <c r="A2682" t="s">
        <v>20</v>
      </c>
      <c r="B2682">
        <v>44</v>
      </c>
      <c r="C2682">
        <v>77</v>
      </c>
    </row>
    <row r="2683" spans="1:4" x14ac:dyDescent="0.25">
      <c r="A2683" t="s">
        <v>20</v>
      </c>
      <c r="B2683">
        <v>44</v>
      </c>
      <c r="C2683">
        <v>78</v>
      </c>
    </row>
    <row r="2684" spans="1:4" x14ac:dyDescent="0.25">
      <c r="A2684" t="s">
        <v>20</v>
      </c>
      <c r="B2684">
        <v>44</v>
      </c>
      <c r="C2684">
        <v>79</v>
      </c>
      <c r="D2684">
        <v>1</v>
      </c>
    </row>
    <row r="2685" spans="1:4" x14ac:dyDescent="0.25">
      <c r="A2685" t="s">
        <v>20</v>
      </c>
      <c r="B2685">
        <v>44</v>
      </c>
      <c r="C2685">
        <v>80</v>
      </c>
    </row>
    <row r="2686" spans="1:4" x14ac:dyDescent="0.25">
      <c r="A2686" t="s">
        <v>20</v>
      </c>
      <c r="B2686">
        <v>44</v>
      </c>
      <c r="C2686">
        <v>81</v>
      </c>
    </row>
    <row r="2687" spans="1:4" x14ac:dyDescent="0.25">
      <c r="A2687" t="s">
        <v>20</v>
      </c>
      <c r="B2687">
        <v>44</v>
      </c>
      <c r="C2687">
        <v>82</v>
      </c>
    </row>
    <row r="2688" spans="1:4" x14ac:dyDescent="0.25">
      <c r="A2688" t="s">
        <v>20</v>
      </c>
      <c r="B2688">
        <v>44</v>
      </c>
      <c r="C2688">
        <v>83</v>
      </c>
    </row>
    <row r="2689" spans="1:4" x14ac:dyDescent="0.25">
      <c r="A2689" t="s">
        <v>20</v>
      </c>
      <c r="B2689">
        <v>44</v>
      </c>
      <c r="C2689">
        <v>84</v>
      </c>
    </row>
    <row r="2690" spans="1:4" x14ac:dyDescent="0.25">
      <c r="A2690" t="s">
        <v>20</v>
      </c>
      <c r="B2690">
        <v>46</v>
      </c>
      <c r="C2690">
        <v>1</v>
      </c>
      <c r="D2690">
        <v>1</v>
      </c>
    </row>
    <row r="2691" spans="1:4" x14ac:dyDescent="0.25">
      <c r="A2691" t="s">
        <v>20</v>
      </c>
      <c r="B2691">
        <v>46</v>
      </c>
      <c r="C2691">
        <v>2</v>
      </c>
    </row>
    <row r="2692" spans="1:4" x14ac:dyDescent="0.25">
      <c r="A2692" t="s">
        <v>20</v>
      </c>
      <c r="B2692">
        <v>46</v>
      </c>
      <c r="C2692">
        <v>3</v>
      </c>
    </row>
    <row r="2693" spans="1:4" x14ac:dyDescent="0.25">
      <c r="A2693" t="s">
        <v>20</v>
      </c>
      <c r="B2693">
        <v>46</v>
      </c>
      <c r="C2693">
        <v>4</v>
      </c>
      <c r="D2693">
        <v>1</v>
      </c>
    </row>
    <row r="2694" spans="1:4" x14ac:dyDescent="0.25">
      <c r="A2694" t="s">
        <v>20</v>
      </c>
      <c r="B2694">
        <v>46</v>
      </c>
      <c r="C2694">
        <v>5</v>
      </c>
    </row>
    <row r="2695" spans="1:4" x14ac:dyDescent="0.25">
      <c r="A2695" t="s">
        <v>20</v>
      </c>
      <c r="B2695">
        <v>46</v>
      </c>
      <c r="C2695">
        <v>6</v>
      </c>
    </row>
    <row r="2696" spans="1:4" x14ac:dyDescent="0.25">
      <c r="A2696" t="s">
        <v>20</v>
      </c>
      <c r="B2696">
        <v>46</v>
      </c>
      <c r="C2696">
        <v>7</v>
      </c>
      <c r="D2696">
        <v>1</v>
      </c>
    </row>
    <row r="2697" spans="1:4" x14ac:dyDescent="0.25">
      <c r="A2697" t="s">
        <v>20</v>
      </c>
      <c r="B2697">
        <v>46</v>
      </c>
      <c r="C2697">
        <v>8</v>
      </c>
    </row>
    <row r="2698" spans="1:4" x14ac:dyDescent="0.25">
      <c r="A2698" t="s">
        <v>20</v>
      </c>
      <c r="B2698">
        <v>46</v>
      </c>
      <c r="C2698">
        <v>9</v>
      </c>
    </row>
    <row r="2699" spans="1:4" x14ac:dyDescent="0.25">
      <c r="A2699" t="s">
        <v>20</v>
      </c>
      <c r="B2699">
        <v>46</v>
      </c>
      <c r="C2699">
        <v>10</v>
      </c>
      <c r="D2699">
        <v>1</v>
      </c>
    </row>
    <row r="2700" spans="1:4" x14ac:dyDescent="0.25">
      <c r="A2700" t="s">
        <v>20</v>
      </c>
      <c r="B2700">
        <v>46</v>
      </c>
      <c r="C2700">
        <v>11</v>
      </c>
    </row>
    <row r="2701" spans="1:4" x14ac:dyDescent="0.25">
      <c r="A2701" t="s">
        <v>20</v>
      </c>
      <c r="B2701">
        <v>46</v>
      </c>
      <c r="C2701">
        <v>12</v>
      </c>
    </row>
    <row r="2702" spans="1:4" x14ac:dyDescent="0.25">
      <c r="A2702" t="s">
        <v>20</v>
      </c>
      <c r="B2702">
        <v>46</v>
      </c>
      <c r="C2702">
        <v>13</v>
      </c>
      <c r="D2702">
        <v>1</v>
      </c>
    </row>
    <row r="2703" spans="1:4" x14ac:dyDescent="0.25">
      <c r="A2703" t="s">
        <v>20</v>
      </c>
      <c r="B2703">
        <v>46</v>
      </c>
      <c r="C2703">
        <v>14</v>
      </c>
    </row>
    <row r="2704" spans="1:4" x14ac:dyDescent="0.25">
      <c r="A2704" t="s">
        <v>20</v>
      </c>
      <c r="B2704">
        <v>46</v>
      </c>
      <c r="C2704">
        <v>15</v>
      </c>
    </row>
    <row r="2705" spans="1:4" x14ac:dyDescent="0.25">
      <c r="A2705" t="s">
        <v>20</v>
      </c>
      <c r="B2705">
        <v>46</v>
      </c>
      <c r="C2705">
        <v>16</v>
      </c>
    </row>
    <row r="2706" spans="1:4" x14ac:dyDescent="0.25">
      <c r="A2706" t="s">
        <v>20</v>
      </c>
      <c r="B2706">
        <v>46</v>
      </c>
      <c r="C2706">
        <v>17</v>
      </c>
    </row>
    <row r="2707" spans="1:4" x14ac:dyDescent="0.25">
      <c r="A2707" t="s">
        <v>20</v>
      </c>
      <c r="B2707">
        <v>46</v>
      </c>
      <c r="C2707">
        <v>18</v>
      </c>
    </row>
    <row r="2708" spans="1:4" x14ac:dyDescent="0.25">
      <c r="A2708" t="s">
        <v>20</v>
      </c>
      <c r="B2708">
        <v>46</v>
      </c>
      <c r="C2708">
        <v>19</v>
      </c>
    </row>
    <row r="2709" spans="1:4" x14ac:dyDescent="0.25">
      <c r="A2709" t="s">
        <v>20</v>
      </c>
      <c r="B2709">
        <v>46</v>
      </c>
      <c r="C2709">
        <v>20</v>
      </c>
    </row>
    <row r="2710" spans="1:4" x14ac:dyDescent="0.25">
      <c r="A2710" t="s">
        <v>20</v>
      </c>
      <c r="B2710">
        <v>46</v>
      </c>
      <c r="C2710">
        <v>21</v>
      </c>
    </row>
    <row r="2711" spans="1:4" x14ac:dyDescent="0.25">
      <c r="A2711" t="s">
        <v>20</v>
      </c>
      <c r="B2711">
        <v>46</v>
      </c>
      <c r="C2711">
        <v>22</v>
      </c>
      <c r="D2711">
        <v>1</v>
      </c>
    </row>
    <row r="2712" spans="1:4" x14ac:dyDescent="0.25">
      <c r="A2712" t="s">
        <v>20</v>
      </c>
      <c r="B2712">
        <v>46</v>
      </c>
      <c r="C2712">
        <v>23</v>
      </c>
    </row>
    <row r="2713" spans="1:4" x14ac:dyDescent="0.25">
      <c r="A2713" t="s">
        <v>20</v>
      </c>
      <c r="B2713">
        <v>46</v>
      </c>
      <c r="C2713">
        <v>24</v>
      </c>
    </row>
    <row r="2714" spans="1:4" x14ac:dyDescent="0.25">
      <c r="A2714" t="s">
        <v>20</v>
      </c>
      <c r="B2714">
        <v>46</v>
      </c>
      <c r="C2714">
        <v>25</v>
      </c>
    </row>
    <row r="2715" spans="1:4" x14ac:dyDescent="0.25">
      <c r="A2715" t="s">
        <v>20</v>
      </c>
      <c r="B2715">
        <v>46</v>
      </c>
      <c r="C2715">
        <v>26</v>
      </c>
    </row>
    <row r="2716" spans="1:4" x14ac:dyDescent="0.25">
      <c r="A2716" t="s">
        <v>20</v>
      </c>
      <c r="B2716">
        <v>46</v>
      </c>
      <c r="C2716">
        <v>27</v>
      </c>
    </row>
    <row r="2717" spans="1:4" x14ac:dyDescent="0.25">
      <c r="A2717" t="s">
        <v>20</v>
      </c>
      <c r="B2717">
        <v>46</v>
      </c>
      <c r="C2717">
        <v>28</v>
      </c>
      <c r="D2717">
        <v>1</v>
      </c>
    </row>
    <row r="2718" spans="1:4" x14ac:dyDescent="0.25">
      <c r="A2718" t="s">
        <v>20</v>
      </c>
      <c r="B2718">
        <v>46</v>
      </c>
      <c r="C2718">
        <v>29</v>
      </c>
    </row>
    <row r="2719" spans="1:4" x14ac:dyDescent="0.25">
      <c r="A2719" t="s">
        <v>20</v>
      </c>
      <c r="B2719">
        <v>46</v>
      </c>
      <c r="C2719">
        <v>30</v>
      </c>
    </row>
    <row r="2720" spans="1:4" x14ac:dyDescent="0.25">
      <c r="A2720" t="s">
        <v>20</v>
      </c>
      <c r="B2720">
        <v>46</v>
      </c>
      <c r="C2720">
        <v>31</v>
      </c>
      <c r="D2720">
        <v>1</v>
      </c>
    </row>
    <row r="2721" spans="1:4" x14ac:dyDescent="0.25">
      <c r="A2721" t="s">
        <v>20</v>
      </c>
      <c r="B2721">
        <v>46</v>
      </c>
      <c r="C2721">
        <v>32</v>
      </c>
    </row>
    <row r="2722" spans="1:4" x14ac:dyDescent="0.25">
      <c r="A2722" t="s">
        <v>20</v>
      </c>
      <c r="B2722">
        <v>46</v>
      </c>
      <c r="C2722">
        <v>33</v>
      </c>
    </row>
    <row r="2723" spans="1:4" x14ac:dyDescent="0.25">
      <c r="A2723" t="s">
        <v>20</v>
      </c>
      <c r="B2723">
        <v>46</v>
      </c>
      <c r="C2723">
        <v>34</v>
      </c>
      <c r="D2723">
        <v>1</v>
      </c>
    </row>
    <row r="2724" spans="1:4" x14ac:dyDescent="0.25">
      <c r="A2724" t="s">
        <v>20</v>
      </c>
      <c r="B2724">
        <v>46</v>
      </c>
      <c r="C2724">
        <v>35</v>
      </c>
    </row>
    <row r="2725" spans="1:4" x14ac:dyDescent="0.25">
      <c r="A2725" t="s">
        <v>20</v>
      </c>
      <c r="B2725">
        <v>46</v>
      </c>
      <c r="C2725">
        <v>36</v>
      </c>
    </row>
    <row r="2726" spans="1:4" x14ac:dyDescent="0.25">
      <c r="A2726" t="s">
        <v>20</v>
      </c>
      <c r="B2726">
        <v>46</v>
      </c>
      <c r="C2726">
        <v>37</v>
      </c>
    </row>
    <row r="2727" spans="1:4" x14ac:dyDescent="0.25">
      <c r="A2727" t="s">
        <v>20</v>
      </c>
      <c r="B2727">
        <v>46</v>
      </c>
      <c r="C2727">
        <v>38</v>
      </c>
    </row>
    <row r="2728" spans="1:4" x14ac:dyDescent="0.25">
      <c r="A2728" t="s">
        <v>20</v>
      </c>
      <c r="B2728">
        <v>46</v>
      </c>
      <c r="C2728">
        <v>39</v>
      </c>
    </row>
    <row r="2729" spans="1:4" x14ac:dyDescent="0.25">
      <c r="A2729" t="s">
        <v>20</v>
      </c>
      <c r="B2729">
        <v>46</v>
      </c>
      <c r="C2729">
        <v>40</v>
      </c>
    </row>
    <row r="2730" spans="1:4" x14ac:dyDescent="0.25">
      <c r="A2730" t="s">
        <v>20</v>
      </c>
      <c r="B2730">
        <v>46</v>
      </c>
      <c r="C2730">
        <v>41</v>
      </c>
    </row>
    <row r="2731" spans="1:4" x14ac:dyDescent="0.25">
      <c r="A2731" t="s">
        <v>20</v>
      </c>
      <c r="B2731">
        <v>46</v>
      </c>
      <c r="C2731">
        <v>42</v>
      </c>
    </row>
    <row r="2732" spans="1:4" x14ac:dyDescent="0.25">
      <c r="A2732" t="s">
        <v>20</v>
      </c>
      <c r="B2732">
        <v>46</v>
      </c>
      <c r="C2732">
        <v>43</v>
      </c>
    </row>
    <row r="2733" spans="1:4" x14ac:dyDescent="0.25">
      <c r="A2733" t="s">
        <v>20</v>
      </c>
      <c r="B2733">
        <v>46</v>
      </c>
      <c r="C2733">
        <v>44</v>
      </c>
    </row>
    <row r="2734" spans="1:4" x14ac:dyDescent="0.25">
      <c r="A2734" t="s">
        <v>20</v>
      </c>
      <c r="B2734">
        <v>46</v>
      </c>
      <c r="C2734">
        <v>45</v>
      </c>
    </row>
    <row r="2735" spans="1:4" x14ac:dyDescent="0.25">
      <c r="A2735" t="s">
        <v>20</v>
      </c>
      <c r="B2735">
        <v>46</v>
      </c>
      <c r="C2735">
        <v>46</v>
      </c>
      <c r="D2735">
        <v>1</v>
      </c>
    </row>
    <row r="2736" spans="1:4" x14ac:dyDescent="0.25">
      <c r="A2736" t="s">
        <v>20</v>
      </c>
      <c r="B2736">
        <v>46</v>
      </c>
      <c r="C2736">
        <v>47</v>
      </c>
    </row>
    <row r="2737" spans="1:4" x14ac:dyDescent="0.25">
      <c r="A2737" t="s">
        <v>20</v>
      </c>
      <c r="B2737">
        <v>46</v>
      </c>
      <c r="C2737">
        <v>48</v>
      </c>
    </row>
    <row r="2738" spans="1:4" x14ac:dyDescent="0.25">
      <c r="A2738" t="s">
        <v>20</v>
      </c>
      <c r="B2738">
        <v>46</v>
      </c>
      <c r="C2738">
        <v>49</v>
      </c>
      <c r="D2738">
        <v>1</v>
      </c>
    </row>
    <row r="2739" spans="1:4" x14ac:dyDescent="0.25">
      <c r="A2739" t="s">
        <v>20</v>
      </c>
      <c r="B2739">
        <v>46</v>
      </c>
      <c r="C2739">
        <v>50</v>
      </c>
    </row>
    <row r="2740" spans="1:4" x14ac:dyDescent="0.25">
      <c r="A2740" t="s">
        <v>20</v>
      </c>
      <c r="B2740">
        <v>46</v>
      </c>
      <c r="C2740">
        <v>51</v>
      </c>
    </row>
    <row r="2741" spans="1:4" x14ac:dyDescent="0.25">
      <c r="A2741" t="s">
        <v>20</v>
      </c>
      <c r="B2741">
        <v>46</v>
      </c>
      <c r="C2741">
        <v>52</v>
      </c>
      <c r="D2741">
        <v>1</v>
      </c>
    </row>
    <row r="2742" spans="1:4" x14ac:dyDescent="0.25">
      <c r="A2742" t="s">
        <v>20</v>
      </c>
      <c r="B2742">
        <v>46</v>
      </c>
      <c r="C2742">
        <v>53</v>
      </c>
    </row>
    <row r="2743" spans="1:4" x14ac:dyDescent="0.25">
      <c r="A2743" t="s">
        <v>20</v>
      </c>
      <c r="B2743">
        <v>46</v>
      </c>
      <c r="C2743">
        <v>54</v>
      </c>
    </row>
    <row r="2744" spans="1:4" x14ac:dyDescent="0.25">
      <c r="A2744" t="s">
        <v>20</v>
      </c>
      <c r="B2744">
        <v>46</v>
      </c>
      <c r="C2744">
        <v>55</v>
      </c>
      <c r="D2744">
        <v>1</v>
      </c>
    </row>
    <row r="2745" spans="1:4" x14ac:dyDescent="0.25">
      <c r="A2745" t="s">
        <v>20</v>
      </c>
      <c r="B2745">
        <v>46</v>
      </c>
      <c r="C2745">
        <v>56</v>
      </c>
    </row>
    <row r="2746" spans="1:4" x14ac:dyDescent="0.25">
      <c r="A2746" t="s">
        <v>20</v>
      </c>
      <c r="B2746">
        <v>46</v>
      </c>
      <c r="C2746">
        <v>57</v>
      </c>
    </row>
    <row r="2747" spans="1:4" x14ac:dyDescent="0.25">
      <c r="A2747" t="s">
        <v>20</v>
      </c>
      <c r="B2747">
        <v>46</v>
      </c>
      <c r="C2747">
        <v>58</v>
      </c>
    </row>
    <row r="2748" spans="1:4" x14ac:dyDescent="0.25">
      <c r="A2748" t="s">
        <v>20</v>
      </c>
      <c r="B2748">
        <v>46</v>
      </c>
      <c r="C2748">
        <v>59</v>
      </c>
    </row>
    <row r="2749" spans="1:4" x14ac:dyDescent="0.25">
      <c r="A2749" t="s">
        <v>20</v>
      </c>
      <c r="B2749">
        <v>46</v>
      </c>
      <c r="C2749">
        <v>60</v>
      </c>
    </row>
    <row r="2750" spans="1:4" x14ac:dyDescent="0.25">
      <c r="A2750" t="s">
        <v>20</v>
      </c>
      <c r="B2750">
        <v>46</v>
      </c>
      <c r="C2750">
        <v>61</v>
      </c>
    </row>
    <row r="2751" spans="1:4" x14ac:dyDescent="0.25">
      <c r="A2751" t="s">
        <v>20</v>
      </c>
      <c r="B2751">
        <v>46</v>
      </c>
      <c r="C2751">
        <v>62</v>
      </c>
    </row>
    <row r="2752" spans="1:4" x14ac:dyDescent="0.25">
      <c r="A2752" t="s">
        <v>20</v>
      </c>
      <c r="B2752">
        <v>46</v>
      </c>
      <c r="C2752">
        <v>63</v>
      </c>
    </row>
    <row r="2753" spans="1:4" x14ac:dyDescent="0.25">
      <c r="A2753" t="s">
        <v>20</v>
      </c>
      <c r="B2753">
        <v>46</v>
      </c>
      <c r="C2753">
        <v>64</v>
      </c>
    </row>
    <row r="2754" spans="1:4" x14ac:dyDescent="0.25">
      <c r="A2754" t="s">
        <v>20</v>
      </c>
      <c r="B2754">
        <v>46</v>
      </c>
      <c r="C2754">
        <v>65</v>
      </c>
    </row>
    <row r="2755" spans="1:4" x14ac:dyDescent="0.25">
      <c r="A2755" t="s">
        <v>20</v>
      </c>
      <c r="B2755">
        <v>46</v>
      </c>
      <c r="C2755">
        <v>66</v>
      </c>
    </row>
    <row r="2756" spans="1:4" x14ac:dyDescent="0.25">
      <c r="A2756" t="s">
        <v>20</v>
      </c>
      <c r="B2756">
        <v>46</v>
      </c>
      <c r="C2756">
        <v>67</v>
      </c>
      <c r="D2756">
        <v>1</v>
      </c>
    </row>
    <row r="2757" spans="1:4" x14ac:dyDescent="0.25">
      <c r="A2757" t="s">
        <v>20</v>
      </c>
      <c r="B2757">
        <v>46</v>
      </c>
      <c r="C2757">
        <v>68</v>
      </c>
    </row>
    <row r="2758" spans="1:4" x14ac:dyDescent="0.25">
      <c r="A2758" t="s">
        <v>20</v>
      </c>
      <c r="B2758">
        <v>46</v>
      </c>
      <c r="C2758">
        <v>69</v>
      </c>
    </row>
    <row r="2759" spans="1:4" x14ac:dyDescent="0.25">
      <c r="A2759" t="s">
        <v>20</v>
      </c>
      <c r="B2759">
        <v>46</v>
      </c>
      <c r="C2759">
        <v>70</v>
      </c>
      <c r="D2759">
        <v>1</v>
      </c>
    </row>
    <row r="2760" spans="1:4" x14ac:dyDescent="0.25">
      <c r="A2760" t="s">
        <v>20</v>
      </c>
      <c r="B2760">
        <v>46</v>
      </c>
      <c r="C2760">
        <v>71</v>
      </c>
    </row>
    <row r="2761" spans="1:4" x14ac:dyDescent="0.25">
      <c r="A2761" t="s">
        <v>20</v>
      </c>
      <c r="B2761">
        <v>46</v>
      </c>
      <c r="C2761">
        <v>72</v>
      </c>
    </row>
    <row r="2762" spans="1:4" x14ac:dyDescent="0.25">
      <c r="A2762" t="s">
        <v>20</v>
      </c>
      <c r="B2762">
        <v>46</v>
      </c>
      <c r="C2762">
        <v>73</v>
      </c>
      <c r="D2762">
        <v>1</v>
      </c>
    </row>
    <row r="2763" spans="1:4" x14ac:dyDescent="0.25">
      <c r="A2763" t="s">
        <v>20</v>
      </c>
      <c r="B2763">
        <v>46</v>
      </c>
      <c r="C2763">
        <v>74</v>
      </c>
    </row>
    <row r="2764" spans="1:4" x14ac:dyDescent="0.25">
      <c r="A2764" t="s">
        <v>20</v>
      </c>
      <c r="B2764">
        <v>46</v>
      </c>
      <c r="C2764">
        <v>75</v>
      </c>
    </row>
    <row r="2765" spans="1:4" x14ac:dyDescent="0.25">
      <c r="A2765" t="s">
        <v>20</v>
      </c>
      <c r="B2765">
        <v>46</v>
      </c>
      <c r="C2765">
        <v>76</v>
      </c>
      <c r="D2765">
        <v>1</v>
      </c>
    </row>
    <row r="2766" spans="1:4" x14ac:dyDescent="0.25">
      <c r="A2766" t="s">
        <v>20</v>
      </c>
      <c r="B2766">
        <v>46</v>
      </c>
      <c r="C2766">
        <v>77</v>
      </c>
    </row>
    <row r="2767" spans="1:4" x14ac:dyDescent="0.25">
      <c r="A2767" t="s">
        <v>20</v>
      </c>
      <c r="B2767">
        <v>46</v>
      </c>
      <c r="C2767">
        <v>78</v>
      </c>
    </row>
    <row r="2768" spans="1:4" x14ac:dyDescent="0.25">
      <c r="A2768" t="s">
        <v>20</v>
      </c>
      <c r="B2768">
        <v>46</v>
      </c>
      <c r="C2768">
        <v>79</v>
      </c>
    </row>
    <row r="2769" spans="1:4" x14ac:dyDescent="0.25">
      <c r="A2769" t="s">
        <v>20</v>
      </c>
      <c r="B2769">
        <v>46</v>
      </c>
      <c r="C2769">
        <v>80</v>
      </c>
    </row>
    <row r="2770" spans="1:4" x14ac:dyDescent="0.25">
      <c r="A2770" t="s">
        <v>20</v>
      </c>
      <c r="B2770">
        <v>46</v>
      </c>
      <c r="C2770">
        <v>81</v>
      </c>
    </row>
    <row r="2771" spans="1:4" x14ac:dyDescent="0.25">
      <c r="A2771" t="s">
        <v>20</v>
      </c>
      <c r="B2771">
        <v>46</v>
      </c>
      <c r="C2771">
        <v>82</v>
      </c>
    </row>
    <row r="2772" spans="1:4" x14ac:dyDescent="0.25">
      <c r="A2772" t="s">
        <v>20</v>
      </c>
      <c r="B2772">
        <v>46</v>
      </c>
      <c r="C2772">
        <v>83</v>
      </c>
    </row>
    <row r="2773" spans="1:4" x14ac:dyDescent="0.25">
      <c r="A2773" t="s">
        <v>20</v>
      </c>
      <c r="B2773">
        <v>46</v>
      </c>
      <c r="C2773">
        <v>84</v>
      </c>
    </row>
    <row r="2774" spans="1:4" x14ac:dyDescent="0.25">
      <c r="A2774" t="s">
        <v>20</v>
      </c>
      <c r="B2774">
        <v>49</v>
      </c>
      <c r="C2774">
        <v>1</v>
      </c>
      <c r="D2774">
        <v>1</v>
      </c>
    </row>
    <row r="2775" spans="1:4" x14ac:dyDescent="0.25">
      <c r="A2775" t="s">
        <v>20</v>
      </c>
      <c r="B2775">
        <v>49</v>
      </c>
      <c r="C2775">
        <v>2</v>
      </c>
    </row>
    <row r="2776" spans="1:4" x14ac:dyDescent="0.25">
      <c r="A2776" t="s">
        <v>20</v>
      </c>
      <c r="B2776">
        <v>49</v>
      </c>
      <c r="C2776">
        <v>3</v>
      </c>
    </row>
    <row r="2777" spans="1:4" x14ac:dyDescent="0.25">
      <c r="A2777" t="s">
        <v>20</v>
      </c>
      <c r="B2777">
        <v>49</v>
      </c>
      <c r="C2777">
        <v>4</v>
      </c>
    </row>
    <row r="2778" spans="1:4" x14ac:dyDescent="0.25">
      <c r="A2778" t="s">
        <v>20</v>
      </c>
      <c r="B2778">
        <v>49</v>
      </c>
      <c r="C2778">
        <v>5</v>
      </c>
    </row>
    <row r="2779" spans="1:4" x14ac:dyDescent="0.25">
      <c r="A2779" t="s">
        <v>20</v>
      </c>
      <c r="B2779">
        <v>49</v>
      </c>
      <c r="C2779">
        <v>6</v>
      </c>
    </row>
    <row r="2780" spans="1:4" x14ac:dyDescent="0.25">
      <c r="A2780" t="s">
        <v>20</v>
      </c>
      <c r="B2780">
        <v>49</v>
      </c>
      <c r="C2780">
        <v>7</v>
      </c>
    </row>
    <row r="2781" spans="1:4" x14ac:dyDescent="0.25">
      <c r="A2781" t="s">
        <v>20</v>
      </c>
      <c r="B2781">
        <v>49</v>
      </c>
      <c r="C2781">
        <v>8</v>
      </c>
    </row>
    <row r="2782" spans="1:4" x14ac:dyDescent="0.25">
      <c r="A2782" t="s">
        <v>20</v>
      </c>
      <c r="B2782">
        <v>49</v>
      </c>
      <c r="C2782">
        <v>9</v>
      </c>
    </row>
    <row r="2783" spans="1:4" x14ac:dyDescent="0.25">
      <c r="A2783" t="s">
        <v>20</v>
      </c>
      <c r="B2783">
        <v>49</v>
      </c>
      <c r="C2783">
        <v>10</v>
      </c>
      <c r="D2783">
        <v>1</v>
      </c>
    </row>
    <row r="2784" spans="1:4" x14ac:dyDescent="0.25">
      <c r="A2784" t="s">
        <v>20</v>
      </c>
      <c r="B2784">
        <v>49</v>
      </c>
      <c r="C2784">
        <v>11</v>
      </c>
    </row>
    <row r="2785" spans="1:4" x14ac:dyDescent="0.25">
      <c r="A2785" t="s">
        <v>20</v>
      </c>
      <c r="B2785">
        <v>49</v>
      </c>
      <c r="C2785">
        <v>12</v>
      </c>
    </row>
    <row r="2786" spans="1:4" x14ac:dyDescent="0.25">
      <c r="A2786" t="s">
        <v>20</v>
      </c>
      <c r="B2786">
        <v>49</v>
      </c>
      <c r="C2786">
        <v>13</v>
      </c>
    </row>
    <row r="2787" spans="1:4" x14ac:dyDescent="0.25">
      <c r="A2787" t="s">
        <v>20</v>
      </c>
      <c r="B2787">
        <v>49</v>
      </c>
      <c r="C2787">
        <v>14</v>
      </c>
    </row>
    <row r="2788" spans="1:4" x14ac:dyDescent="0.25">
      <c r="A2788" t="s">
        <v>20</v>
      </c>
      <c r="B2788">
        <v>49</v>
      </c>
      <c r="C2788">
        <v>15</v>
      </c>
    </row>
    <row r="2789" spans="1:4" x14ac:dyDescent="0.25">
      <c r="A2789" t="s">
        <v>20</v>
      </c>
      <c r="B2789">
        <v>49</v>
      </c>
      <c r="C2789">
        <v>16</v>
      </c>
    </row>
    <row r="2790" spans="1:4" x14ac:dyDescent="0.25">
      <c r="A2790" t="s">
        <v>20</v>
      </c>
      <c r="B2790">
        <v>49</v>
      </c>
      <c r="C2790">
        <v>17</v>
      </c>
    </row>
    <row r="2791" spans="1:4" x14ac:dyDescent="0.25">
      <c r="A2791" t="s">
        <v>20</v>
      </c>
      <c r="B2791">
        <v>49</v>
      </c>
      <c r="C2791">
        <v>18</v>
      </c>
    </row>
    <row r="2792" spans="1:4" x14ac:dyDescent="0.25">
      <c r="A2792" t="s">
        <v>20</v>
      </c>
      <c r="B2792">
        <v>49</v>
      </c>
      <c r="C2792">
        <v>19</v>
      </c>
    </row>
    <row r="2793" spans="1:4" x14ac:dyDescent="0.25">
      <c r="A2793" t="s">
        <v>20</v>
      </c>
      <c r="B2793">
        <v>49</v>
      </c>
      <c r="C2793">
        <v>20</v>
      </c>
    </row>
    <row r="2794" spans="1:4" x14ac:dyDescent="0.25">
      <c r="A2794" t="s">
        <v>20</v>
      </c>
      <c r="B2794">
        <v>49</v>
      </c>
      <c r="C2794">
        <v>21</v>
      </c>
    </row>
    <row r="2795" spans="1:4" x14ac:dyDescent="0.25">
      <c r="A2795" t="s">
        <v>20</v>
      </c>
      <c r="B2795">
        <v>49</v>
      </c>
      <c r="C2795">
        <v>22</v>
      </c>
      <c r="D2795">
        <v>1</v>
      </c>
    </row>
    <row r="2796" spans="1:4" x14ac:dyDescent="0.25">
      <c r="A2796" t="s">
        <v>20</v>
      </c>
      <c r="B2796">
        <v>49</v>
      </c>
      <c r="C2796">
        <v>23</v>
      </c>
    </row>
    <row r="2797" spans="1:4" x14ac:dyDescent="0.25">
      <c r="A2797" t="s">
        <v>20</v>
      </c>
      <c r="B2797">
        <v>49</v>
      </c>
      <c r="C2797">
        <v>24</v>
      </c>
    </row>
    <row r="2798" spans="1:4" x14ac:dyDescent="0.25">
      <c r="A2798" t="s">
        <v>20</v>
      </c>
      <c r="B2798">
        <v>49</v>
      </c>
      <c r="C2798">
        <v>25</v>
      </c>
      <c r="D2798">
        <v>1</v>
      </c>
    </row>
    <row r="2799" spans="1:4" x14ac:dyDescent="0.25">
      <c r="A2799" t="s">
        <v>20</v>
      </c>
      <c r="B2799">
        <v>49</v>
      </c>
      <c r="C2799">
        <v>26</v>
      </c>
    </row>
    <row r="2800" spans="1:4" x14ac:dyDescent="0.25">
      <c r="A2800" t="s">
        <v>20</v>
      </c>
      <c r="B2800">
        <v>49</v>
      </c>
      <c r="C2800">
        <v>27</v>
      </c>
    </row>
    <row r="2801" spans="1:4" x14ac:dyDescent="0.25">
      <c r="A2801" t="s">
        <v>20</v>
      </c>
      <c r="B2801">
        <v>49</v>
      </c>
      <c r="C2801">
        <v>28</v>
      </c>
      <c r="D2801">
        <v>1</v>
      </c>
    </row>
    <row r="2802" spans="1:4" x14ac:dyDescent="0.25">
      <c r="A2802" t="s">
        <v>20</v>
      </c>
      <c r="B2802">
        <v>49</v>
      </c>
      <c r="C2802">
        <v>29</v>
      </c>
    </row>
    <row r="2803" spans="1:4" x14ac:dyDescent="0.25">
      <c r="A2803" t="s">
        <v>20</v>
      </c>
      <c r="B2803">
        <v>49</v>
      </c>
      <c r="C2803">
        <v>30</v>
      </c>
    </row>
    <row r="2804" spans="1:4" x14ac:dyDescent="0.25">
      <c r="A2804" t="s">
        <v>20</v>
      </c>
      <c r="B2804">
        <v>49</v>
      </c>
      <c r="C2804">
        <v>31</v>
      </c>
      <c r="D2804">
        <v>1</v>
      </c>
    </row>
    <row r="2805" spans="1:4" x14ac:dyDescent="0.25">
      <c r="A2805" t="s">
        <v>20</v>
      </c>
      <c r="B2805">
        <v>49</v>
      </c>
      <c r="C2805">
        <v>32</v>
      </c>
    </row>
    <row r="2806" spans="1:4" x14ac:dyDescent="0.25">
      <c r="A2806" t="s">
        <v>20</v>
      </c>
      <c r="B2806">
        <v>49</v>
      </c>
      <c r="C2806">
        <v>33</v>
      </c>
    </row>
    <row r="2807" spans="1:4" x14ac:dyDescent="0.25">
      <c r="A2807" t="s">
        <v>20</v>
      </c>
      <c r="B2807">
        <v>49</v>
      </c>
      <c r="C2807">
        <v>34</v>
      </c>
    </row>
    <row r="2808" spans="1:4" x14ac:dyDescent="0.25">
      <c r="A2808" t="s">
        <v>20</v>
      </c>
      <c r="B2808">
        <v>49</v>
      </c>
      <c r="C2808">
        <v>35</v>
      </c>
    </row>
    <row r="2809" spans="1:4" x14ac:dyDescent="0.25">
      <c r="A2809" t="s">
        <v>20</v>
      </c>
      <c r="B2809">
        <v>49</v>
      </c>
      <c r="C2809">
        <v>36</v>
      </c>
    </row>
    <row r="2810" spans="1:4" x14ac:dyDescent="0.25">
      <c r="A2810" t="s">
        <v>20</v>
      </c>
      <c r="B2810">
        <v>49</v>
      </c>
      <c r="C2810">
        <v>37</v>
      </c>
    </row>
    <row r="2811" spans="1:4" x14ac:dyDescent="0.25">
      <c r="A2811" t="s">
        <v>20</v>
      </c>
      <c r="B2811">
        <v>49</v>
      </c>
      <c r="C2811">
        <v>38</v>
      </c>
    </row>
    <row r="2812" spans="1:4" x14ac:dyDescent="0.25">
      <c r="A2812" t="s">
        <v>20</v>
      </c>
      <c r="B2812">
        <v>49</v>
      </c>
      <c r="C2812">
        <v>39</v>
      </c>
    </row>
    <row r="2813" spans="1:4" x14ac:dyDescent="0.25">
      <c r="A2813" t="s">
        <v>20</v>
      </c>
      <c r="B2813">
        <v>49</v>
      </c>
      <c r="C2813">
        <v>40</v>
      </c>
    </row>
    <row r="2814" spans="1:4" x14ac:dyDescent="0.25">
      <c r="A2814" t="s">
        <v>20</v>
      </c>
      <c r="B2814">
        <v>49</v>
      </c>
      <c r="C2814">
        <v>41</v>
      </c>
    </row>
    <row r="2815" spans="1:4" x14ac:dyDescent="0.25">
      <c r="A2815" t="s">
        <v>20</v>
      </c>
      <c r="B2815">
        <v>49</v>
      </c>
      <c r="C2815">
        <v>42</v>
      </c>
    </row>
    <row r="2816" spans="1:4" x14ac:dyDescent="0.25">
      <c r="A2816" t="s">
        <v>20</v>
      </c>
      <c r="B2816">
        <v>49</v>
      </c>
      <c r="C2816">
        <v>43</v>
      </c>
      <c r="D2816">
        <v>1</v>
      </c>
    </row>
    <row r="2817" spans="1:4" x14ac:dyDescent="0.25">
      <c r="A2817" t="s">
        <v>20</v>
      </c>
      <c r="B2817">
        <v>49</v>
      </c>
      <c r="C2817">
        <v>44</v>
      </c>
    </row>
    <row r="2818" spans="1:4" x14ac:dyDescent="0.25">
      <c r="A2818" t="s">
        <v>20</v>
      </c>
      <c r="B2818">
        <v>49</v>
      </c>
      <c r="C2818">
        <v>45</v>
      </c>
    </row>
    <row r="2819" spans="1:4" x14ac:dyDescent="0.25">
      <c r="A2819" t="s">
        <v>20</v>
      </c>
      <c r="B2819">
        <v>49</v>
      </c>
      <c r="C2819">
        <v>46</v>
      </c>
      <c r="D2819">
        <v>1</v>
      </c>
    </row>
    <row r="2820" spans="1:4" x14ac:dyDescent="0.25">
      <c r="A2820" t="s">
        <v>20</v>
      </c>
      <c r="B2820">
        <v>49</v>
      </c>
      <c r="C2820">
        <v>47</v>
      </c>
    </row>
    <row r="2821" spans="1:4" x14ac:dyDescent="0.25">
      <c r="A2821" t="s">
        <v>20</v>
      </c>
      <c r="B2821">
        <v>49</v>
      </c>
      <c r="C2821">
        <v>48</v>
      </c>
    </row>
    <row r="2822" spans="1:4" x14ac:dyDescent="0.25">
      <c r="A2822" t="s">
        <v>20</v>
      </c>
      <c r="B2822">
        <v>49</v>
      </c>
      <c r="C2822">
        <v>49</v>
      </c>
      <c r="D2822">
        <v>1</v>
      </c>
    </row>
    <row r="2823" spans="1:4" x14ac:dyDescent="0.25">
      <c r="A2823" t="s">
        <v>20</v>
      </c>
      <c r="B2823">
        <v>49</v>
      </c>
      <c r="C2823">
        <v>50</v>
      </c>
    </row>
    <row r="2824" spans="1:4" x14ac:dyDescent="0.25">
      <c r="A2824" t="s">
        <v>20</v>
      </c>
      <c r="B2824">
        <v>49</v>
      </c>
      <c r="C2824">
        <v>51</v>
      </c>
    </row>
    <row r="2825" spans="1:4" x14ac:dyDescent="0.25">
      <c r="A2825" t="s">
        <v>20</v>
      </c>
      <c r="B2825">
        <v>49</v>
      </c>
      <c r="C2825">
        <v>52</v>
      </c>
      <c r="D2825">
        <v>1</v>
      </c>
    </row>
    <row r="2826" spans="1:4" x14ac:dyDescent="0.25">
      <c r="A2826" t="s">
        <v>20</v>
      </c>
      <c r="B2826">
        <v>49</v>
      </c>
      <c r="C2826">
        <v>53</v>
      </c>
    </row>
    <row r="2827" spans="1:4" x14ac:dyDescent="0.25">
      <c r="A2827" t="s">
        <v>20</v>
      </c>
      <c r="B2827">
        <v>49</v>
      </c>
      <c r="C2827">
        <v>54</v>
      </c>
    </row>
    <row r="2828" spans="1:4" x14ac:dyDescent="0.25">
      <c r="A2828" t="s">
        <v>20</v>
      </c>
      <c r="B2828">
        <v>49</v>
      </c>
      <c r="C2828">
        <v>55</v>
      </c>
    </row>
    <row r="2829" spans="1:4" x14ac:dyDescent="0.25">
      <c r="A2829" t="s">
        <v>20</v>
      </c>
      <c r="B2829">
        <v>49</v>
      </c>
      <c r="C2829">
        <v>56</v>
      </c>
    </row>
    <row r="2830" spans="1:4" x14ac:dyDescent="0.25">
      <c r="A2830" t="s">
        <v>20</v>
      </c>
      <c r="B2830">
        <v>49</v>
      </c>
      <c r="C2830">
        <v>57</v>
      </c>
    </row>
    <row r="2831" spans="1:4" x14ac:dyDescent="0.25">
      <c r="A2831" t="s">
        <v>20</v>
      </c>
      <c r="B2831">
        <v>49</v>
      </c>
      <c r="C2831">
        <v>58</v>
      </c>
    </row>
    <row r="2832" spans="1:4" x14ac:dyDescent="0.25">
      <c r="A2832" t="s">
        <v>20</v>
      </c>
      <c r="B2832">
        <v>49</v>
      </c>
      <c r="C2832">
        <v>59</v>
      </c>
    </row>
    <row r="2833" spans="1:4" x14ac:dyDescent="0.25">
      <c r="A2833" t="s">
        <v>20</v>
      </c>
      <c r="B2833">
        <v>49</v>
      </c>
      <c r="C2833">
        <v>60</v>
      </c>
    </row>
    <row r="2834" spans="1:4" x14ac:dyDescent="0.25">
      <c r="A2834" t="s">
        <v>20</v>
      </c>
      <c r="B2834">
        <v>49</v>
      </c>
      <c r="C2834">
        <v>61</v>
      </c>
    </row>
    <row r="2835" spans="1:4" x14ac:dyDescent="0.25">
      <c r="A2835" t="s">
        <v>20</v>
      </c>
      <c r="B2835">
        <v>49</v>
      </c>
      <c r="C2835">
        <v>62</v>
      </c>
    </row>
    <row r="2836" spans="1:4" x14ac:dyDescent="0.25">
      <c r="A2836" t="s">
        <v>20</v>
      </c>
      <c r="B2836">
        <v>49</v>
      </c>
      <c r="C2836">
        <v>63</v>
      </c>
    </row>
    <row r="2837" spans="1:4" x14ac:dyDescent="0.25">
      <c r="A2837" t="s">
        <v>20</v>
      </c>
      <c r="B2837">
        <v>49</v>
      </c>
      <c r="C2837">
        <v>64</v>
      </c>
    </row>
    <row r="2838" spans="1:4" x14ac:dyDescent="0.25">
      <c r="A2838" t="s">
        <v>20</v>
      </c>
      <c r="B2838">
        <v>49</v>
      </c>
      <c r="C2838">
        <v>65</v>
      </c>
    </row>
    <row r="2839" spans="1:4" x14ac:dyDescent="0.25">
      <c r="A2839" t="s">
        <v>20</v>
      </c>
      <c r="B2839">
        <v>49</v>
      </c>
      <c r="C2839">
        <v>66</v>
      </c>
    </row>
    <row r="2840" spans="1:4" x14ac:dyDescent="0.25">
      <c r="A2840" t="s">
        <v>20</v>
      </c>
      <c r="B2840">
        <v>49</v>
      </c>
      <c r="C2840">
        <v>67</v>
      </c>
      <c r="D2840">
        <v>1</v>
      </c>
    </row>
    <row r="2841" spans="1:4" x14ac:dyDescent="0.25">
      <c r="A2841" t="s">
        <v>20</v>
      </c>
      <c r="B2841">
        <v>49</v>
      </c>
      <c r="C2841">
        <v>68</v>
      </c>
    </row>
    <row r="2842" spans="1:4" x14ac:dyDescent="0.25">
      <c r="A2842" t="s">
        <v>20</v>
      </c>
      <c r="B2842">
        <v>49</v>
      </c>
      <c r="C2842">
        <v>69</v>
      </c>
    </row>
    <row r="2843" spans="1:4" x14ac:dyDescent="0.25">
      <c r="A2843" t="s">
        <v>20</v>
      </c>
      <c r="B2843">
        <v>49</v>
      </c>
      <c r="C2843">
        <v>70</v>
      </c>
      <c r="D2843">
        <v>1</v>
      </c>
    </row>
    <row r="2844" spans="1:4" x14ac:dyDescent="0.25">
      <c r="A2844" t="s">
        <v>20</v>
      </c>
      <c r="B2844">
        <v>49</v>
      </c>
      <c r="C2844">
        <v>71</v>
      </c>
    </row>
    <row r="2845" spans="1:4" x14ac:dyDescent="0.25">
      <c r="A2845" t="s">
        <v>20</v>
      </c>
      <c r="B2845">
        <v>49</v>
      </c>
      <c r="C2845">
        <v>72</v>
      </c>
    </row>
    <row r="2846" spans="1:4" x14ac:dyDescent="0.25">
      <c r="A2846" t="s">
        <v>20</v>
      </c>
      <c r="B2846">
        <v>49</v>
      </c>
      <c r="C2846">
        <v>73</v>
      </c>
      <c r="D2846">
        <v>1</v>
      </c>
    </row>
    <row r="2847" spans="1:4" x14ac:dyDescent="0.25">
      <c r="A2847" t="s">
        <v>20</v>
      </c>
      <c r="B2847">
        <v>49</v>
      </c>
      <c r="C2847">
        <v>74</v>
      </c>
    </row>
    <row r="2848" spans="1:4" x14ac:dyDescent="0.25">
      <c r="A2848" t="s">
        <v>20</v>
      </c>
      <c r="B2848">
        <v>49</v>
      </c>
      <c r="C2848">
        <v>75</v>
      </c>
    </row>
    <row r="2849" spans="1:3" x14ac:dyDescent="0.25">
      <c r="A2849" t="s">
        <v>20</v>
      </c>
      <c r="B2849">
        <v>49</v>
      </c>
      <c r="C2849">
        <v>76</v>
      </c>
    </row>
    <row r="2850" spans="1:3" x14ac:dyDescent="0.25">
      <c r="A2850" t="s">
        <v>20</v>
      </c>
      <c r="B2850">
        <v>49</v>
      </c>
      <c r="C2850">
        <v>77</v>
      </c>
    </row>
    <row r="2851" spans="1:3" x14ac:dyDescent="0.25">
      <c r="A2851" t="s">
        <v>20</v>
      </c>
      <c r="B2851">
        <v>49</v>
      </c>
      <c r="C2851">
        <v>78</v>
      </c>
    </row>
    <row r="2852" spans="1:3" x14ac:dyDescent="0.25">
      <c r="A2852" t="s">
        <v>20</v>
      </c>
      <c r="B2852">
        <v>49</v>
      </c>
      <c r="C2852">
        <v>79</v>
      </c>
    </row>
    <row r="2853" spans="1:3" x14ac:dyDescent="0.25">
      <c r="A2853" t="s">
        <v>20</v>
      </c>
      <c r="B2853">
        <v>49</v>
      </c>
      <c r="C2853">
        <v>80</v>
      </c>
    </row>
    <row r="2854" spans="1:3" x14ac:dyDescent="0.25">
      <c r="A2854" t="s">
        <v>20</v>
      </c>
      <c r="B2854">
        <v>49</v>
      </c>
      <c r="C2854">
        <v>81</v>
      </c>
    </row>
    <row r="2855" spans="1:3" x14ac:dyDescent="0.25">
      <c r="A2855" t="s">
        <v>20</v>
      </c>
      <c r="B2855">
        <v>49</v>
      </c>
      <c r="C2855">
        <v>82</v>
      </c>
    </row>
    <row r="2856" spans="1:3" x14ac:dyDescent="0.25">
      <c r="A2856" t="s">
        <v>20</v>
      </c>
      <c r="B2856">
        <v>49</v>
      </c>
      <c r="C2856">
        <v>83</v>
      </c>
    </row>
    <row r="2857" spans="1:3" x14ac:dyDescent="0.25">
      <c r="A2857" t="s">
        <v>20</v>
      </c>
      <c r="B2857">
        <v>49</v>
      </c>
      <c r="C2857">
        <v>84</v>
      </c>
    </row>
    <row r="2858" spans="1:3" x14ac:dyDescent="0.25">
      <c r="A2858" t="s">
        <v>20</v>
      </c>
      <c r="B2858">
        <v>51</v>
      </c>
      <c r="C2858">
        <v>1</v>
      </c>
    </row>
    <row r="2859" spans="1:3" x14ac:dyDescent="0.25">
      <c r="A2859" t="s">
        <v>20</v>
      </c>
      <c r="B2859">
        <v>51</v>
      </c>
      <c r="C2859">
        <v>2</v>
      </c>
    </row>
    <row r="2860" spans="1:3" x14ac:dyDescent="0.25">
      <c r="A2860" t="s">
        <v>20</v>
      </c>
      <c r="B2860">
        <v>51</v>
      </c>
      <c r="C2860">
        <v>3</v>
      </c>
    </row>
    <row r="2861" spans="1:3" x14ac:dyDescent="0.25">
      <c r="A2861" t="s">
        <v>20</v>
      </c>
      <c r="B2861">
        <v>51</v>
      </c>
      <c r="C2861">
        <v>4</v>
      </c>
    </row>
    <row r="2862" spans="1:3" x14ac:dyDescent="0.25">
      <c r="A2862" t="s">
        <v>20</v>
      </c>
      <c r="B2862">
        <v>51</v>
      </c>
      <c r="C2862">
        <v>5</v>
      </c>
    </row>
    <row r="2863" spans="1:3" x14ac:dyDescent="0.25">
      <c r="A2863" t="s">
        <v>20</v>
      </c>
      <c r="B2863">
        <v>51</v>
      </c>
      <c r="C2863">
        <v>6</v>
      </c>
    </row>
    <row r="2864" spans="1:3" x14ac:dyDescent="0.25">
      <c r="A2864" t="s">
        <v>20</v>
      </c>
      <c r="B2864">
        <v>51</v>
      </c>
      <c r="C2864">
        <v>7</v>
      </c>
    </row>
    <row r="2865" spans="1:4" x14ac:dyDescent="0.25">
      <c r="A2865" t="s">
        <v>20</v>
      </c>
      <c r="B2865">
        <v>51</v>
      </c>
      <c r="C2865">
        <v>8</v>
      </c>
    </row>
    <row r="2866" spans="1:4" x14ac:dyDescent="0.25">
      <c r="A2866" t="s">
        <v>20</v>
      </c>
      <c r="B2866">
        <v>51</v>
      </c>
      <c r="C2866">
        <v>9</v>
      </c>
    </row>
    <row r="2867" spans="1:4" x14ac:dyDescent="0.25">
      <c r="A2867" t="s">
        <v>20</v>
      </c>
      <c r="B2867">
        <v>51</v>
      </c>
      <c r="C2867">
        <v>10</v>
      </c>
    </row>
    <row r="2868" spans="1:4" x14ac:dyDescent="0.25">
      <c r="A2868" t="s">
        <v>20</v>
      </c>
      <c r="B2868">
        <v>51</v>
      </c>
      <c r="C2868">
        <v>11</v>
      </c>
    </row>
    <row r="2869" spans="1:4" x14ac:dyDescent="0.25">
      <c r="A2869" t="s">
        <v>20</v>
      </c>
      <c r="B2869">
        <v>51</v>
      </c>
      <c r="C2869">
        <v>12</v>
      </c>
      <c r="D2869">
        <v>1</v>
      </c>
    </row>
    <row r="2870" spans="1:4" x14ac:dyDescent="0.25">
      <c r="A2870" t="s">
        <v>20</v>
      </c>
      <c r="B2870">
        <v>51</v>
      </c>
      <c r="C2870">
        <v>13</v>
      </c>
    </row>
    <row r="2871" spans="1:4" x14ac:dyDescent="0.25">
      <c r="A2871" t="s">
        <v>20</v>
      </c>
      <c r="B2871">
        <v>51</v>
      </c>
      <c r="C2871">
        <v>14</v>
      </c>
    </row>
    <row r="2872" spans="1:4" x14ac:dyDescent="0.25">
      <c r="A2872" t="s">
        <v>20</v>
      </c>
      <c r="B2872">
        <v>51</v>
      </c>
      <c r="C2872">
        <v>15</v>
      </c>
      <c r="D2872">
        <v>1</v>
      </c>
    </row>
    <row r="2873" spans="1:4" x14ac:dyDescent="0.25">
      <c r="A2873" t="s">
        <v>20</v>
      </c>
      <c r="B2873">
        <v>51</v>
      </c>
      <c r="C2873">
        <v>16</v>
      </c>
    </row>
    <row r="2874" spans="1:4" x14ac:dyDescent="0.25">
      <c r="A2874" t="s">
        <v>20</v>
      </c>
      <c r="B2874">
        <v>51</v>
      </c>
      <c r="C2874">
        <v>17</v>
      </c>
    </row>
    <row r="2875" spans="1:4" x14ac:dyDescent="0.25">
      <c r="A2875" t="s">
        <v>20</v>
      </c>
      <c r="B2875">
        <v>51</v>
      </c>
      <c r="C2875">
        <v>18</v>
      </c>
      <c r="D2875">
        <v>1</v>
      </c>
    </row>
    <row r="2876" spans="1:4" x14ac:dyDescent="0.25">
      <c r="A2876" t="s">
        <v>20</v>
      </c>
      <c r="B2876">
        <v>51</v>
      </c>
      <c r="C2876">
        <v>19</v>
      </c>
    </row>
    <row r="2877" spans="1:4" x14ac:dyDescent="0.25">
      <c r="A2877" t="s">
        <v>20</v>
      </c>
      <c r="B2877">
        <v>51</v>
      </c>
      <c r="C2877">
        <v>20</v>
      </c>
    </row>
    <row r="2878" spans="1:4" x14ac:dyDescent="0.25">
      <c r="A2878" t="s">
        <v>20</v>
      </c>
      <c r="B2878">
        <v>51</v>
      </c>
      <c r="C2878">
        <v>21</v>
      </c>
    </row>
    <row r="2879" spans="1:4" x14ac:dyDescent="0.25">
      <c r="A2879" t="s">
        <v>20</v>
      </c>
      <c r="B2879">
        <v>51</v>
      </c>
      <c r="C2879">
        <v>22</v>
      </c>
    </row>
    <row r="2880" spans="1:4" x14ac:dyDescent="0.25">
      <c r="A2880" t="s">
        <v>20</v>
      </c>
      <c r="B2880">
        <v>51</v>
      </c>
      <c r="C2880">
        <v>23</v>
      </c>
    </row>
    <row r="2881" spans="1:4" x14ac:dyDescent="0.25">
      <c r="A2881" t="s">
        <v>20</v>
      </c>
      <c r="B2881">
        <v>51</v>
      </c>
      <c r="C2881">
        <v>24</v>
      </c>
      <c r="D2881">
        <v>1</v>
      </c>
    </row>
    <row r="2882" spans="1:4" x14ac:dyDescent="0.25">
      <c r="A2882" t="s">
        <v>20</v>
      </c>
      <c r="B2882">
        <v>51</v>
      </c>
      <c r="C2882">
        <v>25</v>
      </c>
    </row>
    <row r="2883" spans="1:4" x14ac:dyDescent="0.25">
      <c r="A2883" t="s">
        <v>20</v>
      </c>
      <c r="B2883">
        <v>51</v>
      </c>
      <c r="C2883">
        <v>26</v>
      </c>
    </row>
    <row r="2884" spans="1:4" x14ac:dyDescent="0.25">
      <c r="A2884" t="s">
        <v>20</v>
      </c>
      <c r="B2884">
        <v>51</v>
      </c>
      <c r="C2884">
        <v>27</v>
      </c>
    </row>
    <row r="2885" spans="1:4" x14ac:dyDescent="0.25">
      <c r="A2885" t="s">
        <v>20</v>
      </c>
      <c r="B2885">
        <v>51</v>
      </c>
      <c r="C2885">
        <v>28</v>
      </c>
    </row>
    <row r="2886" spans="1:4" x14ac:dyDescent="0.25">
      <c r="A2886" t="s">
        <v>20</v>
      </c>
      <c r="B2886">
        <v>51</v>
      </c>
      <c r="C2886">
        <v>29</v>
      </c>
    </row>
    <row r="2887" spans="1:4" x14ac:dyDescent="0.25">
      <c r="A2887" t="s">
        <v>20</v>
      </c>
      <c r="B2887">
        <v>51</v>
      </c>
      <c r="C2887">
        <v>30</v>
      </c>
    </row>
    <row r="2888" spans="1:4" x14ac:dyDescent="0.25">
      <c r="A2888" t="s">
        <v>20</v>
      </c>
      <c r="B2888">
        <v>51</v>
      </c>
      <c r="C2888">
        <v>31</v>
      </c>
    </row>
    <row r="2889" spans="1:4" x14ac:dyDescent="0.25">
      <c r="A2889" t="s">
        <v>20</v>
      </c>
      <c r="B2889">
        <v>51</v>
      </c>
      <c r="C2889">
        <v>32</v>
      </c>
    </row>
    <row r="2890" spans="1:4" x14ac:dyDescent="0.25">
      <c r="A2890" t="s">
        <v>20</v>
      </c>
      <c r="B2890">
        <v>51</v>
      </c>
      <c r="C2890">
        <v>33</v>
      </c>
      <c r="D2890">
        <v>1</v>
      </c>
    </row>
    <row r="2891" spans="1:4" x14ac:dyDescent="0.25">
      <c r="A2891" t="s">
        <v>20</v>
      </c>
      <c r="B2891">
        <v>51</v>
      </c>
      <c r="C2891">
        <v>34</v>
      </c>
    </row>
    <row r="2892" spans="1:4" x14ac:dyDescent="0.25">
      <c r="A2892" t="s">
        <v>20</v>
      </c>
      <c r="B2892">
        <v>51</v>
      </c>
      <c r="C2892">
        <v>35</v>
      </c>
    </row>
    <row r="2893" spans="1:4" x14ac:dyDescent="0.25">
      <c r="A2893" t="s">
        <v>20</v>
      </c>
      <c r="B2893">
        <v>51</v>
      </c>
      <c r="C2893">
        <v>36</v>
      </c>
      <c r="D2893">
        <v>1</v>
      </c>
    </row>
    <row r="2894" spans="1:4" x14ac:dyDescent="0.25">
      <c r="A2894" t="s">
        <v>20</v>
      </c>
      <c r="B2894">
        <v>51</v>
      </c>
      <c r="C2894">
        <v>37</v>
      </c>
    </row>
    <row r="2895" spans="1:4" x14ac:dyDescent="0.25">
      <c r="A2895" t="s">
        <v>20</v>
      </c>
      <c r="B2895">
        <v>51</v>
      </c>
      <c r="C2895">
        <v>38</v>
      </c>
    </row>
    <row r="2896" spans="1:4" x14ac:dyDescent="0.25">
      <c r="A2896" t="s">
        <v>20</v>
      </c>
      <c r="B2896">
        <v>51</v>
      </c>
      <c r="C2896">
        <v>39</v>
      </c>
      <c r="D2896">
        <v>1</v>
      </c>
    </row>
    <row r="2897" spans="1:4" x14ac:dyDescent="0.25">
      <c r="A2897" t="s">
        <v>20</v>
      </c>
      <c r="B2897">
        <v>51</v>
      </c>
      <c r="C2897">
        <v>40</v>
      </c>
    </row>
    <row r="2898" spans="1:4" x14ac:dyDescent="0.25">
      <c r="A2898" t="s">
        <v>20</v>
      </c>
      <c r="B2898">
        <v>51</v>
      </c>
      <c r="C2898">
        <v>41</v>
      </c>
    </row>
    <row r="2899" spans="1:4" x14ac:dyDescent="0.25">
      <c r="A2899" t="s">
        <v>20</v>
      </c>
      <c r="B2899">
        <v>51</v>
      </c>
      <c r="C2899">
        <v>42</v>
      </c>
      <c r="D2899">
        <v>1</v>
      </c>
    </row>
    <row r="2900" spans="1:4" x14ac:dyDescent="0.25">
      <c r="A2900" t="s">
        <v>20</v>
      </c>
      <c r="B2900">
        <v>51</v>
      </c>
      <c r="C2900">
        <v>43</v>
      </c>
    </row>
    <row r="2901" spans="1:4" x14ac:dyDescent="0.25">
      <c r="A2901" t="s">
        <v>20</v>
      </c>
      <c r="B2901">
        <v>51</v>
      </c>
      <c r="C2901">
        <v>44</v>
      </c>
    </row>
    <row r="2902" spans="1:4" x14ac:dyDescent="0.25">
      <c r="A2902" t="s">
        <v>20</v>
      </c>
      <c r="B2902">
        <v>51</v>
      </c>
      <c r="C2902">
        <v>45</v>
      </c>
    </row>
    <row r="2903" spans="1:4" x14ac:dyDescent="0.25">
      <c r="A2903" t="s">
        <v>20</v>
      </c>
      <c r="B2903">
        <v>51</v>
      </c>
      <c r="C2903">
        <v>46</v>
      </c>
    </row>
    <row r="2904" spans="1:4" x14ac:dyDescent="0.25">
      <c r="A2904" t="s">
        <v>20</v>
      </c>
      <c r="B2904">
        <v>51</v>
      </c>
      <c r="C2904">
        <v>47</v>
      </c>
    </row>
    <row r="2905" spans="1:4" x14ac:dyDescent="0.25">
      <c r="A2905" t="s">
        <v>20</v>
      </c>
      <c r="B2905">
        <v>51</v>
      </c>
      <c r="C2905">
        <v>48</v>
      </c>
      <c r="D2905">
        <v>1</v>
      </c>
    </row>
    <row r="2906" spans="1:4" x14ac:dyDescent="0.25">
      <c r="A2906" t="s">
        <v>20</v>
      </c>
      <c r="B2906">
        <v>51</v>
      </c>
      <c r="C2906">
        <v>49</v>
      </c>
    </row>
    <row r="2907" spans="1:4" x14ac:dyDescent="0.25">
      <c r="A2907" t="s">
        <v>20</v>
      </c>
      <c r="B2907">
        <v>51</v>
      </c>
      <c r="C2907">
        <v>50</v>
      </c>
    </row>
    <row r="2908" spans="1:4" x14ac:dyDescent="0.25">
      <c r="A2908" t="s">
        <v>20</v>
      </c>
      <c r="B2908">
        <v>51</v>
      </c>
      <c r="C2908">
        <v>51</v>
      </c>
      <c r="D2908">
        <v>1</v>
      </c>
    </row>
    <row r="2909" spans="1:4" x14ac:dyDescent="0.25">
      <c r="A2909" t="s">
        <v>20</v>
      </c>
      <c r="B2909">
        <v>51</v>
      </c>
      <c r="C2909">
        <v>52</v>
      </c>
    </row>
    <row r="2910" spans="1:4" x14ac:dyDescent="0.25">
      <c r="A2910" t="s">
        <v>20</v>
      </c>
      <c r="B2910">
        <v>51</v>
      </c>
      <c r="C2910">
        <v>53</v>
      </c>
    </row>
    <row r="2911" spans="1:4" x14ac:dyDescent="0.25">
      <c r="A2911" t="s">
        <v>20</v>
      </c>
      <c r="B2911">
        <v>51</v>
      </c>
      <c r="C2911">
        <v>54</v>
      </c>
    </row>
    <row r="2912" spans="1:4" x14ac:dyDescent="0.25">
      <c r="A2912" t="s">
        <v>20</v>
      </c>
      <c r="B2912">
        <v>51</v>
      </c>
      <c r="C2912">
        <v>55</v>
      </c>
    </row>
    <row r="2913" spans="1:3" x14ac:dyDescent="0.25">
      <c r="A2913" t="s">
        <v>20</v>
      </c>
      <c r="B2913">
        <v>51</v>
      </c>
      <c r="C2913">
        <v>56</v>
      </c>
    </row>
    <row r="2914" spans="1:3" x14ac:dyDescent="0.25">
      <c r="A2914" t="s">
        <v>20</v>
      </c>
      <c r="B2914">
        <v>51</v>
      </c>
      <c r="C2914">
        <v>57</v>
      </c>
    </row>
    <row r="2915" spans="1:3" x14ac:dyDescent="0.25">
      <c r="A2915" t="s">
        <v>20</v>
      </c>
      <c r="B2915">
        <v>51</v>
      </c>
      <c r="C2915">
        <v>58</v>
      </c>
    </row>
    <row r="2916" spans="1:3" x14ac:dyDescent="0.25">
      <c r="A2916" t="s">
        <v>20</v>
      </c>
      <c r="B2916">
        <v>51</v>
      </c>
      <c r="C2916">
        <v>59</v>
      </c>
    </row>
    <row r="2917" spans="1:3" x14ac:dyDescent="0.25">
      <c r="A2917" t="s">
        <v>20</v>
      </c>
      <c r="B2917">
        <v>51</v>
      </c>
      <c r="C2917">
        <v>60</v>
      </c>
    </row>
    <row r="2918" spans="1:3" x14ac:dyDescent="0.25">
      <c r="A2918" t="s">
        <v>20</v>
      </c>
      <c r="B2918">
        <v>51</v>
      </c>
      <c r="C2918">
        <v>61</v>
      </c>
    </row>
    <row r="2919" spans="1:3" x14ac:dyDescent="0.25">
      <c r="A2919" t="s">
        <v>20</v>
      </c>
      <c r="B2919">
        <v>51</v>
      </c>
      <c r="C2919">
        <v>62</v>
      </c>
    </row>
    <row r="2920" spans="1:3" x14ac:dyDescent="0.25">
      <c r="A2920" t="s">
        <v>20</v>
      </c>
      <c r="B2920">
        <v>51</v>
      </c>
      <c r="C2920">
        <v>63</v>
      </c>
    </row>
    <row r="2921" spans="1:3" x14ac:dyDescent="0.25">
      <c r="A2921" t="s">
        <v>20</v>
      </c>
      <c r="B2921">
        <v>51</v>
      </c>
      <c r="C2921">
        <v>64</v>
      </c>
    </row>
    <row r="2922" spans="1:3" x14ac:dyDescent="0.25">
      <c r="A2922" t="s">
        <v>20</v>
      </c>
      <c r="B2922">
        <v>51</v>
      </c>
      <c r="C2922">
        <v>65</v>
      </c>
    </row>
    <row r="2923" spans="1:3" x14ac:dyDescent="0.25">
      <c r="A2923" t="s">
        <v>20</v>
      </c>
      <c r="B2923">
        <v>51</v>
      </c>
      <c r="C2923">
        <v>66</v>
      </c>
    </row>
    <row r="2924" spans="1:3" x14ac:dyDescent="0.25">
      <c r="A2924" t="s">
        <v>20</v>
      </c>
      <c r="B2924">
        <v>51</v>
      </c>
      <c r="C2924">
        <v>67</v>
      </c>
    </row>
    <row r="2925" spans="1:3" x14ac:dyDescent="0.25">
      <c r="A2925" t="s">
        <v>20</v>
      </c>
      <c r="B2925">
        <v>51</v>
      </c>
      <c r="C2925">
        <v>68</v>
      </c>
    </row>
    <row r="2926" spans="1:3" x14ac:dyDescent="0.25">
      <c r="A2926" t="s">
        <v>20</v>
      </c>
      <c r="B2926">
        <v>51</v>
      </c>
      <c r="C2926">
        <v>69</v>
      </c>
    </row>
    <row r="2927" spans="1:3" x14ac:dyDescent="0.25">
      <c r="A2927" t="s">
        <v>20</v>
      </c>
      <c r="B2927">
        <v>51</v>
      </c>
      <c r="C2927">
        <v>70</v>
      </c>
    </row>
    <row r="2928" spans="1:3" x14ac:dyDescent="0.25">
      <c r="A2928" t="s">
        <v>20</v>
      </c>
      <c r="B2928">
        <v>51</v>
      </c>
      <c r="C2928">
        <v>71</v>
      </c>
    </row>
    <row r="2929" spans="1:4" x14ac:dyDescent="0.25">
      <c r="A2929" t="s">
        <v>20</v>
      </c>
      <c r="B2929">
        <v>51</v>
      </c>
      <c r="C2929">
        <v>72</v>
      </c>
      <c r="D2929">
        <v>1</v>
      </c>
    </row>
    <row r="2930" spans="1:4" x14ac:dyDescent="0.25">
      <c r="A2930" t="s">
        <v>20</v>
      </c>
      <c r="B2930">
        <v>51</v>
      </c>
      <c r="C2930">
        <v>73</v>
      </c>
    </row>
    <row r="2931" spans="1:4" x14ac:dyDescent="0.25">
      <c r="A2931" t="s">
        <v>20</v>
      </c>
      <c r="B2931">
        <v>51</v>
      </c>
      <c r="C2931">
        <v>74</v>
      </c>
    </row>
    <row r="2932" spans="1:4" x14ac:dyDescent="0.25">
      <c r="A2932" t="s">
        <v>20</v>
      </c>
      <c r="B2932">
        <v>51</v>
      </c>
      <c r="C2932">
        <v>75</v>
      </c>
      <c r="D2932">
        <v>1</v>
      </c>
    </row>
    <row r="2933" spans="1:4" x14ac:dyDescent="0.25">
      <c r="A2933" t="s">
        <v>20</v>
      </c>
      <c r="B2933">
        <v>51</v>
      </c>
      <c r="C2933">
        <v>76</v>
      </c>
    </row>
    <row r="2934" spans="1:4" x14ac:dyDescent="0.25">
      <c r="A2934" t="s">
        <v>20</v>
      </c>
      <c r="B2934">
        <v>51</v>
      </c>
      <c r="C2934">
        <v>77</v>
      </c>
    </row>
    <row r="2935" spans="1:4" x14ac:dyDescent="0.25">
      <c r="A2935" t="s">
        <v>20</v>
      </c>
      <c r="B2935">
        <v>51</v>
      </c>
      <c r="C2935">
        <v>78</v>
      </c>
    </row>
    <row r="2936" spans="1:4" x14ac:dyDescent="0.25">
      <c r="A2936" t="s">
        <v>20</v>
      </c>
      <c r="B2936">
        <v>51</v>
      </c>
      <c r="C2936">
        <v>79</v>
      </c>
    </row>
    <row r="2937" spans="1:4" x14ac:dyDescent="0.25">
      <c r="A2937" t="s">
        <v>20</v>
      </c>
      <c r="B2937">
        <v>51</v>
      </c>
      <c r="C2937">
        <v>80</v>
      </c>
    </row>
    <row r="2938" spans="1:4" x14ac:dyDescent="0.25">
      <c r="A2938" t="s">
        <v>20</v>
      </c>
      <c r="B2938">
        <v>51</v>
      </c>
      <c r="C2938">
        <v>81</v>
      </c>
    </row>
    <row r="2939" spans="1:4" x14ac:dyDescent="0.25">
      <c r="A2939" t="s">
        <v>20</v>
      </c>
      <c r="B2939">
        <v>51</v>
      </c>
      <c r="C2939">
        <v>82</v>
      </c>
    </row>
    <row r="2940" spans="1:4" x14ac:dyDescent="0.25">
      <c r="A2940" t="s">
        <v>20</v>
      </c>
      <c r="B2940">
        <v>51</v>
      </c>
      <c r="C2940">
        <v>83</v>
      </c>
    </row>
    <row r="2941" spans="1:4" x14ac:dyDescent="0.25">
      <c r="A2941" t="s">
        <v>20</v>
      </c>
      <c r="B2941">
        <v>51</v>
      </c>
      <c r="C2941">
        <v>84</v>
      </c>
      <c r="D2941">
        <v>1</v>
      </c>
    </row>
    <row r="2942" spans="1:4" x14ac:dyDescent="0.25">
      <c r="A2942" t="s">
        <v>20</v>
      </c>
      <c r="B2942">
        <v>52</v>
      </c>
      <c r="C2942">
        <v>1</v>
      </c>
    </row>
    <row r="2943" spans="1:4" x14ac:dyDescent="0.25">
      <c r="A2943" t="s">
        <v>20</v>
      </c>
      <c r="B2943">
        <v>52</v>
      </c>
      <c r="C2943">
        <v>2</v>
      </c>
    </row>
    <row r="2944" spans="1:4" x14ac:dyDescent="0.25">
      <c r="A2944" t="s">
        <v>20</v>
      </c>
      <c r="B2944">
        <v>52</v>
      </c>
      <c r="C2944">
        <v>3</v>
      </c>
      <c r="D2944">
        <v>1</v>
      </c>
    </row>
    <row r="2945" spans="1:4" x14ac:dyDescent="0.25">
      <c r="A2945" t="s">
        <v>20</v>
      </c>
      <c r="B2945">
        <v>52</v>
      </c>
      <c r="C2945">
        <v>4</v>
      </c>
    </row>
    <row r="2946" spans="1:4" x14ac:dyDescent="0.25">
      <c r="A2946" t="s">
        <v>20</v>
      </c>
      <c r="B2946">
        <v>52</v>
      </c>
      <c r="C2946">
        <v>5</v>
      </c>
    </row>
    <row r="2947" spans="1:4" x14ac:dyDescent="0.25">
      <c r="A2947" t="s">
        <v>20</v>
      </c>
      <c r="B2947">
        <v>52</v>
      </c>
      <c r="C2947">
        <v>6</v>
      </c>
      <c r="D2947">
        <v>1</v>
      </c>
    </row>
    <row r="2948" spans="1:4" x14ac:dyDescent="0.25">
      <c r="A2948" t="s">
        <v>20</v>
      </c>
      <c r="B2948">
        <v>52</v>
      </c>
      <c r="C2948">
        <v>7</v>
      </c>
    </row>
    <row r="2949" spans="1:4" x14ac:dyDescent="0.25">
      <c r="A2949" t="s">
        <v>20</v>
      </c>
      <c r="B2949">
        <v>52</v>
      </c>
      <c r="C2949">
        <v>8</v>
      </c>
    </row>
    <row r="2950" spans="1:4" x14ac:dyDescent="0.25">
      <c r="A2950" t="s">
        <v>20</v>
      </c>
      <c r="B2950">
        <v>52</v>
      </c>
      <c r="C2950">
        <v>9</v>
      </c>
    </row>
    <row r="2951" spans="1:4" x14ac:dyDescent="0.25">
      <c r="A2951" t="s">
        <v>20</v>
      </c>
      <c r="B2951">
        <v>52</v>
      </c>
      <c r="C2951">
        <v>10</v>
      </c>
    </row>
    <row r="2952" spans="1:4" x14ac:dyDescent="0.25">
      <c r="A2952" t="s">
        <v>20</v>
      </c>
      <c r="B2952">
        <v>52</v>
      </c>
      <c r="C2952">
        <v>11</v>
      </c>
    </row>
    <row r="2953" spans="1:4" x14ac:dyDescent="0.25">
      <c r="A2953" t="s">
        <v>20</v>
      </c>
      <c r="B2953">
        <v>52</v>
      </c>
      <c r="C2953">
        <v>12</v>
      </c>
      <c r="D2953">
        <v>1</v>
      </c>
    </row>
    <row r="2954" spans="1:4" x14ac:dyDescent="0.25">
      <c r="A2954" t="s">
        <v>20</v>
      </c>
      <c r="B2954">
        <v>52</v>
      </c>
      <c r="C2954">
        <v>13</v>
      </c>
    </row>
    <row r="2955" spans="1:4" x14ac:dyDescent="0.25">
      <c r="A2955" t="s">
        <v>20</v>
      </c>
      <c r="B2955">
        <v>52</v>
      </c>
      <c r="C2955">
        <v>14</v>
      </c>
    </row>
    <row r="2956" spans="1:4" x14ac:dyDescent="0.25">
      <c r="A2956" t="s">
        <v>20</v>
      </c>
      <c r="B2956">
        <v>52</v>
      </c>
      <c r="C2956">
        <v>15</v>
      </c>
    </row>
    <row r="2957" spans="1:4" x14ac:dyDescent="0.25">
      <c r="A2957" t="s">
        <v>20</v>
      </c>
      <c r="B2957">
        <v>52</v>
      </c>
      <c r="C2957">
        <v>16</v>
      </c>
    </row>
    <row r="2958" spans="1:4" x14ac:dyDescent="0.25">
      <c r="A2958" t="s">
        <v>20</v>
      </c>
      <c r="B2958">
        <v>52</v>
      </c>
      <c r="C2958">
        <v>17</v>
      </c>
    </row>
    <row r="2959" spans="1:4" x14ac:dyDescent="0.25">
      <c r="A2959" t="s">
        <v>20</v>
      </c>
      <c r="B2959">
        <v>52</v>
      </c>
      <c r="C2959">
        <v>18</v>
      </c>
      <c r="D2959">
        <v>1</v>
      </c>
    </row>
    <row r="2960" spans="1:4" x14ac:dyDescent="0.25">
      <c r="A2960" t="s">
        <v>20</v>
      </c>
      <c r="B2960">
        <v>52</v>
      </c>
      <c r="C2960">
        <v>19</v>
      </c>
    </row>
    <row r="2961" spans="1:4" x14ac:dyDescent="0.25">
      <c r="A2961" t="s">
        <v>20</v>
      </c>
      <c r="B2961">
        <v>52</v>
      </c>
      <c r="C2961">
        <v>20</v>
      </c>
    </row>
    <row r="2962" spans="1:4" x14ac:dyDescent="0.25">
      <c r="A2962" t="s">
        <v>20</v>
      </c>
      <c r="B2962">
        <v>52</v>
      </c>
      <c r="C2962">
        <v>21</v>
      </c>
      <c r="D2962">
        <v>1</v>
      </c>
    </row>
    <row r="2963" spans="1:4" x14ac:dyDescent="0.25">
      <c r="A2963" t="s">
        <v>20</v>
      </c>
      <c r="B2963">
        <v>52</v>
      </c>
      <c r="C2963">
        <v>22</v>
      </c>
    </row>
    <row r="2964" spans="1:4" x14ac:dyDescent="0.25">
      <c r="A2964" t="s">
        <v>20</v>
      </c>
      <c r="B2964">
        <v>52</v>
      </c>
      <c r="C2964">
        <v>23</v>
      </c>
    </row>
    <row r="2965" spans="1:4" x14ac:dyDescent="0.25">
      <c r="A2965" t="s">
        <v>20</v>
      </c>
      <c r="B2965">
        <v>52</v>
      </c>
      <c r="C2965">
        <v>24</v>
      </c>
      <c r="D2965">
        <v>1</v>
      </c>
    </row>
    <row r="2966" spans="1:4" x14ac:dyDescent="0.25">
      <c r="A2966" t="s">
        <v>20</v>
      </c>
      <c r="B2966">
        <v>52</v>
      </c>
      <c r="C2966">
        <v>25</v>
      </c>
    </row>
    <row r="2967" spans="1:4" x14ac:dyDescent="0.25">
      <c r="A2967" t="s">
        <v>20</v>
      </c>
      <c r="B2967">
        <v>52</v>
      </c>
      <c r="C2967">
        <v>26</v>
      </c>
    </row>
    <row r="2968" spans="1:4" x14ac:dyDescent="0.25">
      <c r="A2968" t="s">
        <v>20</v>
      </c>
      <c r="B2968">
        <v>52</v>
      </c>
      <c r="C2968">
        <v>27</v>
      </c>
    </row>
    <row r="2969" spans="1:4" x14ac:dyDescent="0.25">
      <c r="A2969" t="s">
        <v>20</v>
      </c>
      <c r="B2969">
        <v>52</v>
      </c>
      <c r="C2969">
        <v>28</v>
      </c>
    </row>
    <row r="2970" spans="1:4" x14ac:dyDescent="0.25">
      <c r="A2970" t="s">
        <v>20</v>
      </c>
      <c r="B2970">
        <v>52</v>
      </c>
      <c r="C2970">
        <v>29</v>
      </c>
    </row>
    <row r="2971" spans="1:4" x14ac:dyDescent="0.25">
      <c r="A2971" t="s">
        <v>20</v>
      </c>
      <c r="B2971">
        <v>52</v>
      </c>
      <c r="C2971">
        <v>30</v>
      </c>
    </row>
    <row r="2972" spans="1:4" x14ac:dyDescent="0.25">
      <c r="A2972" t="s">
        <v>20</v>
      </c>
      <c r="B2972">
        <v>52</v>
      </c>
      <c r="C2972">
        <v>31</v>
      </c>
    </row>
    <row r="2973" spans="1:4" x14ac:dyDescent="0.25">
      <c r="A2973" t="s">
        <v>20</v>
      </c>
      <c r="B2973">
        <v>52</v>
      </c>
      <c r="C2973">
        <v>32</v>
      </c>
    </row>
    <row r="2974" spans="1:4" x14ac:dyDescent="0.25">
      <c r="A2974" t="s">
        <v>20</v>
      </c>
      <c r="B2974">
        <v>52</v>
      </c>
      <c r="C2974">
        <v>33</v>
      </c>
      <c r="D2974">
        <v>1</v>
      </c>
    </row>
    <row r="2975" spans="1:4" x14ac:dyDescent="0.25">
      <c r="A2975" t="s">
        <v>20</v>
      </c>
      <c r="B2975">
        <v>52</v>
      </c>
      <c r="C2975">
        <v>34</v>
      </c>
    </row>
    <row r="2976" spans="1:4" x14ac:dyDescent="0.25">
      <c r="A2976" t="s">
        <v>20</v>
      </c>
      <c r="B2976">
        <v>52</v>
      </c>
      <c r="C2976">
        <v>35</v>
      </c>
    </row>
    <row r="2977" spans="1:4" x14ac:dyDescent="0.25">
      <c r="A2977" t="s">
        <v>20</v>
      </c>
      <c r="B2977">
        <v>52</v>
      </c>
      <c r="C2977">
        <v>36</v>
      </c>
      <c r="D2977">
        <v>1</v>
      </c>
    </row>
    <row r="2978" spans="1:4" x14ac:dyDescent="0.25">
      <c r="A2978" t="s">
        <v>20</v>
      </c>
      <c r="B2978">
        <v>52</v>
      </c>
      <c r="C2978">
        <v>37</v>
      </c>
    </row>
    <row r="2979" spans="1:4" x14ac:dyDescent="0.25">
      <c r="A2979" t="s">
        <v>20</v>
      </c>
      <c r="B2979">
        <v>52</v>
      </c>
      <c r="C2979">
        <v>38</v>
      </c>
    </row>
    <row r="2980" spans="1:4" x14ac:dyDescent="0.25">
      <c r="A2980" t="s">
        <v>20</v>
      </c>
      <c r="B2980">
        <v>52</v>
      </c>
      <c r="C2980">
        <v>39</v>
      </c>
      <c r="D2980">
        <v>1</v>
      </c>
    </row>
    <row r="2981" spans="1:4" x14ac:dyDescent="0.25">
      <c r="A2981" t="s">
        <v>20</v>
      </c>
      <c r="B2981">
        <v>52</v>
      </c>
      <c r="C2981">
        <v>40</v>
      </c>
    </row>
    <row r="2982" spans="1:4" x14ac:dyDescent="0.25">
      <c r="A2982" t="s">
        <v>20</v>
      </c>
      <c r="B2982">
        <v>52</v>
      </c>
      <c r="C2982">
        <v>41</v>
      </c>
    </row>
    <row r="2983" spans="1:4" x14ac:dyDescent="0.25">
      <c r="A2983" t="s">
        <v>20</v>
      </c>
      <c r="B2983">
        <v>52</v>
      </c>
      <c r="C2983">
        <v>42</v>
      </c>
      <c r="D2983">
        <v>1</v>
      </c>
    </row>
    <row r="2984" spans="1:4" x14ac:dyDescent="0.25">
      <c r="A2984" t="s">
        <v>20</v>
      </c>
      <c r="B2984">
        <v>52</v>
      </c>
      <c r="C2984">
        <v>43</v>
      </c>
    </row>
    <row r="2985" spans="1:4" x14ac:dyDescent="0.25">
      <c r="A2985" t="s">
        <v>20</v>
      </c>
      <c r="B2985">
        <v>52</v>
      </c>
      <c r="C2985">
        <v>44</v>
      </c>
    </row>
    <row r="2986" spans="1:4" x14ac:dyDescent="0.25">
      <c r="A2986" t="s">
        <v>20</v>
      </c>
      <c r="B2986">
        <v>52</v>
      </c>
      <c r="C2986">
        <v>45</v>
      </c>
      <c r="D2986">
        <v>1</v>
      </c>
    </row>
    <row r="2987" spans="1:4" x14ac:dyDescent="0.25">
      <c r="A2987" t="s">
        <v>20</v>
      </c>
      <c r="B2987">
        <v>52</v>
      </c>
      <c r="C2987">
        <v>46</v>
      </c>
    </row>
    <row r="2988" spans="1:4" x14ac:dyDescent="0.25">
      <c r="A2988" t="s">
        <v>20</v>
      </c>
      <c r="B2988">
        <v>52</v>
      </c>
      <c r="C2988">
        <v>47</v>
      </c>
    </row>
    <row r="2989" spans="1:4" x14ac:dyDescent="0.25">
      <c r="A2989" t="s">
        <v>20</v>
      </c>
      <c r="B2989">
        <v>52</v>
      </c>
      <c r="C2989">
        <v>48</v>
      </c>
      <c r="D2989">
        <v>1</v>
      </c>
    </row>
    <row r="2990" spans="1:4" x14ac:dyDescent="0.25">
      <c r="A2990" t="s">
        <v>20</v>
      </c>
      <c r="B2990">
        <v>52</v>
      </c>
      <c r="C2990">
        <v>49</v>
      </c>
    </row>
    <row r="2991" spans="1:4" x14ac:dyDescent="0.25">
      <c r="A2991" t="s">
        <v>20</v>
      </c>
      <c r="B2991">
        <v>52</v>
      </c>
      <c r="C2991">
        <v>50</v>
      </c>
    </row>
    <row r="2992" spans="1:4" x14ac:dyDescent="0.25">
      <c r="A2992" t="s">
        <v>20</v>
      </c>
      <c r="B2992">
        <v>52</v>
      </c>
      <c r="C2992">
        <v>51</v>
      </c>
    </row>
    <row r="2993" spans="1:4" x14ac:dyDescent="0.25">
      <c r="A2993" t="s">
        <v>20</v>
      </c>
      <c r="B2993">
        <v>52</v>
      </c>
      <c r="C2993">
        <v>52</v>
      </c>
    </row>
    <row r="2994" spans="1:4" x14ac:dyDescent="0.25">
      <c r="A2994" t="s">
        <v>20</v>
      </c>
      <c r="B2994">
        <v>52</v>
      </c>
      <c r="C2994">
        <v>53</v>
      </c>
    </row>
    <row r="2995" spans="1:4" x14ac:dyDescent="0.25">
      <c r="A2995" t="s">
        <v>20</v>
      </c>
      <c r="B2995">
        <v>52</v>
      </c>
      <c r="C2995">
        <v>54</v>
      </c>
      <c r="D2995">
        <v>1</v>
      </c>
    </row>
    <row r="2996" spans="1:4" x14ac:dyDescent="0.25">
      <c r="A2996" t="s">
        <v>20</v>
      </c>
      <c r="B2996">
        <v>52</v>
      </c>
      <c r="C2996">
        <v>55</v>
      </c>
    </row>
    <row r="2997" spans="1:4" x14ac:dyDescent="0.25">
      <c r="A2997" t="s">
        <v>20</v>
      </c>
      <c r="B2997">
        <v>52</v>
      </c>
      <c r="C2997">
        <v>56</v>
      </c>
    </row>
    <row r="2998" spans="1:4" x14ac:dyDescent="0.25">
      <c r="A2998" t="s">
        <v>20</v>
      </c>
      <c r="B2998">
        <v>52</v>
      </c>
      <c r="C2998">
        <v>57</v>
      </c>
    </row>
    <row r="2999" spans="1:4" x14ac:dyDescent="0.25">
      <c r="A2999" t="s">
        <v>20</v>
      </c>
      <c r="B2999">
        <v>52</v>
      </c>
      <c r="C2999">
        <v>58</v>
      </c>
    </row>
    <row r="3000" spans="1:4" x14ac:dyDescent="0.25">
      <c r="A3000" t="s">
        <v>20</v>
      </c>
      <c r="B3000">
        <v>52</v>
      </c>
      <c r="C3000">
        <v>59</v>
      </c>
    </row>
    <row r="3001" spans="1:4" x14ac:dyDescent="0.25">
      <c r="A3001" t="s">
        <v>20</v>
      </c>
      <c r="B3001">
        <v>52</v>
      </c>
      <c r="C3001">
        <v>60</v>
      </c>
    </row>
    <row r="3002" spans="1:4" x14ac:dyDescent="0.25">
      <c r="A3002" t="s">
        <v>20</v>
      </c>
      <c r="B3002">
        <v>52</v>
      </c>
      <c r="C3002">
        <v>61</v>
      </c>
    </row>
    <row r="3003" spans="1:4" x14ac:dyDescent="0.25">
      <c r="A3003" t="s">
        <v>20</v>
      </c>
      <c r="B3003">
        <v>52</v>
      </c>
      <c r="C3003">
        <v>62</v>
      </c>
    </row>
    <row r="3004" spans="1:4" x14ac:dyDescent="0.25">
      <c r="A3004" t="s">
        <v>20</v>
      </c>
      <c r="B3004">
        <v>52</v>
      </c>
      <c r="C3004">
        <v>63</v>
      </c>
    </row>
    <row r="3005" spans="1:4" x14ac:dyDescent="0.25">
      <c r="A3005" t="s">
        <v>20</v>
      </c>
      <c r="B3005">
        <v>52</v>
      </c>
      <c r="C3005">
        <v>64</v>
      </c>
    </row>
    <row r="3006" spans="1:4" x14ac:dyDescent="0.25">
      <c r="A3006" t="s">
        <v>20</v>
      </c>
      <c r="B3006">
        <v>52</v>
      </c>
      <c r="C3006">
        <v>65</v>
      </c>
    </row>
    <row r="3007" spans="1:4" x14ac:dyDescent="0.25">
      <c r="A3007" t="s">
        <v>20</v>
      </c>
      <c r="B3007">
        <v>52</v>
      </c>
      <c r="C3007">
        <v>66</v>
      </c>
    </row>
    <row r="3008" spans="1:4" x14ac:dyDescent="0.25">
      <c r="A3008" t="s">
        <v>20</v>
      </c>
      <c r="B3008">
        <v>52</v>
      </c>
      <c r="C3008">
        <v>67</v>
      </c>
    </row>
    <row r="3009" spans="1:4" x14ac:dyDescent="0.25">
      <c r="A3009" t="s">
        <v>20</v>
      </c>
      <c r="B3009">
        <v>52</v>
      </c>
      <c r="C3009">
        <v>68</v>
      </c>
    </row>
    <row r="3010" spans="1:4" x14ac:dyDescent="0.25">
      <c r="A3010" t="s">
        <v>20</v>
      </c>
      <c r="B3010">
        <v>52</v>
      </c>
      <c r="C3010">
        <v>69</v>
      </c>
      <c r="D3010">
        <v>1</v>
      </c>
    </row>
    <row r="3011" spans="1:4" x14ac:dyDescent="0.25">
      <c r="A3011" t="s">
        <v>20</v>
      </c>
      <c r="B3011">
        <v>52</v>
      </c>
      <c r="C3011">
        <v>70</v>
      </c>
    </row>
    <row r="3012" spans="1:4" x14ac:dyDescent="0.25">
      <c r="A3012" t="s">
        <v>20</v>
      </c>
      <c r="B3012">
        <v>52</v>
      </c>
      <c r="C3012">
        <v>71</v>
      </c>
    </row>
    <row r="3013" spans="1:4" x14ac:dyDescent="0.25">
      <c r="A3013" t="s">
        <v>20</v>
      </c>
      <c r="B3013">
        <v>52</v>
      </c>
      <c r="C3013">
        <v>72</v>
      </c>
      <c r="D3013">
        <v>1</v>
      </c>
    </row>
    <row r="3014" spans="1:4" x14ac:dyDescent="0.25">
      <c r="A3014" t="s">
        <v>20</v>
      </c>
      <c r="B3014">
        <v>52</v>
      </c>
      <c r="C3014">
        <v>73</v>
      </c>
    </row>
    <row r="3015" spans="1:4" x14ac:dyDescent="0.25">
      <c r="A3015" t="s">
        <v>20</v>
      </c>
      <c r="B3015">
        <v>52</v>
      </c>
      <c r="C3015">
        <v>74</v>
      </c>
    </row>
    <row r="3016" spans="1:4" x14ac:dyDescent="0.25">
      <c r="A3016" t="s">
        <v>20</v>
      </c>
      <c r="B3016">
        <v>52</v>
      </c>
      <c r="C3016">
        <v>75</v>
      </c>
      <c r="D3016">
        <v>1</v>
      </c>
    </row>
    <row r="3017" spans="1:4" x14ac:dyDescent="0.25">
      <c r="A3017" t="s">
        <v>20</v>
      </c>
      <c r="B3017">
        <v>52</v>
      </c>
      <c r="C3017">
        <v>76</v>
      </c>
    </row>
    <row r="3018" spans="1:4" x14ac:dyDescent="0.25">
      <c r="A3018" t="s">
        <v>20</v>
      </c>
      <c r="B3018">
        <v>52</v>
      </c>
      <c r="C3018">
        <v>77</v>
      </c>
    </row>
    <row r="3019" spans="1:4" x14ac:dyDescent="0.25">
      <c r="A3019" t="s">
        <v>20</v>
      </c>
      <c r="B3019">
        <v>52</v>
      </c>
      <c r="C3019">
        <v>78</v>
      </c>
      <c r="D3019">
        <v>1</v>
      </c>
    </row>
    <row r="3020" spans="1:4" x14ac:dyDescent="0.25">
      <c r="A3020" t="s">
        <v>20</v>
      </c>
      <c r="B3020">
        <v>52</v>
      </c>
      <c r="C3020">
        <v>79</v>
      </c>
    </row>
    <row r="3021" spans="1:4" x14ac:dyDescent="0.25">
      <c r="A3021" t="s">
        <v>20</v>
      </c>
      <c r="B3021">
        <v>52</v>
      </c>
      <c r="C3021">
        <v>80</v>
      </c>
    </row>
    <row r="3022" spans="1:4" x14ac:dyDescent="0.25">
      <c r="A3022" t="s">
        <v>20</v>
      </c>
      <c r="B3022">
        <v>52</v>
      </c>
      <c r="C3022">
        <v>81</v>
      </c>
      <c r="D3022">
        <v>1</v>
      </c>
    </row>
    <row r="3023" spans="1:4" x14ac:dyDescent="0.25">
      <c r="A3023" t="s">
        <v>20</v>
      </c>
      <c r="B3023">
        <v>52</v>
      </c>
      <c r="C3023">
        <v>82</v>
      </c>
    </row>
    <row r="3024" spans="1:4" x14ac:dyDescent="0.25">
      <c r="A3024" t="s">
        <v>20</v>
      </c>
      <c r="B3024">
        <v>52</v>
      </c>
      <c r="C3024">
        <v>83</v>
      </c>
    </row>
    <row r="3025" spans="1:4" x14ac:dyDescent="0.25">
      <c r="A3025" t="s">
        <v>20</v>
      </c>
      <c r="B3025">
        <v>52</v>
      </c>
      <c r="C3025">
        <v>84</v>
      </c>
      <c r="D3025">
        <v>1</v>
      </c>
    </row>
    <row r="3026" spans="1:4" x14ac:dyDescent="0.25">
      <c r="A3026" t="s">
        <v>20</v>
      </c>
      <c r="B3026">
        <v>54</v>
      </c>
      <c r="C3026">
        <v>1</v>
      </c>
      <c r="D3026">
        <v>1</v>
      </c>
    </row>
    <row r="3027" spans="1:4" x14ac:dyDescent="0.25">
      <c r="A3027" t="s">
        <v>20</v>
      </c>
      <c r="B3027">
        <v>54</v>
      </c>
      <c r="C3027">
        <v>2</v>
      </c>
    </row>
    <row r="3028" spans="1:4" x14ac:dyDescent="0.25">
      <c r="A3028" t="s">
        <v>20</v>
      </c>
      <c r="B3028">
        <v>54</v>
      </c>
      <c r="C3028">
        <v>3</v>
      </c>
    </row>
    <row r="3029" spans="1:4" x14ac:dyDescent="0.25">
      <c r="A3029" t="s">
        <v>20</v>
      </c>
      <c r="B3029">
        <v>54</v>
      </c>
      <c r="C3029">
        <v>4</v>
      </c>
      <c r="D3029">
        <v>1</v>
      </c>
    </row>
    <row r="3030" spans="1:4" x14ac:dyDescent="0.25">
      <c r="A3030" t="s">
        <v>20</v>
      </c>
      <c r="B3030">
        <v>54</v>
      </c>
      <c r="C3030">
        <v>5</v>
      </c>
    </row>
    <row r="3031" spans="1:4" x14ac:dyDescent="0.25">
      <c r="A3031" t="s">
        <v>20</v>
      </c>
      <c r="B3031">
        <v>54</v>
      </c>
      <c r="C3031">
        <v>6</v>
      </c>
    </row>
    <row r="3032" spans="1:4" x14ac:dyDescent="0.25">
      <c r="A3032" t="s">
        <v>20</v>
      </c>
      <c r="B3032">
        <v>54</v>
      </c>
      <c r="C3032">
        <v>7</v>
      </c>
    </row>
    <row r="3033" spans="1:4" x14ac:dyDescent="0.25">
      <c r="A3033" t="s">
        <v>20</v>
      </c>
      <c r="B3033">
        <v>54</v>
      </c>
      <c r="C3033">
        <v>8</v>
      </c>
    </row>
    <row r="3034" spans="1:4" x14ac:dyDescent="0.25">
      <c r="A3034" t="s">
        <v>20</v>
      </c>
      <c r="B3034">
        <v>54</v>
      </c>
      <c r="C3034">
        <v>9</v>
      </c>
    </row>
    <row r="3035" spans="1:4" x14ac:dyDescent="0.25">
      <c r="A3035" t="s">
        <v>20</v>
      </c>
      <c r="B3035">
        <v>54</v>
      </c>
      <c r="C3035">
        <v>10</v>
      </c>
    </row>
    <row r="3036" spans="1:4" x14ac:dyDescent="0.25">
      <c r="A3036" t="s">
        <v>20</v>
      </c>
      <c r="B3036">
        <v>54</v>
      </c>
      <c r="C3036">
        <v>11</v>
      </c>
    </row>
    <row r="3037" spans="1:4" x14ac:dyDescent="0.25">
      <c r="A3037" t="s">
        <v>20</v>
      </c>
      <c r="B3037">
        <v>54</v>
      </c>
      <c r="C3037">
        <v>12</v>
      </c>
    </row>
    <row r="3038" spans="1:4" x14ac:dyDescent="0.25">
      <c r="A3038" t="s">
        <v>20</v>
      </c>
      <c r="B3038">
        <v>54</v>
      </c>
      <c r="C3038">
        <v>13</v>
      </c>
    </row>
    <row r="3039" spans="1:4" x14ac:dyDescent="0.25">
      <c r="A3039" t="s">
        <v>20</v>
      </c>
      <c r="B3039">
        <v>54</v>
      </c>
      <c r="C3039">
        <v>14</v>
      </c>
    </row>
    <row r="3040" spans="1:4" x14ac:dyDescent="0.25">
      <c r="A3040" t="s">
        <v>20</v>
      </c>
      <c r="B3040">
        <v>54</v>
      </c>
      <c r="C3040">
        <v>15</v>
      </c>
    </row>
    <row r="3041" spans="1:4" x14ac:dyDescent="0.25">
      <c r="A3041" t="s">
        <v>20</v>
      </c>
      <c r="B3041">
        <v>54</v>
      </c>
      <c r="C3041">
        <v>16</v>
      </c>
    </row>
    <row r="3042" spans="1:4" x14ac:dyDescent="0.25">
      <c r="A3042" t="s">
        <v>20</v>
      </c>
      <c r="B3042">
        <v>54</v>
      </c>
      <c r="C3042">
        <v>17</v>
      </c>
    </row>
    <row r="3043" spans="1:4" x14ac:dyDescent="0.25">
      <c r="A3043" t="s">
        <v>20</v>
      </c>
      <c r="B3043">
        <v>54</v>
      </c>
      <c r="C3043">
        <v>18</v>
      </c>
    </row>
    <row r="3044" spans="1:4" x14ac:dyDescent="0.25">
      <c r="A3044" t="s">
        <v>20</v>
      </c>
      <c r="B3044">
        <v>54</v>
      </c>
      <c r="C3044">
        <v>19</v>
      </c>
      <c r="D3044">
        <v>1</v>
      </c>
    </row>
    <row r="3045" spans="1:4" x14ac:dyDescent="0.25">
      <c r="A3045" t="s">
        <v>20</v>
      </c>
      <c r="B3045">
        <v>54</v>
      </c>
      <c r="C3045">
        <v>20</v>
      </c>
    </row>
    <row r="3046" spans="1:4" x14ac:dyDescent="0.25">
      <c r="A3046" t="s">
        <v>20</v>
      </c>
      <c r="B3046">
        <v>54</v>
      </c>
      <c r="C3046">
        <v>21</v>
      </c>
    </row>
    <row r="3047" spans="1:4" x14ac:dyDescent="0.25">
      <c r="A3047" t="s">
        <v>20</v>
      </c>
      <c r="B3047">
        <v>54</v>
      </c>
      <c r="C3047">
        <v>22</v>
      </c>
      <c r="D3047">
        <v>1</v>
      </c>
    </row>
    <row r="3048" spans="1:4" x14ac:dyDescent="0.25">
      <c r="A3048" t="s">
        <v>20</v>
      </c>
      <c r="B3048">
        <v>54</v>
      </c>
      <c r="C3048">
        <v>23</v>
      </c>
    </row>
    <row r="3049" spans="1:4" x14ac:dyDescent="0.25">
      <c r="A3049" t="s">
        <v>20</v>
      </c>
      <c r="B3049">
        <v>54</v>
      </c>
      <c r="C3049">
        <v>24</v>
      </c>
    </row>
    <row r="3050" spans="1:4" x14ac:dyDescent="0.25">
      <c r="A3050" t="s">
        <v>20</v>
      </c>
      <c r="B3050">
        <v>54</v>
      </c>
      <c r="C3050">
        <v>25</v>
      </c>
      <c r="D3050">
        <v>1</v>
      </c>
    </row>
    <row r="3051" spans="1:4" x14ac:dyDescent="0.25">
      <c r="A3051" t="s">
        <v>20</v>
      </c>
      <c r="B3051">
        <v>54</v>
      </c>
      <c r="C3051">
        <v>26</v>
      </c>
    </row>
    <row r="3052" spans="1:4" x14ac:dyDescent="0.25">
      <c r="A3052" t="s">
        <v>20</v>
      </c>
      <c r="B3052">
        <v>54</v>
      </c>
      <c r="C3052">
        <v>27</v>
      </c>
    </row>
    <row r="3053" spans="1:4" x14ac:dyDescent="0.25">
      <c r="A3053" t="s">
        <v>20</v>
      </c>
      <c r="B3053">
        <v>54</v>
      </c>
      <c r="C3053">
        <v>28</v>
      </c>
      <c r="D3053">
        <v>1</v>
      </c>
    </row>
    <row r="3054" spans="1:4" x14ac:dyDescent="0.25">
      <c r="A3054" t="s">
        <v>20</v>
      </c>
      <c r="B3054">
        <v>54</v>
      </c>
      <c r="C3054">
        <v>29</v>
      </c>
    </row>
    <row r="3055" spans="1:4" x14ac:dyDescent="0.25">
      <c r="A3055" t="s">
        <v>20</v>
      </c>
      <c r="B3055">
        <v>54</v>
      </c>
      <c r="C3055">
        <v>30</v>
      </c>
    </row>
    <row r="3056" spans="1:4" x14ac:dyDescent="0.25">
      <c r="A3056" t="s">
        <v>20</v>
      </c>
      <c r="B3056">
        <v>54</v>
      </c>
      <c r="C3056">
        <v>31</v>
      </c>
      <c r="D3056">
        <v>1</v>
      </c>
    </row>
    <row r="3057" spans="1:4" x14ac:dyDescent="0.25">
      <c r="A3057" t="s">
        <v>20</v>
      </c>
      <c r="B3057">
        <v>54</v>
      </c>
      <c r="C3057">
        <v>32</v>
      </c>
    </row>
    <row r="3058" spans="1:4" x14ac:dyDescent="0.25">
      <c r="A3058" t="s">
        <v>20</v>
      </c>
      <c r="B3058">
        <v>54</v>
      </c>
      <c r="C3058">
        <v>33</v>
      </c>
    </row>
    <row r="3059" spans="1:4" x14ac:dyDescent="0.25">
      <c r="A3059" t="s">
        <v>20</v>
      </c>
      <c r="B3059">
        <v>54</v>
      </c>
      <c r="C3059">
        <v>34</v>
      </c>
      <c r="D3059">
        <v>1</v>
      </c>
    </row>
    <row r="3060" spans="1:4" x14ac:dyDescent="0.25">
      <c r="A3060" t="s">
        <v>20</v>
      </c>
      <c r="B3060">
        <v>54</v>
      </c>
      <c r="C3060">
        <v>35</v>
      </c>
    </row>
    <row r="3061" spans="1:4" x14ac:dyDescent="0.25">
      <c r="A3061" t="s">
        <v>20</v>
      </c>
      <c r="B3061">
        <v>54</v>
      </c>
      <c r="C3061">
        <v>36</v>
      </c>
    </row>
    <row r="3062" spans="1:4" x14ac:dyDescent="0.25">
      <c r="A3062" t="s">
        <v>20</v>
      </c>
      <c r="B3062">
        <v>54</v>
      </c>
      <c r="C3062">
        <v>37</v>
      </c>
      <c r="D3062">
        <v>1</v>
      </c>
    </row>
    <row r="3063" spans="1:4" x14ac:dyDescent="0.25">
      <c r="A3063" t="s">
        <v>20</v>
      </c>
      <c r="B3063">
        <v>54</v>
      </c>
      <c r="C3063">
        <v>38</v>
      </c>
    </row>
    <row r="3064" spans="1:4" x14ac:dyDescent="0.25">
      <c r="A3064" t="s">
        <v>20</v>
      </c>
      <c r="B3064">
        <v>54</v>
      </c>
      <c r="C3064">
        <v>39</v>
      </c>
    </row>
    <row r="3065" spans="1:4" x14ac:dyDescent="0.25">
      <c r="A3065" t="s">
        <v>20</v>
      </c>
      <c r="B3065">
        <v>54</v>
      </c>
      <c r="C3065">
        <v>40</v>
      </c>
      <c r="D3065">
        <v>1</v>
      </c>
    </row>
    <row r="3066" spans="1:4" x14ac:dyDescent="0.25">
      <c r="A3066" t="s">
        <v>20</v>
      </c>
      <c r="B3066">
        <v>54</v>
      </c>
      <c r="C3066">
        <v>41</v>
      </c>
    </row>
    <row r="3067" spans="1:4" x14ac:dyDescent="0.25">
      <c r="A3067" t="s">
        <v>20</v>
      </c>
      <c r="B3067">
        <v>54</v>
      </c>
      <c r="C3067">
        <v>42</v>
      </c>
    </row>
    <row r="3068" spans="1:4" x14ac:dyDescent="0.25">
      <c r="A3068" t="s">
        <v>20</v>
      </c>
      <c r="B3068">
        <v>54</v>
      </c>
      <c r="C3068">
        <v>43</v>
      </c>
    </row>
    <row r="3069" spans="1:4" x14ac:dyDescent="0.25">
      <c r="A3069" t="s">
        <v>20</v>
      </c>
      <c r="B3069">
        <v>54</v>
      </c>
      <c r="C3069">
        <v>44</v>
      </c>
    </row>
    <row r="3070" spans="1:4" x14ac:dyDescent="0.25">
      <c r="A3070" t="s">
        <v>20</v>
      </c>
      <c r="B3070">
        <v>54</v>
      </c>
      <c r="C3070">
        <v>45</v>
      </c>
    </row>
    <row r="3071" spans="1:4" x14ac:dyDescent="0.25">
      <c r="A3071" t="s">
        <v>20</v>
      </c>
      <c r="B3071">
        <v>54</v>
      </c>
      <c r="C3071">
        <v>46</v>
      </c>
      <c r="D3071">
        <v>1</v>
      </c>
    </row>
    <row r="3072" spans="1:4" x14ac:dyDescent="0.25">
      <c r="A3072" t="s">
        <v>20</v>
      </c>
      <c r="B3072">
        <v>54</v>
      </c>
      <c r="C3072">
        <v>47</v>
      </c>
    </row>
    <row r="3073" spans="1:4" x14ac:dyDescent="0.25">
      <c r="A3073" t="s">
        <v>20</v>
      </c>
      <c r="B3073">
        <v>54</v>
      </c>
      <c r="C3073">
        <v>48</v>
      </c>
    </row>
    <row r="3074" spans="1:4" x14ac:dyDescent="0.25">
      <c r="A3074" t="s">
        <v>20</v>
      </c>
      <c r="B3074">
        <v>54</v>
      </c>
      <c r="C3074">
        <v>49</v>
      </c>
      <c r="D3074">
        <v>1</v>
      </c>
    </row>
    <row r="3075" spans="1:4" x14ac:dyDescent="0.25">
      <c r="A3075" t="s">
        <v>20</v>
      </c>
      <c r="B3075">
        <v>54</v>
      </c>
      <c r="C3075">
        <v>50</v>
      </c>
    </row>
    <row r="3076" spans="1:4" x14ac:dyDescent="0.25">
      <c r="A3076" t="s">
        <v>20</v>
      </c>
      <c r="B3076">
        <v>54</v>
      </c>
      <c r="C3076">
        <v>51</v>
      </c>
    </row>
    <row r="3077" spans="1:4" x14ac:dyDescent="0.25">
      <c r="A3077" t="s">
        <v>20</v>
      </c>
      <c r="B3077">
        <v>54</v>
      </c>
      <c r="C3077">
        <v>52</v>
      </c>
      <c r="D3077">
        <v>1</v>
      </c>
    </row>
    <row r="3078" spans="1:4" x14ac:dyDescent="0.25">
      <c r="A3078" t="s">
        <v>20</v>
      </c>
      <c r="B3078">
        <v>54</v>
      </c>
      <c r="C3078">
        <v>53</v>
      </c>
    </row>
    <row r="3079" spans="1:4" x14ac:dyDescent="0.25">
      <c r="A3079" t="s">
        <v>20</v>
      </c>
      <c r="B3079">
        <v>54</v>
      </c>
      <c r="C3079">
        <v>54</v>
      </c>
    </row>
    <row r="3080" spans="1:4" x14ac:dyDescent="0.25">
      <c r="A3080" t="s">
        <v>20</v>
      </c>
      <c r="B3080">
        <v>54</v>
      </c>
      <c r="C3080">
        <v>55</v>
      </c>
      <c r="D3080">
        <v>1</v>
      </c>
    </row>
    <row r="3081" spans="1:4" x14ac:dyDescent="0.25">
      <c r="A3081" t="s">
        <v>20</v>
      </c>
      <c r="B3081">
        <v>54</v>
      </c>
      <c r="C3081">
        <v>56</v>
      </c>
    </row>
    <row r="3082" spans="1:4" x14ac:dyDescent="0.25">
      <c r="A3082" t="s">
        <v>20</v>
      </c>
      <c r="B3082">
        <v>54</v>
      </c>
      <c r="C3082">
        <v>57</v>
      </c>
    </row>
    <row r="3083" spans="1:4" x14ac:dyDescent="0.25">
      <c r="A3083" t="s">
        <v>20</v>
      </c>
      <c r="B3083">
        <v>54</v>
      </c>
      <c r="C3083">
        <v>58</v>
      </c>
      <c r="D3083">
        <v>1</v>
      </c>
    </row>
    <row r="3084" spans="1:4" x14ac:dyDescent="0.25">
      <c r="A3084" t="s">
        <v>20</v>
      </c>
      <c r="B3084">
        <v>54</v>
      </c>
      <c r="C3084">
        <v>59</v>
      </c>
    </row>
    <row r="3085" spans="1:4" x14ac:dyDescent="0.25">
      <c r="A3085" t="s">
        <v>20</v>
      </c>
      <c r="B3085">
        <v>54</v>
      </c>
      <c r="C3085">
        <v>60</v>
      </c>
    </row>
    <row r="3086" spans="1:4" x14ac:dyDescent="0.25">
      <c r="A3086" t="s">
        <v>20</v>
      </c>
      <c r="B3086">
        <v>54</v>
      </c>
      <c r="C3086">
        <v>61</v>
      </c>
      <c r="D3086">
        <v>1</v>
      </c>
    </row>
    <row r="3087" spans="1:4" x14ac:dyDescent="0.25">
      <c r="A3087" t="s">
        <v>20</v>
      </c>
      <c r="B3087">
        <v>54</v>
      </c>
      <c r="C3087">
        <v>62</v>
      </c>
    </row>
    <row r="3088" spans="1:4" x14ac:dyDescent="0.25">
      <c r="A3088" t="s">
        <v>20</v>
      </c>
      <c r="B3088">
        <v>54</v>
      </c>
      <c r="C3088">
        <v>63</v>
      </c>
    </row>
    <row r="3089" spans="1:4" x14ac:dyDescent="0.25">
      <c r="A3089" t="s">
        <v>20</v>
      </c>
      <c r="B3089">
        <v>54</v>
      </c>
      <c r="C3089">
        <v>64</v>
      </c>
    </row>
    <row r="3090" spans="1:4" x14ac:dyDescent="0.25">
      <c r="A3090" t="s">
        <v>20</v>
      </c>
      <c r="B3090">
        <v>54</v>
      </c>
      <c r="C3090">
        <v>65</v>
      </c>
    </row>
    <row r="3091" spans="1:4" x14ac:dyDescent="0.25">
      <c r="A3091" t="s">
        <v>20</v>
      </c>
      <c r="B3091">
        <v>54</v>
      </c>
      <c r="C3091">
        <v>66</v>
      </c>
    </row>
    <row r="3092" spans="1:4" x14ac:dyDescent="0.25">
      <c r="A3092" t="s">
        <v>20</v>
      </c>
      <c r="B3092">
        <v>54</v>
      </c>
      <c r="C3092">
        <v>67</v>
      </c>
      <c r="D3092">
        <v>1</v>
      </c>
    </row>
    <row r="3093" spans="1:4" x14ac:dyDescent="0.25">
      <c r="A3093" t="s">
        <v>20</v>
      </c>
      <c r="B3093">
        <v>54</v>
      </c>
      <c r="C3093">
        <v>68</v>
      </c>
    </row>
    <row r="3094" spans="1:4" x14ac:dyDescent="0.25">
      <c r="A3094" t="s">
        <v>20</v>
      </c>
      <c r="B3094">
        <v>54</v>
      </c>
      <c r="C3094">
        <v>69</v>
      </c>
    </row>
    <row r="3095" spans="1:4" x14ac:dyDescent="0.25">
      <c r="A3095" t="s">
        <v>20</v>
      </c>
      <c r="B3095">
        <v>54</v>
      </c>
      <c r="C3095">
        <v>70</v>
      </c>
      <c r="D3095">
        <v>1</v>
      </c>
    </row>
    <row r="3096" spans="1:4" x14ac:dyDescent="0.25">
      <c r="A3096" t="s">
        <v>20</v>
      </c>
      <c r="B3096">
        <v>54</v>
      </c>
      <c r="C3096">
        <v>71</v>
      </c>
    </row>
    <row r="3097" spans="1:4" x14ac:dyDescent="0.25">
      <c r="A3097" t="s">
        <v>20</v>
      </c>
      <c r="B3097">
        <v>54</v>
      </c>
      <c r="C3097">
        <v>72</v>
      </c>
    </row>
    <row r="3098" spans="1:4" x14ac:dyDescent="0.25">
      <c r="A3098" t="s">
        <v>20</v>
      </c>
      <c r="B3098">
        <v>54</v>
      </c>
      <c r="C3098">
        <v>73</v>
      </c>
      <c r="D3098">
        <v>1</v>
      </c>
    </row>
    <row r="3099" spans="1:4" x14ac:dyDescent="0.25">
      <c r="A3099" t="s">
        <v>20</v>
      </c>
      <c r="B3099">
        <v>54</v>
      </c>
      <c r="C3099">
        <v>74</v>
      </c>
    </row>
    <row r="3100" spans="1:4" x14ac:dyDescent="0.25">
      <c r="A3100" t="s">
        <v>20</v>
      </c>
      <c r="B3100">
        <v>54</v>
      </c>
      <c r="C3100">
        <v>75</v>
      </c>
    </row>
    <row r="3101" spans="1:4" x14ac:dyDescent="0.25">
      <c r="A3101" t="s">
        <v>20</v>
      </c>
      <c r="B3101">
        <v>54</v>
      </c>
      <c r="C3101">
        <v>76</v>
      </c>
      <c r="D3101">
        <v>1</v>
      </c>
    </row>
    <row r="3102" spans="1:4" x14ac:dyDescent="0.25">
      <c r="A3102" t="s">
        <v>20</v>
      </c>
      <c r="B3102">
        <v>54</v>
      </c>
      <c r="C3102">
        <v>77</v>
      </c>
    </row>
    <row r="3103" spans="1:4" x14ac:dyDescent="0.25">
      <c r="A3103" t="s">
        <v>20</v>
      </c>
      <c r="B3103">
        <v>54</v>
      </c>
      <c r="C3103">
        <v>78</v>
      </c>
    </row>
    <row r="3104" spans="1:4" x14ac:dyDescent="0.25">
      <c r="A3104" t="s">
        <v>20</v>
      </c>
      <c r="B3104">
        <v>54</v>
      </c>
      <c r="C3104">
        <v>79</v>
      </c>
      <c r="D3104">
        <v>1</v>
      </c>
    </row>
    <row r="3105" spans="1:4" x14ac:dyDescent="0.25">
      <c r="A3105" t="s">
        <v>20</v>
      </c>
      <c r="B3105">
        <v>54</v>
      </c>
      <c r="C3105">
        <v>80</v>
      </c>
    </row>
    <row r="3106" spans="1:4" x14ac:dyDescent="0.25">
      <c r="A3106" t="s">
        <v>20</v>
      </c>
      <c r="B3106">
        <v>54</v>
      </c>
      <c r="C3106">
        <v>81</v>
      </c>
    </row>
    <row r="3107" spans="1:4" x14ac:dyDescent="0.25">
      <c r="A3107" t="s">
        <v>20</v>
      </c>
      <c r="B3107">
        <v>54</v>
      </c>
      <c r="C3107">
        <v>82</v>
      </c>
      <c r="D3107">
        <v>1</v>
      </c>
    </row>
    <row r="3108" spans="1:4" x14ac:dyDescent="0.25">
      <c r="A3108" t="s">
        <v>20</v>
      </c>
      <c r="B3108">
        <v>54</v>
      </c>
      <c r="C3108">
        <v>83</v>
      </c>
    </row>
    <row r="3109" spans="1:4" x14ac:dyDescent="0.25">
      <c r="A3109" t="s">
        <v>20</v>
      </c>
      <c r="B3109">
        <v>54</v>
      </c>
      <c r="C3109">
        <v>84</v>
      </c>
    </row>
    <row r="3110" spans="1:4" x14ac:dyDescent="0.25">
      <c r="A3110" t="s">
        <v>20</v>
      </c>
      <c r="B3110">
        <v>56</v>
      </c>
      <c r="C3110">
        <v>1</v>
      </c>
      <c r="D3110">
        <v>1</v>
      </c>
    </row>
    <row r="3111" spans="1:4" x14ac:dyDescent="0.25">
      <c r="A3111" t="s">
        <v>20</v>
      </c>
      <c r="B3111">
        <v>56</v>
      </c>
      <c r="C3111">
        <v>2</v>
      </c>
    </row>
    <row r="3112" spans="1:4" x14ac:dyDescent="0.25">
      <c r="A3112" t="s">
        <v>20</v>
      </c>
      <c r="B3112">
        <v>56</v>
      </c>
      <c r="C3112">
        <v>3</v>
      </c>
    </row>
    <row r="3113" spans="1:4" x14ac:dyDescent="0.25">
      <c r="A3113" t="s">
        <v>20</v>
      </c>
      <c r="B3113">
        <v>56</v>
      </c>
      <c r="C3113">
        <v>4</v>
      </c>
      <c r="D3113">
        <v>1</v>
      </c>
    </row>
    <row r="3114" spans="1:4" x14ac:dyDescent="0.25">
      <c r="A3114" t="s">
        <v>20</v>
      </c>
      <c r="B3114">
        <v>56</v>
      </c>
      <c r="C3114">
        <v>5</v>
      </c>
    </row>
    <row r="3115" spans="1:4" x14ac:dyDescent="0.25">
      <c r="A3115" t="s">
        <v>20</v>
      </c>
      <c r="B3115">
        <v>56</v>
      </c>
      <c r="C3115">
        <v>6</v>
      </c>
    </row>
    <row r="3116" spans="1:4" x14ac:dyDescent="0.25">
      <c r="A3116" t="s">
        <v>20</v>
      </c>
      <c r="B3116">
        <v>56</v>
      </c>
      <c r="C3116">
        <v>7</v>
      </c>
      <c r="D3116">
        <v>1</v>
      </c>
    </row>
    <row r="3117" spans="1:4" x14ac:dyDescent="0.25">
      <c r="A3117" t="s">
        <v>20</v>
      </c>
      <c r="B3117">
        <v>56</v>
      </c>
      <c r="C3117">
        <v>8</v>
      </c>
    </row>
    <row r="3118" spans="1:4" x14ac:dyDescent="0.25">
      <c r="A3118" t="s">
        <v>20</v>
      </c>
      <c r="B3118">
        <v>56</v>
      </c>
      <c r="C3118">
        <v>9</v>
      </c>
    </row>
    <row r="3119" spans="1:4" x14ac:dyDescent="0.25">
      <c r="A3119" t="s">
        <v>20</v>
      </c>
      <c r="B3119">
        <v>56</v>
      </c>
      <c r="C3119">
        <v>10</v>
      </c>
      <c r="D3119">
        <v>1</v>
      </c>
    </row>
    <row r="3120" spans="1:4" x14ac:dyDescent="0.25">
      <c r="A3120" t="s">
        <v>20</v>
      </c>
      <c r="B3120">
        <v>56</v>
      </c>
      <c r="C3120">
        <v>11</v>
      </c>
    </row>
    <row r="3121" spans="1:4" x14ac:dyDescent="0.25">
      <c r="A3121" t="s">
        <v>20</v>
      </c>
      <c r="B3121">
        <v>56</v>
      </c>
      <c r="C3121">
        <v>12</v>
      </c>
    </row>
    <row r="3122" spans="1:4" x14ac:dyDescent="0.25">
      <c r="A3122" t="s">
        <v>20</v>
      </c>
      <c r="B3122">
        <v>56</v>
      </c>
      <c r="C3122">
        <v>13</v>
      </c>
      <c r="D3122">
        <v>1</v>
      </c>
    </row>
    <row r="3123" spans="1:4" x14ac:dyDescent="0.25">
      <c r="A3123" t="s">
        <v>20</v>
      </c>
      <c r="B3123">
        <v>56</v>
      </c>
      <c r="C3123">
        <v>14</v>
      </c>
    </row>
    <row r="3124" spans="1:4" x14ac:dyDescent="0.25">
      <c r="A3124" t="s">
        <v>20</v>
      </c>
      <c r="B3124">
        <v>56</v>
      </c>
      <c r="C3124">
        <v>15</v>
      </c>
    </row>
    <row r="3125" spans="1:4" x14ac:dyDescent="0.25">
      <c r="A3125" t="s">
        <v>20</v>
      </c>
      <c r="B3125">
        <v>56</v>
      </c>
      <c r="C3125">
        <v>16</v>
      </c>
      <c r="D3125">
        <v>1</v>
      </c>
    </row>
    <row r="3126" spans="1:4" x14ac:dyDescent="0.25">
      <c r="A3126" t="s">
        <v>20</v>
      </c>
      <c r="B3126">
        <v>56</v>
      </c>
      <c r="C3126">
        <v>17</v>
      </c>
    </row>
    <row r="3127" spans="1:4" x14ac:dyDescent="0.25">
      <c r="A3127" t="s">
        <v>20</v>
      </c>
      <c r="B3127">
        <v>56</v>
      </c>
      <c r="C3127">
        <v>18</v>
      </c>
    </row>
    <row r="3128" spans="1:4" x14ac:dyDescent="0.25">
      <c r="A3128" t="s">
        <v>20</v>
      </c>
      <c r="B3128">
        <v>56</v>
      </c>
      <c r="C3128">
        <v>19</v>
      </c>
      <c r="D3128">
        <v>1</v>
      </c>
    </row>
    <row r="3129" spans="1:4" x14ac:dyDescent="0.25">
      <c r="A3129" t="s">
        <v>20</v>
      </c>
      <c r="B3129">
        <v>56</v>
      </c>
      <c r="C3129">
        <v>20</v>
      </c>
    </row>
    <row r="3130" spans="1:4" x14ac:dyDescent="0.25">
      <c r="A3130" t="s">
        <v>20</v>
      </c>
      <c r="B3130">
        <v>56</v>
      </c>
      <c r="C3130">
        <v>21</v>
      </c>
    </row>
    <row r="3131" spans="1:4" x14ac:dyDescent="0.25">
      <c r="A3131" t="s">
        <v>20</v>
      </c>
      <c r="B3131">
        <v>56</v>
      </c>
      <c r="C3131">
        <v>22</v>
      </c>
      <c r="D3131">
        <v>1</v>
      </c>
    </row>
    <row r="3132" spans="1:4" x14ac:dyDescent="0.25">
      <c r="A3132" t="s">
        <v>20</v>
      </c>
      <c r="B3132">
        <v>56</v>
      </c>
      <c r="C3132">
        <v>23</v>
      </c>
    </row>
    <row r="3133" spans="1:4" x14ac:dyDescent="0.25">
      <c r="A3133" t="s">
        <v>20</v>
      </c>
      <c r="B3133">
        <v>56</v>
      </c>
      <c r="C3133">
        <v>24</v>
      </c>
    </row>
    <row r="3134" spans="1:4" x14ac:dyDescent="0.25">
      <c r="A3134" t="s">
        <v>20</v>
      </c>
      <c r="B3134">
        <v>56</v>
      </c>
      <c r="C3134">
        <v>25</v>
      </c>
      <c r="D3134">
        <v>1</v>
      </c>
    </row>
    <row r="3135" spans="1:4" x14ac:dyDescent="0.25">
      <c r="A3135" t="s">
        <v>20</v>
      </c>
      <c r="B3135">
        <v>56</v>
      </c>
      <c r="C3135">
        <v>26</v>
      </c>
    </row>
    <row r="3136" spans="1:4" x14ac:dyDescent="0.25">
      <c r="A3136" t="s">
        <v>20</v>
      </c>
      <c r="B3136">
        <v>56</v>
      </c>
      <c r="C3136">
        <v>27</v>
      </c>
    </row>
    <row r="3137" spans="1:4" x14ac:dyDescent="0.25">
      <c r="A3137" t="s">
        <v>20</v>
      </c>
      <c r="B3137">
        <v>56</v>
      </c>
      <c r="C3137">
        <v>28</v>
      </c>
      <c r="D3137">
        <v>1</v>
      </c>
    </row>
    <row r="3138" spans="1:4" x14ac:dyDescent="0.25">
      <c r="A3138" t="s">
        <v>20</v>
      </c>
      <c r="B3138">
        <v>56</v>
      </c>
      <c r="C3138">
        <v>29</v>
      </c>
    </row>
    <row r="3139" spans="1:4" x14ac:dyDescent="0.25">
      <c r="A3139" t="s">
        <v>20</v>
      </c>
      <c r="B3139">
        <v>56</v>
      </c>
      <c r="C3139">
        <v>30</v>
      </c>
    </row>
    <row r="3140" spans="1:4" x14ac:dyDescent="0.25">
      <c r="A3140" t="s">
        <v>20</v>
      </c>
      <c r="B3140">
        <v>56</v>
      </c>
      <c r="C3140">
        <v>31</v>
      </c>
      <c r="D3140">
        <v>1</v>
      </c>
    </row>
    <row r="3141" spans="1:4" x14ac:dyDescent="0.25">
      <c r="A3141" t="s">
        <v>20</v>
      </c>
      <c r="B3141">
        <v>56</v>
      </c>
      <c r="C3141">
        <v>32</v>
      </c>
    </row>
    <row r="3142" spans="1:4" x14ac:dyDescent="0.25">
      <c r="A3142" t="s">
        <v>20</v>
      </c>
      <c r="B3142">
        <v>56</v>
      </c>
      <c r="C3142">
        <v>33</v>
      </c>
    </row>
    <row r="3143" spans="1:4" x14ac:dyDescent="0.25">
      <c r="A3143" t="s">
        <v>20</v>
      </c>
      <c r="B3143">
        <v>56</v>
      </c>
      <c r="C3143">
        <v>34</v>
      </c>
      <c r="D3143">
        <v>1</v>
      </c>
    </row>
    <row r="3144" spans="1:4" x14ac:dyDescent="0.25">
      <c r="A3144" t="s">
        <v>20</v>
      </c>
      <c r="B3144">
        <v>56</v>
      </c>
      <c r="C3144">
        <v>35</v>
      </c>
    </row>
    <row r="3145" spans="1:4" x14ac:dyDescent="0.25">
      <c r="A3145" t="s">
        <v>20</v>
      </c>
      <c r="B3145">
        <v>56</v>
      </c>
      <c r="C3145">
        <v>36</v>
      </c>
    </row>
    <row r="3146" spans="1:4" x14ac:dyDescent="0.25">
      <c r="A3146" t="s">
        <v>20</v>
      </c>
      <c r="B3146">
        <v>56</v>
      </c>
      <c r="C3146">
        <v>37</v>
      </c>
      <c r="D3146">
        <v>1</v>
      </c>
    </row>
    <row r="3147" spans="1:4" x14ac:dyDescent="0.25">
      <c r="A3147" t="s">
        <v>20</v>
      </c>
      <c r="B3147">
        <v>56</v>
      </c>
      <c r="C3147">
        <v>38</v>
      </c>
    </row>
    <row r="3148" spans="1:4" x14ac:dyDescent="0.25">
      <c r="A3148" t="s">
        <v>20</v>
      </c>
      <c r="B3148">
        <v>56</v>
      </c>
      <c r="C3148">
        <v>39</v>
      </c>
    </row>
    <row r="3149" spans="1:4" x14ac:dyDescent="0.25">
      <c r="A3149" t="s">
        <v>20</v>
      </c>
      <c r="B3149">
        <v>56</v>
      </c>
      <c r="C3149">
        <v>40</v>
      </c>
      <c r="D3149">
        <v>1</v>
      </c>
    </row>
    <row r="3150" spans="1:4" x14ac:dyDescent="0.25">
      <c r="A3150" t="s">
        <v>20</v>
      </c>
      <c r="B3150">
        <v>56</v>
      </c>
      <c r="C3150">
        <v>41</v>
      </c>
    </row>
    <row r="3151" spans="1:4" x14ac:dyDescent="0.25">
      <c r="A3151" t="s">
        <v>20</v>
      </c>
      <c r="B3151">
        <v>56</v>
      </c>
      <c r="C3151">
        <v>42</v>
      </c>
    </row>
    <row r="3152" spans="1:4" x14ac:dyDescent="0.25">
      <c r="A3152" t="s">
        <v>20</v>
      </c>
      <c r="B3152">
        <v>56</v>
      </c>
      <c r="C3152">
        <v>43</v>
      </c>
      <c r="D3152">
        <v>1</v>
      </c>
    </row>
    <row r="3153" spans="1:4" x14ac:dyDescent="0.25">
      <c r="A3153" t="s">
        <v>20</v>
      </c>
      <c r="B3153">
        <v>56</v>
      </c>
      <c r="C3153">
        <v>44</v>
      </c>
    </row>
    <row r="3154" spans="1:4" x14ac:dyDescent="0.25">
      <c r="A3154" t="s">
        <v>20</v>
      </c>
      <c r="B3154">
        <v>56</v>
      </c>
      <c r="C3154">
        <v>45</v>
      </c>
    </row>
    <row r="3155" spans="1:4" x14ac:dyDescent="0.25">
      <c r="A3155" t="s">
        <v>20</v>
      </c>
      <c r="B3155">
        <v>56</v>
      </c>
      <c r="C3155">
        <v>46</v>
      </c>
      <c r="D3155">
        <v>1</v>
      </c>
    </row>
    <row r="3156" spans="1:4" x14ac:dyDescent="0.25">
      <c r="A3156" t="s">
        <v>20</v>
      </c>
      <c r="B3156">
        <v>56</v>
      </c>
      <c r="C3156">
        <v>47</v>
      </c>
    </row>
    <row r="3157" spans="1:4" x14ac:dyDescent="0.25">
      <c r="A3157" t="s">
        <v>20</v>
      </c>
      <c r="B3157">
        <v>56</v>
      </c>
      <c r="C3157">
        <v>48</v>
      </c>
    </row>
    <row r="3158" spans="1:4" x14ac:dyDescent="0.25">
      <c r="A3158" t="s">
        <v>20</v>
      </c>
      <c r="B3158">
        <v>56</v>
      </c>
      <c r="C3158">
        <v>49</v>
      </c>
      <c r="D3158">
        <v>1</v>
      </c>
    </row>
    <row r="3159" spans="1:4" x14ac:dyDescent="0.25">
      <c r="A3159" t="s">
        <v>20</v>
      </c>
      <c r="B3159">
        <v>56</v>
      </c>
      <c r="C3159">
        <v>50</v>
      </c>
    </row>
    <row r="3160" spans="1:4" x14ac:dyDescent="0.25">
      <c r="A3160" t="s">
        <v>20</v>
      </c>
      <c r="B3160">
        <v>56</v>
      </c>
      <c r="C3160">
        <v>51</v>
      </c>
    </row>
    <row r="3161" spans="1:4" x14ac:dyDescent="0.25">
      <c r="A3161" t="s">
        <v>20</v>
      </c>
      <c r="B3161">
        <v>56</v>
      </c>
      <c r="C3161">
        <v>52</v>
      </c>
      <c r="D3161">
        <v>1</v>
      </c>
    </row>
    <row r="3162" spans="1:4" x14ac:dyDescent="0.25">
      <c r="A3162" t="s">
        <v>20</v>
      </c>
      <c r="B3162">
        <v>56</v>
      </c>
      <c r="C3162">
        <v>53</v>
      </c>
    </row>
    <row r="3163" spans="1:4" x14ac:dyDescent="0.25">
      <c r="A3163" t="s">
        <v>20</v>
      </c>
      <c r="B3163">
        <v>56</v>
      </c>
      <c r="C3163">
        <v>54</v>
      </c>
    </row>
    <row r="3164" spans="1:4" x14ac:dyDescent="0.25">
      <c r="A3164" t="s">
        <v>20</v>
      </c>
      <c r="B3164">
        <v>56</v>
      </c>
      <c r="C3164">
        <v>55</v>
      </c>
      <c r="D3164">
        <v>1</v>
      </c>
    </row>
    <row r="3165" spans="1:4" x14ac:dyDescent="0.25">
      <c r="A3165" t="s">
        <v>20</v>
      </c>
      <c r="B3165">
        <v>56</v>
      </c>
      <c r="C3165">
        <v>56</v>
      </c>
    </row>
    <row r="3166" spans="1:4" x14ac:dyDescent="0.25">
      <c r="A3166" t="s">
        <v>20</v>
      </c>
      <c r="B3166">
        <v>56</v>
      </c>
      <c r="C3166">
        <v>57</v>
      </c>
    </row>
    <row r="3167" spans="1:4" x14ac:dyDescent="0.25">
      <c r="A3167" t="s">
        <v>20</v>
      </c>
      <c r="B3167">
        <v>56</v>
      </c>
      <c r="C3167">
        <v>58</v>
      </c>
      <c r="D3167">
        <v>1</v>
      </c>
    </row>
    <row r="3168" spans="1:4" x14ac:dyDescent="0.25">
      <c r="A3168" t="s">
        <v>20</v>
      </c>
      <c r="B3168">
        <v>56</v>
      </c>
      <c r="C3168">
        <v>59</v>
      </c>
    </row>
    <row r="3169" spans="1:4" x14ac:dyDescent="0.25">
      <c r="A3169" t="s">
        <v>20</v>
      </c>
      <c r="B3169">
        <v>56</v>
      </c>
      <c r="C3169">
        <v>60</v>
      </c>
    </row>
    <row r="3170" spans="1:4" x14ac:dyDescent="0.25">
      <c r="A3170" t="s">
        <v>20</v>
      </c>
      <c r="B3170">
        <v>56</v>
      </c>
      <c r="C3170">
        <v>61</v>
      </c>
      <c r="D3170">
        <v>1</v>
      </c>
    </row>
    <row r="3171" spans="1:4" x14ac:dyDescent="0.25">
      <c r="A3171" t="s">
        <v>20</v>
      </c>
      <c r="B3171">
        <v>56</v>
      </c>
      <c r="C3171">
        <v>62</v>
      </c>
    </row>
    <row r="3172" spans="1:4" x14ac:dyDescent="0.25">
      <c r="A3172" t="s">
        <v>20</v>
      </c>
      <c r="B3172">
        <v>56</v>
      </c>
      <c r="C3172">
        <v>63</v>
      </c>
    </row>
    <row r="3173" spans="1:4" x14ac:dyDescent="0.25">
      <c r="A3173" t="s">
        <v>20</v>
      </c>
      <c r="B3173">
        <v>56</v>
      </c>
      <c r="C3173">
        <v>64</v>
      </c>
    </row>
    <row r="3174" spans="1:4" x14ac:dyDescent="0.25">
      <c r="A3174" t="s">
        <v>20</v>
      </c>
      <c r="B3174">
        <v>56</v>
      </c>
      <c r="C3174">
        <v>65</v>
      </c>
    </row>
    <row r="3175" spans="1:4" x14ac:dyDescent="0.25">
      <c r="A3175" t="s">
        <v>20</v>
      </c>
      <c r="B3175">
        <v>56</v>
      </c>
      <c r="C3175">
        <v>66</v>
      </c>
    </row>
    <row r="3176" spans="1:4" x14ac:dyDescent="0.25">
      <c r="A3176" t="s">
        <v>20</v>
      </c>
      <c r="B3176">
        <v>56</v>
      </c>
      <c r="C3176">
        <v>67</v>
      </c>
      <c r="D3176">
        <v>1</v>
      </c>
    </row>
    <row r="3177" spans="1:4" x14ac:dyDescent="0.25">
      <c r="A3177" t="s">
        <v>20</v>
      </c>
      <c r="B3177">
        <v>56</v>
      </c>
      <c r="C3177">
        <v>68</v>
      </c>
    </row>
    <row r="3178" spans="1:4" x14ac:dyDescent="0.25">
      <c r="A3178" t="s">
        <v>20</v>
      </c>
      <c r="B3178">
        <v>56</v>
      </c>
      <c r="C3178">
        <v>69</v>
      </c>
    </row>
    <row r="3179" spans="1:4" x14ac:dyDescent="0.25">
      <c r="A3179" t="s">
        <v>20</v>
      </c>
      <c r="B3179">
        <v>56</v>
      </c>
      <c r="C3179">
        <v>70</v>
      </c>
      <c r="D3179">
        <v>1</v>
      </c>
    </row>
    <row r="3180" spans="1:4" x14ac:dyDescent="0.25">
      <c r="A3180" t="s">
        <v>20</v>
      </c>
      <c r="B3180">
        <v>56</v>
      </c>
      <c r="C3180">
        <v>71</v>
      </c>
    </row>
    <row r="3181" spans="1:4" x14ac:dyDescent="0.25">
      <c r="A3181" t="s">
        <v>20</v>
      </c>
      <c r="B3181">
        <v>56</v>
      </c>
      <c r="C3181">
        <v>72</v>
      </c>
    </row>
    <row r="3182" spans="1:4" x14ac:dyDescent="0.25">
      <c r="A3182" t="s">
        <v>20</v>
      </c>
      <c r="B3182">
        <v>56</v>
      </c>
      <c r="C3182">
        <v>73</v>
      </c>
      <c r="D3182">
        <v>1</v>
      </c>
    </row>
    <row r="3183" spans="1:4" x14ac:dyDescent="0.25">
      <c r="A3183" t="s">
        <v>20</v>
      </c>
      <c r="B3183">
        <v>56</v>
      </c>
      <c r="C3183">
        <v>74</v>
      </c>
    </row>
    <row r="3184" spans="1:4" x14ac:dyDescent="0.25">
      <c r="A3184" t="s">
        <v>20</v>
      </c>
      <c r="B3184">
        <v>56</v>
      </c>
      <c r="C3184">
        <v>75</v>
      </c>
    </row>
    <row r="3185" spans="1:4" x14ac:dyDescent="0.25">
      <c r="A3185" t="s">
        <v>20</v>
      </c>
      <c r="B3185">
        <v>56</v>
      </c>
      <c r="C3185">
        <v>76</v>
      </c>
      <c r="D3185">
        <v>1</v>
      </c>
    </row>
    <row r="3186" spans="1:4" x14ac:dyDescent="0.25">
      <c r="A3186" t="s">
        <v>20</v>
      </c>
      <c r="B3186">
        <v>56</v>
      </c>
      <c r="C3186">
        <v>77</v>
      </c>
    </row>
    <row r="3187" spans="1:4" x14ac:dyDescent="0.25">
      <c r="A3187" t="s">
        <v>20</v>
      </c>
      <c r="B3187">
        <v>56</v>
      </c>
      <c r="C3187">
        <v>78</v>
      </c>
    </row>
    <row r="3188" spans="1:4" x14ac:dyDescent="0.25">
      <c r="A3188" t="s">
        <v>20</v>
      </c>
      <c r="B3188">
        <v>56</v>
      </c>
      <c r="C3188">
        <v>79</v>
      </c>
      <c r="D3188">
        <v>1</v>
      </c>
    </row>
    <row r="3189" spans="1:4" x14ac:dyDescent="0.25">
      <c r="A3189" t="s">
        <v>20</v>
      </c>
      <c r="B3189">
        <v>56</v>
      </c>
      <c r="C3189">
        <v>80</v>
      </c>
    </row>
    <row r="3190" spans="1:4" x14ac:dyDescent="0.25">
      <c r="A3190" t="s">
        <v>20</v>
      </c>
      <c r="B3190">
        <v>56</v>
      </c>
      <c r="C3190">
        <v>81</v>
      </c>
    </row>
    <row r="3191" spans="1:4" x14ac:dyDescent="0.25">
      <c r="A3191" t="s">
        <v>20</v>
      </c>
      <c r="B3191">
        <v>56</v>
      </c>
      <c r="C3191">
        <v>82</v>
      </c>
    </row>
    <row r="3192" spans="1:4" x14ac:dyDescent="0.25">
      <c r="A3192" t="s">
        <v>20</v>
      </c>
      <c r="B3192">
        <v>56</v>
      </c>
      <c r="C3192">
        <v>83</v>
      </c>
    </row>
    <row r="3193" spans="1:4" x14ac:dyDescent="0.25">
      <c r="A3193" t="s">
        <v>20</v>
      </c>
      <c r="B3193">
        <v>56</v>
      </c>
      <c r="C3193">
        <v>84</v>
      </c>
    </row>
    <row r="3194" spans="1:4" x14ac:dyDescent="0.25">
      <c r="A3194" t="s">
        <v>20</v>
      </c>
      <c r="B3194">
        <v>59</v>
      </c>
      <c r="C3194">
        <v>1</v>
      </c>
      <c r="D3194">
        <v>1</v>
      </c>
    </row>
    <row r="3195" spans="1:4" x14ac:dyDescent="0.25">
      <c r="A3195" t="s">
        <v>20</v>
      </c>
      <c r="B3195">
        <v>59</v>
      </c>
      <c r="C3195">
        <v>2</v>
      </c>
    </row>
    <row r="3196" spans="1:4" x14ac:dyDescent="0.25">
      <c r="A3196" t="s">
        <v>20</v>
      </c>
      <c r="B3196">
        <v>59</v>
      </c>
      <c r="C3196">
        <v>3</v>
      </c>
    </row>
    <row r="3197" spans="1:4" x14ac:dyDescent="0.25">
      <c r="A3197" t="s">
        <v>20</v>
      </c>
      <c r="B3197">
        <v>59</v>
      </c>
      <c r="C3197">
        <v>4</v>
      </c>
      <c r="D3197">
        <v>1</v>
      </c>
    </row>
    <row r="3198" spans="1:4" x14ac:dyDescent="0.25">
      <c r="A3198" t="s">
        <v>20</v>
      </c>
      <c r="B3198">
        <v>59</v>
      </c>
      <c r="C3198">
        <v>5</v>
      </c>
    </row>
    <row r="3199" spans="1:4" x14ac:dyDescent="0.25">
      <c r="A3199" t="s">
        <v>20</v>
      </c>
      <c r="B3199">
        <v>59</v>
      </c>
      <c r="C3199">
        <v>6</v>
      </c>
    </row>
    <row r="3200" spans="1:4" x14ac:dyDescent="0.25">
      <c r="A3200" t="s">
        <v>20</v>
      </c>
      <c r="B3200">
        <v>59</v>
      </c>
      <c r="C3200">
        <v>7</v>
      </c>
      <c r="D3200">
        <v>1</v>
      </c>
    </row>
    <row r="3201" spans="1:4" x14ac:dyDescent="0.25">
      <c r="A3201" t="s">
        <v>20</v>
      </c>
      <c r="B3201">
        <v>59</v>
      </c>
      <c r="C3201">
        <v>8</v>
      </c>
    </row>
    <row r="3202" spans="1:4" x14ac:dyDescent="0.25">
      <c r="A3202" t="s">
        <v>20</v>
      </c>
      <c r="B3202">
        <v>59</v>
      </c>
      <c r="C3202">
        <v>9</v>
      </c>
    </row>
    <row r="3203" spans="1:4" x14ac:dyDescent="0.25">
      <c r="A3203" t="s">
        <v>20</v>
      </c>
      <c r="B3203">
        <v>59</v>
      </c>
      <c r="C3203">
        <v>10</v>
      </c>
      <c r="D3203">
        <v>1</v>
      </c>
    </row>
    <row r="3204" spans="1:4" x14ac:dyDescent="0.25">
      <c r="A3204" t="s">
        <v>20</v>
      </c>
      <c r="B3204">
        <v>59</v>
      </c>
      <c r="C3204">
        <v>11</v>
      </c>
    </row>
    <row r="3205" spans="1:4" x14ac:dyDescent="0.25">
      <c r="A3205" t="s">
        <v>20</v>
      </c>
      <c r="B3205">
        <v>59</v>
      </c>
      <c r="C3205">
        <v>12</v>
      </c>
    </row>
    <row r="3206" spans="1:4" x14ac:dyDescent="0.25">
      <c r="A3206" t="s">
        <v>20</v>
      </c>
      <c r="B3206">
        <v>59</v>
      </c>
      <c r="C3206">
        <v>13</v>
      </c>
      <c r="D3206">
        <v>1</v>
      </c>
    </row>
    <row r="3207" spans="1:4" x14ac:dyDescent="0.25">
      <c r="A3207" t="s">
        <v>20</v>
      </c>
      <c r="B3207">
        <v>59</v>
      </c>
      <c r="C3207">
        <v>14</v>
      </c>
    </row>
    <row r="3208" spans="1:4" x14ac:dyDescent="0.25">
      <c r="A3208" t="s">
        <v>20</v>
      </c>
      <c r="B3208">
        <v>59</v>
      </c>
      <c r="C3208">
        <v>15</v>
      </c>
    </row>
    <row r="3209" spans="1:4" x14ac:dyDescent="0.25">
      <c r="A3209" t="s">
        <v>20</v>
      </c>
      <c r="B3209">
        <v>59</v>
      </c>
      <c r="C3209">
        <v>16</v>
      </c>
      <c r="D3209">
        <v>1</v>
      </c>
    </row>
    <row r="3210" spans="1:4" x14ac:dyDescent="0.25">
      <c r="A3210" t="s">
        <v>20</v>
      </c>
      <c r="B3210">
        <v>59</v>
      </c>
      <c r="C3210">
        <v>17</v>
      </c>
    </row>
    <row r="3211" spans="1:4" x14ac:dyDescent="0.25">
      <c r="A3211" t="s">
        <v>20</v>
      </c>
      <c r="B3211">
        <v>59</v>
      </c>
      <c r="C3211">
        <v>18</v>
      </c>
    </row>
    <row r="3212" spans="1:4" x14ac:dyDescent="0.25">
      <c r="A3212" t="s">
        <v>20</v>
      </c>
      <c r="B3212">
        <v>59</v>
      </c>
      <c r="C3212">
        <v>19</v>
      </c>
      <c r="D3212">
        <v>1</v>
      </c>
    </row>
    <row r="3213" spans="1:4" x14ac:dyDescent="0.25">
      <c r="A3213" t="s">
        <v>20</v>
      </c>
      <c r="B3213">
        <v>59</v>
      </c>
      <c r="C3213">
        <v>20</v>
      </c>
    </row>
    <row r="3214" spans="1:4" x14ac:dyDescent="0.25">
      <c r="A3214" t="s">
        <v>20</v>
      </c>
      <c r="B3214">
        <v>59</v>
      </c>
      <c r="C3214">
        <v>21</v>
      </c>
    </row>
    <row r="3215" spans="1:4" x14ac:dyDescent="0.25">
      <c r="A3215" t="s">
        <v>20</v>
      </c>
      <c r="B3215">
        <v>59</v>
      </c>
      <c r="C3215">
        <v>22</v>
      </c>
      <c r="D3215">
        <v>1</v>
      </c>
    </row>
    <row r="3216" spans="1:4" x14ac:dyDescent="0.25">
      <c r="A3216" t="s">
        <v>20</v>
      </c>
      <c r="B3216">
        <v>59</v>
      </c>
      <c r="C3216">
        <v>23</v>
      </c>
    </row>
    <row r="3217" spans="1:4" x14ac:dyDescent="0.25">
      <c r="A3217" t="s">
        <v>20</v>
      </c>
      <c r="B3217">
        <v>59</v>
      </c>
      <c r="C3217">
        <v>24</v>
      </c>
    </row>
    <row r="3218" spans="1:4" x14ac:dyDescent="0.25">
      <c r="A3218" t="s">
        <v>20</v>
      </c>
      <c r="B3218">
        <v>59</v>
      </c>
      <c r="C3218">
        <v>25</v>
      </c>
      <c r="D3218">
        <v>1</v>
      </c>
    </row>
    <row r="3219" spans="1:4" x14ac:dyDescent="0.25">
      <c r="A3219" t="s">
        <v>20</v>
      </c>
      <c r="B3219">
        <v>59</v>
      </c>
      <c r="C3219">
        <v>26</v>
      </c>
    </row>
    <row r="3220" spans="1:4" x14ac:dyDescent="0.25">
      <c r="A3220" t="s">
        <v>20</v>
      </c>
      <c r="B3220">
        <v>59</v>
      </c>
      <c r="C3220">
        <v>27</v>
      </c>
    </row>
    <row r="3221" spans="1:4" x14ac:dyDescent="0.25">
      <c r="A3221" t="s">
        <v>20</v>
      </c>
      <c r="B3221">
        <v>59</v>
      </c>
      <c r="C3221">
        <v>28</v>
      </c>
      <c r="D3221">
        <v>1</v>
      </c>
    </row>
    <row r="3222" spans="1:4" x14ac:dyDescent="0.25">
      <c r="A3222" t="s">
        <v>20</v>
      </c>
      <c r="B3222">
        <v>59</v>
      </c>
      <c r="C3222">
        <v>29</v>
      </c>
    </row>
    <row r="3223" spans="1:4" x14ac:dyDescent="0.25">
      <c r="A3223" t="s">
        <v>20</v>
      </c>
      <c r="B3223">
        <v>59</v>
      </c>
      <c r="C3223">
        <v>30</v>
      </c>
    </row>
    <row r="3224" spans="1:4" x14ac:dyDescent="0.25">
      <c r="A3224" t="s">
        <v>20</v>
      </c>
      <c r="B3224">
        <v>59</v>
      </c>
      <c r="C3224">
        <v>31</v>
      </c>
      <c r="D3224">
        <v>1</v>
      </c>
    </row>
    <row r="3225" spans="1:4" x14ac:dyDescent="0.25">
      <c r="A3225" t="s">
        <v>20</v>
      </c>
      <c r="B3225">
        <v>59</v>
      </c>
      <c r="C3225">
        <v>32</v>
      </c>
    </row>
    <row r="3226" spans="1:4" x14ac:dyDescent="0.25">
      <c r="A3226" t="s">
        <v>20</v>
      </c>
      <c r="B3226">
        <v>59</v>
      </c>
      <c r="C3226">
        <v>33</v>
      </c>
    </row>
    <row r="3227" spans="1:4" x14ac:dyDescent="0.25">
      <c r="A3227" t="s">
        <v>20</v>
      </c>
      <c r="B3227">
        <v>59</v>
      </c>
      <c r="C3227">
        <v>34</v>
      </c>
      <c r="D3227">
        <v>1</v>
      </c>
    </row>
    <row r="3228" spans="1:4" x14ac:dyDescent="0.25">
      <c r="A3228" t="s">
        <v>20</v>
      </c>
      <c r="B3228">
        <v>59</v>
      </c>
      <c r="C3228">
        <v>35</v>
      </c>
    </row>
    <row r="3229" spans="1:4" x14ac:dyDescent="0.25">
      <c r="A3229" t="s">
        <v>20</v>
      </c>
      <c r="B3229">
        <v>59</v>
      </c>
      <c r="C3229">
        <v>36</v>
      </c>
    </row>
    <row r="3230" spans="1:4" x14ac:dyDescent="0.25">
      <c r="A3230" t="s">
        <v>20</v>
      </c>
      <c r="B3230">
        <v>59</v>
      </c>
      <c r="C3230">
        <v>37</v>
      </c>
    </row>
    <row r="3231" spans="1:4" x14ac:dyDescent="0.25">
      <c r="A3231" t="s">
        <v>20</v>
      </c>
      <c r="B3231">
        <v>59</v>
      </c>
      <c r="C3231">
        <v>38</v>
      </c>
      <c r="D3231">
        <v>1</v>
      </c>
    </row>
    <row r="3232" spans="1:4" x14ac:dyDescent="0.25">
      <c r="A3232" t="s">
        <v>20</v>
      </c>
      <c r="B3232">
        <v>59</v>
      </c>
      <c r="C3232">
        <v>39</v>
      </c>
    </row>
    <row r="3233" spans="1:4" x14ac:dyDescent="0.25">
      <c r="A3233" t="s">
        <v>20</v>
      </c>
      <c r="B3233">
        <v>59</v>
      </c>
      <c r="C3233">
        <v>40</v>
      </c>
    </row>
    <row r="3234" spans="1:4" x14ac:dyDescent="0.25">
      <c r="A3234" t="s">
        <v>20</v>
      </c>
      <c r="B3234">
        <v>59</v>
      </c>
      <c r="C3234">
        <v>41</v>
      </c>
      <c r="D3234">
        <v>1</v>
      </c>
    </row>
    <row r="3235" spans="1:4" x14ac:dyDescent="0.25">
      <c r="A3235" t="s">
        <v>20</v>
      </c>
      <c r="B3235">
        <v>59</v>
      </c>
      <c r="C3235">
        <v>42</v>
      </c>
    </row>
    <row r="3236" spans="1:4" x14ac:dyDescent="0.25">
      <c r="A3236" t="s">
        <v>20</v>
      </c>
      <c r="B3236">
        <v>59</v>
      </c>
      <c r="C3236">
        <v>43</v>
      </c>
      <c r="D3236">
        <v>1</v>
      </c>
    </row>
    <row r="3237" spans="1:4" x14ac:dyDescent="0.25">
      <c r="A3237" t="s">
        <v>20</v>
      </c>
      <c r="B3237">
        <v>59</v>
      </c>
      <c r="C3237">
        <v>44</v>
      </c>
    </row>
    <row r="3238" spans="1:4" x14ac:dyDescent="0.25">
      <c r="A3238" t="s">
        <v>20</v>
      </c>
      <c r="B3238">
        <v>59</v>
      </c>
      <c r="C3238">
        <v>45</v>
      </c>
    </row>
    <row r="3239" spans="1:4" x14ac:dyDescent="0.25">
      <c r="A3239" t="s">
        <v>20</v>
      </c>
      <c r="B3239">
        <v>59</v>
      </c>
      <c r="C3239">
        <v>46</v>
      </c>
      <c r="D3239">
        <v>1</v>
      </c>
    </row>
    <row r="3240" spans="1:4" x14ac:dyDescent="0.25">
      <c r="A3240" t="s">
        <v>20</v>
      </c>
      <c r="B3240">
        <v>59</v>
      </c>
      <c r="C3240">
        <v>47</v>
      </c>
    </row>
    <row r="3241" spans="1:4" x14ac:dyDescent="0.25">
      <c r="A3241" t="s">
        <v>20</v>
      </c>
      <c r="B3241">
        <v>59</v>
      </c>
      <c r="C3241">
        <v>48</v>
      </c>
    </row>
    <row r="3242" spans="1:4" x14ac:dyDescent="0.25">
      <c r="A3242" t="s">
        <v>20</v>
      </c>
      <c r="B3242">
        <v>59</v>
      </c>
      <c r="C3242">
        <v>49</v>
      </c>
      <c r="D3242">
        <v>1</v>
      </c>
    </row>
    <row r="3243" spans="1:4" x14ac:dyDescent="0.25">
      <c r="A3243" t="s">
        <v>20</v>
      </c>
      <c r="B3243">
        <v>59</v>
      </c>
      <c r="C3243">
        <v>50</v>
      </c>
    </row>
    <row r="3244" spans="1:4" x14ac:dyDescent="0.25">
      <c r="A3244" t="s">
        <v>20</v>
      </c>
      <c r="B3244">
        <v>59</v>
      </c>
      <c r="C3244">
        <v>51</v>
      </c>
    </row>
    <row r="3245" spans="1:4" x14ac:dyDescent="0.25">
      <c r="A3245" t="s">
        <v>20</v>
      </c>
      <c r="B3245">
        <v>59</v>
      </c>
      <c r="C3245">
        <v>52</v>
      </c>
      <c r="D3245">
        <v>1</v>
      </c>
    </row>
    <row r="3246" spans="1:4" x14ac:dyDescent="0.25">
      <c r="A3246" t="s">
        <v>20</v>
      </c>
      <c r="B3246">
        <v>59</v>
      </c>
      <c r="C3246">
        <v>53</v>
      </c>
    </row>
    <row r="3247" spans="1:4" x14ac:dyDescent="0.25">
      <c r="A3247" t="s">
        <v>20</v>
      </c>
      <c r="B3247">
        <v>59</v>
      </c>
      <c r="C3247">
        <v>54</v>
      </c>
    </row>
    <row r="3248" spans="1:4" x14ac:dyDescent="0.25">
      <c r="A3248" t="s">
        <v>20</v>
      </c>
      <c r="B3248">
        <v>59</v>
      </c>
      <c r="C3248">
        <v>55</v>
      </c>
      <c r="D3248">
        <v>1</v>
      </c>
    </row>
    <row r="3249" spans="1:4" x14ac:dyDescent="0.25">
      <c r="A3249" t="s">
        <v>20</v>
      </c>
      <c r="B3249">
        <v>59</v>
      </c>
      <c r="C3249">
        <v>56</v>
      </c>
    </row>
    <row r="3250" spans="1:4" x14ac:dyDescent="0.25">
      <c r="A3250" t="s">
        <v>20</v>
      </c>
      <c r="B3250">
        <v>59</v>
      </c>
      <c r="C3250">
        <v>57</v>
      </c>
    </row>
    <row r="3251" spans="1:4" x14ac:dyDescent="0.25">
      <c r="A3251" t="s">
        <v>20</v>
      </c>
      <c r="B3251">
        <v>59</v>
      </c>
      <c r="C3251">
        <v>58</v>
      </c>
      <c r="D3251">
        <v>1</v>
      </c>
    </row>
    <row r="3252" spans="1:4" x14ac:dyDescent="0.25">
      <c r="A3252" t="s">
        <v>20</v>
      </c>
      <c r="B3252">
        <v>59</v>
      </c>
      <c r="C3252">
        <v>59</v>
      </c>
    </row>
    <row r="3253" spans="1:4" x14ac:dyDescent="0.25">
      <c r="A3253" t="s">
        <v>20</v>
      </c>
      <c r="B3253">
        <v>59</v>
      </c>
      <c r="C3253">
        <v>60</v>
      </c>
    </row>
    <row r="3254" spans="1:4" x14ac:dyDescent="0.25">
      <c r="A3254" t="s">
        <v>20</v>
      </c>
      <c r="B3254">
        <v>59</v>
      </c>
      <c r="C3254">
        <v>61</v>
      </c>
      <c r="D3254">
        <v>1</v>
      </c>
    </row>
    <row r="3255" spans="1:4" x14ac:dyDescent="0.25">
      <c r="A3255" t="s">
        <v>20</v>
      </c>
      <c r="B3255">
        <v>59</v>
      </c>
      <c r="C3255">
        <v>62</v>
      </c>
    </row>
    <row r="3256" spans="1:4" x14ac:dyDescent="0.25">
      <c r="A3256" t="s">
        <v>20</v>
      </c>
      <c r="B3256">
        <v>59</v>
      </c>
      <c r="C3256">
        <v>63</v>
      </c>
    </row>
    <row r="3257" spans="1:4" x14ac:dyDescent="0.25">
      <c r="A3257" t="s">
        <v>20</v>
      </c>
      <c r="B3257">
        <v>59</v>
      </c>
      <c r="C3257">
        <v>64</v>
      </c>
      <c r="D3257">
        <v>1</v>
      </c>
    </row>
    <row r="3258" spans="1:4" x14ac:dyDescent="0.25">
      <c r="A3258" t="s">
        <v>20</v>
      </c>
      <c r="B3258">
        <v>59</v>
      </c>
      <c r="C3258">
        <v>65</v>
      </c>
    </row>
    <row r="3259" spans="1:4" x14ac:dyDescent="0.25">
      <c r="A3259" t="s">
        <v>20</v>
      </c>
      <c r="B3259">
        <v>59</v>
      </c>
      <c r="C3259">
        <v>66</v>
      </c>
    </row>
    <row r="3260" spans="1:4" x14ac:dyDescent="0.25">
      <c r="A3260" t="s">
        <v>20</v>
      </c>
      <c r="B3260">
        <v>59</v>
      </c>
      <c r="C3260">
        <v>67</v>
      </c>
      <c r="D3260">
        <v>1</v>
      </c>
    </row>
    <row r="3261" spans="1:4" x14ac:dyDescent="0.25">
      <c r="A3261" t="s">
        <v>20</v>
      </c>
      <c r="B3261">
        <v>59</v>
      </c>
      <c r="C3261">
        <v>68</v>
      </c>
    </row>
    <row r="3262" spans="1:4" x14ac:dyDescent="0.25">
      <c r="A3262" t="s">
        <v>20</v>
      </c>
      <c r="B3262">
        <v>59</v>
      </c>
      <c r="C3262">
        <v>69</v>
      </c>
    </row>
    <row r="3263" spans="1:4" x14ac:dyDescent="0.25">
      <c r="A3263" t="s">
        <v>20</v>
      </c>
      <c r="B3263">
        <v>59</v>
      </c>
      <c r="C3263">
        <v>70</v>
      </c>
      <c r="D3263">
        <v>1</v>
      </c>
    </row>
    <row r="3264" spans="1:4" x14ac:dyDescent="0.25">
      <c r="A3264" t="s">
        <v>20</v>
      </c>
      <c r="B3264">
        <v>59</v>
      </c>
      <c r="C3264">
        <v>71</v>
      </c>
    </row>
    <row r="3265" spans="1:4" x14ac:dyDescent="0.25">
      <c r="A3265" t="s">
        <v>20</v>
      </c>
      <c r="B3265">
        <v>59</v>
      </c>
      <c r="C3265">
        <v>72</v>
      </c>
    </row>
    <row r="3266" spans="1:4" x14ac:dyDescent="0.25">
      <c r="A3266" t="s">
        <v>20</v>
      </c>
      <c r="B3266">
        <v>59</v>
      </c>
      <c r="C3266">
        <v>73</v>
      </c>
    </row>
    <row r="3267" spans="1:4" x14ac:dyDescent="0.25">
      <c r="A3267" t="s">
        <v>20</v>
      </c>
      <c r="B3267">
        <v>59</v>
      </c>
      <c r="C3267">
        <v>74</v>
      </c>
      <c r="D3267">
        <v>1</v>
      </c>
    </row>
    <row r="3268" spans="1:4" x14ac:dyDescent="0.25">
      <c r="A3268" t="s">
        <v>20</v>
      </c>
      <c r="B3268">
        <v>59</v>
      </c>
      <c r="C3268">
        <v>75</v>
      </c>
    </row>
    <row r="3269" spans="1:4" x14ac:dyDescent="0.25">
      <c r="A3269" t="s">
        <v>20</v>
      </c>
      <c r="B3269">
        <v>59</v>
      </c>
      <c r="C3269">
        <v>76</v>
      </c>
      <c r="D3269">
        <v>1</v>
      </c>
    </row>
    <row r="3270" spans="1:4" x14ac:dyDescent="0.25">
      <c r="A3270" t="s">
        <v>20</v>
      </c>
      <c r="B3270">
        <v>59</v>
      </c>
      <c r="C3270">
        <v>77</v>
      </c>
    </row>
    <row r="3271" spans="1:4" x14ac:dyDescent="0.25">
      <c r="A3271" t="s">
        <v>20</v>
      </c>
      <c r="B3271">
        <v>59</v>
      </c>
      <c r="C3271">
        <v>78</v>
      </c>
    </row>
    <row r="3272" spans="1:4" x14ac:dyDescent="0.25">
      <c r="A3272" t="s">
        <v>20</v>
      </c>
      <c r="B3272">
        <v>59</v>
      </c>
      <c r="C3272">
        <v>79</v>
      </c>
    </row>
    <row r="3273" spans="1:4" x14ac:dyDescent="0.25">
      <c r="A3273" t="s">
        <v>20</v>
      </c>
      <c r="B3273">
        <v>59</v>
      </c>
      <c r="C3273">
        <v>80</v>
      </c>
      <c r="D3273">
        <v>1</v>
      </c>
    </row>
    <row r="3274" spans="1:4" x14ac:dyDescent="0.25">
      <c r="A3274" t="s">
        <v>20</v>
      </c>
      <c r="B3274">
        <v>59</v>
      </c>
      <c r="C3274">
        <v>81</v>
      </c>
    </row>
    <row r="3275" spans="1:4" x14ac:dyDescent="0.25">
      <c r="A3275" t="s">
        <v>20</v>
      </c>
      <c r="B3275">
        <v>59</v>
      </c>
      <c r="C3275">
        <v>82</v>
      </c>
    </row>
    <row r="3276" spans="1:4" x14ac:dyDescent="0.25">
      <c r="A3276" t="s">
        <v>20</v>
      </c>
      <c r="B3276">
        <v>59</v>
      </c>
      <c r="C3276">
        <v>83</v>
      </c>
      <c r="D3276">
        <v>1</v>
      </c>
    </row>
    <row r="3277" spans="1:4" x14ac:dyDescent="0.25">
      <c r="A3277" t="s">
        <v>20</v>
      </c>
      <c r="B3277">
        <v>59</v>
      </c>
      <c r="C3277">
        <v>84</v>
      </c>
    </row>
    <row r="3278" spans="1:4" x14ac:dyDescent="0.25">
      <c r="A3278" t="s">
        <v>20</v>
      </c>
      <c r="B3278">
        <v>60</v>
      </c>
      <c r="C3278">
        <v>1</v>
      </c>
    </row>
    <row r="3279" spans="1:4" x14ac:dyDescent="0.25">
      <c r="A3279" t="s">
        <v>20</v>
      </c>
      <c r="B3279">
        <v>60</v>
      </c>
      <c r="C3279">
        <v>2</v>
      </c>
    </row>
    <row r="3280" spans="1:4" x14ac:dyDescent="0.25">
      <c r="A3280" t="s">
        <v>20</v>
      </c>
      <c r="B3280">
        <v>60</v>
      </c>
      <c r="C3280">
        <v>3</v>
      </c>
    </row>
    <row r="3281" spans="1:3" x14ac:dyDescent="0.25">
      <c r="A3281" t="s">
        <v>20</v>
      </c>
      <c r="B3281">
        <v>60</v>
      </c>
      <c r="C3281">
        <v>4</v>
      </c>
    </row>
    <row r="3282" spans="1:3" x14ac:dyDescent="0.25">
      <c r="A3282" t="s">
        <v>20</v>
      </c>
      <c r="B3282">
        <v>60</v>
      </c>
      <c r="C3282">
        <v>5</v>
      </c>
    </row>
    <row r="3283" spans="1:3" x14ac:dyDescent="0.25">
      <c r="A3283" t="s">
        <v>20</v>
      </c>
      <c r="B3283">
        <v>60</v>
      </c>
      <c r="C3283">
        <v>6</v>
      </c>
    </row>
    <row r="3284" spans="1:3" x14ac:dyDescent="0.25">
      <c r="A3284" t="s">
        <v>20</v>
      </c>
      <c r="B3284">
        <v>60</v>
      </c>
      <c r="C3284">
        <v>7</v>
      </c>
    </row>
    <row r="3285" spans="1:3" x14ac:dyDescent="0.25">
      <c r="A3285" t="s">
        <v>20</v>
      </c>
      <c r="B3285">
        <v>60</v>
      </c>
      <c r="C3285">
        <v>8</v>
      </c>
    </row>
    <row r="3286" spans="1:3" x14ac:dyDescent="0.25">
      <c r="A3286" t="s">
        <v>20</v>
      </c>
      <c r="B3286">
        <v>60</v>
      </c>
      <c r="C3286">
        <v>9</v>
      </c>
    </row>
    <row r="3287" spans="1:3" x14ac:dyDescent="0.25">
      <c r="A3287" t="s">
        <v>20</v>
      </c>
      <c r="B3287">
        <v>60</v>
      </c>
      <c r="C3287">
        <v>10</v>
      </c>
    </row>
    <row r="3288" spans="1:3" x14ac:dyDescent="0.25">
      <c r="A3288" t="s">
        <v>20</v>
      </c>
      <c r="B3288">
        <v>60</v>
      </c>
      <c r="C3288">
        <v>11</v>
      </c>
    </row>
    <row r="3289" spans="1:3" x14ac:dyDescent="0.25">
      <c r="A3289" t="s">
        <v>20</v>
      </c>
      <c r="B3289">
        <v>60</v>
      </c>
      <c r="C3289">
        <v>12</v>
      </c>
    </row>
    <row r="3290" spans="1:3" x14ac:dyDescent="0.25">
      <c r="A3290" t="s">
        <v>20</v>
      </c>
      <c r="B3290">
        <v>60</v>
      </c>
      <c r="C3290">
        <v>13</v>
      </c>
    </row>
    <row r="3291" spans="1:3" x14ac:dyDescent="0.25">
      <c r="A3291" t="s">
        <v>20</v>
      </c>
      <c r="B3291">
        <v>60</v>
      </c>
      <c r="C3291">
        <v>14</v>
      </c>
    </row>
    <row r="3292" spans="1:3" x14ac:dyDescent="0.25">
      <c r="A3292" t="s">
        <v>20</v>
      </c>
      <c r="B3292">
        <v>60</v>
      </c>
      <c r="C3292">
        <v>15</v>
      </c>
    </row>
    <row r="3293" spans="1:3" x14ac:dyDescent="0.25">
      <c r="A3293" t="s">
        <v>20</v>
      </c>
      <c r="B3293">
        <v>60</v>
      </c>
      <c r="C3293">
        <v>16</v>
      </c>
    </row>
    <row r="3294" spans="1:3" x14ac:dyDescent="0.25">
      <c r="A3294" t="s">
        <v>20</v>
      </c>
      <c r="B3294">
        <v>60</v>
      </c>
      <c r="C3294">
        <v>17</v>
      </c>
    </row>
    <row r="3295" spans="1:3" x14ac:dyDescent="0.25">
      <c r="A3295" t="s">
        <v>20</v>
      </c>
      <c r="B3295">
        <v>60</v>
      </c>
      <c r="C3295">
        <v>18</v>
      </c>
    </row>
    <row r="3296" spans="1:3" x14ac:dyDescent="0.25">
      <c r="A3296" t="s">
        <v>20</v>
      </c>
      <c r="B3296">
        <v>60</v>
      </c>
      <c r="C3296">
        <v>19</v>
      </c>
    </row>
    <row r="3297" spans="1:3" x14ac:dyDescent="0.25">
      <c r="A3297" t="s">
        <v>20</v>
      </c>
      <c r="B3297">
        <v>60</v>
      </c>
      <c r="C3297">
        <v>20</v>
      </c>
    </row>
    <row r="3298" spans="1:3" x14ac:dyDescent="0.25">
      <c r="A3298" t="s">
        <v>20</v>
      </c>
      <c r="B3298">
        <v>60</v>
      </c>
      <c r="C3298">
        <v>21</v>
      </c>
    </row>
    <row r="3299" spans="1:3" x14ac:dyDescent="0.25">
      <c r="A3299" t="s">
        <v>20</v>
      </c>
      <c r="B3299">
        <v>60</v>
      </c>
      <c r="C3299">
        <v>22</v>
      </c>
    </row>
    <row r="3300" spans="1:3" x14ac:dyDescent="0.25">
      <c r="A3300" t="s">
        <v>20</v>
      </c>
      <c r="B3300">
        <v>60</v>
      </c>
      <c r="C3300">
        <v>23</v>
      </c>
    </row>
    <row r="3301" spans="1:3" x14ac:dyDescent="0.25">
      <c r="A3301" t="s">
        <v>20</v>
      </c>
      <c r="B3301">
        <v>60</v>
      </c>
      <c r="C3301">
        <v>24</v>
      </c>
    </row>
    <row r="3302" spans="1:3" x14ac:dyDescent="0.25">
      <c r="A3302" t="s">
        <v>20</v>
      </c>
      <c r="B3302">
        <v>60</v>
      </c>
      <c r="C3302">
        <v>25</v>
      </c>
    </row>
    <row r="3303" spans="1:3" x14ac:dyDescent="0.25">
      <c r="A3303" t="s">
        <v>20</v>
      </c>
      <c r="B3303">
        <v>60</v>
      </c>
      <c r="C3303">
        <v>26</v>
      </c>
    </row>
    <row r="3304" spans="1:3" x14ac:dyDescent="0.25">
      <c r="A3304" t="s">
        <v>20</v>
      </c>
      <c r="B3304">
        <v>60</v>
      </c>
      <c r="C3304">
        <v>27</v>
      </c>
    </row>
    <row r="3305" spans="1:3" x14ac:dyDescent="0.25">
      <c r="A3305" t="s">
        <v>20</v>
      </c>
      <c r="B3305">
        <v>60</v>
      </c>
      <c r="C3305">
        <v>28</v>
      </c>
    </row>
    <row r="3306" spans="1:3" x14ac:dyDescent="0.25">
      <c r="A3306" t="s">
        <v>20</v>
      </c>
      <c r="B3306">
        <v>60</v>
      </c>
      <c r="C3306">
        <v>29</v>
      </c>
    </row>
    <row r="3307" spans="1:3" x14ac:dyDescent="0.25">
      <c r="A3307" t="s">
        <v>20</v>
      </c>
      <c r="B3307">
        <v>60</v>
      </c>
      <c r="C3307">
        <v>30</v>
      </c>
    </row>
    <row r="3308" spans="1:3" x14ac:dyDescent="0.25">
      <c r="A3308" t="s">
        <v>20</v>
      </c>
      <c r="B3308">
        <v>60</v>
      </c>
      <c r="C3308">
        <v>31</v>
      </c>
    </row>
    <row r="3309" spans="1:3" x14ac:dyDescent="0.25">
      <c r="A3309" t="s">
        <v>20</v>
      </c>
      <c r="B3309">
        <v>60</v>
      </c>
      <c r="C3309">
        <v>32</v>
      </c>
    </row>
    <row r="3310" spans="1:3" x14ac:dyDescent="0.25">
      <c r="A3310" t="s">
        <v>20</v>
      </c>
      <c r="B3310">
        <v>60</v>
      </c>
      <c r="C3310">
        <v>33</v>
      </c>
    </row>
    <row r="3311" spans="1:3" x14ac:dyDescent="0.25">
      <c r="A3311" t="s">
        <v>20</v>
      </c>
      <c r="B3311">
        <v>60</v>
      </c>
      <c r="C3311">
        <v>34</v>
      </c>
    </row>
    <row r="3312" spans="1:3" x14ac:dyDescent="0.25">
      <c r="A3312" t="s">
        <v>20</v>
      </c>
      <c r="B3312">
        <v>60</v>
      </c>
      <c r="C3312">
        <v>35</v>
      </c>
    </row>
    <row r="3313" spans="1:3" x14ac:dyDescent="0.25">
      <c r="A3313" t="s">
        <v>20</v>
      </c>
      <c r="B3313">
        <v>60</v>
      </c>
      <c r="C3313">
        <v>36</v>
      </c>
    </row>
    <row r="3314" spans="1:3" x14ac:dyDescent="0.25">
      <c r="A3314" t="s">
        <v>20</v>
      </c>
      <c r="B3314">
        <v>60</v>
      </c>
      <c r="C3314">
        <v>37</v>
      </c>
    </row>
    <row r="3315" spans="1:3" x14ac:dyDescent="0.25">
      <c r="A3315" t="s">
        <v>20</v>
      </c>
      <c r="B3315">
        <v>60</v>
      </c>
      <c r="C3315">
        <v>38</v>
      </c>
    </row>
    <row r="3316" spans="1:3" x14ac:dyDescent="0.25">
      <c r="A3316" t="s">
        <v>20</v>
      </c>
      <c r="B3316">
        <v>60</v>
      </c>
      <c r="C3316">
        <v>39</v>
      </c>
    </row>
    <row r="3317" spans="1:3" x14ac:dyDescent="0.25">
      <c r="A3317" t="s">
        <v>20</v>
      </c>
      <c r="B3317">
        <v>60</v>
      </c>
      <c r="C3317">
        <v>40</v>
      </c>
    </row>
    <row r="3318" spans="1:3" x14ac:dyDescent="0.25">
      <c r="A3318" t="s">
        <v>20</v>
      </c>
      <c r="B3318">
        <v>60</v>
      </c>
      <c r="C3318">
        <v>41</v>
      </c>
    </row>
    <row r="3319" spans="1:3" x14ac:dyDescent="0.25">
      <c r="A3319" t="s">
        <v>20</v>
      </c>
      <c r="B3319">
        <v>60</v>
      </c>
      <c r="C3319">
        <v>42</v>
      </c>
    </row>
    <row r="3320" spans="1:3" x14ac:dyDescent="0.25">
      <c r="A3320" t="s">
        <v>20</v>
      </c>
      <c r="B3320">
        <v>60</v>
      </c>
      <c r="C3320">
        <v>43</v>
      </c>
    </row>
    <row r="3321" spans="1:3" x14ac:dyDescent="0.25">
      <c r="A3321" t="s">
        <v>20</v>
      </c>
      <c r="B3321">
        <v>60</v>
      </c>
      <c r="C3321">
        <v>44</v>
      </c>
    </row>
    <row r="3322" spans="1:3" x14ac:dyDescent="0.25">
      <c r="A3322" t="s">
        <v>20</v>
      </c>
      <c r="B3322">
        <v>60</v>
      </c>
      <c r="C3322">
        <v>45</v>
      </c>
    </row>
    <row r="3323" spans="1:3" x14ac:dyDescent="0.25">
      <c r="A3323" t="s">
        <v>20</v>
      </c>
      <c r="B3323">
        <v>60</v>
      </c>
      <c r="C3323">
        <v>46</v>
      </c>
    </row>
    <row r="3324" spans="1:3" x14ac:dyDescent="0.25">
      <c r="A3324" t="s">
        <v>20</v>
      </c>
      <c r="B3324">
        <v>60</v>
      </c>
      <c r="C3324">
        <v>47</v>
      </c>
    </row>
    <row r="3325" spans="1:3" x14ac:dyDescent="0.25">
      <c r="A3325" t="s">
        <v>20</v>
      </c>
      <c r="B3325">
        <v>60</v>
      </c>
      <c r="C3325">
        <v>48</v>
      </c>
    </row>
    <row r="3326" spans="1:3" x14ac:dyDescent="0.25">
      <c r="A3326" t="s">
        <v>20</v>
      </c>
      <c r="B3326">
        <v>60</v>
      </c>
      <c r="C3326">
        <v>49</v>
      </c>
    </row>
    <row r="3327" spans="1:3" x14ac:dyDescent="0.25">
      <c r="A3327" t="s">
        <v>20</v>
      </c>
      <c r="B3327">
        <v>60</v>
      </c>
      <c r="C3327">
        <v>50</v>
      </c>
    </row>
    <row r="3328" spans="1:3" x14ac:dyDescent="0.25">
      <c r="A3328" t="s">
        <v>20</v>
      </c>
      <c r="B3328">
        <v>60</v>
      </c>
      <c r="C3328">
        <v>51</v>
      </c>
    </row>
    <row r="3329" spans="1:3" x14ac:dyDescent="0.25">
      <c r="A3329" t="s">
        <v>20</v>
      </c>
      <c r="B3329">
        <v>60</v>
      </c>
      <c r="C3329">
        <v>52</v>
      </c>
    </row>
    <row r="3330" spans="1:3" x14ac:dyDescent="0.25">
      <c r="A3330" t="s">
        <v>20</v>
      </c>
      <c r="B3330">
        <v>60</v>
      </c>
      <c r="C3330">
        <v>53</v>
      </c>
    </row>
    <row r="3331" spans="1:3" x14ac:dyDescent="0.25">
      <c r="A3331" t="s">
        <v>20</v>
      </c>
      <c r="B3331">
        <v>60</v>
      </c>
      <c r="C3331">
        <v>54</v>
      </c>
    </row>
    <row r="3332" spans="1:3" x14ac:dyDescent="0.25">
      <c r="A3332" t="s">
        <v>20</v>
      </c>
      <c r="B3332">
        <v>60</v>
      </c>
      <c r="C3332">
        <v>55</v>
      </c>
    </row>
    <row r="3333" spans="1:3" x14ac:dyDescent="0.25">
      <c r="A3333" t="s">
        <v>20</v>
      </c>
      <c r="B3333">
        <v>60</v>
      </c>
      <c r="C3333">
        <v>56</v>
      </c>
    </row>
    <row r="3334" spans="1:3" x14ac:dyDescent="0.25">
      <c r="A3334" t="s">
        <v>20</v>
      </c>
      <c r="B3334">
        <v>60</v>
      </c>
      <c r="C3334">
        <v>57</v>
      </c>
    </row>
    <row r="3335" spans="1:3" x14ac:dyDescent="0.25">
      <c r="A3335" t="s">
        <v>20</v>
      </c>
      <c r="B3335">
        <v>60</v>
      </c>
      <c r="C3335">
        <v>58</v>
      </c>
    </row>
    <row r="3336" spans="1:3" x14ac:dyDescent="0.25">
      <c r="A3336" t="s">
        <v>20</v>
      </c>
      <c r="B3336">
        <v>60</v>
      </c>
      <c r="C3336">
        <v>59</v>
      </c>
    </row>
    <row r="3337" spans="1:3" x14ac:dyDescent="0.25">
      <c r="A3337" t="s">
        <v>20</v>
      </c>
      <c r="B3337">
        <v>60</v>
      </c>
      <c r="C3337">
        <v>60</v>
      </c>
    </row>
    <row r="3338" spans="1:3" x14ac:dyDescent="0.25">
      <c r="A3338" t="s">
        <v>20</v>
      </c>
      <c r="B3338">
        <v>60</v>
      </c>
      <c r="C3338">
        <v>61</v>
      </c>
    </row>
    <row r="3339" spans="1:3" x14ac:dyDescent="0.25">
      <c r="A3339" t="s">
        <v>20</v>
      </c>
      <c r="B3339">
        <v>60</v>
      </c>
      <c r="C3339">
        <v>62</v>
      </c>
    </row>
    <row r="3340" spans="1:3" x14ac:dyDescent="0.25">
      <c r="A3340" t="s">
        <v>20</v>
      </c>
      <c r="B3340">
        <v>60</v>
      </c>
      <c r="C3340">
        <v>63</v>
      </c>
    </row>
    <row r="3341" spans="1:3" x14ac:dyDescent="0.25">
      <c r="A3341" t="s">
        <v>20</v>
      </c>
      <c r="B3341">
        <v>60</v>
      </c>
      <c r="C3341">
        <v>64</v>
      </c>
    </row>
    <row r="3342" spans="1:3" x14ac:dyDescent="0.25">
      <c r="A3342" t="s">
        <v>20</v>
      </c>
      <c r="B3342">
        <v>60</v>
      </c>
      <c r="C3342">
        <v>65</v>
      </c>
    </row>
    <row r="3343" spans="1:3" x14ac:dyDescent="0.25">
      <c r="A3343" t="s">
        <v>20</v>
      </c>
      <c r="B3343">
        <v>60</v>
      </c>
      <c r="C3343">
        <v>66</v>
      </c>
    </row>
    <row r="3344" spans="1:3" x14ac:dyDescent="0.25">
      <c r="A3344" t="s">
        <v>20</v>
      </c>
      <c r="B3344">
        <v>60</v>
      </c>
      <c r="C3344">
        <v>67</v>
      </c>
    </row>
    <row r="3345" spans="1:3" x14ac:dyDescent="0.25">
      <c r="A3345" t="s">
        <v>20</v>
      </c>
      <c r="B3345">
        <v>60</v>
      </c>
      <c r="C3345">
        <v>68</v>
      </c>
    </row>
    <row r="3346" spans="1:3" x14ac:dyDescent="0.25">
      <c r="A3346" t="s">
        <v>20</v>
      </c>
      <c r="B3346">
        <v>60</v>
      </c>
      <c r="C3346">
        <v>69</v>
      </c>
    </row>
    <row r="3347" spans="1:3" x14ac:dyDescent="0.25">
      <c r="A3347" t="s">
        <v>20</v>
      </c>
      <c r="B3347">
        <v>60</v>
      </c>
      <c r="C3347">
        <v>70</v>
      </c>
    </row>
    <row r="3348" spans="1:3" x14ac:dyDescent="0.25">
      <c r="A3348" t="s">
        <v>20</v>
      </c>
      <c r="B3348">
        <v>60</v>
      </c>
      <c r="C3348">
        <v>71</v>
      </c>
    </row>
    <row r="3349" spans="1:3" x14ac:dyDescent="0.25">
      <c r="A3349" t="s">
        <v>20</v>
      </c>
      <c r="B3349">
        <v>60</v>
      </c>
      <c r="C3349">
        <v>72</v>
      </c>
    </row>
    <row r="3350" spans="1:3" x14ac:dyDescent="0.25">
      <c r="A3350" t="s">
        <v>20</v>
      </c>
      <c r="B3350">
        <v>60</v>
      </c>
      <c r="C3350">
        <v>73</v>
      </c>
    </row>
    <row r="3351" spans="1:3" x14ac:dyDescent="0.25">
      <c r="A3351" t="s">
        <v>20</v>
      </c>
      <c r="B3351">
        <v>60</v>
      </c>
      <c r="C3351">
        <v>74</v>
      </c>
    </row>
    <row r="3352" spans="1:3" x14ac:dyDescent="0.25">
      <c r="A3352" t="s">
        <v>20</v>
      </c>
      <c r="B3352">
        <v>60</v>
      </c>
      <c r="C3352">
        <v>75</v>
      </c>
    </row>
    <row r="3353" spans="1:3" x14ac:dyDescent="0.25">
      <c r="A3353" t="s">
        <v>20</v>
      </c>
      <c r="B3353">
        <v>60</v>
      </c>
      <c r="C3353">
        <v>76</v>
      </c>
    </row>
    <row r="3354" spans="1:3" x14ac:dyDescent="0.25">
      <c r="A3354" t="s">
        <v>20</v>
      </c>
      <c r="B3354">
        <v>60</v>
      </c>
      <c r="C3354">
        <v>77</v>
      </c>
    </row>
    <row r="3355" spans="1:3" x14ac:dyDescent="0.25">
      <c r="A3355" t="s">
        <v>20</v>
      </c>
      <c r="B3355">
        <v>60</v>
      </c>
      <c r="C3355">
        <v>78</v>
      </c>
    </row>
    <row r="3356" spans="1:3" x14ac:dyDescent="0.25">
      <c r="A3356" t="s">
        <v>20</v>
      </c>
      <c r="B3356">
        <v>60</v>
      </c>
      <c r="C3356">
        <v>79</v>
      </c>
    </row>
    <row r="3357" spans="1:3" x14ac:dyDescent="0.25">
      <c r="A3357" t="s">
        <v>20</v>
      </c>
      <c r="B3357">
        <v>60</v>
      </c>
      <c r="C3357">
        <v>80</v>
      </c>
    </row>
    <row r="3358" spans="1:3" x14ac:dyDescent="0.25">
      <c r="A3358" t="s">
        <v>20</v>
      </c>
      <c r="B3358">
        <v>60</v>
      </c>
      <c r="C3358">
        <v>81</v>
      </c>
    </row>
    <row r="3359" spans="1:3" x14ac:dyDescent="0.25">
      <c r="A3359" t="s">
        <v>20</v>
      </c>
      <c r="B3359">
        <v>60</v>
      </c>
      <c r="C3359">
        <v>82</v>
      </c>
    </row>
    <row r="3360" spans="1:3" x14ac:dyDescent="0.25">
      <c r="A3360" t="s">
        <v>20</v>
      </c>
      <c r="B3360">
        <v>60</v>
      </c>
      <c r="C3360">
        <v>83</v>
      </c>
    </row>
    <row r="3361" spans="1:4" x14ac:dyDescent="0.25">
      <c r="A3361" t="s">
        <v>20</v>
      </c>
      <c r="B3361">
        <v>60</v>
      </c>
      <c r="C3361">
        <v>84</v>
      </c>
    </row>
    <row r="3362" spans="1:4" x14ac:dyDescent="0.25">
      <c r="A3362" t="s">
        <v>20</v>
      </c>
      <c r="B3362">
        <v>63</v>
      </c>
      <c r="C3362">
        <v>1</v>
      </c>
    </row>
    <row r="3363" spans="1:4" x14ac:dyDescent="0.25">
      <c r="A3363" t="s">
        <v>20</v>
      </c>
      <c r="B3363">
        <v>63</v>
      </c>
      <c r="C3363">
        <v>2</v>
      </c>
      <c r="D3363">
        <v>1</v>
      </c>
    </row>
    <row r="3364" spans="1:4" x14ac:dyDescent="0.25">
      <c r="A3364" t="s">
        <v>20</v>
      </c>
      <c r="B3364">
        <v>63</v>
      </c>
      <c r="C3364">
        <v>3</v>
      </c>
    </row>
    <row r="3365" spans="1:4" x14ac:dyDescent="0.25">
      <c r="A3365" t="s">
        <v>20</v>
      </c>
      <c r="B3365">
        <v>63</v>
      </c>
      <c r="C3365">
        <v>4</v>
      </c>
    </row>
    <row r="3366" spans="1:4" x14ac:dyDescent="0.25">
      <c r="A3366" t="s">
        <v>20</v>
      </c>
      <c r="B3366">
        <v>63</v>
      </c>
      <c r="C3366">
        <v>5</v>
      </c>
      <c r="D3366">
        <v>1</v>
      </c>
    </row>
    <row r="3367" spans="1:4" x14ac:dyDescent="0.25">
      <c r="A3367" t="s">
        <v>20</v>
      </c>
      <c r="B3367">
        <v>63</v>
      </c>
      <c r="C3367">
        <v>6</v>
      </c>
    </row>
    <row r="3368" spans="1:4" x14ac:dyDescent="0.25">
      <c r="A3368" t="s">
        <v>20</v>
      </c>
      <c r="B3368">
        <v>63</v>
      </c>
      <c r="C3368">
        <v>7</v>
      </c>
    </row>
    <row r="3369" spans="1:4" x14ac:dyDescent="0.25">
      <c r="A3369" t="s">
        <v>20</v>
      </c>
      <c r="B3369">
        <v>63</v>
      </c>
      <c r="C3369">
        <v>8</v>
      </c>
      <c r="D3369">
        <v>1</v>
      </c>
    </row>
    <row r="3370" spans="1:4" x14ac:dyDescent="0.25">
      <c r="A3370" t="s">
        <v>20</v>
      </c>
      <c r="B3370">
        <v>63</v>
      </c>
      <c r="C3370">
        <v>9</v>
      </c>
    </row>
    <row r="3371" spans="1:4" x14ac:dyDescent="0.25">
      <c r="A3371" t="s">
        <v>20</v>
      </c>
      <c r="B3371">
        <v>63</v>
      </c>
      <c r="C3371">
        <v>10</v>
      </c>
    </row>
    <row r="3372" spans="1:4" x14ac:dyDescent="0.25">
      <c r="A3372" t="s">
        <v>20</v>
      </c>
      <c r="B3372">
        <v>63</v>
      </c>
      <c r="C3372">
        <v>11</v>
      </c>
      <c r="D3372">
        <v>1</v>
      </c>
    </row>
    <row r="3373" spans="1:4" x14ac:dyDescent="0.25">
      <c r="A3373" t="s">
        <v>20</v>
      </c>
      <c r="B3373">
        <v>63</v>
      </c>
      <c r="C3373">
        <v>12</v>
      </c>
    </row>
    <row r="3374" spans="1:4" x14ac:dyDescent="0.25">
      <c r="A3374" t="s">
        <v>20</v>
      </c>
      <c r="B3374">
        <v>63</v>
      </c>
      <c r="C3374">
        <v>13</v>
      </c>
    </row>
    <row r="3375" spans="1:4" x14ac:dyDescent="0.25">
      <c r="A3375" t="s">
        <v>20</v>
      </c>
      <c r="B3375">
        <v>63</v>
      </c>
      <c r="C3375">
        <v>14</v>
      </c>
    </row>
    <row r="3376" spans="1:4" x14ac:dyDescent="0.25">
      <c r="A3376" t="s">
        <v>20</v>
      </c>
      <c r="B3376">
        <v>63</v>
      </c>
      <c r="C3376">
        <v>15</v>
      </c>
    </row>
    <row r="3377" spans="1:4" x14ac:dyDescent="0.25">
      <c r="A3377" t="s">
        <v>20</v>
      </c>
      <c r="B3377">
        <v>63</v>
      </c>
      <c r="C3377">
        <v>16</v>
      </c>
    </row>
    <row r="3378" spans="1:4" x14ac:dyDescent="0.25">
      <c r="A3378" t="s">
        <v>20</v>
      </c>
      <c r="B3378">
        <v>63</v>
      </c>
      <c r="C3378">
        <v>17</v>
      </c>
    </row>
    <row r="3379" spans="1:4" x14ac:dyDescent="0.25">
      <c r="A3379" t="s">
        <v>20</v>
      </c>
      <c r="B3379">
        <v>63</v>
      </c>
      <c r="C3379">
        <v>18</v>
      </c>
    </row>
    <row r="3380" spans="1:4" x14ac:dyDescent="0.25">
      <c r="A3380" t="s">
        <v>20</v>
      </c>
      <c r="B3380">
        <v>63</v>
      </c>
      <c r="C3380">
        <v>19</v>
      </c>
    </row>
    <row r="3381" spans="1:4" x14ac:dyDescent="0.25">
      <c r="A3381" t="s">
        <v>20</v>
      </c>
      <c r="B3381">
        <v>63</v>
      </c>
      <c r="C3381">
        <v>20</v>
      </c>
      <c r="D3381">
        <v>1</v>
      </c>
    </row>
    <row r="3382" spans="1:4" x14ac:dyDescent="0.25">
      <c r="A3382" t="s">
        <v>20</v>
      </c>
      <c r="B3382">
        <v>63</v>
      </c>
      <c r="C3382">
        <v>21</v>
      </c>
    </row>
    <row r="3383" spans="1:4" x14ac:dyDescent="0.25">
      <c r="A3383" t="s">
        <v>20</v>
      </c>
      <c r="B3383">
        <v>63</v>
      </c>
      <c r="C3383">
        <v>22</v>
      </c>
    </row>
    <row r="3384" spans="1:4" x14ac:dyDescent="0.25">
      <c r="A3384" t="s">
        <v>20</v>
      </c>
      <c r="B3384">
        <v>63</v>
      </c>
      <c r="C3384">
        <v>23</v>
      </c>
      <c r="D3384">
        <v>1</v>
      </c>
    </row>
    <row r="3385" spans="1:4" x14ac:dyDescent="0.25">
      <c r="A3385" t="s">
        <v>20</v>
      </c>
      <c r="B3385">
        <v>63</v>
      </c>
      <c r="C3385">
        <v>24</v>
      </c>
    </row>
    <row r="3386" spans="1:4" x14ac:dyDescent="0.25">
      <c r="A3386" t="s">
        <v>20</v>
      </c>
      <c r="B3386">
        <v>63</v>
      </c>
      <c r="C3386">
        <v>25</v>
      </c>
    </row>
    <row r="3387" spans="1:4" x14ac:dyDescent="0.25">
      <c r="A3387" t="s">
        <v>20</v>
      </c>
      <c r="B3387">
        <v>63</v>
      </c>
      <c r="C3387">
        <v>26</v>
      </c>
      <c r="D3387">
        <v>1</v>
      </c>
    </row>
    <row r="3388" spans="1:4" x14ac:dyDescent="0.25">
      <c r="A3388" t="s">
        <v>20</v>
      </c>
      <c r="B3388">
        <v>63</v>
      </c>
      <c r="C3388">
        <v>27</v>
      </c>
    </row>
    <row r="3389" spans="1:4" x14ac:dyDescent="0.25">
      <c r="A3389" t="s">
        <v>20</v>
      </c>
      <c r="B3389">
        <v>63</v>
      </c>
      <c r="C3389">
        <v>28</v>
      </c>
    </row>
    <row r="3390" spans="1:4" x14ac:dyDescent="0.25">
      <c r="A3390" t="s">
        <v>20</v>
      </c>
      <c r="B3390">
        <v>63</v>
      </c>
      <c r="C3390">
        <v>29</v>
      </c>
    </row>
    <row r="3391" spans="1:4" x14ac:dyDescent="0.25">
      <c r="A3391" t="s">
        <v>20</v>
      </c>
      <c r="B3391">
        <v>63</v>
      </c>
      <c r="C3391">
        <v>30</v>
      </c>
    </row>
    <row r="3392" spans="1:4" x14ac:dyDescent="0.25">
      <c r="A3392" t="s">
        <v>20</v>
      </c>
      <c r="B3392">
        <v>63</v>
      </c>
      <c r="C3392">
        <v>31</v>
      </c>
    </row>
    <row r="3393" spans="1:4" x14ac:dyDescent="0.25">
      <c r="A3393" t="s">
        <v>20</v>
      </c>
      <c r="B3393">
        <v>63</v>
      </c>
      <c r="C3393">
        <v>32</v>
      </c>
      <c r="D3393">
        <v>1</v>
      </c>
    </row>
    <row r="3394" spans="1:4" x14ac:dyDescent="0.25">
      <c r="A3394" t="s">
        <v>20</v>
      </c>
      <c r="B3394">
        <v>63</v>
      </c>
      <c r="C3394">
        <v>33</v>
      </c>
    </row>
    <row r="3395" spans="1:4" x14ac:dyDescent="0.25">
      <c r="A3395" t="s">
        <v>20</v>
      </c>
      <c r="B3395">
        <v>63</v>
      </c>
      <c r="C3395">
        <v>34</v>
      </c>
    </row>
    <row r="3396" spans="1:4" x14ac:dyDescent="0.25">
      <c r="A3396" t="s">
        <v>20</v>
      </c>
      <c r="B3396">
        <v>63</v>
      </c>
      <c r="C3396">
        <v>35</v>
      </c>
    </row>
    <row r="3397" spans="1:4" x14ac:dyDescent="0.25">
      <c r="A3397" t="s">
        <v>20</v>
      </c>
      <c r="B3397">
        <v>63</v>
      </c>
      <c r="C3397">
        <v>36</v>
      </c>
    </row>
    <row r="3398" spans="1:4" x14ac:dyDescent="0.25">
      <c r="A3398" t="s">
        <v>20</v>
      </c>
      <c r="B3398">
        <v>63</v>
      </c>
      <c r="C3398">
        <v>37</v>
      </c>
    </row>
    <row r="3399" spans="1:4" x14ac:dyDescent="0.25">
      <c r="A3399" t="s">
        <v>20</v>
      </c>
      <c r="B3399">
        <v>63</v>
      </c>
      <c r="C3399">
        <v>38</v>
      </c>
    </row>
    <row r="3400" spans="1:4" x14ac:dyDescent="0.25">
      <c r="A3400" t="s">
        <v>20</v>
      </c>
      <c r="B3400">
        <v>63</v>
      </c>
      <c r="C3400">
        <v>39</v>
      </c>
    </row>
    <row r="3401" spans="1:4" x14ac:dyDescent="0.25">
      <c r="A3401" t="s">
        <v>20</v>
      </c>
      <c r="B3401">
        <v>63</v>
      </c>
      <c r="C3401">
        <v>40</v>
      </c>
    </row>
    <row r="3402" spans="1:4" x14ac:dyDescent="0.25">
      <c r="A3402" t="s">
        <v>20</v>
      </c>
      <c r="B3402">
        <v>63</v>
      </c>
      <c r="C3402">
        <v>41</v>
      </c>
      <c r="D3402">
        <v>1</v>
      </c>
    </row>
    <row r="3403" spans="1:4" x14ac:dyDescent="0.25">
      <c r="A3403" t="s">
        <v>20</v>
      </c>
      <c r="B3403">
        <v>63</v>
      </c>
      <c r="C3403">
        <v>42</v>
      </c>
    </row>
    <row r="3404" spans="1:4" x14ac:dyDescent="0.25">
      <c r="A3404" t="s">
        <v>20</v>
      </c>
      <c r="B3404">
        <v>63</v>
      </c>
      <c r="C3404">
        <v>43</v>
      </c>
    </row>
    <row r="3405" spans="1:4" x14ac:dyDescent="0.25">
      <c r="A3405" t="s">
        <v>20</v>
      </c>
      <c r="B3405">
        <v>63</v>
      </c>
      <c r="C3405">
        <v>44</v>
      </c>
      <c r="D3405">
        <v>1</v>
      </c>
    </row>
    <row r="3406" spans="1:4" x14ac:dyDescent="0.25">
      <c r="A3406" t="s">
        <v>20</v>
      </c>
      <c r="B3406">
        <v>63</v>
      </c>
      <c r="C3406">
        <v>45</v>
      </c>
    </row>
    <row r="3407" spans="1:4" x14ac:dyDescent="0.25">
      <c r="A3407" t="s">
        <v>20</v>
      </c>
      <c r="B3407">
        <v>63</v>
      </c>
      <c r="C3407">
        <v>46</v>
      </c>
    </row>
    <row r="3408" spans="1:4" x14ac:dyDescent="0.25">
      <c r="A3408" t="s">
        <v>20</v>
      </c>
      <c r="B3408">
        <v>63</v>
      </c>
      <c r="C3408">
        <v>47</v>
      </c>
      <c r="D3408">
        <v>1</v>
      </c>
    </row>
    <row r="3409" spans="1:4" x14ac:dyDescent="0.25">
      <c r="A3409" t="s">
        <v>20</v>
      </c>
      <c r="B3409">
        <v>63</v>
      </c>
      <c r="C3409">
        <v>48</v>
      </c>
    </row>
    <row r="3410" spans="1:4" x14ac:dyDescent="0.25">
      <c r="A3410" t="s">
        <v>20</v>
      </c>
      <c r="B3410">
        <v>63</v>
      </c>
      <c r="C3410">
        <v>49</v>
      </c>
    </row>
    <row r="3411" spans="1:4" x14ac:dyDescent="0.25">
      <c r="A3411" t="s">
        <v>20</v>
      </c>
      <c r="B3411">
        <v>63</v>
      </c>
      <c r="C3411">
        <v>50</v>
      </c>
      <c r="D3411">
        <v>1</v>
      </c>
    </row>
    <row r="3412" spans="1:4" x14ac:dyDescent="0.25">
      <c r="A3412" t="s">
        <v>20</v>
      </c>
      <c r="B3412">
        <v>63</v>
      </c>
      <c r="C3412">
        <v>51</v>
      </c>
    </row>
    <row r="3413" spans="1:4" x14ac:dyDescent="0.25">
      <c r="A3413" t="s">
        <v>20</v>
      </c>
      <c r="B3413">
        <v>63</v>
      </c>
      <c r="C3413">
        <v>52</v>
      </c>
    </row>
    <row r="3414" spans="1:4" x14ac:dyDescent="0.25">
      <c r="A3414" t="s">
        <v>20</v>
      </c>
      <c r="B3414">
        <v>63</v>
      </c>
      <c r="C3414">
        <v>53</v>
      </c>
      <c r="D3414">
        <v>1</v>
      </c>
    </row>
    <row r="3415" spans="1:4" x14ac:dyDescent="0.25">
      <c r="A3415" t="s">
        <v>20</v>
      </c>
      <c r="B3415">
        <v>63</v>
      </c>
      <c r="C3415">
        <v>54</v>
      </c>
    </row>
    <row r="3416" spans="1:4" x14ac:dyDescent="0.25">
      <c r="A3416" t="s">
        <v>20</v>
      </c>
      <c r="B3416">
        <v>63</v>
      </c>
      <c r="C3416">
        <v>55</v>
      </c>
    </row>
    <row r="3417" spans="1:4" x14ac:dyDescent="0.25">
      <c r="A3417" t="s">
        <v>20</v>
      </c>
      <c r="B3417">
        <v>63</v>
      </c>
      <c r="C3417">
        <v>56</v>
      </c>
      <c r="D3417">
        <v>1</v>
      </c>
    </row>
    <row r="3418" spans="1:4" x14ac:dyDescent="0.25">
      <c r="A3418" t="s">
        <v>20</v>
      </c>
      <c r="B3418">
        <v>63</v>
      </c>
      <c r="C3418">
        <v>57</v>
      </c>
    </row>
    <row r="3419" spans="1:4" x14ac:dyDescent="0.25">
      <c r="A3419" t="s">
        <v>20</v>
      </c>
      <c r="B3419">
        <v>63</v>
      </c>
      <c r="C3419">
        <v>58</v>
      </c>
    </row>
    <row r="3420" spans="1:4" x14ac:dyDescent="0.25">
      <c r="A3420" t="s">
        <v>20</v>
      </c>
      <c r="B3420">
        <v>63</v>
      </c>
      <c r="C3420">
        <v>59</v>
      </c>
    </row>
    <row r="3421" spans="1:4" x14ac:dyDescent="0.25">
      <c r="A3421" t="s">
        <v>20</v>
      </c>
      <c r="B3421">
        <v>63</v>
      </c>
      <c r="C3421">
        <v>60</v>
      </c>
    </row>
    <row r="3422" spans="1:4" x14ac:dyDescent="0.25">
      <c r="A3422" t="s">
        <v>20</v>
      </c>
      <c r="B3422">
        <v>63</v>
      </c>
      <c r="C3422">
        <v>61</v>
      </c>
    </row>
    <row r="3423" spans="1:4" x14ac:dyDescent="0.25">
      <c r="A3423" t="s">
        <v>20</v>
      </c>
      <c r="B3423">
        <v>63</v>
      </c>
      <c r="C3423">
        <v>62</v>
      </c>
      <c r="D3423">
        <v>1</v>
      </c>
    </row>
    <row r="3424" spans="1:4" x14ac:dyDescent="0.25">
      <c r="A3424" t="s">
        <v>20</v>
      </c>
      <c r="B3424">
        <v>63</v>
      </c>
      <c r="C3424">
        <v>63</v>
      </c>
    </row>
    <row r="3425" spans="1:4" x14ac:dyDescent="0.25">
      <c r="A3425" t="s">
        <v>20</v>
      </c>
      <c r="B3425">
        <v>63</v>
      </c>
      <c r="C3425">
        <v>64</v>
      </c>
    </row>
    <row r="3426" spans="1:4" x14ac:dyDescent="0.25">
      <c r="A3426" t="s">
        <v>20</v>
      </c>
      <c r="B3426">
        <v>63</v>
      </c>
      <c r="C3426">
        <v>65</v>
      </c>
      <c r="D3426">
        <v>1</v>
      </c>
    </row>
    <row r="3427" spans="1:4" x14ac:dyDescent="0.25">
      <c r="A3427" t="s">
        <v>20</v>
      </c>
      <c r="B3427">
        <v>63</v>
      </c>
      <c r="C3427">
        <v>66</v>
      </c>
    </row>
    <row r="3428" spans="1:4" x14ac:dyDescent="0.25">
      <c r="A3428" t="s">
        <v>20</v>
      </c>
      <c r="B3428">
        <v>63</v>
      </c>
      <c r="C3428">
        <v>67</v>
      </c>
    </row>
    <row r="3429" spans="1:4" x14ac:dyDescent="0.25">
      <c r="A3429" t="s">
        <v>20</v>
      </c>
      <c r="B3429">
        <v>63</v>
      </c>
      <c r="C3429">
        <v>68</v>
      </c>
      <c r="D3429">
        <v>1</v>
      </c>
    </row>
    <row r="3430" spans="1:4" x14ac:dyDescent="0.25">
      <c r="A3430" t="s">
        <v>20</v>
      </c>
      <c r="B3430">
        <v>63</v>
      </c>
      <c r="C3430">
        <v>69</v>
      </c>
    </row>
    <row r="3431" spans="1:4" x14ac:dyDescent="0.25">
      <c r="A3431" t="s">
        <v>20</v>
      </c>
      <c r="B3431">
        <v>63</v>
      </c>
      <c r="C3431">
        <v>70</v>
      </c>
    </row>
    <row r="3432" spans="1:4" x14ac:dyDescent="0.25">
      <c r="A3432" t="s">
        <v>20</v>
      </c>
      <c r="B3432">
        <v>63</v>
      </c>
      <c r="C3432">
        <v>71</v>
      </c>
      <c r="D3432">
        <v>1</v>
      </c>
    </row>
    <row r="3433" spans="1:4" x14ac:dyDescent="0.25">
      <c r="A3433" t="s">
        <v>20</v>
      </c>
      <c r="B3433">
        <v>63</v>
      </c>
      <c r="C3433">
        <v>72</v>
      </c>
    </row>
    <row r="3434" spans="1:4" x14ac:dyDescent="0.25">
      <c r="A3434" t="s">
        <v>20</v>
      </c>
      <c r="B3434">
        <v>63</v>
      </c>
      <c r="C3434">
        <v>73</v>
      </c>
    </row>
    <row r="3435" spans="1:4" x14ac:dyDescent="0.25">
      <c r="A3435" t="s">
        <v>20</v>
      </c>
      <c r="B3435">
        <v>63</v>
      </c>
      <c r="C3435">
        <v>74</v>
      </c>
      <c r="D3435">
        <v>1</v>
      </c>
    </row>
    <row r="3436" spans="1:4" x14ac:dyDescent="0.25">
      <c r="A3436" t="s">
        <v>20</v>
      </c>
      <c r="B3436">
        <v>63</v>
      </c>
      <c r="C3436">
        <v>75</v>
      </c>
    </row>
    <row r="3437" spans="1:4" x14ac:dyDescent="0.25">
      <c r="A3437" t="s">
        <v>20</v>
      </c>
      <c r="B3437">
        <v>63</v>
      </c>
      <c r="C3437">
        <v>76</v>
      </c>
    </row>
    <row r="3438" spans="1:4" x14ac:dyDescent="0.25">
      <c r="A3438" t="s">
        <v>20</v>
      </c>
      <c r="B3438">
        <v>63</v>
      </c>
      <c r="C3438">
        <v>77</v>
      </c>
      <c r="D3438">
        <v>1</v>
      </c>
    </row>
    <row r="3439" spans="1:4" x14ac:dyDescent="0.25">
      <c r="A3439" t="s">
        <v>20</v>
      </c>
      <c r="B3439">
        <v>63</v>
      </c>
      <c r="C3439">
        <v>78</v>
      </c>
    </row>
    <row r="3440" spans="1:4" x14ac:dyDescent="0.25">
      <c r="A3440" t="s">
        <v>20</v>
      </c>
      <c r="B3440">
        <v>63</v>
      </c>
      <c r="C3440">
        <v>79</v>
      </c>
    </row>
    <row r="3441" spans="1:4" x14ac:dyDescent="0.25">
      <c r="A3441" t="s">
        <v>20</v>
      </c>
      <c r="B3441">
        <v>63</v>
      </c>
      <c r="C3441">
        <v>80</v>
      </c>
    </row>
    <row r="3442" spans="1:4" x14ac:dyDescent="0.25">
      <c r="A3442" t="s">
        <v>20</v>
      </c>
      <c r="B3442">
        <v>63</v>
      </c>
      <c r="C3442">
        <v>81</v>
      </c>
    </row>
    <row r="3443" spans="1:4" x14ac:dyDescent="0.25">
      <c r="A3443" t="s">
        <v>20</v>
      </c>
      <c r="B3443">
        <v>63</v>
      </c>
      <c r="C3443">
        <v>82</v>
      </c>
    </row>
    <row r="3444" spans="1:4" x14ac:dyDescent="0.25">
      <c r="A3444" t="s">
        <v>20</v>
      </c>
      <c r="B3444">
        <v>63</v>
      </c>
      <c r="C3444">
        <v>83</v>
      </c>
    </row>
    <row r="3445" spans="1:4" x14ac:dyDescent="0.25">
      <c r="A3445" t="s">
        <v>20</v>
      </c>
      <c r="B3445">
        <v>63</v>
      </c>
      <c r="C3445">
        <v>84</v>
      </c>
    </row>
    <row r="3446" spans="1:4" x14ac:dyDescent="0.25">
      <c r="A3446" t="s">
        <v>20</v>
      </c>
      <c r="B3446">
        <v>65</v>
      </c>
      <c r="C3446">
        <v>1</v>
      </c>
    </row>
    <row r="3447" spans="1:4" x14ac:dyDescent="0.25">
      <c r="A3447" t="s">
        <v>20</v>
      </c>
      <c r="B3447">
        <v>65</v>
      </c>
      <c r="C3447">
        <v>2</v>
      </c>
      <c r="D3447">
        <v>1</v>
      </c>
    </row>
    <row r="3448" spans="1:4" x14ac:dyDescent="0.25">
      <c r="A3448" t="s">
        <v>20</v>
      </c>
      <c r="B3448">
        <v>65</v>
      </c>
      <c r="C3448">
        <v>3</v>
      </c>
    </row>
    <row r="3449" spans="1:4" x14ac:dyDescent="0.25">
      <c r="A3449" t="s">
        <v>20</v>
      </c>
      <c r="B3449">
        <v>65</v>
      </c>
      <c r="C3449">
        <v>4</v>
      </c>
    </row>
    <row r="3450" spans="1:4" x14ac:dyDescent="0.25">
      <c r="A3450" t="s">
        <v>20</v>
      </c>
      <c r="B3450">
        <v>65</v>
      </c>
      <c r="C3450">
        <v>5</v>
      </c>
      <c r="D3450">
        <v>1</v>
      </c>
    </row>
    <row r="3451" spans="1:4" x14ac:dyDescent="0.25">
      <c r="A3451" t="s">
        <v>20</v>
      </c>
      <c r="B3451">
        <v>65</v>
      </c>
      <c r="C3451">
        <v>6</v>
      </c>
    </row>
    <row r="3452" spans="1:4" x14ac:dyDescent="0.25">
      <c r="A3452" t="s">
        <v>20</v>
      </c>
      <c r="B3452">
        <v>65</v>
      </c>
      <c r="C3452">
        <v>7</v>
      </c>
    </row>
    <row r="3453" spans="1:4" x14ac:dyDescent="0.25">
      <c r="A3453" t="s">
        <v>20</v>
      </c>
      <c r="B3453">
        <v>65</v>
      </c>
      <c r="C3453">
        <v>8</v>
      </c>
      <c r="D3453">
        <v>1</v>
      </c>
    </row>
    <row r="3454" spans="1:4" x14ac:dyDescent="0.25">
      <c r="A3454" t="s">
        <v>20</v>
      </c>
      <c r="B3454">
        <v>65</v>
      </c>
      <c r="C3454">
        <v>9</v>
      </c>
    </row>
    <row r="3455" spans="1:4" x14ac:dyDescent="0.25">
      <c r="A3455" t="s">
        <v>20</v>
      </c>
      <c r="B3455">
        <v>65</v>
      </c>
      <c r="C3455">
        <v>10</v>
      </c>
    </row>
    <row r="3456" spans="1:4" x14ac:dyDescent="0.25">
      <c r="A3456" t="s">
        <v>20</v>
      </c>
      <c r="B3456">
        <v>65</v>
      </c>
      <c r="C3456">
        <v>11</v>
      </c>
      <c r="D3456">
        <v>1</v>
      </c>
    </row>
    <row r="3457" spans="1:4" x14ac:dyDescent="0.25">
      <c r="A3457" t="s">
        <v>20</v>
      </c>
      <c r="B3457">
        <v>65</v>
      </c>
      <c r="C3457">
        <v>12</v>
      </c>
    </row>
    <row r="3458" spans="1:4" x14ac:dyDescent="0.25">
      <c r="A3458" t="s">
        <v>20</v>
      </c>
      <c r="B3458">
        <v>65</v>
      </c>
      <c r="C3458">
        <v>13</v>
      </c>
      <c r="D3458">
        <v>1</v>
      </c>
    </row>
    <row r="3459" spans="1:4" x14ac:dyDescent="0.25">
      <c r="A3459" t="s">
        <v>20</v>
      </c>
      <c r="B3459">
        <v>65</v>
      </c>
      <c r="C3459">
        <v>14</v>
      </c>
    </row>
    <row r="3460" spans="1:4" x14ac:dyDescent="0.25">
      <c r="A3460" t="s">
        <v>20</v>
      </c>
      <c r="B3460">
        <v>65</v>
      </c>
      <c r="C3460">
        <v>15</v>
      </c>
    </row>
    <row r="3461" spans="1:4" x14ac:dyDescent="0.25">
      <c r="A3461" t="s">
        <v>20</v>
      </c>
      <c r="B3461">
        <v>65</v>
      </c>
      <c r="C3461">
        <v>16</v>
      </c>
      <c r="D3461">
        <v>1</v>
      </c>
    </row>
    <row r="3462" spans="1:4" x14ac:dyDescent="0.25">
      <c r="A3462" t="s">
        <v>20</v>
      </c>
      <c r="B3462">
        <v>65</v>
      </c>
      <c r="C3462">
        <v>17</v>
      </c>
    </row>
    <row r="3463" spans="1:4" x14ac:dyDescent="0.25">
      <c r="A3463" t="s">
        <v>20</v>
      </c>
      <c r="B3463">
        <v>65</v>
      </c>
      <c r="C3463">
        <v>18</v>
      </c>
    </row>
    <row r="3464" spans="1:4" x14ac:dyDescent="0.25">
      <c r="A3464" t="s">
        <v>20</v>
      </c>
      <c r="B3464">
        <v>65</v>
      </c>
      <c r="C3464">
        <v>19</v>
      </c>
    </row>
    <row r="3465" spans="1:4" x14ac:dyDescent="0.25">
      <c r="A3465" t="s">
        <v>20</v>
      </c>
      <c r="B3465">
        <v>65</v>
      </c>
      <c r="C3465">
        <v>20</v>
      </c>
    </row>
    <row r="3466" spans="1:4" x14ac:dyDescent="0.25">
      <c r="A3466" t="s">
        <v>20</v>
      </c>
      <c r="B3466">
        <v>65</v>
      </c>
      <c r="C3466">
        <v>21</v>
      </c>
    </row>
    <row r="3467" spans="1:4" x14ac:dyDescent="0.25">
      <c r="A3467" t="s">
        <v>20</v>
      </c>
      <c r="B3467">
        <v>65</v>
      </c>
      <c r="C3467">
        <v>22</v>
      </c>
    </row>
    <row r="3468" spans="1:4" x14ac:dyDescent="0.25">
      <c r="A3468" t="s">
        <v>20</v>
      </c>
      <c r="B3468">
        <v>65</v>
      </c>
      <c r="C3468">
        <v>23</v>
      </c>
      <c r="D3468">
        <v>1</v>
      </c>
    </row>
    <row r="3469" spans="1:4" x14ac:dyDescent="0.25">
      <c r="A3469" t="s">
        <v>20</v>
      </c>
      <c r="B3469">
        <v>65</v>
      </c>
      <c r="C3469">
        <v>24</v>
      </c>
    </row>
    <row r="3470" spans="1:4" x14ac:dyDescent="0.25">
      <c r="A3470" t="s">
        <v>20</v>
      </c>
      <c r="B3470">
        <v>65</v>
      </c>
      <c r="C3470">
        <v>25</v>
      </c>
    </row>
    <row r="3471" spans="1:4" x14ac:dyDescent="0.25">
      <c r="A3471" t="s">
        <v>20</v>
      </c>
      <c r="B3471">
        <v>65</v>
      </c>
      <c r="C3471">
        <v>26</v>
      </c>
    </row>
    <row r="3472" spans="1:4" x14ac:dyDescent="0.25">
      <c r="A3472" t="s">
        <v>20</v>
      </c>
      <c r="B3472">
        <v>65</v>
      </c>
      <c r="C3472">
        <v>27</v>
      </c>
    </row>
    <row r="3473" spans="1:4" x14ac:dyDescent="0.25">
      <c r="A3473" t="s">
        <v>20</v>
      </c>
      <c r="B3473">
        <v>65</v>
      </c>
      <c r="C3473">
        <v>28</v>
      </c>
    </row>
    <row r="3474" spans="1:4" x14ac:dyDescent="0.25">
      <c r="A3474" t="s">
        <v>20</v>
      </c>
      <c r="B3474">
        <v>65</v>
      </c>
      <c r="C3474">
        <v>29</v>
      </c>
      <c r="D3474">
        <v>1</v>
      </c>
    </row>
    <row r="3475" spans="1:4" x14ac:dyDescent="0.25">
      <c r="A3475" t="s">
        <v>20</v>
      </c>
      <c r="B3475">
        <v>65</v>
      </c>
      <c r="C3475">
        <v>30</v>
      </c>
    </row>
    <row r="3476" spans="1:4" x14ac:dyDescent="0.25">
      <c r="A3476" t="s">
        <v>20</v>
      </c>
      <c r="B3476">
        <v>65</v>
      </c>
      <c r="C3476">
        <v>31</v>
      </c>
    </row>
    <row r="3477" spans="1:4" x14ac:dyDescent="0.25">
      <c r="A3477" t="s">
        <v>20</v>
      </c>
      <c r="B3477">
        <v>65</v>
      </c>
      <c r="C3477">
        <v>32</v>
      </c>
      <c r="D3477">
        <v>1</v>
      </c>
    </row>
    <row r="3478" spans="1:4" x14ac:dyDescent="0.25">
      <c r="A3478" t="s">
        <v>20</v>
      </c>
      <c r="B3478">
        <v>65</v>
      </c>
      <c r="C3478">
        <v>33</v>
      </c>
    </row>
    <row r="3479" spans="1:4" x14ac:dyDescent="0.25">
      <c r="A3479" t="s">
        <v>20</v>
      </c>
      <c r="B3479">
        <v>65</v>
      </c>
      <c r="C3479">
        <v>34</v>
      </c>
      <c r="D3479">
        <v>1</v>
      </c>
    </row>
    <row r="3480" spans="1:4" x14ac:dyDescent="0.25">
      <c r="A3480" t="s">
        <v>20</v>
      </c>
      <c r="B3480">
        <v>65</v>
      </c>
      <c r="C3480">
        <v>35</v>
      </c>
    </row>
    <row r="3481" spans="1:4" x14ac:dyDescent="0.25">
      <c r="A3481" t="s">
        <v>20</v>
      </c>
      <c r="B3481">
        <v>65</v>
      </c>
      <c r="C3481">
        <v>36</v>
      </c>
    </row>
    <row r="3482" spans="1:4" x14ac:dyDescent="0.25">
      <c r="A3482" t="s">
        <v>20</v>
      </c>
      <c r="B3482">
        <v>65</v>
      </c>
      <c r="C3482">
        <v>37</v>
      </c>
    </row>
    <row r="3483" spans="1:4" x14ac:dyDescent="0.25">
      <c r="A3483" t="s">
        <v>20</v>
      </c>
      <c r="B3483">
        <v>65</v>
      </c>
      <c r="C3483">
        <v>38</v>
      </c>
    </row>
    <row r="3484" spans="1:4" x14ac:dyDescent="0.25">
      <c r="A3484" t="s">
        <v>20</v>
      </c>
      <c r="B3484">
        <v>65</v>
      </c>
      <c r="C3484">
        <v>39</v>
      </c>
    </row>
    <row r="3485" spans="1:4" x14ac:dyDescent="0.25">
      <c r="A3485" t="s">
        <v>20</v>
      </c>
      <c r="B3485">
        <v>65</v>
      </c>
      <c r="C3485">
        <v>40</v>
      </c>
    </row>
    <row r="3486" spans="1:4" x14ac:dyDescent="0.25">
      <c r="A3486" t="s">
        <v>20</v>
      </c>
      <c r="B3486">
        <v>65</v>
      </c>
      <c r="C3486">
        <v>41</v>
      </c>
      <c r="D3486">
        <v>1</v>
      </c>
    </row>
    <row r="3487" spans="1:4" x14ac:dyDescent="0.25">
      <c r="A3487" t="s">
        <v>20</v>
      </c>
      <c r="B3487">
        <v>65</v>
      </c>
      <c r="C3487">
        <v>42</v>
      </c>
    </row>
    <row r="3488" spans="1:4" x14ac:dyDescent="0.25">
      <c r="A3488" t="s">
        <v>20</v>
      </c>
      <c r="B3488">
        <v>65</v>
      </c>
      <c r="C3488">
        <v>43</v>
      </c>
    </row>
    <row r="3489" spans="1:4" x14ac:dyDescent="0.25">
      <c r="A3489" t="s">
        <v>20</v>
      </c>
      <c r="B3489">
        <v>65</v>
      </c>
      <c r="C3489">
        <v>44</v>
      </c>
    </row>
    <row r="3490" spans="1:4" x14ac:dyDescent="0.25">
      <c r="A3490" t="s">
        <v>20</v>
      </c>
      <c r="B3490">
        <v>65</v>
      </c>
      <c r="C3490">
        <v>45</v>
      </c>
    </row>
    <row r="3491" spans="1:4" x14ac:dyDescent="0.25">
      <c r="A3491" t="s">
        <v>20</v>
      </c>
      <c r="B3491">
        <v>65</v>
      </c>
      <c r="C3491">
        <v>46</v>
      </c>
    </row>
    <row r="3492" spans="1:4" x14ac:dyDescent="0.25">
      <c r="A3492" t="s">
        <v>20</v>
      </c>
      <c r="B3492">
        <v>65</v>
      </c>
      <c r="C3492">
        <v>47</v>
      </c>
      <c r="D3492">
        <v>1</v>
      </c>
    </row>
    <row r="3493" spans="1:4" x14ac:dyDescent="0.25">
      <c r="A3493" t="s">
        <v>20</v>
      </c>
      <c r="B3493">
        <v>65</v>
      </c>
      <c r="C3493">
        <v>48</v>
      </c>
    </row>
    <row r="3494" spans="1:4" x14ac:dyDescent="0.25">
      <c r="A3494" t="s">
        <v>20</v>
      </c>
      <c r="B3494">
        <v>65</v>
      </c>
      <c r="C3494">
        <v>49</v>
      </c>
    </row>
    <row r="3495" spans="1:4" x14ac:dyDescent="0.25">
      <c r="A3495" t="s">
        <v>20</v>
      </c>
      <c r="B3495">
        <v>65</v>
      </c>
      <c r="C3495">
        <v>50</v>
      </c>
      <c r="D3495">
        <v>1</v>
      </c>
    </row>
    <row r="3496" spans="1:4" x14ac:dyDescent="0.25">
      <c r="A3496" t="s">
        <v>20</v>
      </c>
      <c r="B3496">
        <v>65</v>
      </c>
      <c r="C3496">
        <v>51</v>
      </c>
    </row>
    <row r="3497" spans="1:4" x14ac:dyDescent="0.25">
      <c r="A3497" t="s">
        <v>20</v>
      </c>
      <c r="B3497">
        <v>65</v>
      </c>
      <c r="C3497">
        <v>52</v>
      </c>
    </row>
    <row r="3498" spans="1:4" x14ac:dyDescent="0.25">
      <c r="A3498" t="s">
        <v>20</v>
      </c>
      <c r="B3498">
        <v>65</v>
      </c>
      <c r="C3498">
        <v>53</v>
      </c>
    </row>
    <row r="3499" spans="1:4" x14ac:dyDescent="0.25">
      <c r="A3499" t="s">
        <v>20</v>
      </c>
      <c r="B3499">
        <v>65</v>
      </c>
      <c r="C3499">
        <v>54</v>
      </c>
    </row>
    <row r="3500" spans="1:4" x14ac:dyDescent="0.25">
      <c r="A3500" t="s">
        <v>20</v>
      </c>
      <c r="B3500">
        <v>65</v>
      </c>
      <c r="C3500">
        <v>55</v>
      </c>
      <c r="D3500">
        <v>1</v>
      </c>
    </row>
    <row r="3501" spans="1:4" x14ac:dyDescent="0.25">
      <c r="A3501" t="s">
        <v>20</v>
      </c>
      <c r="B3501">
        <v>65</v>
      </c>
      <c r="C3501">
        <v>56</v>
      </c>
    </row>
    <row r="3502" spans="1:4" x14ac:dyDescent="0.25">
      <c r="A3502" t="s">
        <v>20</v>
      </c>
      <c r="B3502">
        <v>65</v>
      </c>
      <c r="C3502">
        <v>57</v>
      </c>
    </row>
    <row r="3503" spans="1:4" x14ac:dyDescent="0.25">
      <c r="A3503" t="s">
        <v>20</v>
      </c>
      <c r="B3503">
        <v>65</v>
      </c>
      <c r="C3503">
        <v>58</v>
      </c>
    </row>
    <row r="3504" spans="1:4" x14ac:dyDescent="0.25">
      <c r="A3504" t="s">
        <v>20</v>
      </c>
      <c r="B3504">
        <v>65</v>
      </c>
      <c r="C3504">
        <v>59</v>
      </c>
    </row>
    <row r="3505" spans="1:4" x14ac:dyDescent="0.25">
      <c r="A3505" t="s">
        <v>20</v>
      </c>
      <c r="B3505">
        <v>65</v>
      </c>
      <c r="C3505">
        <v>60</v>
      </c>
    </row>
    <row r="3506" spans="1:4" x14ac:dyDescent="0.25">
      <c r="A3506" t="s">
        <v>20</v>
      </c>
      <c r="B3506">
        <v>65</v>
      </c>
      <c r="C3506">
        <v>61</v>
      </c>
    </row>
    <row r="3507" spans="1:4" x14ac:dyDescent="0.25">
      <c r="A3507" t="s">
        <v>20</v>
      </c>
      <c r="B3507">
        <v>65</v>
      </c>
      <c r="C3507">
        <v>62</v>
      </c>
      <c r="D3507">
        <v>1</v>
      </c>
    </row>
    <row r="3508" spans="1:4" x14ac:dyDescent="0.25">
      <c r="A3508" t="s">
        <v>20</v>
      </c>
      <c r="B3508">
        <v>65</v>
      </c>
      <c r="C3508">
        <v>63</v>
      </c>
    </row>
    <row r="3509" spans="1:4" x14ac:dyDescent="0.25">
      <c r="A3509" t="s">
        <v>20</v>
      </c>
      <c r="B3509">
        <v>65</v>
      </c>
      <c r="C3509">
        <v>64</v>
      </c>
    </row>
    <row r="3510" spans="1:4" x14ac:dyDescent="0.25">
      <c r="A3510" t="s">
        <v>20</v>
      </c>
      <c r="B3510">
        <v>65</v>
      </c>
      <c r="C3510">
        <v>65</v>
      </c>
      <c r="D3510">
        <v>1</v>
      </c>
    </row>
    <row r="3511" spans="1:4" x14ac:dyDescent="0.25">
      <c r="A3511" t="s">
        <v>20</v>
      </c>
      <c r="B3511">
        <v>65</v>
      </c>
      <c r="C3511">
        <v>66</v>
      </c>
    </row>
    <row r="3512" spans="1:4" x14ac:dyDescent="0.25">
      <c r="A3512" t="s">
        <v>20</v>
      </c>
      <c r="B3512">
        <v>65</v>
      </c>
      <c r="C3512">
        <v>67</v>
      </c>
    </row>
    <row r="3513" spans="1:4" x14ac:dyDescent="0.25">
      <c r="A3513" t="s">
        <v>20</v>
      </c>
      <c r="B3513">
        <v>65</v>
      </c>
      <c r="C3513">
        <v>68</v>
      </c>
    </row>
    <row r="3514" spans="1:4" x14ac:dyDescent="0.25">
      <c r="A3514" t="s">
        <v>20</v>
      </c>
      <c r="B3514">
        <v>65</v>
      </c>
      <c r="C3514">
        <v>69</v>
      </c>
    </row>
    <row r="3515" spans="1:4" x14ac:dyDescent="0.25">
      <c r="A3515" t="s">
        <v>20</v>
      </c>
      <c r="B3515">
        <v>65</v>
      </c>
      <c r="C3515">
        <v>70</v>
      </c>
    </row>
    <row r="3516" spans="1:4" x14ac:dyDescent="0.25">
      <c r="A3516" t="s">
        <v>20</v>
      </c>
      <c r="B3516">
        <v>65</v>
      </c>
      <c r="C3516">
        <v>71</v>
      </c>
      <c r="D3516">
        <v>1</v>
      </c>
    </row>
    <row r="3517" spans="1:4" x14ac:dyDescent="0.25">
      <c r="A3517" t="s">
        <v>20</v>
      </c>
      <c r="B3517">
        <v>65</v>
      </c>
      <c r="C3517">
        <v>72</v>
      </c>
    </row>
    <row r="3518" spans="1:4" x14ac:dyDescent="0.25">
      <c r="A3518" t="s">
        <v>20</v>
      </c>
      <c r="B3518">
        <v>65</v>
      </c>
      <c r="C3518">
        <v>73</v>
      </c>
    </row>
    <row r="3519" spans="1:4" x14ac:dyDescent="0.25">
      <c r="A3519" t="s">
        <v>20</v>
      </c>
      <c r="B3519">
        <v>65</v>
      </c>
      <c r="C3519">
        <v>74</v>
      </c>
      <c r="D3519">
        <v>1</v>
      </c>
    </row>
    <row r="3520" spans="1:4" x14ac:dyDescent="0.25">
      <c r="A3520" t="s">
        <v>20</v>
      </c>
      <c r="B3520">
        <v>65</v>
      </c>
      <c r="C3520">
        <v>75</v>
      </c>
    </row>
    <row r="3521" spans="1:4" x14ac:dyDescent="0.25">
      <c r="A3521" t="s">
        <v>20</v>
      </c>
      <c r="B3521">
        <v>65</v>
      </c>
      <c r="C3521">
        <v>76</v>
      </c>
      <c r="D3521">
        <v>1</v>
      </c>
    </row>
    <row r="3522" spans="1:4" x14ac:dyDescent="0.25">
      <c r="A3522" t="s">
        <v>20</v>
      </c>
      <c r="B3522">
        <v>65</v>
      </c>
      <c r="C3522">
        <v>77</v>
      </c>
    </row>
    <row r="3523" spans="1:4" x14ac:dyDescent="0.25">
      <c r="A3523" t="s">
        <v>20</v>
      </c>
      <c r="B3523">
        <v>65</v>
      </c>
      <c r="C3523">
        <v>78</v>
      </c>
    </row>
    <row r="3524" spans="1:4" x14ac:dyDescent="0.25">
      <c r="A3524" t="s">
        <v>20</v>
      </c>
      <c r="B3524">
        <v>65</v>
      </c>
      <c r="C3524">
        <v>79</v>
      </c>
    </row>
    <row r="3525" spans="1:4" x14ac:dyDescent="0.25">
      <c r="A3525" t="s">
        <v>20</v>
      </c>
      <c r="B3525">
        <v>65</v>
      </c>
      <c r="C3525">
        <v>80</v>
      </c>
    </row>
    <row r="3526" spans="1:4" x14ac:dyDescent="0.25">
      <c r="A3526" t="s">
        <v>20</v>
      </c>
      <c r="B3526">
        <v>65</v>
      </c>
      <c r="C3526">
        <v>81</v>
      </c>
    </row>
    <row r="3527" spans="1:4" x14ac:dyDescent="0.25">
      <c r="A3527" t="s">
        <v>20</v>
      </c>
      <c r="B3527">
        <v>65</v>
      </c>
      <c r="C3527">
        <v>82</v>
      </c>
    </row>
    <row r="3528" spans="1:4" x14ac:dyDescent="0.25">
      <c r="A3528" t="s">
        <v>20</v>
      </c>
      <c r="B3528">
        <v>65</v>
      </c>
      <c r="C3528">
        <v>83</v>
      </c>
      <c r="D3528">
        <v>1</v>
      </c>
    </row>
    <row r="3529" spans="1:4" x14ac:dyDescent="0.25">
      <c r="A3529" t="s">
        <v>20</v>
      </c>
      <c r="B3529">
        <v>65</v>
      </c>
      <c r="C3529">
        <v>84</v>
      </c>
    </row>
    <row r="3530" spans="1:4" x14ac:dyDescent="0.25">
      <c r="A3530" t="s">
        <v>20</v>
      </c>
      <c r="B3530">
        <v>66</v>
      </c>
      <c r="C3530">
        <v>1</v>
      </c>
    </row>
    <row r="3531" spans="1:4" x14ac:dyDescent="0.25">
      <c r="A3531" t="s">
        <v>20</v>
      </c>
      <c r="B3531">
        <v>66</v>
      </c>
      <c r="C3531">
        <v>2</v>
      </c>
    </row>
    <row r="3532" spans="1:4" x14ac:dyDescent="0.25">
      <c r="A3532" t="s">
        <v>20</v>
      </c>
      <c r="B3532">
        <v>66</v>
      </c>
      <c r="C3532">
        <v>3</v>
      </c>
    </row>
    <row r="3533" spans="1:4" x14ac:dyDescent="0.25">
      <c r="A3533" t="s">
        <v>20</v>
      </c>
      <c r="B3533">
        <v>66</v>
      </c>
      <c r="C3533">
        <v>4</v>
      </c>
    </row>
    <row r="3534" spans="1:4" x14ac:dyDescent="0.25">
      <c r="A3534" t="s">
        <v>20</v>
      </c>
      <c r="B3534">
        <v>66</v>
      </c>
      <c r="C3534">
        <v>5</v>
      </c>
    </row>
    <row r="3535" spans="1:4" x14ac:dyDescent="0.25">
      <c r="A3535" t="s">
        <v>20</v>
      </c>
      <c r="B3535">
        <v>66</v>
      </c>
      <c r="C3535">
        <v>6</v>
      </c>
    </row>
    <row r="3536" spans="1:4" x14ac:dyDescent="0.25">
      <c r="A3536" t="s">
        <v>20</v>
      </c>
      <c r="B3536">
        <v>66</v>
      </c>
      <c r="C3536">
        <v>7</v>
      </c>
    </row>
    <row r="3537" spans="1:3" x14ac:dyDescent="0.25">
      <c r="A3537" t="s">
        <v>20</v>
      </c>
      <c r="B3537">
        <v>66</v>
      </c>
      <c r="C3537">
        <v>8</v>
      </c>
    </row>
    <row r="3538" spans="1:3" x14ac:dyDescent="0.25">
      <c r="A3538" t="s">
        <v>20</v>
      </c>
      <c r="B3538">
        <v>66</v>
      </c>
      <c r="C3538">
        <v>9</v>
      </c>
    </row>
    <row r="3539" spans="1:3" x14ac:dyDescent="0.25">
      <c r="A3539" t="s">
        <v>20</v>
      </c>
      <c r="B3539">
        <v>66</v>
      </c>
      <c r="C3539">
        <v>10</v>
      </c>
    </row>
    <row r="3540" spans="1:3" x14ac:dyDescent="0.25">
      <c r="A3540" t="s">
        <v>20</v>
      </c>
      <c r="B3540">
        <v>66</v>
      </c>
      <c r="C3540">
        <v>11</v>
      </c>
    </row>
    <row r="3541" spans="1:3" x14ac:dyDescent="0.25">
      <c r="A3541" t="s">
        <v>20</v>
      </c>
      <c r="B3541">
        <v>66</v>
      </c>
      <c r="C3541">
        <v>12</v>
      </c>
    </row>
    <row r="3542" spans="1:3" x14ac:dyDescent="0.25">
      <c r="A3542" t="s">
        <v>20</v>
      </c>
      <c r="B3542">
        <v>66</v>
      </c>
      <c r="C3542">
        <v>13</v>
      </c>
    </row>
    <row r="3543" spans="1:3" x14ac:dyDescent="0.25">
      <c r="A3543" t="s">
        <v>20</v>
      </c>
      <c r="B3543">
        <v>66</v>
      </c>
      <c r="C3543">
        <v>14</v>
      </c>
    </row>
    <row r="3544" spans="1:3" x14ac:dyDescent="0.25">
      <c r="A3544" t="s">
        <v>20</v>
      </c>
      <c r="B3544">
        <v>66</v>
      </c>
      <c r="C3544">
        <v>15</v>
      </c>
    </row>
    <row r="3545" spans="1:3" x14ac:dyDescent="0.25">
      <c r="A3545" t="s">
        <v>20</v>
      </c>
      <c r="B3545">
        <v>66</v>
      </c>
      <c r="C3545">
        <v>16</v>
      </c>
    </row>
    <row r="3546" spans="1:3" x14ac:dyDescent="0.25">
      <c r="A3546" t="s">
        <v>20</v>
      </c>
      <c r="B3546">
        <v>66</v>
      </c>
      <c r="C3546">
        <v>17</v>
      </c>
    </row>
    <row r="3547" spans="1:3" x14ac:dyDescent="0.25">
      <c r="A3547" t="s">
        <v>20</v>
      </c>
      <c r="B3547">
        <v>66</v>
      </c>
      <c r="C3547">
        <v>18</v>
      </c>
    </row>
    <row r="3548" spans="1:3" x14ac:dyDescent="0.25">
      <c r="A3548" t="s">
        <v>20</v>
      </c>
      <c r="B3548">
        <v>66</v>
      </c>
      <c r="C3548">
        <v>19</v>
      </c>
    </row>
    <row r="3549" spans="1:3" x14ac:dyDescent="0.25">
      <c r="A3549" t="s">
        <v>20</v>
      </c>
      <c r="B3549">
        <v>66</v>
      </c>
      <c r="C3549">
        <v>20</v>
      </c>
    </row>
    <row r="3550" spans="1:3" x14ac:dyDescent="0.25">
      <c r="A3550" t="s">
        <v>20</v>
      </c>
      <c r="B3550">
        <v>66</v>
      </c>
      <c r="C3550">
        <v>21</v>
      </c>
    </row>
    <row r="3551" spans="1:3" x14ac:dyDescent="0.25">
      <c r="A3551" t="s">
        <v>20</v>
      </c>
      <c r="B3551">
        <v>66</v>
      </c>
      <c r="C3551">
        <v>22</v>
      </c>
    </row>
    <row r="3552" spans="1:3" x14ac:dyDescent="0.25">
      <c r="A3552" t="s">
        <v>20</v>
      </c>
      <c r="B3552">
        <v>66</v>
      </c>
      <c r="C3552">
        <v>23</v>
      </c>
    </row>
    <row r="3553" spans="1:3" x14ac:dyDescent="0.25">
      <c r="A3553" t="s">
        <v>20</v>
      </c>
      <c r="B3553">
        <v>66</v>
      </c>
      <c r="C3553">
        <v>24</v>
      </c>
    </row>
    <row r="3554" spans="1:3" x14ac:dyDescent="0.25">
      <c r="A3554" t="s">
        <v>20</v>
      </c>
      <c r="B3554">
        <v>66</v>
      </c>
      <c r="C3554">
        <v>25</v>
      </c>
    </row>
    <row r="3555" spans="1:3" x14ac:dyDescent="0.25">
      <c r="A3555" t="s">
        <v>20</v>
      </c>
      <c r="B3555">
        <v>66</v>
      </c>
      <c r="C3555">
        <v>26</v>
      </c>
    </row>
    <row r="3556" spans="1:3" x14ac:dyDescent="0.25">
      <c r="A3556" t="s">
        <v>20</v>
      </c>
      <c r="B3556">
        <v>66</v>
      </c>
      <c r="C3556">
        <v>27</v>
      </c>
    </row>
    <row r="3557" spans="1:3" x14ac:dyDescent="0.25">
      <c r="A3557" t="s">
        <v>20</v>
      </c>
      <c r="B3557">
        <v>66</v>
      </c>
      <c r="C3557">
        <v>28</v>
      </c>
    </row>
    <row r="3558" spans="1:3" x14ac:dyDescent="0.25">
      <c r="A3558" t="s">
        <v>20</v>
      </c>
      <c r="B3558">
        <v>66</v>
      </c>
      <c r="C3558">
        <v>29</v>
      </c>
    </row>
    <row r="3559" spans="1:3" x14ac:dyDescent="0.25">
      <c r="A3559" t="s">
        <v>20</v>
      </c>
      <c r="B3559">
        <v>66</v>
      </c>
      <c r="C3559">
        <v>30</v>
      </c>
    </row>
    <row r="3560" spans="1:3" x14ac:dyDescent="0.25">
      <c r="A3560" t="s">
        <v>20</v>
      </c>
      <c r="B3560">
        <v>66</v>
      </c>
      <c r="C3560">
        <v>31</v>
      </c>
    </row>
    <row r="3561" spans="1:3" x14ac:dyDescent="0.25">
      <c r="A3561" t="s">
        <v>20</v>
      </c>
      <c r="B3561">
        <v>66</v>
      </c>
      <c r="C3561">
        <v>32</v>
      </c>
    </row>
    <row r="3562" spans="1:3" x14ac:dyDescent="0.25">
      <c r="A3562" t="s">
        <v>20</v>
      </c>
      <c r="B3562">
        <v>66</v>
      </c>
      <c r="C3562">
        <v>33</v>
      </c>
    </row>
    <row r="3563" spans="1:3" x14ac:dyDescent="0.25">
      <c r="A3563" t="s">
        <v>20</v>
      </c>
      <c r="B3563">
        <v>66</v>
      </c>
      <c r="C3563">
        <v>34</v>
      </c>
    </row>
    <row r="3564" spans="1:3" x14ac:dyDescent="0.25">
      <c r="A3564" t="s">
        <v>20</v>
      </c>
      <c r="B3564">
        <v>66</v>
      </c>
      <c r="C3564">
        <v>35</v>
      </c>
    </row>
    <row r="3565" spans="1:3" x14ac:dyDescent="0.25">
      <c r="A3565" t="s">
        <v>20</v>
      </c>
      <c r="B3565">
        <v>66</v>
      </c>
      <c r="C3565">
        <v>36</v>
      </c>
    </row>
    <row r="3566" spans="1:3" x14ac:dyDescent="0.25">
      <c r="A3566" t="s">
        <v>20</v>
      </c>
      <c r="B3566">
        <v>66</v>
      </c>
      <c r="C3566">
        <v>37</v>
      </c>
    </row>
    <row r="3567" spans="1:3" x14ac:dyDescent="0.25">
      <c r="A3567" t="s">
        <v>20</v>
      </c>
      <c r="B3567">
        <v>66</v>
      </c>
      <c r="C3567">
        <v>38</v>
      </c>
    </row>
    <row r="3568" spans="1:3" x14ac:dyDescent="0.25">
      <c r="A3568" t="s">
        <v>20</v>
      </c>
      <c r="B3568">
        <v>66</v>
      </c>
      <c r="C3568">
        <v>39</v>
      </c>
    </row>
    <row r="3569" spans="1:3" x14ac:dyDescent="0.25">
      <c r="A3569" t="s">
        <v>20</v>
      </c>
      <c r="B3569">
        <v>66</v>
      </c>
      <c r="C3569">
        <v>40</v>
      </c>
    </row>
    <row r="3570" spans="1:3" x14ac:dyDescent="0.25">
      <c r="A3570" t="s">
        <v>20</v>
      </c>
      <c r="B3570">
        <v>66</v>
      </c>
      <c r="C3570">
        <v>41</v>
      </c>
    </row>
    <row r="3571" spans="1:3" x14ac:dyDescent="0.25">
      <c r="A3571" t="s">
        <v>20</v>
      </c>
      <c r="B3571">
        <v>66</v>
      </c>
      <c r="C3571">
        <v>42</v>
      </c>
    </row>
    <row r="3572" spans="1:3" x14ac:dyDescent="0.25">
      <c r="A3572" t="s">
        <v>20</v>
      </c>
      <c r="B3572">
        <v>66</v>
      </c>
      <c r="C3572">
        <v>43</v>
      </c>
    </row>
    <row r="3573" spans="1:3" x14ac:dyDescent="0.25">
      <c r="A3573" t="s">
        <v>20</v>
      </c>
      <c r="B3573">
        <v>66</v>
      </c>
      <c r="C3573">
        <v>44</v>
      </c>
    </row>
    <row r="3574" spans="1:3" x14ac:dyDescent="0.25">
      <c r="A3574" t="s">
        <v>20</v>
      </c>
      <c r="B3574">
        <v>66</v>
      </c>
      <c r="C3574">
        <v>45</v>
      </c>
    </row>
    <row r="3575" spans="1:3" x14ac:dyDescent="0.25">
      <c r="A3575" t="s">
        <v>20</v>
      </c>
      <c r="B3575">
        <v>66</v>
      </c>
      <c r="C3575">
        <v>46</v>
      </c>
    </row>
    <row r="3576" spans="1:3" x14ac:dyDescent="0.25">
      <c r="A3576" t="s">
        <v>20</v>
      </c>
      <c r="B3576">
        <v>66</v>
      </c>
      <c r="C3576">
        <v>47</v>
      </c>
    </row>
    <row r="3577" spans="1:3" x14ac:dyDescent="0.25">
      <c r="A3577" t="s">
        <v>20</v>
      </c>
      <c r="B3577">
        <v>66</v>
      </c>
      <c r="C3577">
        <v>48</v>
      </c>
    </row>
    <row r="3578" spans="1:3" x14ac:dyDescent="0.25">
      <c r="A3578" t="s">
        <v>20</v>
      </c>
      <c r="B3578">
        <v>66</v>
      </c>
      <c r="C3578">
        <v>49</v>
      </c>
    </row>
    <row r="3579" spans="1:3" x14ac:dyDescent="0.25">
      <c r="A3579" t="s">
        <v>20</v>
      </c>
      <c r="B3579">
        <v>66</v>
      </c>
      <c r="C3579">
        <v>50</v>
      </c>
    </row>
    <row r="3580" spans="1:3" x14ac:dyDescent="0.25">
      <c r="A3580" t="s">
        <v>20</v>
      </c>
      <c r="B3580">
        <v>66</v>
      </c>
      <c r="C3580">
        <v>51</v>
      </c>
    </row>
    <row r="3581" spans="1:3" x14ac:dyDescent="0.25">
      <c r="A3581" t="s">
        <v>20</v>
      </c>
      <c r="B3581">
        <v>66</v>
      </c>
      <c r="C3581">
        <v>52</v>
      </c>
    </row>
    <row r="3582" spans="1:3" x14ac:dyDescent="0.25">
      <c r="A3582" t="s">
        <v>20</v>
      </c>
      <c r="B3582">
        <v>66</v>
      </c>
      <c r="C3582">
        <v>53</v>
      </c>
    </row>
    <row r="3583" spans="1:3" x14ac:dyDescent="0.25">
      <c r="A3583" t="s">
        <v>20</v>
      </c>
      <c r="B3583">
        <v>66</v>
      </c>
      <c r="C3583">
        <v>54</v>
      </c>
    </row>
    <row r="3584" spans="1:3" x14ac:dyDescent="0.25">
      <c r="A3584" t="s">
        <v>20</v>
      </c>
      <c r="B3584">
        <v>66</v>
      </c>
      <c r="C3584">
        <v>55</v>
      </c>
    </row>
    <row r="3585" spans="1:3" x14ac:dyDescent="0.25">
      <c r="A3585" t="s">
        <v>20</v>
      </c>
      <c r="B3585">
        <v>66</v>
      </c>
      <c r="C3585">
        <v>56</v>
      </c>
    </row>
    <row r="3586" spans="1:3" x14ac:dyDescent="0.25">
      <c r="A3586" t="s">
        <v>20</v>
      </c>
      <c r="B3586">
        <v>66</v>
      </c>
      <c r="C3586">
        <v>57</v>
      </c>
    </row>
    <row r="3587" spans="1:3" x14ac:dyDescent="0.25">
      <c r="A3587" t="s">
        <v>20</v>
      </c>
      <c r="B3587">
        <v>66</v>
      </c>
      <c r="C3587">
        <v>58</v>
      </c>
    </row>
    <row r="3588" spans="1:3" x14ac:dyDescent="0.25">
      <c r="A3588" t="s">
        <v>20</v>
      </c>
      <c r="B3588">
        <v>66</v>
      </c>
      <c r="C3588">
        <v>59</v>
      </c>
    </row>
    <row r="3589" spans="1:3" x14ac:dyDescent="0.25">
      <c r="A3589" t="s">
        <v>20</v>
      </c>
      <c r="B3589">
        <v>66</v>
      </c>
      <c r="C3589">
        <v>60</v>
      </c>
    </row>
    <row r="3590" spans="1:3" x14ac:dyDescent="0.25">
      <c r="A3590" t="s">
        <v>20</v>
      </c>
      <c r="B3590">
        <v>66</v>
      </c>
      <c r="C3590">
        <v>61</v>
      </c>
    </row>
    <row r="3591" spans="1:3" x14ac:dyDescent="0.25">
      <c r="A3591" t="s">
        <v>20</v>
      </c>
      <c r="B3591">
        <v>66</v>
      </c>
      <c r="C3591">
        <v>62</v>
      </c>
    </row>
    <row r="3592" spans="1:3" x14ac:dyDescent="0.25">
      <c r="A3592" t="s">
        <v>20</v>
      </c>
      <c r="B3592">
        <v>66</v>
      </c>
      <c r="C3592">
        <v>63</v>
      </c>
    </row>
    <row r="3593" spans="1:3" x14ac:dyDescent="0.25">
      <c r="A3593" t="s">
        <v>20</v>
      </c>
      <c r="B3593">
        <v>66</v>
      </c>
      <c r="C3593">
        <v>64</v>
      </c>
    </row>
    <row r="3594" spans="1:3" x14ac:dyDescent="0.25">
      <c r="A3594" t="s">
        <v>20</v>
      </c>
      <c r="B3594">
        <v>66</v>
      </c>
      <c r="C3594">
        <v>65</v>
      </c>
    </row>
    <row r="3595" spans="1:3" x14ac:dyDescent="0.25">
      <c r="A3595" t="s">
        <v>20</v>
      </c>
      <c r="B3595">
        <v>66</v>
      </c>
      <c r="C3595">
        <v>66</v>
      </c>
    </row>
    <row r="3596" spans="1:3" x14ac:dyDescent="0.25">
      <c r="A3596" t="s">
        <v>20</v>
      </c>
      <c r="B3596">
        <v>66</v>
      </c>
      <c r="C3596">
        <v>67</v>
      </c>
    </row>
    <row r="3597" spans="1:3" x14ac:dyDescent="0.25">
      <c r="A3597" t="s">
        <v>20</v>
      </c>
      <c r="B3597">
        <v>66</v>
      </c>
      <c r="C3597">
        <v>68</v>
      </c>
    </row>
    <row r="3598" spans="1:3" x14ac:dyDescent="0.25">
      <c r="A3598" t="s">
        <v>20</v>
      </c>
      <c r="B3598">
        <v>66</v>
      </c>
      <c r="C3598">
        <v>69</v>
      </c>
    </row>
    <row r="3599" spans="1:3" x14ac:dyDescent="0.25">
      <c r="A3599" t="s">
        <v>20</v>
      </c>
      <c r="B3599">
        <v>66</v>
      </c>
      <c r="C3599">
        <v>70</v>
      </c>
    </row>
    <row r="3600" spans="1:3" x14ac:dyDescent="0.25">
      <c r="A3600" t="s">
        <v>20</v>
      </c>
      <c r="B3600">
        <v>66</v>
      </c>
      <c r="C3600">
        <v>71</v>
      </c>
    </row>
    <row r="3601" spans="1:4" x14ac:dyDescent="0.25">
      <c r="A3601" t="s">
        <v>20</v>
      </c>
      <c r="B3601">
        <v>66</v>
      </c>
      <c r="C3601">
        <v>72</v>
      </c>
    </row>
    <row r="3602" spans="1:4" x14ac:dyDescent="0.25">
      <c r="A3602" t="s">
        <v>20</v>
      </c>
      <c r="B3602">
        <v>66</v>
      </c>
      <c r="C3602">
        <v>73</v>
      </c>
    </row>
    <row r="3603" spans="1:4" x14ac:dyDescent="0.25">
      <c r="A3603" t="s">
        <v>20</v>
      </c>
      <c r="B3603">
        <v>66</v>
      </c>
      <c r="C3603">
        <v>74</v>
      </c>
    </row>
    <row r="3604" spans="1:4" x14ac:dyDescent="0.25">
      <c r="A3604" t="s">
        <v>20</v>
      </c>
      <c r="B3604">
        <v>66</v>
      </c>
      <c r="C3604">
        <v>75</v>
      </c>
    </row>
    <row r="3605" spans="1:4" x14ac:dyDescent="0.25">
      <c r="A3605" t="s">
        <v>20</v>
      </c>
      <c r="B3605">
        <v>66</v>
      </c>
      <c r="C3605">
        <v>76</v>
      </c>
    </row>
    <row r="3606" spans="1:4" x14ac:dyDescent="0.25">
      <c r="A3606" t="s">
        <v>20</v>
      </c>
      <c r="B3606">
        <v>66</v>
      </c>
      <c r="C3606">
        <v>77</v>
      </c>
    </row>
    <row r="3607" spans="1:4" x14ac:dyDescent="0.25">
      <c r="A3607" t="s">
        <v>20</v>
      </c>
      <c r="B3607">
        <v>66</v>
      </c>
      <c r="C3607">
        <v>78</v>
      </c>
    </row>
    <row r="3608" spans="1:4" x14ac:dyDescent="0.25">
      <c r="A3608" t="s">
        <v>20</v>
      </c>
      <c r="B3608">
        <v>66</v>
      </c>
      <c r="C3608">
        <v>79</v>
      </c>
    </row>
    <row r="3609" spans="1:4" x14ac:dyDescent="0.25">
      <c r="A3609" t="s">
        <v>20</v>
      </c>
      <c r="B3609">
        <v>66</v>
      </c>
      <c r="C3609">
        <v>80</v>
      </c>
    </row>
    <row r="3610" spans="1:4" x14ac:dyDescent="0.25">
      <c r="A3610" t="s">
        <v>20</v>
      </c>
      <c r="B3610">
        <v>66</v>
      </c>
      <c r="C3610">
        <v>81</v>
      </c>
    </row>
    <row r="3611" spans="1:4" x14ac:dyDescent="0.25">
      <c r="A3611" t="s">
        <v>20</v>
      </c>
      <c r="B3611">
        <v>66</v>
      </c>
      <c r="C3611">
        <v>82</v>
      </c>
    </row>
    <row r="3612" spans="1:4" x14ac:dyDescent="0.25">
      <c r="A3612" t="s">
        <v>20</v>
      </c>
      <c r="B3612">
        <v>66</v>
      </c>
      <c r="C3612">
        <v>83</v>
      </c>
    </row>
    <row r="3613" spans="1:4" x14ac:dyDescent="0.25">
      <c r="A3613" t="s">
        <v>20</v>
      </c>
      <c r="B3613">
        <v>66</v>
      </c>
      <c r="C3613">
        <v>84</v>
      </c>
    </row>
    <row r="3614" spans="1:4" x14ac:dyDescent="0.25">
      <c r="A3614" t="s">
        <v>20</v>
      </c>
      <c r="B3614">
        <v>67</v>
      </c>
      <c r="C3614">
        <v>1</v>
      </c>
    </row>
    <row r="3615" spans="1:4" x14ac:dyDescent="0.25">
      <c r="A3615" t="s">
        <v>20</v>
      </c>
      <c r="B3615">
        <v>67</v>
      </c>
      <c r="C3615">
        <v>2</v>
      </c>
      <c r="D3615">
        <v>1</v>
      </c>
    </row>
    <row r="3616" spans="1:4" x14ac:dyDescent="0.25">
      <c r="A3616" t="s">
        <v>20</v>
      </c>
      <c r="B3616">
        <v>67</v>
      </c>
      <c r="C3616">
        <v>3</v>
      </c>
    </row>
    <row r="3617" spans="1:4" x14ac:dyDescent="0.25">
      <c r="A3617" t="s">
        <v>20</v>
      </c>
      <c r="B3617">
        <v>67</v>
      </c>
      <c r="C3617">
        <v>4</v>
      </c>
    </row>
    <row r="3618" spans="1:4" x14ac:dyDescent="0.25">
      <c r="A3618" t="s">
        <v>20</v>
      </c>
      <c r="B3618">
        <v>67</v>
      </c>
      <c r="C3618">
        <v>5</v>
      </c>
      <c r="D3618">
        <v>1</v>
      </c>
    </row>
    <row r="3619" spans="1:4" x14ac:dyDescent="0.25">
      <c r="A3619" t="s">
        <v>20</v>
      </c>
      <c r="B3619">
        <v>67</v>
      </c>
      <c r="C3619">
        <v>6</v>
      </c>
    </row>
    <row r="3620" spans="1:4" x14ac:dyDescent="0.25">
      <c r="A3620" t="s">
        <v>20</v>
      </c>
      <c r="B3620">
        <v>67</v>
      </c>
      <c r="C3620">
        <v>7</v>
      </c>
    </row>
    <row r="3621" spans="1:4" x14ac:dyDescent="0.25">
      <c r="A3621" t="s">
        <v>20</v>
      </c>
      <c r="B3621">
        <v>67</v>
      </c>
      <c r="C3621">
        <v>8</v>
      </c>
      <c r="D3621">
        <v>1</v>
      </c>
    </row>
    <row r="3622" spans="1:4" x14ac:dyDescent="0.25">
      <c r="A3622" t="s">
        <v>20</v>
      </c>
      <c r="B3622">
        <v>67</v>
      </c>
      <c r="C3622">
        <v>9</v>
      </c>
    </row>
    <row r="3623" spans="1:4" x14ac:dyDescent="0.25">
      <c r="A3623" t="s">
        <v>20</v>
      </c>
      <c r="B3623">
        <v>67</v>
      </c>
      <c r="C3623">
        <v>10</v>
      </c>
    </row>
    <row r="3624" spans="1:4" x14ac:dyDescent="0.25">
      <c r="A3624" t="s">
        <v>20</v>
      </c>
      <c r="B3624">
        <v>67</v>
      </c>
      <c r="C3624">
        <v>11</v>
      </c>
      <c r="D3624">
        <v>1</v>
      </c>
    </row>
    <row r="3625" spans="1:4" x14ac:dyDescent="0.25">
      <c r="A3625" t="s">
        <v>20</v>
      </c>
      <c r="B3625">
        <v>67</v>
      </c>
      <c r="C3625">
        <v>12</v>
      </c>
    </row>
    <row r="3626" spans="1:4" x14ac:dyDescent="0.25">
      <c r="A3626" t="s">
        <v>20</v>
      </c>
      <c r="B3626">
        <v>67</v>
      </c>
      <c r="C3626">
        <v>13</v>
      </c>
    </row>
    <row r="3627" spans="1:4" x14ac:dyDescent="0.25">
      <c r="A3627" t="s">
        <v>20</v>
      </c>
      <c r="B3627">
        <v>67</v>
      </c>
      <c r="C3627">
        <v>14</v>
      </c>
      <c r="D3627">
        <v>1</v>
      </c>
    </row>
    <row r="3628" spans="1:4" x14ac:dyDescent="0.25">
      <c r="A3628" t="s">
        <v>20</v>
      </c>
      <c r="B3628">
        <v>67</v>
      </c>
      <c r="C3628">
        <v>15</v>
      </c>
    </row>
    <row r="3629" spans="1:4" x14ac:dyDescent="0.25">
      <c r="A3629" t="s">
        <v>20</v>
      </c>
      <c r="B3629">
        <v>67</v>
      </c>
      <c r="C3629">
        <v>16</v>
      </c>
      <c r="D3629">
        <v>1</v>
      </c>
    </row>
    <row r="3630" spans="1:4" x14ac:dyDescent="0.25">
      <c r="A3630" t="s">
        <v>20</v>
      </c>
      <c r="B3630">
        <v>67</v>
      </c>
      <c r="C3630">
        <v>17</v>
      </c>
    </row>
    <row r="3631" spans="1:4" x14ac:dyDescent="0.25">
      <c r="A3631" t="s">
        <v>20</v>
      </c>
      <c r="B3631">
        <v>67</v>
      </c>
      <c r="C3631">
        <v>18</v>
      </c>
    </row>
    <row r="3632" spans="1:4" x14ac:dyDescent="0.25">
      <c r="A3632" t="s">
        <v>20</v>
      </c>
      <c r="B3632">
        <v>67</v>
      </c>
      <c r="C3632">
        <v>19</v>
      </c>
    </row>
    <row r="3633" spans="1:4" x14ac:dyDescent="0.25">
      <c r="A3633" t="s">
        <v>20</v>
      </c>
      <c r="B3633">
        <v>67</v>
      </c>
      <c r="C3633">
        <v>20</v>
      </c>
    </row>
    <row r="3634" spans="1:4" x14ac:dyDescent="0.25">
      <c r="A3634" t="s">
        <v>20</v>
      </c>
      <c r="B3634">
        <v>67</v>
      </c>
      <c r="C3634">
        <v>21</v>
      </c>
    </row>
    <row r="3635" spans="1:4" x14ac:dyDescent="0.25">
      <c r="A3635" t="s">
        <v>20</v>
      </c>
      <c r="B3635">
        <v>67</v>
      </c>
      <c r="C3635">
        <v>22</v>
      </c>
    </row>
    <row r="3636" spans="1:4" x14ac:dyDescent="0.25">
      <c r="A3636" t="s">
        <v>20</v>
      </c>
      <c r="B3636">
        <v>67</v>
      </c>
      <c r="C3636">
        <v>23</v>
      </c>
    </row>
    <row r="3637" spans="1:4" x14ac:dyDescent="0.25">
      <c r="A3637" t="s">
        <v>20</v>
      </c>
      <c r="B3637">
        <v>67</v>
      </c>
      <c r="C3637">
        <v>24</v>
      </c>
    </row>
    <row r="3638" spans="1:4" x14ac:dyDescent="0.25">
      <c r="A3638" t="s">
        <v>20</v>
      </c>
      <c r="B3638">
        <v>67</v>
      </c>
      <c r="C3638">
        <v>25</v>
      </c>
    </row>
    <row r="3639" spans="1:4" x14ac:dyDescent="0.25">
      <c r="A3639" t="s">
        <v>20</v>
      </c>
      <c r="B3639">
        <v>67</v>
      </c>
      <c r="C3639">
        <v>26</v>
      </c>
    </row>
    <row r="3640" spans="1:4" x14ac:dyDescent="0.25">
      <c r="A3640" t="s">
        <v>20</v>
      </c>
      <c r="B3640">
        <v>67</v>
      </c>
      <c r="C3640">
        <v>27</v>
      </c>
    </row>
    <row r="3641" spans="1:4" x14ac:dyDescent="0.25">
      <c r="A3641" t="s">
        <v>20</v>
      </c>
      <c r="B3641">
        <v>67</v>
      </c>
      <c r="C3641">
        <v>28</v>
      </c>
    </row>
    <row r="3642" spans="1:4" x14ac:dyDescent="0.25">
      <c r="A3642" t="s">
        <v>20</v>
      </c>
      <c r="B3642">
        <v>67</v>
      </c>
      <c r="C3642">
        <v>29</v>
      </c>
      <c r="D3642">
        <v>1</v>
      </c>
    </row>
    <row r="3643" spans="1:4" x14ac:dyDescent="0.25">
      <c r="A3643" t="s">
        <v>20</v>
      </c>
      <c r="B3643">
        <v>67</v>
      </c>
      <c r="C3643">
        <v>30</v>
      </c>
    </row>
    <row r="3644" spans="1:4" x14ac:dyDescent="0.25">
      <c r="A3644" t="s">
        <v>20</v>
      </c>
      <c r="B3644">
        <v>67</v>
      </c>
      <c r="C3644">
        <v>31</v>
      </c>
    </row>
    <row r="3645" spans="1:4" x14ac:dyDescent="0.25">
      <c r="A3645" t="s">
        <v>20</v>
      </c>
      <c r="B3645">
        <v>67</v>
      </c>
      <c r="C3645">
        <v>32</v>
      </c>
      <c r="D3645">
        <v>1</v>
      </c>
    </row>
    <row r="3646" spans="1:4" x14ac:dyDescent="0.25">
      <c r="A3646" t="s">
        <v>20</v>
      </c>
      <c r="B3646">
        <v>67</v>
      </c>
      <c r="C3646">
        <v>33</v>
      </c>
    </row>
    <row r="3647" spans="1:4" x14ac:dyDescent="0.25">
      <c r="A3647" t="s">
        <v>20</v>
      </c>
      <c r="B3647">
        <v>67</v>
      </c>
      <c r="C3647">
        <v>34</v>
      </c>
    </row>
    <row r="3648" spans="1:4" x14ac:dyDescent="0.25">
      <c r="A3648" t="s">
        <v>20</v>
      </c>
      <c r="B3648">
        <v>67</v>
      </c>
      <c r="C3648">
        <v>35</v>
      </c>
    </row>
    <row r="3649" spans="1:4" x14ac:dyDescent="0.25">
      <c r="A3649" t="s">
        <v>20</v>
      </c>
      <c r="B3649">
        <v>67</v>
      </c>
      <c r="C3649">
        <v>36</v>
      </c>
    </row>
    <row r="3650" spans="1:4" x14ac:dyDescent="0.25">
      <c r="A3650" t="s">
        <v>20</v>
      </c>
      <c r="B3650">
        <v>67</v>
      </c>
      <c r="C3650">
        <v>37</v>
      </c>
    </row>
    <row r="3651" spans="1:4" x14ac:dyDescent="0.25">
      <c r="A3651" t="s">
        <v>20</v>
      </c>
      <c r="B3651">
        <v>67</v>
      </c>
      <c r="C3651">
        <v>38</v>
      </c>
    </row>
    <row r="3652" spans="1:4" x14ac:dyDescent="0.25">
      <c r="A3652" t="s">
        <v>20</v>
      </c>
      <c r="B3652">
        <v>67</v>
      </c>
      <c r="C3652">
        <v>39</v>
      </c>
    </row>
    <row r="3653" spans="1:4" x14ac:dyDescent="0.25">
      <c r="A3653" t="s">
        <v>20</v>
      </c>
      <c r="B3653">
        <v>67</v>
      </c>
      <c r="C3653">
        <v>40</v>
      </c>
    </row>
    <row r="3654" spans="1:4" x14ac:dyDescent="0.25">
      <c r="A3654" t="s">
        <v>20</v>
      </c>
      <c r="B3654">
        <v>67</v>
      </c>
      <c r="C3654">
        <v>41</v>
      </c>
      <c r="D3654">
        <v>1</v>
      </c>
    </row>
    <row r="3655" spans="1:4" x14ac:dyDescent="0.25">
      <c r="A3655" t="s">
        <v>20</v>
      </c>
      <c r="B3655">
        <v>67</v>
      </c>
      <c r="C3655">
        <v>42</v>
      </c>
    </row>
    <row r="3656" spans="1:4" x14ac:dyDescent="0.25">
      <c r="A3656" t="s">
        <v>20</v>
      </c>
      <c r="B3656">
        <v>67</v>
      </c>
      <c r="C3656">
        <v>43</v>
      </c>
    </row>
    <row r="3657" spans="1:4" x14ac:dyDescent="0.25">
      <c r="A3657" t="s">
        <v>20</v>
      </c>
      <c r="B3657">
        <v>67</v>
      </c>
      <c r="C3657">
        <v>44</v>
      </c>
    </row>
    <row r="3658" spans="1:4" x14ac:dyDescent="0.25">
      <c r="A3658" t="s">
        <v>20</v>
      </c>
      <c r="B3658">
        <v>67</v>
      </c>
      <c r="C3658">
        <v>45</v>
      </c>
    </row>
    <row r="3659" spans="1:4" x14ac:dyDescent="0.25">
      <c r="A3659" t="s">
        <v>20</v>
      </c>
      <c r="B3659">
        <v>67</v>
      </c>
      <c r="C3659">
        <v>46</v>
      </c>
    </row>
    <row r="3660" spans="1:4" x14ac:dyDescent="0.25">
      <c r="A3660" t="s">
        <v>20</v>
      </c>
      <c r="B3660">
        <v>67</v>
      </c>
      <c r="C3660">
        <v>47</v>
      </c>
      <c r="D3660">
        <v>1</v>
      </c>
    </row>
    <row r="3661" spans="1:4" x14ac:dyDescent="0.25">
      <c r="A3661" t="s">
        <v>20</v>
      </c>
      <c r="B3661">
        <v>67</v>
      </c>
      <c r="C3661">
        <v>48</v>
      </c>
    </row>
    <row r="3662" spans="1:4" x14ac:dyDescent="0.25">
      <c r="A3662" t="s">
        <v>20</v>
      </c>
      <c r="B3662">
        <v>67</v>
      </c>
      <c r="C3662">
        <v>49</v>
      </c>
    </row>
    <row r="3663" spans="1:4" x14ac:dyDescent="0.25">
      <c r="A3663" t="s">
        <v>20</v>
      </c>
      <c r="B3663">
        <v>67</v>
      </c>
      <c r="C3663">
        <v>50</v>
      </c>
      <c r="D3663">
        <v>1</v>
      </c>
    </row>
    <row r="3664" spans="1:4" x14ac:dyDescent="0.25">
      <c r="A3664" t="s">
        <v>20</v>
      </c>
      <c r="B3664">
        <v>67</v>
      </c>
      <c r="C3664">
        <v>51</v>
      </c>
    </row>
    <row r="3665" spans="1:4" x14ac:dyDescent="0.25">
      <c r="A3665" t="s">
        <v>20</v>
      </c>
      <c r="B3665">
        <v>67</v>
      </c>
      <c r="C3665">
        <v>52</v>
      </c>
    </row>
    <row r="3666" spans="1:4" x14ac:dyDescent="0.25">
      <c r="A3666" t="s">
        <v>20</v>
      </c>
      <c r="B3666">
        <v>67</v>
      </c>
      <c r="C3666">
        <v>53</v>
      </c>
    </row>
    <row r="3667" spans="1:4" x14ac:dyDescent="0.25">
      <c r="A3667" t="s">
        <v>20</v>
      </c>
      <c r="B3667">
        <v>67</v>
      </c>
      <c r="C3667">
        <v>54</v>
      </c>
    </row>
    <row r="3668" spans="1:4" x14ac:dyDescent="0.25">
      <c r="A3668" t="s">
        <v>20</v>
      </c>
      <c r="B3668">
        <v>67</v>
      </c>
      <c r="C3668">
        <v>55</v>
      </c>
    </row>
    <row r="3669" spans="1:4" x14ac:dyDescent="0.25">
      <c r="A3669" t="s">
        <v>20</v>
      </c>
      <c r="B3669">
        <v>67</v>
      </c>
      <c r="C3669">
        <v>56</v>
      </c>
    </row>
    <row r="3670" spans="1:4" x14ac:dyDescent="0.25">
      <c r="A3670" t="s">
        <v>20</v>
      </c>
      <c r="B3670">
        <v>67</v>
      </c>
      <c r="C3670">
        <v>57</v>
      </c>
    </row>
    <row r="3671" spans="1:4" x14ac:dyDescent="0.25">
      <c r="A3671" t="s">
        <v>20</v>
      </c>
      <c r="B3671">
        <v>67</v>
      </c>
      <c r="C3671">
        <v>58</v>
      </c>
      <c r="D3671">
        <v>1</v>
      </c>
    </row>
    <row r="3672" spans="1:4" x14ac:dyDescent="0.25">
      <c r="A3672" t="s">
        <v>20</v>
      </c>
      <c r="B3672">
        <v>67</v>
      </c>
      <c r="C3672">
        <v>59</v>
      </c>
    </row>
    <row r="3673" spans="1:4" x14ac:dyDescent="0.25">
      <c r="A3673" t="s">
        <v>20</v>
      </c>
      <c r="B3673">
        <v>67</v>
      </c>
      <c r="C3673">
        <v>60</v>
      </c>
    </row>
    <row r="3674" spans="1:4" x14ac:dyDescent="0.25">
      <c r="A3674" t="s">
        <v>20</v>
      </c>
      <c r="B3674">
        <v>67</v>
      </c>
      <c r="C3674">
        <v>61</v>
      </c>
      <c r="D3674">
        <v>1</v>
      </c>
    </row>
    <row r="3675" spans="1:4" x14ac:dyDescent="0.25">
      <c r="A3675" t="s">
        <v>20</v>
      </c>
      <c r="B3675">
        <v>67</v>
      </c>
      <c r="C3675">
        <v>62</v>
      </c>
    </row>
    <row r="3676" spans="1:4" x14ac:dyDescent="0.25">
      <c r="A3676" t="s">
        <v>20</v>
      </c>
      <c r="B3676">
        <v>67</v>
      </c>
      <c r="C3676">
        <v>63</v>
      </c>
    </row>
    <row r="3677" spans="1:4" x14ac:dyDescent="0.25">
      <c r="A3677" t="s">
        <v>20</v>
      </c>
      <c r="B3677">
        <v>67</v>
      </c>
      <c r="C3677">
        <v>64</v>
      </c>
    </row>
    <row r="3678" spans="1:4" x14ac:dyDescent="0.25">
      <c r="A3678" t="s">
        <v>20</v>
      </c>
      <c r="B3678">
        <v>67</v>
      </c>
      <c r="C3678">
        <v>65</v>
      </c>
    </row>
    <row r="3679" spans="1:4" x14ac:dyDescent="0.25">
      <c r="A3679" t="s">
        <v>20</v>
      </c>
      <c r="B3679">
        <v>67</v>
      </c>
      <c r="C3679">
        <v>66</v>
      </c>
    </row>
    <row r="3680" spans="1:4" x14ac:dyDescent="0.25">
      <c r="A3680" t="s">
        <v>20</v>
      </c>
      <c r="B3680">
        <v>67</v>
      </c>
      <c r="C3680">
        <v>67</v>
      </c>
    </row>
    <row r="3681" spans="1:4" x14ac:dyDescent="0.25">
      <c r="A3681" t="s">
        <v>20</v>
      </c>
      <c r="B3681">
        <v>67</v>
      </c>
      <c r="C3681">
        <v>68</v>
      </c>
      <c r="D3681">
        <v>1</v>
      </c>
    </row>
    <row r="3682" spans="1:4" x14ac:dyDescent="0.25">
      <c r="A3682" t="s">
        <v>20</v>
      </c>
      <c r="B3682">
        <v>67</v>
      </c>
      <c r="C3682">
        <v>69</v>
      </c>
    </row>
    <row r="3683" spans="1:4" x14ac:dyDescent="0.25">
      <c r="A3683" t="s">
        <v>20</v>
      </c>
      <c r="B3683">
        <v>67</v>
      </c>
      <c r="C3683">
        <v>70</v>
      </c>
    </row>
    <row r="3684" spans="1:4" x14ac:dyDescent="0.25">
      <c r="A3684" t="s">
        <v>20</v>
      </c>
      <c r="B3684">
        <v>67</v>
      </c>
      <c r="C3684">
        <v>71</v>
      </c>
      <c r="D3684">
        <v>1</v>
      </c>
    </row>
    <row r="3685" spans="1:4" x14ac:dyDescent="0.25">
      <c r="A3685" t="s">
        <v>20</v>
      </c>
      <c r="B3685">
        <v>67</v>
      </c>
      <c r="C3685">
        <v>72</v>
      </c>
    </row>
    <row r="3686" spans="1:4" x14ac:dyDescent="0.25">
      <c r="A3686" t="s">
        <v>20</v>
      </c>
      <c r="B3686">
        <v>67</v>
      </c>
      <c r="C3686">
        <v>73</v>
      </c>
    </row>
    <row r="3687" spans="1:4" x14ac:dyDescent="0.25">
      <c r="A3687" t="s">
        <v>20</v>
      </c>
      <c r="B3687">
        <v>67</v>
      </c>
      <c r="C3687">
        <v>74</v>
      </c>
      <c r="D3687">
        <v>1</v>
      </c>
    </row>
    <row r="3688" spans="1:4" x14ac:dyDescent="0.25">
      <c r="A3688" t="s">
        <v>20</v>
      </c>
      <c r="B3688">
        <v>67</v>
      </c>
      <c r="C3688">
        <v>75</v>
      </c>
    </row>
    <row r="3689" spans="1:4" x14ac:dyDescent="0.25">
      <c r="A3689" t="s">
        <v>20</v>
      </c>
      <c r="B3689">
        <v>67</v>
      </c>
      <c r="C3689">
        <v>76</v>
      </c>
    </row>
    <row r="3690" spans="1:4" x14ac:dyDescent="0.25">
      <c r="A3690" t="s">
        <v>20</v>
      </c>
      <c r="B3690">
        <v>67</v>
      </c>
      <c r="C3690">
        <v>77</v>
      </c>
      <c r="D3690">
        <v>1</v>
      </c>
    </row>
    <row r="3691" spans="1:4" x14ac:dyDescent="0.25">
      <c r="A3691" t="s">
        <v>20</v>
      </c>
      <c r="B3691">
        <v>67</v>
      </c>
      <c r="C3691">
        <v>78</v>
      </c>
    </row>
    <row r="3692" spans="1:4" x14ac:dyDescent="0.25">
      <c r="A3692" t="s">
        <v>20</v>
      </c>
      <c r="B3692">
        <v>67</v>
      </c>
      <c r="C3692">
        <v>79</v>
      </c>
    </row>
    <row r="3693" spans="1:4" x14ac:dyDescent="0.25">
      <c r="A3693" t="s">
        <v>20</v>
      </c>
      <c r="B3693">
        <v>67</v>
      </c>
      <c r="C3693">
        <v>80</v>
      </c>
    </row>
    <row r="3694" spans="1:4" x14ac:dyDescent="0.25">
      <c r="A3694" t="s">
        <v>20</v>
      </c>
      <c r="B3694">
        <v>67</v>
      </c>
      <c r="C3694">
        <v>81</v>
      </c>
    </row>
    <row r="3695" spans="1:4" x14ac:dyDescent="0.25">
      <c r="A3695" t="s">
        <v>20</v>
      </c>
      <c r="B3695">
        <v>67</v>
      </c>
      <c r="C3695">
        <v>82</v>
      </c>
      <c r="D3695">
        <v>1</v>
      </c>
    </row>
    <row r="3696" spans="1:4" x14ac:dyDescent="0.25">
      <c r="A3696" t="s">
        <v>20</v>
      </c>
      <c r="B3696">
        <v>67</v>
      </c>
      <c r="C3696">
        <v>83</v>
      </c>
    </row>
    <row r="3697" spans="1:4" x14ac:dyDescent="0.25">
      <c r="A3697" t="s">
        <v>20</v>
      </c>
      <c r="B3697">
        <v>67</v>
      </c>
      <c r="C3697">
        <v>84</v>
      </c>
    </row>
    <row r="3698" spans="1:4" x14ac:dyDescent="0.25">
      <c r="A3698" t="s">
        <v>20</v>
      </c>
      <c r="B3698">
        <v>68</v>
      </c>
      <c r="C3698">
        <v>1</v>
      </c>
    </row>
    <row r="3699" spans="1:4" x14ac:dyDescent="0.25">
      <c r="A3699" t="s">
        <v>20</v>
      </c>
      <c r="B3699">
        <v>68</v>
      </c>
      <c r="C3699">
        <v>2</v>
      </c>
      <c r="D3699">
        <v>1</v>
      </c>
    </row>
    <row r="3700" spans="1:4" x14ac:dyDescent="0.25">
      <c r="A3700" t="s">
        <v>20</v>
      </c>
      <c r="B3700">
        <v>68</v>
      </c>
      <c r="C3700">
        <v>3</v>
      </c>
    </row>
    <row r="3701" spans="1:4" x14ac:dyDescent="0.25">
      <c r="A3701" t="s">
        <v>20</v>
      </c>
      <c r="B3701">
        <v>68</v>
      </c>
      <c r="C3701">
        <v>4</v>
      </c>
      <c r="D3701">
        <v>1</v>
      </c>
    </row>
    <row r="3702" spans="1:4" x14ac:dyDescent="0.25">
      <c r="A3702" t="s">
        <v>20</v>
      </c>
      <c r="B3702">
        <v>68</v>
      </c>
      <c r="C3702">
        <v>5</v>
      </c>
    </row>
    <row r="3703" spans="1:4" x14ac:dyDescent="0.25">
      <c r="A3703" t="s">
        <v>20</v>
      </c>
      <c r="B3703">
        <v>68</v>
      </c>
      <c r="C3703">
        <v>6</v>
      </c>
    </row>
    <row r="3704" spans="1:4" x14ac:dyDescent="0.25">
      <c r="A3704" t="s">
        <v>20</v>
      </c>
      <c r="B3704">
        <v>68</v>
      </c>
      <c r="C3704">
        <v>7</v>
      </c>
    </row>
    <row r="3705" spans="1:4" x14ac:dyDescent="0.25">
      <c r="A3705" t="s">
        <v>20</v>
      </c>
      <c r="B3705">
        <v>68</v>
      </c>
      <c r="C3705">
        <v>8</v>
      </c>
      <c r="D3705">
        <v>1</v>
      </c>
    </row>
    <row r="3706" spans="1:4" x14ac:dyDescent="0.25">
      <c r="A3706" t="s">
        <v>20</v>
      </c>
      <c r="B3706">
        <v>68</v>
      </c>
      <c r="C3706">
        <v>9</v>
      </c>
    </row>
    <row r="3707" spans="1:4" x14ac:dyDescent="0.25">
      <c r="A3707" t="s">
        <v>20</v>
      </c>
      <c r="B3707">
        <v>68</v>
      </c>
      <c r="C3707">
        <v>10</v>
      </c>
      <c r="D3707">
        <v>1</v>
      </c>
    </row>
    <row r="3708" spans="1:4" x14ac:dyDescent="0.25">
      <c r="A3708" t="s">
        <v>20</v>
      </c>
      <c r="B3708">
        <v>68</v>
      </c>
      <c r="C3708">
        <v>11</v>
      </c>
    </row>
    <row r="3709" spans="1:4" x14ac:dyDescent="0.25">
      <c r="A3709" t="s">
        <v>20</v>
      </c>
      <c r="B3709">
        <v>68</v>
      </c>
      <c r="C3709">
        <v>12</v>
      </c>
    </row>
    <row r="3710" spans="1:4" x14ac:dyDescent="0.25">
      <c r="A3710" t="s">
        <v>20</v>
      </c>
      <c r="B3710">
        <v>68</v>
      </c>
      <c r="C3710">
        <v>13</v>
      </c>
      <c r="D3710">
        <v>1</v>
      </c>
    </row>
    <row r="3711" spans="1:4" x14ac:dyDescent="0.25">
      <c r="A3711" t="s">
        <v>20</v>
      </c>
      <c r="B3711">
        <v>68</v>
      </c>
      <c r="C3711">
        <v>14</v>
      </c>
    </row>
    <row r="3712" spans="1:4" x14ac:dyDescent="0.25">
      <c r="A3712" t="s">
        <v>20</v>
      </c>
      <c r="B3712">
        <v>68</v>
      </c>
      <c r="C3712">
        <v>15</v>
      </c>
    </row>
    <row r="3713" spans="1:4" x14ac:dyDescent="0.25">
      <c r="A3713" t="s">
        <v>20</v>
      </c>
      <c r="B3713">
        <v>68</v>
      </c>
      <c r="C3713">
        <v>16</v>
      </c>
      <c r="D3713">
        <v>1</v>
      </c>
    </row>
    <row r="3714" spans="1:4" x14ac:dyDescent="0.25">
      <c r="A3714" t="s">
        <v>20</v>
      </c>
      <c r="B3714">
        <v>68</v>
      </c>
      <c r="C3714">
        <v>17</v>
      </c>
    </row>
    <row r="3715" spans="1:4" x14ac:dyDescent="0.25">
      <c r="A3715" t="s">
        <v>20</v>
      </c>
      <c r="B3715">
        <v>68</v>
      </c>
      <c r="C3715">
        <v>18</v>
      </c>
    </row>
    <row r="3716" spans="1:4" x14ac:dyDescent="0.25">
      <c r="A3716" t="s">
        <v>20</v>
      </c>
      <c r="B3716">
        <v>68</v>
      </c>
      <c r="C3716">
        <v>19</v>
      </c>
    </row>
    <row r="3717" spans="1:4" x14ac:dyDescent="0.25">
      <c r="A3717" t="s">
        <v>20</v>
      </c>
      <c r="B3717">
        <v>68</v>
      </c>
      <c r="C3717">
        <v>20</v>
      </c>
    </row>
    <row r="3718" spans="1:4" x14ac:dyDescent="0.25">
      <c r="A3718" t="s">
        <v>20</v>
      </c>
      <c r="B3718">
        <v>68</v>
      </c>
      <c r="C3718">
        <v>21</v>
      </c>
    </row>
    <row r="3719" spans="1:4" x14ac:dyDescent="0.25">
      <c r="A3719" t="s">
        <v>20</v>
      </c>
      <c r="B3719">
        <v>68</v>
      </c>
      <c r="C3719">
        <v>22</v>
      </c>
      <c r="D3719">
        <v>1</v>
      </c>
    </row>
    <row r="3720" spans="1:4" x14ac:dyDescent="0.25">
      <c r="A3720" t="s">
        <v>20</v>
      </c>
      <c r="B3720">
        <v>68</v>
      </c>
      <c r="C3720">
        <v>23</v>
      </c>
    </row>
    <row r="3721" spans="1:4" x14ac:dyDescent="0.25">
      <c r="A3721" t="s">
        <v>20</v>
      </c>
      <c r="B3721">
        <v>68</v>
      </c>
      <c r="C3721">
        <v>24</v>
      </c>
    </row>
    <row r="3722" spans="1:4" x14ac:dyDescent="0.25">
      <c r="A3722" t="s">
        <v>20</v>
      </c>
      <c r="B3722">
        <v>68</v>
      </c>
      <c r="C3722">
        <v>25</v>
      </c>
      <c r="D3722">
        <v>1</v>
      </c>
    </row>
    <row r="3723" spans="1:4" x14ac:dyDescent="0.25">
      <c r="A3723" t="s">
        <v>20</v>
      </c>
      <c r="B3723">
        <v>68</v>
      </c>
      <c r="C3723">
        <v>26</v>
      </c>
    </row>
    <row r="3724" spans="1:4" x14ac:dyDescent="0.25">
      <c r="A3724" t="s">
        <v>20</v>
      </c>
      <c r="B3724">
        <v>68</v>
      </c>
      <c r="C3724">
        <v>27</v>
      </c>
    </row>
    <row r="3725" spans="1:4" x14ac:dyDescent="0.25">
      <c r="A3725" t="s">
        <v>20</v>
      </c>
      <c r="B3725">
        <v>68</v>
      </c>
      <c r="C3725">
        <v>28</v>
      </c>
      <c r="D3725">
        <v>1</v>
      </c>
    </row>
    <row r="3726" spans="1:4" x14ac:dyDescent="0.25">
      <c r="A3726" t="s">
        <v>20</v>
      </c>
      <c r="B3726">
        <v>68</v>
      </c>
      <c r="C3726">
        <v>29</v>
      </c>
    </row>
    <row r="3727" spans="1:4" x14ac:dyDescent="0.25">
      <c r="A3727" t="s">
        <v>20</v>
      </c>
      <c r="B3727">
        <v>68</v>
      </c>
      <c r="C3727">
        <v>30</v>
      </c>
    </row>
    <row r="3728" spans="1:4" x14ac:dyDescent="0.25">
      <c r="A3728" t="s">
        <v>20</v>
      </c>
      <c r="B3728">
        <v>68</v>
      </c>
      <c r="C3728">
        <v>31</v>
      </c>
      <c r="D3728">
        <v>1</v>
      </c>
    </row>
    <row r="3729" spans="1:4" x14ac:dyDescent="0.25">
      <c r="A3729" t="s">
        <v>20</v>
      </c>
      <c r="B3729">
        <v>68</v>
      </c>
      <c r="C3729">
        <v>32</v>
      </c>
    </row>
    <row r="3730" spans="1:4" x14ac:dyDescent="0.25">
      <c r="A3730" t="s">
        <v>20</v>
      </c>
      <c r="B3730">
        <v>68</v>
      </c>
      <c r="C3730">
        <v>33</v>
      </c>
    </row>
    <row r="3731" spans="1:4" x14ac:dyDescent="0.25">
      <c r="A3731" t="s">
        <v>20</v>
      </c>
      <c r="B3731">
        <v>68</v>
      </c>
      <c r="C3731">
        <v>34</v>
      </c>
      <c r="D3731">
        <v>1</v>
      </c>
    </row>
    <row r="3732" spans="1:4" x14ac:dyDescent="0.25">
      <c r="A3732" t="s">
        <v>20</v>
      </c>
      <c r="B3732">
        <v>68</v>
      </c>
      <c r="C3732">
        <v>35</v>
      </c>
    </row>
    <row r="3733" spans="1:4" x14ac:dyDescent="0.25">
      <c r="A3733" t="s">
        <v>20</v>
      </c>
      <c r="B3733">
        <v>68</v>
      </c>
      <c r="C3733">
        <v>36</v>
      </c>
    </row>
    <row r="3734" spans="1:4" x14ac:dyDescent="0.25">
      <c r="A3734" t="s">
        <v>20</v>
      </c>
      <c r="B3734">
        <v>68</v>
      </c>
      <c r="C3734">
        <v>37</v>
      </c>
    </row>
    <row r="3735" spans="1:4" x14ac:dyDescent="0.25">
      <c r="A3735" t="s">
        <v>20</v>
      </c>
      <c r="B3735">
        <v>68</v>
      </c>
      <c r="C3735">
        <v>38</v>
      </c>
    </row>
    <row r="3736" spans="1:4" x14ac:dyDescent="0.25">
      <c r="A3736" t="s">
        <v>20</v>
      </c>
      <c r="B3736">
        <v>68</v>
      </c>
      <c r="C3736">
        <v>39</v>
      </c>
    </row>
    <row r="3737" spans="1:4" x14ac:dyDescent="0.25">
      <c r="A3737" t="s">
        <v>20</v>
      </c>
      <c r="B3737">
        <v>68</v>
      </c>
      <c r="C3737">
        <v>40</v>
      </c>
      <c r="D3737">
        <v>1</v>
      </c>
    </row>
    <row r="3738" spans="1:4" x14ac:dyDescent="0.25">
      <c r="A3738" t="s">
        <v>20</v>
      </c>
      <c r="B3738">
        <v>68</v>
      </c>
      <c r="C3738">
        <v>41</v>
      </c>
    </row>
    <row r="3739" spans="1:4" x14ac:dyDescent="0.25">
      <c r="A3739" t="s">
        <v>20</v>
      </c>
      <c r="B3739">
        <v>68</v>
      </c>
      <c r="C3739">
        <v>42</v>
      </c>
    </row>
    <row r="3740" spans="1:4" x14ac:dyDescent="0.25">
      <c r="A3740" t="s">
        <v>20</v>
      </c>
      <c r="B3740">
        <v>68</v>
      </c>
      <c r="C3740">
        <v>43</v>
      </c>
    </row>
    <row r="3741" spans="1:4" x14ac:dyDescent="0.25">
      <c r="A3741" t="s">
        <v>20</v>
      </c>
      <c r="B3741">
        <v>68</v>
      </c>
      <c r="C3741">
        <v>44</v>
      </c>
    </row>
    <row r="3742" spans="1:4" x14ac:dyDescent="0.25">
      <c r="A3742" t="s">
        <v>20</v>
      </c>
      <c r="B3742">
        <v>68</v>
      </c>
      <c r="C3742">
        <v>45</v>
      </c>
    </row>
    <row r="3743" spans="1:4" x14ac:dyDescent="0.25">
      <c r="A3743" t="s">
        <v>20</v>
      </c>
      <c r="B3743">
        <v>68</v>
      </c>
      <c r="C3743">
        <v>46</v>
      </c>
      <c r="D3743">
        <v>1</v>
      </c>
    </row>
    <row r="3744" spans="1:4" x14ac:dyDescent="0.25">
      <c r="A3744" t="s">
        <v>20</v>
      </c>
      <c r="B3744">
        <v>68</v>
      </c>
      <c r="C3744">
        <v>47</v>
      </c>
    </row>
    <row r="3745" spans="1:4" x14ac:dyDescent="0.25">
      <c r="A3745" t="s">
        <v>20</v>
      </c>
      <c r="B3745">
        <v>68</v>
      </c>
      <c r="C3745">
        <v>48</v>
      </c>
    </row>
    <row r="3746" spans="1:4" x14ac:dyDescent="0.25">
      <c r="A3746" t="s">
        <v>20</v>
      </c>
      <c r="B3746">
        <v>68</v>
      </c>
      <c r="C3746">
        <v>49</v>
      </c>
      <c r="D3746">
        <v>1</v>
      </c>
    </row>
    <row r="3747" spans="1:4" x14ac:dyDescent="0.25">
      <c r="A3747" t="s">
        <v>20</v>
      </c>
      <c r="B3747">
        <v>68</v>
      </c>
      <c r="C3747">
        <v>50</v>
      </c>
    </row>
    <row r="3748" spans="1:4" x14ac:dyDescent="0.25">
      <c r="A3748" t="s">
        <v>20</v>
      </c>
      <c r="B3748">
        <v>68</v>
      </c>
      <c r="C3748">
        <v>51</v>
      </c>
    </row>
    <row r="3749" spans="1:4" x14ac:dyDescent="0.25">
      <c r="A3749" t="s">
        <v>20</v>
      </c>
      <c r="B3749">
        <v>68</v>
      </c>
      <c r="C3749">
        <v>52</v>
      </c>
      <c r="D3749">
        <v>1</v>
      </c>
    </row>
    <row r="3750" spans="1:4" x14ac:dyDescent="0.25">
      <c r="A3750" t="s">
        <v>20</v>
      </c>
      <c r="B3750">
        <v>68</v>
      </c>
      <c r="C3750">
        <v>53</v>
      </c>
    </row>
    <row r="3751" spans="1:4" x14ac:dyDescent="0.25">
      <c r="A3751" t="s">
        <v>20</v>
      </c>
      <c r="B3751">
        <v>68</v>
      </c>
      <c r="C3751">
        <v>54</v>
      </c>
    </row>
    <row r="3752" spans="1:4" x14ac:dyDescent="0.25">
      <c r="A3752" t="s">
        <v>20</v>
      </c>
      <c r="B3752">
        <v>68</v>
      </c>
      <c r="C3752">
        <v>55</v>
      </c>
      <c r="D3752">
        <v>1</v>
      </c>
    </row>
    <row r="3753" spans="1:4" x14ac:dyDescent="0.25">
      <c r="A3753" t="s">
        <v>20</v>
      </c>
      <c r="B3753">
        <v>68</v>
      </c>
      <c r="C3753">
        <v>56</v>
      </c>
    </row>
    <row r="3754" spans="1:4" x14ac:dyDescent="0.25">
      <c r="A3754" t="s">
        <v>20</v>
      </c>
      <c r="B3754">
        <v>68</v>
      </c>
      <c r="C3754">
        <v>57</v>
      </c>
    </row>
    <row r="3755" spans="1:4" x14ac:dyDescent="0.25">
      <c r="A3755" t="s">
        <v>20</v>
      </c>
      <c r="B3755">
        <v>68</v>
      </c>
      <c r="C3755">
        <v>58</v>
      </c>
    </row>
    <row r="3756" spans="1:4" x14ac:dyDescent="0.25">
      <c r="A3756" t="s">
        <v>20</v>
      </c>
      <c r="B3756">
        <v>68</v>
      </c>
      <c r="C3756">
        <v>59</v>
      </c>
    </row>
    <row r="3757" spans="1:4" x14ac:dyDescent="0.25">
      <c r="A3757" t="s">
        <v>20</v>
      </c>
      <c r="B3757">
        <v>68</v>
      </c>
      <c r="C3757">
        <v>60</v>
      </c>
    </row>
    <row r="3758" spans="1:4" x14ac:dyDescent="0.25">
      <c r="A3758" t="s">
        <v>20</v>
      </c>
      <c r="B3758">
        <v>68</v>
      </c>
      <c r="C3758">
        <v>61</v>
      </c>
    </row>
    <row r="3759" spans="1:4" x14ac:dyDescent="0.25">
      <c r="A3759" t="s">
        <v>20</v>
      </c>
      <c r="B3759">
        <v>68</v>
      </c>
      <c r="C3759">
        <v>62</v>
      </c>
    </row>
    <row r="3760" spans="1:4" x14ac:dyDescent="0.25">
      <c r="A3760" t="s">
        <v>20</v>
      </c>
      <c r="B3760">
        <v>68</v>
      </c>
      <c r="C3760">
        <v>63</v>
      </c>
    </row>
    <row r="3761" spans="1:4" x14ac:dyDescent="0.25">
      <c r="A3761" t="s">
        <v>20</v>
      </c>
      <c r="B3761">
        <v>68</v>
      </c>
      <c r="C3761">
        <v>64</v>
      </c>
    </row>
    <row r="3762" spans="1:4" x14ac:dyDescent="0.25">
      <c r="A3762" t="s">
        <v>20</v>
      </c>
      <c r="B3762">
        <v>68</v>
      </c>
      <c r="C3762">
        <v>65</v>
      </c>
    </row>
    <row r="3763" spans="1:4" x14ac:dyDescent="0.25">
      <c r="A3763" t="s">
        <v>20</v>
      </c>
      <c r="B3763">
        <v>68</v>
      </c>
      <c r="C3763">
        <v>66</v>
      </c>
    </row>
    <row r="3764" spans="1:4" x14ac:dyDescent="0.25">
      <c r="A3764" t="s">
        <v>20</v>
      </c>
      <c r="B3764">
        <v>68</v>
      </c>
      <c r="C3764">
        <v>67</v>
      </c>
      <c r="D3764">
        <v>1</v>
      </c>
    </row>
    <row r="3765" spans="1:4" x14ac:dyDescent="0.25">
      <c r="A3765" t="s">
        <v>20</v>
      </c>
      <c r="B3765">
        <v>68</v>
      </c>
      <c r="C3765">
        <v>68</v>
      </c>
    </row>
    <row r="3766" spans="1:4" x14ac:dyDescent="0.25">
      <c r="A3766" t="s">
        <v>20</v>
      </c>
      <c r="B3766">
        <v>68</v>
      </c>
      <c r="C3766">
        <v>69</v>
      </c>
    </row>
    <row r="3767" spans="1:4" x14ac:dyDescent="0.25">
      <c r="A3767" t="s">
        <v>20</v>
      </c>
      <c r="B3767">
        <v>68</v>
      </c>
      <c r="C3767">
        <v>70</v>
      </c>
      <c r="D3767">
        <v>1</v>
      </c>
    </row>
    <row r="3768" spans="1:4" x14ac:dyDescent="0.25">
      <c r="A3768" t="s">
        <v>20</v>
      </c>
      <c r="B3768">
        <v>68</v>
      </c>
      <c r="C3768">
        <v>71</v>
      </c>
    </row>
    <row r="3769" spans="1:4" x14ac:dyDescent="0.25">
      <c r="A3769" t="s">
        <v>20</v>
      </c>
      <c r="B3769">
        <v>68</v>
      </c>
      <c r="C3769">
        <v>72</v>
      </c>
    </row>
    <row r="3770" spans="1:4" x14ac:dyDescent="0.25">
      <c r="A3770" t="s">
        <v>20</v>
      </c>
      <c r="B3770">
        <v>68</v>
      </c>
      <c r="C3770">
        <v>73</v>
      </c>
      <c r="D3770">
        <v>1</v>
      </c>
    </row>
    <row r="3771" spans="1:4" x14ac:dyDescent="0.25">
      <c r="A3771" t="s">
        <v>20</v>
      </c>
      <c r="B3771">
        <v>68</v>
      </c>
      <c r="C3771">
        <v>74</v>
      </c>
    </row>
    <row r="3772" spans="1:4" x14ac:dyDescent="0.25">
      <c r="A3772" t="s">
        <v>20</v>
      </c>
      <c r="B3772">
        <v>68</v>
      </c>
      <c r="C3772">
        <v>75</v>
      </c>
    </row>
    <row r="3773" spans="1:4" x14ac:dyDescent="0.25">
      <c r="A3773" t="s">
        <v>20</v>
      </c>
      <c r="B3773">
        <v>68</v>
      </c>
      <c r="C3773">
        <v>76</v>
      </c>
      <c r="D3773">
        <v>1</v>
      </c>
    </row>
    <row r="3774" spans="1:4" x14ac:dyDescent="0.25">
      <c r="A3774" t="s">
        <v>20</v>
      </c>
      <c r="B3774">
        <v>68</v>
      </c>
      <c r="C3774">
        <v>77</v>
      </c>
    </row>
    <row r="3775" spans="1:4" x14ac:dyDescent="0.25">
      <c r="A3775" t="s">
        <v>20</v>
      </c>
      <c r="B3775">
        <v>68</v>
      </c>
      <c r="C3775">
        <v>78</v>
      </c>
    </row>
    <row r="3776" spans="1:4" x14ac:dyDescent="0.25">
      <c r="A3776" t="s">
        <v>20</v>
      </c>
      <c r="B3776">
        <v>68</v>
      </c>
      <c r="C3776">
        <v>79</v>
      </c>
    </row>
    <row r="3777" spans="1:4" x14ac:dyDescent="0.25">
      <c r="A3777" t="s">
        <v>20</v>
      </c>
      <c r="B3777">
        <v>68</v>
      </c>
      <c r="C3777">
        <v>80</v>
      </c>
    </row>
    <row r="3778" spans="1:4" x14ac:dyDescent="0.25">
      <c r="A3778" t="s">
        <v>20</v>
      </c>
      <c r="B3778">
        <v>68</v>
      </c>
      <c r="C3778">
        <v>81</v>
      </c>
    </row>
    <row r="3779" spans="1:4" x14ac:dyDescent="0.25">
      <c r="A3779" t="s">
        <v>20</v>
      </c>
      <c r="B3779">
        <v>68</v>
      </c>
      <c r="C3779">
        <v>82</v>
      </c>
      <c r="D3779">
        <v>1</v>
      </c>
    </row>
    <row r="3780" spans="1:4" x14ac:dyDescent="0.25">
      <c r="A3780" t="s">
        <v>20</v>
      </c>
      <c r="B3780">
        <v>68</v>
      </c>
      <c r="C3780">
        <v>83</v>
      </c>
    </row>
    <row r="3781" spans="1:4" x14ac:dyDescent="0.25">
      <c r="A3781" t="s">
        <v>20</v>
      </c>
      <c r="B3781">
        <v>68</v>
      </c>
      <c r="C3781">
        <v>84</v>
      </c>
    </row>
    <row r="3782" spans="1:4" x14ac:dyDescent="0.25">
      <c r="A3782" t="s">
        <v>20</v>
      </c>
      <c r="B3782">
        <v>69</v>
      </c>
      <c r="C3782">
        <v>1</v>
      </c>
      <c r="D3782">
        <v>1</v>
      </c>
    </row>
    <row r="3783" spans="1:4" x14ac:dyDescent="0.25">
      <c r="A3783" t="s">
        <v>20</v>
      </c>
      <c r="B3783">
        <v>69</v>
      </c>
      <c r="C3783">
        <v>2</v>
      </c>
    </row>
    <row r="3784" spans="1:4" x14ac:dyDescent="0.25">
      <c r="A3784" t="s">
        <v>20</v>
      </c>
      <c r="B3784">
        <v>69</v>
      </c>
      <c r="C3784">
        <v>3</v>
      </c>
    </row>
    <row r="3785" spans="1:4" x14ac:dyDescent="0.25">
      <c r="A3785" t="s">
        <v>20</v>
      </c>
      <c r="B3785">
        <v>69</v>
      </c>
      <c r="C3785">
        <v>4</v>
      </c>
      <c r="D3785">
        <v>1</v>
      </c>
    </row>
    <row r="3786" spans="1:4" x14ac:dyDescent="0.25">
      <c r="A3786" t="s">
        <v>20</v>
      </c>
      <c r="B3786">
        <v>69</v>
      </c>
      <c r="C3786">
        <v>5</v>
      </c>
    </row>
    <row r="3787" spans="1:4" x14ac:dyDescent="0.25">
      <c r="A3787" t="s">
        <v>20</v>
      </c>
      <c r="B3787">
        <v>69</v>
      </c>
      <c r="C3787">
        <v>6</v>
      </c>
    </row>
    <row r="3788" spans="1:4" x14ac:dyDescent="0.25">
      <c r="A3788" t="s">
        <v>20</v>
      </c>
      <c r="B3788">
        <v>69</v>
      </c>
      <c r="C3788">
        <v>7</v>
      </c>
      <c r="D3788">
        <v>1</v>
      </c>
    </row>
    <row r="3789" spans="1:4" x14ac:dyDescent="0.25">
      <c r="A3789" t="s">
        <v>20</v>
      </c>
      <c r="B3789">
        <v>69</v>
      </c>
      <c r="C3789">
        <v>8</v>
      </c>
    </row>
    <row r="3790" spans="1:4" x14ac:dyDescent="0.25">
      <c r="A3790" t="s">
        <v>20</v>
      </c>
      <c r="B3790">
        <v>69</v>
      </c>
      <c r="C3790">
        <v>9</v>
      </c>
    </row>
    <row r="3791" spans="1:4" x14ac:dyDescent="0.25">
      <c r="A3791" t="s">
        <v>20</v>
      </c>
      <c r="B3791">
        <v>69</v>
      </c>
      <c r="C3791">
        <v>10</v>
      </c>
      <c r="D3791">
        <v>1</v>
      </c>
    </row>
    <row r="3792" spans="1:4" x14ac:dyDescent="0.25">
      <c r="A3792" t="s">
        <v>20</v>
      </c>
      <c r="B3792">
        <v>69</v>
      </c>
      <c r="C3792">
        <v>11</v>
      </c>
    </row>
    <row r="3793" spans="1:4" x14ac:dyDescent="0.25">
      <c r="A3793" t="s">
        <v>20</v>
      </c>
      <c r="B3793">
        <v>69</v>
      </c>
      <c r="C3793">
        <v>12</v>
      </c>
    </row>
    <row r="3794" spans="1:4" x14ac:dyDescent="0.25">
      <c r="A3794" t="s">
        <v>20</v>
      </c>
      <c r="B3794">
        <v>69</v>
      </c>
      <c r="C3794">
        <v>13</v>
      </c>
      <c r="D3794">
        <v>1</v>
      </c>
    </row>
    <row r="3795" spans="1:4" x14ac:dyDescent="0.25">
      <c r="A3795" t="s">
        <v>20</v>
      </c>
      <c r="B3795">
        <v>69</v>
      </c>
      <c r="C3795">
        <v>14</v>
      </c>
    </row>
    <row r="3796" spans="1:4" x14ac:dyDescent="0.25">
      <c r="A3796" t="s">
        <v>20</v>
      </c>
      <c r="B3796">
        <v>69</v>
      </c>
      <c r="C3796">
        <v>15</v>
      </c>
    </row>
    <row r="3797" spans="1:4" x14ac:dyDescent="0.25">
      <c r="A3797" t="s">
        <v>20</v>
      </c>
      <c r="B3797">
        <v>69</v>
      </c>
      <c r="C3797">
        <v>16</v>
      </c>
      <c r="D3797">
        <v>1</v>
      </c>
    </row>
    <row r="3798" spans="1:4" x14ac:dyDescent="0.25">
      <c r="A3798" t="s">
        <v>20</v>
      </c>
      <c r="B3798">
        <v>69</v>
      </c>
      <c r="C3798">
        <v>17</v>
      </c>
    </row>
    <row r="3799" spans="1:4" x14ac:dyDescent="0.25">
      <c r="A3799" t="s">
        <v>20</v>
      </c>
      <c r="B3799">
        <v>69</v>
      </c>
      <c r="C3799">
        <v>18</v>
      </c>
    </row>
    <row r="3800" spans="1:4" x14ac:dyDescent="0.25">
      <c r="A3800" t="s">
        <v>20</v>
      </c>
      <c r="B3800">
        <v>69</v>
      </c>
      <c r="C3800">
        <v>19</v>
      </c>
    </row>
    <row r="3801" spans="1:4" x14ac:dyDescent="0.25">
      <c r="A3801" t="s">
        <v>20</v>
      </c>
      <c r="B3801">
        <v>69</v>
      </c>
      <c r="C3801">
        <v>20</v>
      </c>
    </row>
    <row r="3802" spans="1:4" x14ac:dyDescent="0.25">
      <c r="A3802" t="s">
        <v>20</v>
      </c>
      <c r="B3802">
        <v>69</v>
      </c>
      <c r="C3802">
        <v>21</v>
      </c>
    </row>
    <row r="3803" spans="1:4" x14ac:dyDescent="0.25">
      <c r="A3803" t="s">
        <v>20</v>
      </c>
      <c r="B3803">
        <v>69</v>
      </c>
      <c r="C3803">
        <v>22</v>
      </c>
      <c r="D3803">
        <v>1</v>
      </c>
    </row>
    <row r="3804" spans="1:4" x14ac:dyDescent="0.25">
      <c r="A3804" t="s">
        <v>20</v>
      </c>
      <c r="B3804">
        <v>69</v>
      </c>
      <c r="C3804">
        <v>23</v>
      </c>
    </row>
    <row r="3805" spans="1:4" x14ac:dyDescent="0.25">
      <c r="A3805" t="s">
        <v>20</v>
      </c>
      <c r="B3805">
        <v>69</v>
      </c>
      <c r="C3805">
        <v>24</v>
      </c>
    </row>
    <row r="3806" spans="1:4" x14ac:dyDescent="0.25">
      <c r="A3806" t="s">
        <v>20</v>
      </c>
      <c r="B3806">
        <v>69</v>
      </c>
      <c r="C3806">
        <v>25</v>
      </c>
    </row>
    <row r="3807" spans="1:4" x14ac:dyDescent="0.25">
      <c r="A3807" t="s">
        <v>20</v>
      </c>
      <c r="B3807">
        <v>69</v>
      </c>
      <c r="C3807">
        <v>26</v>
      </c>
    </row>
    <row r="3808" spans="1:4" x14ac:dyDescent="0.25">
      <c r="A3808" t="s">
        <v>20</v>
      </c>
      <c r="B3808">
        <v>69</v>
      </c>
      <c r="C3808">
        <v>27</v>
      </c>
    </row>
    <row r="3809" spans="1:4" x14ac:dyDescent="0.25">
      <c r="A3809" t="s">
        <v>20</v>
      </c>
      <c r="B3809">
        <v>69</v>
      </c>
      <c r="C3809">
        <v>28</v>
      </c>
      <c r="D3809">
        <v>1</v>
      </c>
    </row>
    <row r="3810" spans="1:4" x14ac:dyDescent="0.25">
      <c r="A3810" t="s">
        <v>20</v>
      </c>
      <c r="B3810">
        <v>69</v>
      </c>
      <c r="C3810">
        <v>29</v>
      </c>
    </row>
    <row r="3811" spans="1:4" x14ac:dyDescent="0.25">
      <c r="A3811" t="s">
        <v>20</v>
      </c>
      <c r="B3811">
        <v>69</v>
      </c>
      <c r="C3811">
        <v>30</v>
      </c>
    </row>
    <row r="3812" spans="1:4" x14ac:dyDescent="0.25">
      <c r="A3812" t="s">
        <v>20</v>
      </c>
      <c r="B3812">
        <v>69</v>
      </c>
      <c r="C3812">
        <v>31</v>
      </c>
      <c r="D3812">
        <v>1</v>
      </c>
    </row>
    <row r="3813" spans="1:4" x14ac:dyDescent="0.25">
      <c r="A3813" t="s">
        <v>20</v>
      </c>
      <c r="B3813">
        <v>69</v>
      </c>
      <c r="C3813">
        <v>32</v>
      </c>
    </row>
    <row r="3814" spans="1:4" x14ac:dyDescent="0.25">
      <c r="A3814" t="s">
        <v>20</v>
      </c>
      <c r="B3814">
        <v>69</v>
      </c>
      <c r="C3814">
        <v>33</v>
      </c>
    </row>
    <row r="3815" spans="1:4" x14ac:dyDescent="0.25">
      <c r="A3815" t="s">
        <v>20</v>
      </c>
      <c r="B3815">
        <v>69</v>
      </c>
      <c r="C3815">
        <v>34</v>
      </c>
    </row>
    <row r="3816" spans="1:4" x14ac:dyDescent="0.25">
      <c r="A3816" t="s">
        <v>20</v>
      </c>
      <c r="B3816">
        <v>69</v>
      </c>
      <c r="C3816">
        <v>35</v>
      </c>
    </row>
    <row r="3817" spans="1:4" x14ac:dyDescent="0.25">
      <c r="A3817" t="s">
        <v>20</v>
      </c>
      <c r="B3817">
        <v>69</v>
      </c>
      <c r="C3817">
        <v>36</v>
      </c>
    </row>
    <row r="3818" spans="1:4" x14ac:dyDescent="0.25">
      <c r="A3818" t="s">
        <v>20</v>
      </c>
      <c r="B3818">
        <v>69</v>
      </c>
      <c r="C3818">
        <v>37</v>
      </c>
      <c r="D3818">
        <v>1</v>
      </c>
    </row>
    <row r="3819" spans="1:4" x14ac:dyDescent="0.25">
      <c r="A3819" t="s">
        <v>20</v>
      </c>
      <c r="B3819">
        <v>69</v>
      </c>
      <c r="C3819">
        <v>38</v>
      </c>
    </row>
    <row r="3820" spans="1:4" x14ac:dyDescent="0.25">
      <c r="A3820" t="s">
        <v>20</v>
      </c>
      <c r="B3820">
        <v>69</v>
      </c>
      <c r="C3820">
        <v>39</v>
      </c>
    </row>
    <row r="3821" spans="1:4" x14ac:dyDescent="0.25">
      <c r="A3821" t="s">
        <v>20</v>
      </c>
      <c r="B3821">
        <v>69</v>
      </c>
      <c r="C3821">
        <v>40</v>
      </c>
      <c r="D3821">
        <v>1</v>
      </c>
    </row>
    <row r="3822" spans="1:4" x14ac:dyDescent="0.25">
      <c r="A3822" t="s">
        <v>20</v>
      </c>
      <c r="B3822">
        <v>69</v>
      </c>
      <c r="C3822">
        <v>41</v>
      </c>
    </row>
    <row r="3823" spans="1:4" x14ac:dyDescent="0.25">
      <c r="A3823" t="s">
        <v>20</v>
      </c>
      <c r="B3823">
        <v>69</v>
      </c>
      <c r="C3823">
        <v>42</v>
      </c>
    </row>
    <row r="3824" spans="1:4" x14ac:dyDescent="0.25">
      <c r="A3824" t="s">
        <v>20</v>
      </c>
      <c r="B3824">
        <v>69</v>
      </c>
      <c r="C3824">
        <v>43</v>
      </c>
      <c r="D3824">
        <v>1</v>
      </c>
    </row>
    <row r="3825" spans="1:4" x14ac:dyDescent="0.25">
      <c r="A3825" t="s">
        <v>20</v>
      </c>
      <c r="B3825">
        <v>69</v>
      </c>
      <c r="C3825">
        <v>44</v>
      </c>
    </row>
    <row r="3826" spans="1:4" x14ac:dyDescent="0.25">
      <c r="A3826" t="s">
        <v>20</v>
      </c>
      <c r="B3826">
        <v>69</v>
      </c>
      <c r="C3826">
        <v>45</v>
      </c>
    </row>
    <row r="3827" spans="1:4" x14ac:dyDescent="0.25">
      <c r="A3827" t="s">
        <v>20</v>
      </c>
      <c r="B3827">
        <v>69</v>
      </c>
      <c r="C3827">
        <v>46</v>
      </c>
      <c r="D3827">
        <v>1</v>
      </c>
    </row>
    <row r="3828" spans="1:4" x14ac:dyDescent="0.25">
      <c r="A3828" t="s">
        <v>20</v>
      </c>
      <c r="B3828">
        <v>69</v>
      </c>
      <c r="C3828">
        <v>47</v>
      </c>
    </row>
    <row r="3829" spans="1:4" x14ac:dyDescent="0.25">
      <c r="A3829" t="s">
        <v>20</v>
      </c>
      <c r="B3829">
        <v>69</v>
      </c>
      <c r="C3829">
        <v>48</v>
      </c>
    </row>
    <row r="3830" spans="1:4" x14ac:dyDescent="0.25">
      <c r="A3830" t="s">
        <v>20</v>
      </c>
      <c r="B3830">
        <v>69</v>
      </c>
      <c r="C3830">
        <v>49</v>
      </c>
      <c r="D3830">
        <v>1</v>
      </c>
    </row>
    <row r="3831" spans="1:4" x14ac:dyDescent="0.25">
      <c r="A3831" t="s">
        <v>20</v>
      </c>
      <c r="B3831">
        <v>69</v>
      </c>
      <c r="C3831">
        <v>50</v>
      </c>
    </row>
    <row r="3832" spans="1:4" x14ac:dyDescent="0.25">
      <c r="A3832" t="s">
        <v>20</v>
      </c>
      <c r="B3832">
        <v>69</v>
      </c>
      <c r="C3832">
        <v>51</v>
      </c>
    </row>
    <row r="3833" spans="1:4" x14ac:dyDescent="0.25">
      <c r="A3833" t="s">
        <v>20</v>
      </c>
      <c r="B3833">
        <v>69</v>
      </c>
      <c r="C3833">
        <v>52</v>
      </c>
      <c r="D3833">
        <v>1</v>
      </c>
    </row>
    <row r="3834" spans="1:4" x14ac:dyDescent="0.25">
      <c r="A3834" t="s">
        <v>20</v>
      </c>
      <c r="B3834">
        <v>69</v>
      </c>
      <c r="C3834">
        <v>53</v>
      </c>
    </row>
    <row r="3835" spans="1:4" x14ac:dyDescent="0.25">
      <c r="A3835" t="s">
        <v>20</v>
      </c>
      <c r="B3835">
        <v>69</v>
      </c>
      <c r="C3835">
        <v>54</v>
      </c>
    </row>
    <row r="3836" spans="1:4" x14ac:dyDescent="0.25">
      <c r="A3836" t="s">
        <v>20</v>
      </c>
      <c r="B3836">
        <v>69</v>
      </c>
      <c r="C3836">
        <v>55</v>
      </c>
      <c r="D3836">
        <v>1</v>
      </c>
    </row>
    <row r="3837" spans="1:4" x14ac:dyDescent="0.25">
      <c r="A3837" t="s">
        <v>20</v>
      </c>
      <c r="B3837">
        <v>69</v>
      </c>
      <c r="C3837">
        <v>56</v>
      </c>
    </row>
    <row r="3838" spans="1:4" x14ac:dyDescent="0.25">
      <c r="A3838" t="s">
        <v>20</v>
      </c>
      <c r="B3838">
        <v>69</v>
      </c>
      <c r="C3838">
        <v>57</v>
      </c>
    </row>
    <row r="3839" spans="1:4" x14ac:dyDescent="0.25">
      <c r="A3839" t="s">
        <v>20</v>
      </c>
      <c r="B3839">
        <v>69</v>
      </c>
      <c r="C3839">
        <v>58</v>
      </c>
      <c r="D3839">
        <v>1</v>
      </c>
    </row>
    <row r="3840" spans="1:4" x14ac:dyDescent="0.25">
      <c r="A3840" t="s">
        <v>20</v>
      </c>
      <c r="B3840">
        <v>69</v>
      </c>
      <c r="C3840">
        <v>59</v>
      </c>
    </row>
    <row r="3841" spans="1:4" x14ac:dyDescent="0.25">
      <c r="A3841" t="s">
        <v>20</v>
      </c>
      <c r="B3841">
        <v>69</v>
      </c>
      <c r="C3841">
        <v>60</v>
      </c>
    </row>
    <row r="3842" spans="1:4" x14ac:dyDescent="0.25">
      <c r="A3842" t="s">
        <v>20</v>
      </c>
      <c r="B3842">
        <v>69</v>
      </c>
      <c r="C3842">
        <v>61</v>
      </c>
      <c r="D3842">
        <v>1</v>
      </c>
    </row>
    <row r="3843" spans="1:4" x14ac:dyDescent="0.25">
      <c r="A3843" t="s">
        <v>20</v>
      </c>
      <c r="B3843">
        <v>69</v>
      </c>
      <c r="C3843">
        <v>62</v>
      </c>
    </row>
    <row r="3844" spans="1:4" x14ac:dyDescent="0.25">
      <c r="A3844" t="s">
        <v>20</v>
      </c>
      <c r="B3844">
        <v>69</v>
      </c>
      <c r="C3844">
        <v>63</v>
      </c>
    </row>
    <row r="3845" spans="1:4" x14ac:dyDescent="0.25">
      <c r="A3845" t="s">
        <v>20</v>
      </c>
      <c r="B3845">
        <v>69</v>
      </c>
      <c r="C3845">
        <v>64</v>
      </c>
      <c r="D3845">
        <v>1</v>
      </c>
    </row>
    <row r="3846" spans="1:4" x14ac:dyDescent="0.25">
      <c r="A3846" t="s">
        <v>20</v>
      </c>
      <c r="B3846">
        <v>69</v>
      </c>
      <c r="C3846">
        <v>65</v>
      </c>
    </row>
    <row r="3847" spans="1:4" x14ac:dyDescent="0.25">
      <c r="A3847" t="s">
        <v>20</v>
      </c>
      <c r="B3847">
        <v>69</v>
      </c>
      <c r="C3847">
        <v>66</v>
      </c>
    </row>
    <row r="3848" spans="1:4" x14ac:dyDescent="0.25">
      <c r="A3848" t="s">
        <v>20</v>
      </c>
      <c r="B3848">
        <v>69</v>
      </c>
      <c r="C3848">
        <v>67</v>
      </c>
      <c r="D3848">
        <v>1</v>
      </c>
    </row>
    <row r="3849" spans="1:4" x14ac:dyDescent="0.25">
      <c r="A3849" t="s">
        <v>20</v>
      </c>
      <c r="B3849">
        <v>69</v>
      </c>
      <c r="C3849">
        <v>68</v>
      </c>
    </row>
    <row r="3850" spans="1:4" x14ac:dyDescent="0.25">
      <c r="A3850" t="s">
        <v>20</v>
      </c>
      <c r="B3850">
        <v>69</v>
      </c>
      <c r="C3850">
        <v>69</v>
      </c>
    </row>
    <row r="3851" spans="1:4" x14ac:dyDescent="0.25">
      <c r="A3851" t="s">
        <v>20</v>
      </c>
      <c r="B3851">
        <v>69</v>
      </c>
      <c r="C3851">
        <v>70</v>
      </c>
      <c r="D3851">
        <v>1</v>
      </c>
    </row>
    <row r="3852" spans="1:4" x14ac:dyDescent="0.25">
      <c r="A3852" t="s">
        <v>20</v>
      </c>
      <c r="B3852">
        <v>69</v>
      </c>
      <c r="C3852">
        <v>71</v>
      </c>
    </row>
    <row r="3853" spans="1:4" x14ac:dyDescent="0.25">
      <c r="A3853" t="s">
        <v>20</v>
      </c>
      <c r="B3853">
        <v>69</v>
      </c>
      <c r="C3853">
        <v>72</v>
      </c>
    </row>
    <row r="3854" spans="1:4" x14ac:dyDescent="0.25">
      <c r="A3854" t="s">
        <v>20</v>
      </c>
      <c r="B3854">
        <v>69</v>
      </c>
      <c r="C3854">
        <v>73</v>
      </c>
      <c r="D3854">
        <v>1</v>
      </c>
    </row>
    <row r="3855" spans="1:4" x14ac:dyDescent="0.25">
      <c r="A3855" t="s">
        <v>20</v>
      </c>
      <c r="B3855">
        <v>69</v>
      </c>
      <c r="C3855">
        <v>74</v>
      </c>
    </row>
    <row r="3856" spans="1:4" x14ac:dyDescent="0.25">
      <c r="A3856" t="s">
        <v>20</v>
      </c>
      <c r="B3856">
        <v>69</v>
      </c>
      <c r="C3856">
        <v>75</v>
      </c>
    </row>
    <row r="3857" spans="1:4" x14ac:dyDescent="0.25">
      <c r="A3857" t="s">
        <v>20</v>
      </c>
      <c r="B3857">
        <v>69</v>
      </c>
      <c r="C3857">
        <v>76</v>
      </c>
      <c r="D3857">
        <v>1</v>
      </c>
    </row>
    <row r="3858" spans="1:4" x14ac:dyDescent="0.25">
      <c r="A3858" t="s">
        <v>20</v>
      </c>
      <c r="B3858">
        <v>69</v>
      </c>
      <c r="C3858">
        <v>77</v>
      </c>
    </row>
    <row r="3859" spans="1:4" x14ac:dyDescent="0.25">
      <c r="A3859" t="s">
        <v>20</v>
      </c>
      <c r="B3859">
        <v>69</v>
      </c>
      <c r="C3859">
        <v>78</v>
      </c>
    </row>
    <row r="3860" spans="1:4" x14ac:dyDescent="0.25">
      <c r="A3860" t="s">
        <v>20</v>
      </c>
      <c r="B3860">
        <v>69</v>
      </c>
      <c r="C3860">
        <v>79</v>
      </c>
      <c r="D3860">
        <v>1</v>
      </c>
    </row>
    <row r="3861" spans="1:4" x14ac:dyDescent="0.25">
      <c r="A3861" t="s">
        <v>20</v>
      </c>
      <c r="B3861">
        <v>69</v>
      </c>
      <c r="C3861">
        <v>80</v>
      </c>
    </row>
    <row r="3862" spans="1:4" x14ac:dyDescent="0.25">
      <c r="A3862" t="s">
        <v>20</v>
      </c>
      <c r="B3862">
        <v>69</v>
      </c>
      <c r="C3862">
        <v>81</v>
      </c>
    </row>
    <row r="3863" spans="1:4" x14ac:dyDescent="0.25">
      <c r="A3863" t="s">
        <v>20</v>
      </c>
      <c r="B3863">
        <v>69</v>
      </c>
      <c r="C3863">
        <v>82</v>
      </c>
    </row>
    <row r="3864" spans="1:4" x14ac:dyDescent="0.25">
      <c r="A3864" t="s">
        <v>20</v>
      </c>
      <c r="B3864">
        <v>69</v>
      </c>
      <c r="C3864">
        <v>83</v>
      </c>
    </row>
    <row r="3865" spans="1:4" x14ac:dyDescent="0.25">
      <c r="A3865" t="s">
        <v>20</v>
      </c>
      <c r="B3865">
        <v>69</v>
      </c>
      <c r="C3865">
        <v>84</v>
      </c>
    </row>
    <row r="3866" spans="1:4" x14ac:dyDescent="0.25">
      <c r="A3866" t="s">
        <v>20</v>
      </c>
      <c r="B3866">
        <v>70</v>
      </c>
      <c r="C3866">
        <v>1</v>
      </c>
    </row>
    <row r="3867" spans="1:4" x14ac:dyDescent="0.25">
      <c r="A3867" t="s">
        <v>20</v>
      </c>
      <c r="B3867">
        <v>70</v>
      </c>
      <c r="C3867">
        <v>2</v>
      </c>
    </row>
    <row r="3868" spans="1:4" x14ac:dyDescent="0.25">
      <c r="A3868" t="s">
        <v>20</v>
      </c>
      <c r="B3868">
        <v>70</v>
      </c>
      <c r="C3868">
        <v>3</v>
      </c>
    </row>
    <row r="3869" spans="1:4" x14ac:dyDescent="0.25">
      <c r="A3869" t="s">
        <v>20</v>
      </c>
      <c r="B3869">
        <v>70</v>
      </c>
      <c r="C3869">
        <v>4</v>
      </c>
      <c r="D3869">
        <v>1</v>
      </c>
    </row>
    <row r="3870" spans="1:4" x14ac:dyDescent="0.25">
      <c r="A3870" t="s">
        <v>20</v>
      </c>
      <c r="B3870">
        <v>70</v>
      </c>
      <c r="C3870">
        <v>5</v>
      </c>
    </row>
    <row r="3871" spans="1:4" x14ac:dyDescent="0.25">
      <c r="A3871" t="s">
        <v>20</v>
      </c>
      <c r="B3871">
        <v>70</v>
      </c>
      <c r="C3871">
        <v>6</v>
      </c>
    </row>
    <row r="3872" spans="1:4" x14ac:dyDescent="0.25">
      <c r="A3872" t="s">
        <v>20</v>
      </c>
      <c r="B3872">
        <v>70</v>
      </c>
      <c r="C3872">
        <v>7</v>
      </c>
      <c r="D3872">
        <v>1</v>
      </c>
    </row>
    <row r="3873" spans="1:4" x14ac:dyDescent="0.25">
      <c r="A3873" t="s">
        <v>20</v>
      </c>
      <c r="B3873">
        <v>70</v>
      </c>
      <c r="C3873">
        <v>8</v>
      </c>
    </row>
    <row r="3874" spans="1:4" x14ac:dyDescent="0.25">
      <c r="A3874" t="s">
        <v>20</v>
      </c>
      <c r="B3874">
        <v>70</v>
      </c>
      <c r="C3874">
        <v>9</v>
      </c>
    </row>
    <row r="3875" spans="1:4" x14ac:dyDescent="0.25">
      <c r="A3875" t="s">
        <v>20</v>
      </c>
      <c r="B3875">
        <v>70</v>
      </c>
      <c r="C3875">
        <v>10</v>
      </c>
    </row>
    <row r="3876" spans="1:4" x14ac:dyDescent="0.25">
      <c r="A3876" t="s">
        <v>20</v>
      </c>
      <c r="B3876">
        <v>70</v>
      </c>
      <c r="C3876">
        <v>11</v>
      </c>
    </row>
    <row r="3877" spans="1:4" x14ac:dyDescent="0.25">
      <c r="A3877" t="s">
        <v>20</v>
      </c>
      <c r="B3877">
        <v>70</v>
      </c>
      <c r="C3877">
        <v>12</v>
      </c>
      <c r="D3877">
        <v>1</v>
      </c>
    </row>
    <row r="3878" spans="1:4" x14ac:dyDescent="0.25">
      <c r="A3878" t="s">
        <v>20</v>
      </c>
      <c r="B3878">
        <v>70</v>
      </c>
      <c r="C3878">
        <v>13</v>
      </c>
      <c r="D3878">
        <v>1</v>
      </c>
    </row>
    <row r="3879" spans="1:4" x14ac:dyDescent="0.25">
      <c r="A3879" t="s">
        <v>20</v>
      </c>
      <c r="B3879">
        <v>70</v>
      </c>
      <c r="C3879">
        <v>14</v>
      </c>
    </row>
    <row r="3880" spans="1:4" x14ac:dyDescent="0.25">
      <c r="A3880" t="s">
        <v>20</v>
      </c>
      <c r="B3880">
        <v>70</v>
      </c>
      <c r="C3880">
        <v>15</v>
      </c>
    </row>
    <row r="3881" spans="1:4" x14ac:dyDescent="0.25">
      <c r="A3881" t="s">
        <v>20</v>
      </c>
      <c r="B3881">
        <v>70</v>
      </c>
      <c r="C3881">
        <v>16</v>
      </c>
      <c r="D3881">
        <v>1</v>
      </c>
    </row>
    <row r="3882" spans="1:4" x14ac:dyDescent="0.25">
      <c r="A3882" t="s">
        <v>20</v>
      </c>
      <c r="B3882">
        <v>70</v>
      </c>
      <c r="C3882">
        <v>17</v>
      </c>
    </row>
    <row r="3883" spans="1:4" x14ac:dyDescent="0.25">
      <c r="A3883" t="s">
        <v>20</v>
      </c>
      <c r="B3883">
        <v>70</v>
      </c>
      <c r="C3883">
        <v>18</v>
      </c>
    </row>
    <row r="3884" spans="1:4" x14ac:dyDescent="0.25">
      <c r="A3884" t="s">
        <v>20</v>
      </c>
      <c r="B3884">
        <v>70</v>
      </c>
      <c r="C3884">
        <v>19</v>
      </c>
    </row>
    <row r="3885" spans="1:4" x14ac:dyDescent="0.25">
      <c r="A3885" t="s">
        <v>20</v>
      </c>
      <c r="B3885">
        <v>70</v>
      </c>
      <c r="C3885">
        <v>20</v>
      </c>
    </row>
    <row r="3886" spans="1:4" x14ac:dyDescent="0.25">
      <c r="A3886" t="s">
        <v>20</v>
      </c>
      <c r="B3886">
        <v>70</v>
      </c>
      <c r="C3886">
        <v>21</v>
      </c>
    </row>
    <row r="3887" spans="1:4" x14ac:dyDescent="0.25">
      <c r="A3887" t="s">
        <v>20</v>
      </c>
      <c r="B3887">
        <v>70</v>
      </c>
      <c r="C3887">
        <v>22</v>
      </c>
      <c r="D3887">
        <v>1</v>
      </c>
    </row>
    <row r="3888" spans="1:4" x14ac:dyDescent="0.25">
      <c r="A3888" t="s">
        <v>20</v>
      </c>
      <c r="B3888">
        <v>70</v>
      </c>
      <c r="C3888">
        <v>23</v>
      </c>
    </row>
    <row r="3889" spans="1:4" x14ac:dyDescent="0.25">
      <c r="A3889" t="s">
        <v>20</v>
      </c>
      <c r="B3889">
        <v>70</v>
      </c>
      <c r="C3889">
        <v>24</v>
      </c>
    </row>
    <row r="3890" spans="1:4" x14ac:dyDescent="0.25">
      <c r="A3890" t="s">
        <v>20</v>
      </c>
      <c r="B3890">
        <v>70</v>
      </c>
      <c r="C3890">
        <v>25</v>
      </c>
      <c r="D3890">
        <v>1</v>
      </c>
    </row>
    <row r="3891" spans="1:4" x14ac:dyDescent="0.25">
      <c r="A3891" t="s">
        <v>20</v>
      </c>
      <c r="B3891">
        <v>70</v>
      </c>
      <c r="C3891">
        <v>26</v>
      </c>
    </row>
    <row r="3892" spans="1:4" x14ac:dyDescent="0.25">
      <c r="A3892" t="s">
        <v>20</v>
      </c>
      <c r="B3892">
        <v>70</v>
      </c>
      <c r="C3892">
        <v>27</v>
      </c>
    </row>
    <row r="3893" spans="1:4" x14ac:dyDescent="0.25">
      <c r="A3893" t="s">
        <v>20</v>
      </c>
      <c r="B3893">
        <v>70</v>
      </c>
      <c r="C3893">
        <v>28</v>
      </c>
    </row>
    <row r="3894" spans="1:4" x14ac:dyDescent="0.25">
      <c r="A3894" t="s">
        <v>20</v>
      </c>
      <c r="B3894">
        <v>70</v>
      </c>
      <c r="C3894">
        <v>29</v>
      </c>
    </row>
    <row r="3895" spans="1:4" x14ac:dyDescent="0.25">
      <c r="A3895" t="s">
        <v>20</v>
      </c>
      <c r="B3895">
        <v>70</v>
      </c>
      <c r="C3895">
        <v>30</v>
      </c>
      <c r="D3895">
        <v>1</v>
      </c>
    </row>
    <row r="3896" spans="1:4" x14ac:dyDescent="0.25">
      <c r="A3896" t="s">
        <v>20</v>
      </c>
      <c r="B3896">
        <v>70</v>
      </c>
      <c r="C3896">
        <v>31</v>
      </c>
      <c r="D3896">
        <v>1</v>
      </c>
    </row>
    <row r="3897" spans="1:4" x14ac:dyDescent="0.25">
      <c r="A3897" t="s">
        <v>20</v>
      </c>
      <c r="B3897">
        <v>70</v>
      </c>
      <c r="C3897">
        <v>32</v>
      </c>
    </row>
    <row r="3898" spans="1:4" x14ac:dyDescent="0.25">
      <c r="A3898" t="s">
        <v>20</v>
      </c>
      <c r="B3898">
        <v>70</v>
      </c>
      <c r="C3898">
        <v>33</v>
      </c>
    </row>
    <row r="3899" spans="1:4" x14ac:dyDescent="0.25">
      <c r="A3899" t="s">
        <v>20</v>
      </c>
      <c r="B3899">
        <v>70</v>
      </c>
      <c r="C3899">
        <v>34</v>
      </c>
      <c r="D3899">
        <v>1</v>
      </c>
    </row>
    <row r="3900" spans="1:4" x14ac:dyDescent="0.25">
      <c r="A3900" t="s">
        <v>20</v>
      </c>
      <c r="B3900">
        <v>70</v>
      </c>
      <c r="C3900">
        <v>35</v>
      </c>
    </row>
    <row r="3901" spans="1:4" x14ac:dyDescent="0.25">
      <c r="A3901" t="s">
        <v>20</v>
      </c>
      <c r="B3901">
        <v>70</v>
      </c>
      <c r="C3901">
        <v>36</v>
      </c>
    </row>
    <row r="3902" spans="1:4" x14ac:dyDescent="0.25">
      <c r="A3902" t="s">
        <v>20</v>
      </c>
      <c r="B3902">
        <v>70</v>
      </c>
      <c r="C3902">
        <v>37</v>
      </c>
      <c r="D3902">
        <v>1</v>
      </c>
    </row>
    <row r="3903" spans="1:4" x14ac:dyDescent="0.25">
      <c r="A3903" t="s">
        <v>20</v>
      </c>
      <c r="B3903">
        <v>70</v>
      </c>
      <c r="C3903">
        <v>38</v>
      </c>
    </row>
    <row r="3904" spans="1:4" x14ac:dyDescent="0.25">
      <c r="A3904" t="s">
        <v>20</v>
      </c>
      <c r="B3904">
        <v>70</v>
      </c>
      <c r="C3904">
        <v>39</v>
      </c>
    </row>
    <row r="3905" spans="1:4" x14ac:dyDescent="0.25">
      <c r="A3905" t="s">
        <v>20</v>
      </c>
      <c r="B3905">
        <v>70</v>
      </c>
      <c r="C3905">
        <v>40</v>
      </c>
      <c r="D3905">
        <v>1</v>
      </c>
    </row>
    <row r="3906" spans="1:4" x14ac:dyDescent="0.25">
      <c r="A3906" t="s">
        <v>20</v>
      </c>
      <c r="B3906">
        <v>70</v>
      </c>
      <c r="C3906">
        <v>41</v>
      </c>
    </row>
    <row r="3907" spans="1:4" x14ac:dyDescent="0.25">
      <c r="A3907" t="s">
        <v>20</v>
      </c>
      <c r="B3907">
        <v>70</v>
      </c>
      <c r="C3907">
        <v>42</v>
      </c>
    </row>
    <row r="3908" spans="1:4" x14ac:dyDescent="0.25">
      <c r="A3908" t="s">
        <v>20</v>
      </c>
      <c r="B3908">
        <v>70</v>
      </c>
      <c r="C3908">
        <v>43</v>
      </c>
      <c r="D3908">
        <v>1</v>
      </c>
    </row>
    <row r="3909" spans="1:4" x14ac:dyDescent="0.25">
      <c r="A3909" t="s">
        <v>20</v>
      </c>
      <c r="B3909">
        <v>70</v>
      </c>
      <c r="C3909">
        <v>44</v>
      </c>
    </row>
    <row r="3910" spans="1:4" x14ac:dyDescent="0.25">
      <c r="A3910" t="s">
        <v>20</v>
      </c>
      <c r="B3910">
        <v>70</v>
      </c>
      <c r="C3910">
        <v>45</v>
      </c>
    </row>
    <row r="3911" spans="1:4" x14ac:dyDescent="0.25">
      <c r="A3911" t="s">
        <v>20</v>
      </c>
      <c r="B3911">
        <v>70</v>
      </c>
      <c r="C3911">
        <v>46</v>
      </c>
      <c r="D3911">
        <v>1</v>
      </c>
    </row>
    <row r="3912" spans="1:4" x14ac:dyDescent="0.25">
      <c r="A3912" t="s">
        <v>20</v>
      </c>
      <c r="B3912">
        <v>70</v>
      </c>
      <c r="C3912">
        <v>47</v>
      </c>
    </row>
    <row r="3913" spans="1:4" x14ac:dyDescent="0.25">
      <c r="A3913" t="s">
        <v>20</v>
      </c>
      <c r="B3913">
        <v>70</v>
      </c>
      <c r="C3913">
        <v>48</v>
      </c>
    </row>
    <row r="3914" spans="1:4" x14ac:dyDescent="0.25">
      <c r="A3914" t="s">
        <v>20</v>
      </c>
      <c r="B3914">
        <v>70</v>
      </c>
      <c r="C3914">
        <v>49</v>
      </c>
      <c r="D3914">
        <v>1</v>
      </c>
    </row>
    <row r="3915" spans="1:4" x14ac:dyDescent="0.25">
      <c r="A3915" t="s">
        <v>20</v>
      </c>
      <c r="B3915">
        <v>70</v>
      </c>
      <c r="C3915">
        <v>50</v>
      </c>
    </row>
    <row r="3916" spans="1:4" x14ac:dyDescent="0.25">
      <c r="A3916" t="s">
        <v>20</v>
      </c>
      <c r="B3916">
        <v>70</v>
      </c>
      <c r="C3916">
        <v>51</v>
      </c>
    </row>
    <row r="3917" spans="1:4" x14ac:dyDescent="0.25">
      <c r="A3917" t="s">
        <v>20</v>
      </c>
      <c r="B3917">
        <v>70</v>
      </c>
      <c r="C3917">
        <v>52</v>
      </c>
    </row>
    <row r="3918" spans="1:4" x14ac:dyDescent="0.25">
      <c r="A3918" t="s">
        <v>20</v>
      </c>
      <c r="B3918">
        <v>70</v>
      </c>
      <c r="C3918">
        <v>53</v>
      </c>
    </row>
    <row r="3919" spans="1:4" x14ac:dyDescent="0.25">
      <c r="A3919" t="s">
        <v>20</v>
      </c>
      <c r="B3919">
        <v>70</v>
      </c>
      <c r="C3919">
        <v>54</v>
      </c>
    </row>
    <row r="3920" spans="1:4" x14ac:dyDescent="0.25">
      <c r="A3920" t="s">
        <v>20</v>
      </c>
      <c r="B3920">
        <v>70</v>
      </c>
      <c r="C3920">
        <v>55</v>
      </c>
    </row>
    <row r="3921" spans="1:4" x14ac:dyDescent="0.25">
      <c r="A3921" t="s">
        <v>20</v>
      </c>
      <c r="B3921">
        <v>70</v>
      </c>
      <c r="C3921">
        <v>56</v>
      </c>
    </row>
    <row r="3922" spans="1:4" x14ac:dyDescent="0.25">
      <c r="A3922" t="s">
        <v>20</v>
      </c>
      <c r="B3922">
        <v>70</v>
      </c>
      <c r="C3922">
        <v>57</v>
      </c>
    </row>
    <row r="3923" spans="1:4" x14ac:dyDescent="0.25">
      <c r="A3923" t="s">
        <v>20</v>
      </c>
      <c r="B3923">
        <v>70</v>
      </c>
      <c r="C3923">
        <v>58</v>
      </c>
      <c r="D3923">
        <v>1</v>
      </c>
    </row>
    <row r="3924" spans="1:4" x14ac:dyDescent="0.25">
      <c r="A3924" t="s">
        <v>20</v>
      </c>
      <c r="B3924">
        <v>70</v>
      </c>
      <c r="C3924">
        <v>59</v>
      </c>
    </row>
    <row r="3925" spans="1:4" x14ac:dyDescent="0.25">
      <c r="A3925" t="s">
        <v>20</v>
      </c>
      <c r="B3925">
        <v>70</v>
      </c>
      <c r="C3925">
        <v>60</v>
      </c>
    </row>
    <row r="3926" spans="1:4" x14ac:dyDescent="0.25">
      <c r="A3926" t="s">
        <v>20</v>
      </c>
      <c r="B3926">
        <v>70</v>
      </c>
      <c r="C3926">
        <v>61</v>
      </c>
    </row>
    <row r="3927" spans="1:4" x14ac:dyDescent="0.25">
      <c r="A3927" t="s">
        <v>20</v>
      </c>
      <c r="B3927">
        <v>70</v>
      </c>
      <c r="C3927">
        <v>62</v>
      </c>
      <c r="D3927">
        <v>1</v>
      </c>
    </row>
    <row r="3928" spans="1:4" x14ac:dyDescent="0.25">
      <c r="A3928" t="s">
        <v>20</v>
      </c>
      <c r="B3928">
        <v>70</v>
      </c>
      <c r="C3928">
        <v>63</v>
      </c>
    </row>
    <row r="3929" spans="1:4" x14ac:dyDescent="0.25">
      <c r="A3929" t="s">
        <v>20</v>
      </c>
      <c r="B3929">
        <v>70</v>
      </c>
      <c r="C3929">
        <v>64</v>
      </c>
      <c r="D3929">
        <v>1</v>
      </c>
    </row>
    <row r="3930" spans="1:4" x14ac:dyDescent="0.25">
      <c r="A3930" t="s">
        <v>20</v>
      </c>
      <c r="B3930">
        <v>70</v>
      </c>
      <c r="C3930">
        <v>65</v>
      </c>
    </row>
    <row r="3931" spans="1:4" x14ac:dyDescent="0.25">
      <c r="A3931" t="s">
        <v>20</v>
      </c>
      <c r="B3931">
        <v>70</v>
      </c>
      <c r="C3931">
        <v>66</v>
      </c>
    </row>
    <row r="3932" spans="1:4" x14ac:dyDescent="0.25">
      <c r="A3932" t="s">
        <v>20</v>
      </c>
      <c r="B3932">
        <v>70</v>
      </c>
      <c r="C3932">
        <v>67</v>
      </c>
      <c r="D3932">
        <v>1</v>
      </c>
    </row>
    <row r="3933" spans="1:4" x14ac:dyDescent="0.25">
      <c r="A3933" t="s">
        <v>20</v>
      </c>
      <c r="B3933">
        <v>70</v>
      </c>
      <c r="C3933">
        <v>68</v>
      </c>
    </row>
    <row r="3934" spans="1:4" x14ac:dyDescent="0.25">
      <c r="A3934" t="s">
        <v>20</v>
      </c>
      <c r="B3934">
        <v>70</v>
      </c>
      <c r="C3934">
        <v>69</v>
      </c>
    </row>
    <row r="3935" spans="1:4" x14ac:dyDescent="0.25">
      <c r="A3935" t="s">
        <v>20</v>
      </c>
      <c r="B3935">
        <v>70</v>
      </c>
      <c r="C3935">
        <v>70</v>
      </c>
    </row>
    <row r="3936" spans="1:4" x14ac:dyDescent="0.25">
      <c r="A3936" t="s">
        <v>20</v>
      </c>
      <c r="B3936">
        <v>70</v>
      </c>
      <c r="C3936">
        <v>71</v>
      </c>
    </row>
    <row r="3937" spans="1:4" x14ac:dyDescent="0.25">
      <c r="A3937" t="s">
        <v>20</v>
      </c>
      <c r="B3937">
        <v>70</v>
      </c>
      <c r="C3937">
        <v>72</v>
      </c>
    </row>
    <row r="3938" spans="1:4" x14ac:dyDescent="0.25">
      <c r="A3938" t="s">
        <v>20</v>
      </c>
      <c r="B3938">
        <v>70</v>
      </c>
      <c r="C3938">
        <v>73</v>
      </c>
      <c r="D3938">
        <v>1</v>
      </c>
    </row>
    <row r="3939" spans="1:4" x14ac:dyDescent="0.25">
      <c r="A3939" t="s">
        <v>20</v>
      </c>
      <c r="B3939">
        <v>70</v>
      </c>
      <c r="C3939">
        <v>74</v>
      </c>
    </row>
    <row r="3940" spans="1:4" x14ac:dyDescent="0.25">
      <c r="A3940" t="s">
        <v>20</v>
      </c>
      <c r="B3940">
        <v>70</v>
      </c>
      <c r="C3940">
        <v>75</v>
      </c>
    </row>
    <row r="3941" spans="1:4" x14ac:dyDescent="0.25">
      <c r="A3941" t="s">
        <v>20</v>
      </c>
      <c r="B3941">
        <v>70</v>
      </c>
      <c r="C3941">
        <v>76</v>
      </c>
      <c r="D3941">
        <v>1</v>
      </c>
    </row>
    <row r="3942" spans="1:4" x14ac:dyDescent="0.25">
      <c r="A3942" t="s">
        <v>20</v>
      </c>
      <c r="B3942">
        <v>70</v>
      </c>
      <c r="C3942">
        <v>77</v>
      </c>
    </row>
    <row r="3943" spans="1:4" x14ac:dyDescent="0.25">
      <c r="A3943" t="s">
        <v>20</v>
      </c>
      <c r="B3943">
        <v>70</v>
      </c>
      <c r="C3943">
        <v>78</v>
      </c>
    </row>
    <row r="3944" spans="1:4" x14ac:dyDescent="0.25">
      <c r="A3944" t="s">
        <v>20</v>
      </c>
      <c r="B3944">
        <v>70</v>
      </c>
      <c r="C3944">
        <v>79</v>
      </c>
      <c r="D3944">
        <v>1</v>
      </c>
    </row>
    <row r="3945" spans="1:4" x14ac:dyDescent="0.25">
      <c r="A3945" t="s">
        <v>20</v>
      </c>
      <c r="B3945">
        <v>70</v>
      </c>
      <c r="C3945">
        <v>80</v>
      </c>
    </row>
    <row r="3946" spans="1:4" x14ac:dyDescent="0.25">
      <c r="A3946" t="s">
        <v>20</v>
      </c>
      <c r="B3946">
        <v>70</v>
      </c>
      <c r="C3946">
        <v>81</v>
      </c>
    </row>
    <row r="3947" spans="1:4" x14ac:dyDescent="0.25">
      <c r="A3947" t="s">
        <v>20</v>
      </c>
      <c r="B3947">
        <v>70</v>
      </c>
      <c r="C3947">
        <v>82</v>
      </c>
    </row>
    <row r="3948" spans="1:4" x14ac:dyDescent="0.25">
      <c r="A3948" t="s">
        <v>20</v>
      </c>
      <c r="B3948">
        <v>70</v>
      </c>
      <c r="C3948">
        <v>83</v>
      </c>
    </row>
    <row r="3949" spans="1:4" x14ac:dyDescent="0.25">
      <c r="A3949" t="s">
        <v>20</v>
      </c>
      <c r="B3949">
        <v>70</v>
      </c>
      <c r="C3949">
        <v>84</v>
      </c>
    </row>
    <row r="3950" spans="1:4" x14ac:dyDescent="0.25">
      <c r="A3950" t="s">
        <v>20</v>
      </c>
      <c r="B3950">
        <v>71</v>
      </c>
      <c r="C3950">
        <v>1</v>
      </c>
    </row>
    <row r="3951" spans="1:4" x14ac:dyDescent="0.25">
      <c r="A3951" t="s">
        <v>20</v>
      </c>
      <c r="B3951">
        <v>71</v>
      </c>
      <c r="C3951">
        <v>2</v>
      </c>
      <c r="D3951">
        <v>1</v>
      </c>
    </row>
    <row r="3952" spans="1:4" x14ac:dyDescent="0.25">
      <c r="A3952" t="s">
        <v>20</v>
      </c>
      <c r="B3952">
        <v>71</v>
      </c>
      <c r="C3952">
        <v>3</v>
      </c>
    </row>
    <row r="3953" spans="1:4" x14ac:dyDescent="0.25">
      <c r="A3953" t="s">
        <v>20</v>
      </c>
      <c r="B3953">
        <v>71</v>
      </c>
      <c r="C3953">
        <v>4</v>
      </c>
    </row>
    <row r="3954" spans="1:4" x14ac:dyDescent="0.25">
      <c r="A3954" t="s">
        <v>20</v>
      </c>
      <c r="B3954">
        <v>71</v>
      </c>
      <c r="C3954">
        <v>5</v>
      </c>
      <c r="D3954">
        <v>1</v>
      </c>
    </row>
    <row r="3955" spans="1:4" x14ac:dyDescent="0.25">
      <c r="A3955" t="s">
        <v>20</v>
      </c>
      <c r="B3955">
        <v>71</v>
      </c>
      <c r="C3955">
        <v>6</v>
      </c>
    </row>
    <row r="3956" spans="1:4" x14ac:dyDescent="0.25">
      <c r="A3956" t="s">
        <v>20</v>
      </c>
      <c r="B3956">
        <v>71</v>
      </c>
      <c r="C3956">
        <v>7</v>
      </c>
    </row>
    <row r="3957" spans="1:4" x14ac:dyDescent="0.25">
      <c r="A3957" t="s">
        <v>20</v>
      </c>
      <c r="B3957">
        <v>71</v>
      </c>
      <c r="C3957">
        <v>8</v>
      </c>
      <c r="D3957">
        <v>1</v>
      </c>
    </row>
    <row r="3958" spans="1:4" x14ac:dyDescent="0.25">
      <c r="A3958" t="s">
        <v>20</v>
      </c>
      <c r="B3958">
        <v>71</v>
      </c>
      <c r="C3958">
        <v>9</v>
      </c>
    </row>
    <row r="3959" spans="1:4" x14ac:dyDescent="0.25">
      <c r="A3959" t="s">
        <v>20</v>
      </c>
      <c r="B3959">
        <v>71</v>
      </c>
      <c r="C3959">
        <v>10</v>
      </c>
    </row>
    <row r="3960" spans="1:4" x14ac:dyDescent="0.25">
      <c r="A3960" t="s">
        <v>20</v>
      </c>
      <c r="B3960">
        <v>71</v>
      </c>
      <c r="C3960">
        <v>11</v>
      </c>
      <c r="D3960">
        <v>1</v>
      </c>
    </row>
    <row r="3961" spans="1:4" x14ac:dyDescent="0.25">
      <c r="A3961" t="s">
        <v>20</v>
      </c>
      <c r="B3961">
        <v>71</v>
      </c>
      <c r="C3961">
        <v>12</v>
      </c>
    </row>
    <row r="3962" spans="1:4" x14ac:dyDescent="0.25">
      <c r="A3962" t="s">
        <v>20</v>
      </c>
      <c r="B3962">
        <v>71</v>
      </c>
      <c r="C3962">
        <v>13</v>
      </c>
    </row>
    <row r="3963" spans="1:4" x14ac:dyDescent="0.25">
      <c r="A3963" t="s">
        <v>20</v>
      </c>
      <c r="B3963">
        <v>71</v>
      </c>
      <c r="C3963">
        <v>14</v>
      </c>
      <c r="D3963">
        <v>1</v>
      </c>
    </row>
    <row r="3964" spans="1:4" x14ac:dyDescent="0.25">
      <c r="A3964" t="s">
        <v>20</v>
      </c>
      <c r="B3964">
        <v>71</v>
      </c>
      <c r="C3964">
        <v>15</v>
      </c>
    </row>
    <row r="3965" spans="1:4" x14ac:dyDescent="0.25">
      <c r="A3965" t="s">
        <v>20</v>
      </c>
      <c r="B3965">
        <v>71</v>
      </c>
      <c r="C3965">
        <v>16</v>
      </c>
    </row>
    <row r="3966" spans="1:4" x14ac:dyDescent="0.25">
      <c r="A3966" t="s">
        <v>20</v>
      </c>
      <c r="B3966">
        <v>71</v>
      </c>
      <c r="C3966">
        <v>17</v>
      </c>
      <c r="D3966">
        <v>1</v>
      </c>
    </row>
    <row r="3967" spans="1:4" x14ac:dyDescent="0.25">
      <c r="A3967" t="s">
        <v>20</v>
      </c>
      <c r="B3967">
        <v>71</v>
      </c>
      <c r="C3967">
        <v>18</v>
      </c>
    </row>
    <row r="3968" spans="1:4" x14ac:dyDescent="0.25">
      <c r="A3968" t="s">
        <v>20</v>
      </c>
      <c r="B3968">
        <v>71</v>
      </c>
      <c r="C3968">
        <v>19</v>
      </c>
    </row>
    <row r="3969" spans="1:4" x14ac:dyDescent="0.25">
      <c r="A3969" t="s">
        <v>20</v>
      </c>
      <c r="B3969">
        <v>71</v>
      </c>
      <c r="C3969">
        <v>20</v>
      </c>
    </row>
    <row r="3970" spans="1:4" x14ac:dyDescent="0.25">
      <c r="A3970" t="s">
        <v>20</v>
      </c>
      <c r="B3970">
        <v>71</v>
      </c>
      <c r="C3970">
        <v>21</v>
      </c>
    </row>
    <row r="3971" spans="1:4" x14ac:dyDescent="0.25">
      <c r="A3971" t="s">
        <v>20</v>
      </c>
      <c r="B3971">
        <v>71</v>
      </c>
      <c r="C3971">
        <v>22</v>
      </c>
    </row>
    <row r="3972" spans="1:4" x14ac:dyDescent="0.25">
      <c r="A3972" t="s">
        <v>20</v>
      </c>
      <c r="B3972">
        <v>71</v>
      </c>
      <c r="C3972">
        <v>23</v>
      </c>
      <c r="D3972">
        <v>1</v>
      </c>
    </row>
    <row r="3973" spans="1:4" x14ac:dyDescent="0.25">
      <c r="A3973" t="s">
        <v>20</v>
      </c>
      <c r="B3973">
        <v>71</v>
      </c>
      <c r="C3973">
        <v>24</v>
      </c>
    </row>
    <row r="3974" spans="1:4" x14ac:dyDescent="0.25">
      <c r="A3974" t="s">
        <v>20</v>
      </c>
      <c r="B3974">
        <v>71</v>
      </c>
      <c r="C3974">
        <v>25</v>
      </c>
    </row>
    <row r="3975" spans="1:4" x14ac:dyDescent="0.25">
      <c r="A3975" t="s">
        <v>20</v>
      </c>
      <c r="B3975">
        <v>71</v>
      </c>
      <c r="C3975">
        <v>26</v>
      </c>
      <c r="D3975">
        <v>1</v>
      </c>
    </row>
    <row r="3976" spans="1:4" x14ac:dyDescent="0.25">
      <c r="A3976" t="s">
        <v>20</v>
      </c>
      <c r="B3976">
        <v>71</v>
      </c>
      <c r="C3976">
        <v>27</v>
      </c>
    </row>
    <row r="3977" spans="1:4" x14ac:dyDescent="0.25">
      <c r="A3977" t="s">
        <v>20</v>
      </c>
      <c r="B3977">
        <v>71</v>
      </c>
      <c r="C3977">
        <v>28</v>
      </c>
    </row>
    <row r="3978" spans="1:4" x14ac:dyDescent="0.25">
      <c r="A3978" t="s">
        <v>20</v>
      </c>
      <c r="B3978">
        <v>71</v>
      </c>
      <c r="C3978">
        <v>29</v>
      </c>
      <c r="D3978">
        <v>1</v>
      </c>
    </row>
    <row r="3979" spans="1:4" x14ac:dyDescent="0.25">
      <c r="A3979" t="s">
        <v>20</v>
      </c>
      <c r="B3979">
        <v>71</v>
      </c>
      <c r="C3979">
        <v>30</v>
      </c>
    </row>
    <row r="3980" spans="1:4" x14ac:dyDescent="0.25">
      <c r="A3980" t="s">
        <v>20</v>
      </c>
      <c r="B3980">
        <v>71</v>
      </c>
      <c r="C3980">
        <v>31</v>
      </c>
    </row>
    <row r="3981" spans="1:4" x14ac:dyDescent="0.25">
      <c r="A3981" t="s">
        <v>20</v>
      </c>
      <c r="B3981">
        <v>71</v>
      </c>
      <c r="C3981">
        <v>32</v>
      </c>
      <c r="D3981">
        <v>1</v>
      </c>
    </row>
    <row r="3982" spans="1:4" x14ac:dyDescent="0.25">
      <c r="A3982" t="s">
        <v>20</v>
      </c>
      <c r="B3982">
        <v>71</v>
      </c>
      <c r="C3982">
        <v>33</v>
      </c>
    </row>
    <row r="3983" spans="1:4" x14ac:dyDescent="0.25">
      <c r="A3983" t="s">
        <v>20</v>
      </c>
      <c r="B3983">
        <v>71</v>
      </c>
      <c r="C3983">
        <v>34</v>
      </c>
    </row>
    <row r="3984" spans="1:4" x14ac:dyDescent="0.25">
      <c r="A3984" t="s">
        <v>20</v>
      </c>
      <c r="B3984">
        <v>71</v>
      </c>
      <c r="C3984">
        <v>35</v>
      </c>
      <c r="D3984">
        <v>1</v>
      </c>
    </row>
    <row r="3985" spans="1:4" x14ac:dyDescent="0.25">
      <c r="A3985" t="s">
        <v>20</v>
      </c>
      <c r="B3985">
        <v>71</v>
      </c>
      <c r="C3985">
        <v>36</v>
      </c>
    </row>
    <row r="3986" spans="1:4" x14ac:dyDescent="0.25">
      <c r="A3986" t="s">
        <v>20</v>
      </c>
      <c r="B3986">
        <v>71</v>
      </c>
      <c r="C3986">
        <v>37</v>
      </c>
    </row>
    <row r="3987" spans="1:4" x14ac:dyDescent="0.25">
      <c r="A3987" t="s">
        <v>20</v>
      </c>
      <c r="B3987">
        <v>71</v>
      </c>
      <c r="C3987">
        <v>38</v>
      </c>
      <c r="D3987">
        <v>1</v>
      </c>
    </row>
    <row r="3988" spans="1:4" x14ac:dyDescent="0.25">
      <c r="A3988" t="s">
        <v>20</v>
      </c>
      <c r="B3988">
        <v>71</v>
      </c>
      <c r="C3988">
        <v>39</v>
      </c>
    </row>
    <row r="3989" spans="1:4" x14ac:dyDescent="0.25">
      <c r="A3989" t="s">
        <v>20</v>
      </c>
      <c r="B3989">
        <v>71</v>
      </c>
      <c r="C3989">
        <v>40</v>
      </c>
    </row>
    <row r="3990" spans="1:4" x14ac:dyDescent="0.25">
      <c r="A3990" t="s">
        <v>20</v>
      </c>
      <c r="B3990">
        <v>71</v>
      </c>
      <c r="C3990">
        <v>41</v>
      </c>
      <c r="D3990">
        <v>1</v>
      </c>
    </row>
    <row r="3991" spans="1:4" x14ac:dyDescent="0.25">
      <c r="A3991" t="s">
        <v>20</v>
      </c>
      <c r="B3991">
        <v>71</v>
      </c>
      <c r="C3991">
        <v>42</v>
      </c>
    </row>
    <row r="3992" spans="1:4" x14ac:dyDescent="0.25">
      <c r="A3992" t="s">
        <v>20</v>
      </c>
      <c r="B3992">
        <v>71</v>
      </c>
      <c r="C3992">
        <v>43</v>
      </c>
    </row>
    <row r="3993" spans="1:4" x14ac:dyDescent="0.25">
      <c r="A3993" t="s">
        <v>20</v>
      </c>
      <c r="B3993">
        <v>71</v>
      </c>
      <c r="C3993">
        <v>44</v>
      </c>
    </row>
    <row r="3994" spans="1:4" x14ac:dyDescent="0.25">
      <c r="A3994" t="s">
        <v>20</v>
      </c>
      <c r="B3994">
        <v>71</v>
      </c>
      <c r="C3994">
        <v>45</v>
      </c>
    </row>
    <row r="3995" spans="1:4" x14ac:dyDescent="0.25">
      <c r="A3995" t="s">
        <v>20</v>
      </c>
      <c r="B3995">
        <v>71</v>
      </c>
      <c r="C3995">
        <v>46</v>
      </c>
    </row>
    <row r="3996" spans="1:4" x14ac:dyDescent="0.25">
      <c r="A3996" t="s">
        <v>20</v>
      </c>
      <c r="B3996">
        <v>71</v>
      </c>
      <c r="C3996">
        <v>47</v>
      </c>
      <c r="D3996">
        <v>1</v>
      </c>
    </row>
    <row r="3997" spans="1:4" x14ac:dyDescent="0.25">
      <c r="A3997" t="s">
        <v>20</v>
      </c>
      <c r="B3997">
        <v>71</v>
      </c>
      <c r="C3997">
        <v>48</v>
      </c>
    </row>
    <row r="3998" spans="1:4" x14ac:dyDescent="0.25">
      <c r="A3998" t="s">
        <v>20</v>
      </c>
      <c r="B3998">
        <v>71</v>
      </c>
      <c r="C3998">
        <v>49</v>
      </c>
    </row>
    <row r="3999" spans="1:4" x14ac:dyDescent="0.25">
      <c r="A3999" t="s">
        <v>20</v>
      </c>
      <c r="B3999">
        <v>71</v>
      </c>
      <c r="C3999">
        <v>50</v>
      </c>
      <c r="D3999">
        <v>1</v>
      </c>
    </row>
    <row r="4000" spans="1:4" x14ac:dyDescent="0.25">
      <c r="A4000" t="s">
        <v>20</v>
      </c>
      <c r="B4000">
        <v>71</v>
      </c>
      <c r="C4000">
        <v>51</v>
      </c>
    </row>
    <row r="4001" spans="1:4" x14ac:dyDescent="0.25">
      <c r="A4001" t="s">
        <v>20</v>
      </c>
      <c r="B4001">
        <v>71</v>
      </c>
      <c r="C4001">
        <v>52</v>
      </c>
    </row>
    <row r="4002" spans="1:4" x14ac:dyDescent="0.25">
      <c r="A4002" t="s">
        <v>20</v>
      </c>
      <c r="B4002">
        <v>71</v>
      </c>
      <c r="C4002">
        <v>53</v>
      </c>
    </row>
    <row r="4003" spans="1:4" x14ac:dyDescent="0.25">
      <c r="A4003" t="s">
        <v>20</v>
      </c>
      <c r="B4003">
        <v>71</v>
      </c>
      <c r="C4003">
        <v>54</v>
      </c>
    </row>
    <row r="4004" spans="1:4" x14ac:dyDescent="0.25">
      <c r="A4004" t="s">
        <v>20</v>
      </c>
      <c r="B4004">
        <v>71</v>
      </c>
      <c r="C4004">
        <v>55</v>
      </c>
    </row>
    <row r="4005" spans="1:4" x14ac:dyDescent="0.25">
      <c r="A4005" t="s">
        <v>20</v>
      </c>
      <c r="B4005">
        <v>71</v>
      </c>
      <c r="C4005">
        <v>56</v>
      </c>
      <c r="D4005">
        <v>1</v>
      </c>
    </row>
    <row r="4006" spans="1:4" x14ac:dyDescent="0.25">
      <c r="A4006" t="s">
        <v>20</v>
      </c>
      <c r="B4006">
        <v>71</v>
      </c>
      <c r="C4006">
        <v>57</v>
      </c>
    </row>
    <row r="4007" spans="1:4" x14ac:dyDescent="0.25">
      <c r="A4007" t="s">
        <v>20</v>
      </c>
      <c r="B4007">
        <v>71</v>
      </c>
      <c r="C4007">
        <v>58</v>
      </c>
    </row>
    <row r="4008" spans="1:4" x14ac:dyDescent="0.25">
      <c r="A4008" t="s">
        <v>20</v>
      </c>
      <c r="B4008">
        <v>71</v>
      </c>
      <c r="C4008">
        <v>59</v>
      </c>
      <c r="D4008">
        <v>1</v>
      </c>
    </row>
    <row r="4009" spans="1:4" x14ac:dyDescent="0.25">
      <c r="A4009" t="s">
        <v>20</v>
      </c>
      <c r="B4009">
        <v>71</v>
      </c>
      <c r="C4009">
        <v>60</v>
      </c>
    </row>
    <row r="4010" spans="1:4" x14ac:dyDescent="0.25">
      <c r="A4010" t="s">
        <v>20</v>
      </c>
      <c r="B4010">
        <v>71</v>
      </c>
      <c r="C4010">
        <v>61</v>
      </c>
    </row>
    <row r="4011" spans="1:4" x14ac:dyDescent="0.25">
      <c r="A4011" t="s">
        <v>20</v>
      </c>
      <c r="B4011">
        <v>71</v>
      </c>
      <c r="C4011">
        <v>62</v>
      </c>
      <c r="D4011">
        <v>1</v>
      </c>
    </row>
    <row r="4012" spans="1:4" x14ac:dyDescent="0.25">
      <c r="A4012" t="s">
        <v>20</v>
      </c>
      <c r="B4012">
        <v>71</v>
      </c>
      <c r="C4012">
        <v>63</v>
      </c>
    </row>
    <row r="4013" spans="1:4" x14ac:dyDescent="0.25">
      <c r="A4013" t="s">
        <v>20</v>
      </c>
      <c r="B4013">
        <v>71</v>
      </c>
      <c r="C4013">
        <v>64</v>
      </c>
    </row>
    <row r="4014" spans="1:4" x14ac:dyDescent="0.25">
      <c r="A4014" t="s">
        <v>20</v>
      </c>
      <c r="B4014">
        <v>71</v>
      </c>
      <c r="C4014">
        <v>65</v>
      </c>
    </row>
    <row r="4015" spans="1:4" x14ac:dyDescent="0.25">
      <c r="A4015" t="s">
        <v>20</v>
      </c>
      <c r="B4015">
        <v>71</v>
      </c>
      <c r="C4015">
        <v>66</v>
      </c>
    </row>
    <row r="4016" spans="1:4" x14ac:dyDescent="0.25">
      <c r="A4016" t="s">
        <v>20</v>
      </c>
      <c r="B4016">
        <v>71</v>
      </c>
      <c r="C4016">
        <v>67</v>
      </c>
    </row>
    <row r="4017" spans="1:4" x14ac:dyDescent="0.25">
      <c r="A4017" t="s">
        <v>20</v>
      </c>
      <c r="B4017">
        <v>71</v>
      </c>
      <c r="C4017">
        <v>68</v>
      </c>
      <c r="D4017">
        <v>1</v>
      </c>
    </row>
    <row r="4018" spans="1:4" x14ac:dyDescent="0.25">
      <c r="A4018" t="s">
        <v>20</v>
      </c>
      <c r="B4018">
        <v>71</v>
      </c>
      <c r="C4018">
        <v>69</v>
      </c>
    </row>
    <row r="4019" spans="1:4" x14ac:dyDescent="0.25">
      <c r="A4019" t="s">
        <v>20</v>
      </c>
      <c r="B4019">
        <v>71</v>
      </c>
      <c r="C4019">
        <v>70</v>
      </c>
    </row>
    <row r="4020" spans="1:4" x14ac:dyDescent="0.25">
      <c r="A4020" t="s">
        <v>20</v>
      </c>
      <c r="B4020">
        <v>71</v>
      </c>
      <c r="C4020">
        <v>71</v>
      </c>
      <c r="D4020">
        <v>1</v>
      </c>
    </row>
    <row r="4021" spans="1:4" x14ac:dyDescent="0.25">
      <c r="A4021" t="s">
        <v>20</v>
      </c>
      <c r="B4021">
        <v>71</v>
      </c>
      <c r="C4021">
        <v>72</v>
      </c>
    </row>
    <row r="4022" spans="1:4" x14ac:dyDescent="0.25">
      <c r="A4022" t="s">
        <v>20</v>
      </c>
      <c r="B4022">
        <v>71</v>
      </c>
      <c r="C4022">
        <v>73</v>
      </c>
    </row>
    <row r="4023" spans="1:4" x14ac:dyDescent="0.25">
      <c r="A4023" t="s">
        <v>20</v>
      </c>
      <c r="B4023">
        <v>71</v>
      </c>
      <c r="C4023">
        <v>74</v>
      </c>
      <c r="D4023">
        <v>1</v>
      </c>
    </row>
    <row r="4024" spans="1:4" x14ac:dyDescent="0.25">
      <c r="A4024" t="s">
        <v>20</v>
      </c>
      <c r="B4024">
        <v>71</v>
      </c>
      <c r="C4024">
        <v>75</v>
      </c>
    </row>
    <row r="4025" spans="1:4" x14ac:dyDescent="0.25">
      <c r="A4025" t="s">
        <v>20</v>
      </c>
      <c r="B4025">
        <v>71</v>
      </c>
      <c r="C4025">
        <v>76</v>
      </c>
    </row>
    <row r="4026" spans="1:4" x14ac:dyDescent="0.25">
      <c r="A4026" t="s">
        <v>20</v>
      </c>
      <c r="B4026">
        <v>71</v>
      </c>
      <c r="C4026">
        <v>77</v>
      </c>
      <c r="D4026">
        <v>1</v>
      </c>
    </row>
    <row r="4027" spans="1:4" x14ac:dyDescent="0.25">
      <c r="A4027" t="s">
        <v>20</v>
      </c>
      <c r="B4027">
        <v>71</v>
      </c>
      <c r="C4027">
        <v>78</v>
      </c>
    </row>
    <row r="4028" spans="1:4" x14ac:dyDescent="0.25">
      <c r="A4028" t="s">
        <v>20</v>
      </c>
      <c r="B4028">
        <v>71</v>
      </c>
      <c r="C4028">
        <v>79</v>
      </c>
    </row>
    <row r="4029" spans="1:4" x14ac:dyDescent="0.25">
      <c r="A4029" t="s">
        <v>20</v>
      </c>
      <c r="B4029">
        <v>71</v>
      </c>
      <c r="C4029">
        <v>80</v>
      </c>
      <c r="D4029">
        <v>1</v>
      </c>
    </row>
    <row r="4030" spans="1:4" x14ac:dyDescent="0.25">
      <c r="A4030" t="s">
        <v>20</v>
      </c>
      <c r="B4030">
        <v>71</v>
      </c>
      <c r="C4030">
        <v>81</v>
      </c>
    </row>
    <row r="4031" spans="1:4" x14ac:dyDescent="0.25">
      <c r="A4031" t="s">
        <v>20</v>
      </c>
      <c r="B4031">
        <v>71</v>
      </c>
      <c r="C4031">
        <v>82</v>
      </c>
    </row>
    <row r="4032" spans="1:4" x14ac:dyDescent="0.25">
      <c r="A4032" t="s">
        <v>20</v>
      </c>
      <c r="B4032">
        <v>71</v>
      </c>
      <c r="C4032">
        <v>83</v>
      </c>
      <c r="D4032">
        <v>1</v>
      </c>
    </row>
    <row r="4033" spans="1:4" x14ac:dyDescent="0.25">
      <c r="A4033" t="s">
        <v>20</v>
      </c>
      <c r="B4033">
        <v>71</v>
      </c>
      <c r="C4033">
        <v>84</v>
      </c>
    </row>
    <row r="4034" spans="1:4" x14ac:dyDescent="0.25">
      <c r="A4034" t="s">
        <v>20</v>
      </c>
      <c r="B4034">
        <v>72</v>
      </c>
      <c r="C4034">
        <v>1</v>
      </c>
      <c r="D4034">
        <v>1</v>
      </c>
    </row>
    <row r="4035" spans="1:4" x14ac:dyDescent="0.25">
      <c r="A4035" t="s">
        <v>20</v>
      </c>
      <c r="B4035">
        <v>72</v>
      </c>
      <c r="C4035">
        <v>2</v>
      </c>
    </row>
    <row r="4036" spans="1:4" x14ac:dyDescent="0.25">
      <c r="A4036" t="s">
        <v>20</v>
      </c>
      <c r="B4036">
        <v>72</v>
      </c>
      <c r="C4036">
        <v>3</v>
      </c>
    </row>
    <row r="4037" spans="1:4" x14ac:dyDescent="0.25">
      <c r="A4037" t="s">
        <v>20</v>
      </c>
      <c r="B4037">
        <v>72</v>
      </c>
      <c r="C4037">
        <v>4</v>
      </c>
      <c r="D4037">
        <v>1</v>
      </c>
    </row>
    <row r="4038" spans="1:4" x14ac:dyDescent="0.25">
      <c r="A4038" t="s">
        <v>20</v>
      </c>
      <c r="B4038">
        <v>72</v>
      </c>
      <c r="C4038">
        <v>5</v>
      </c>
    </row>
    <row r="4039" spans="1:4" x14ac:dyDescent="0.25">
      <c r="A4039" t="s">
        <v>20</v>
      </c>
      <c r="B4039">
        <v>72</v>
      </c>
      <c r="C4039">
        <v>6</v>
      </c>
    </row>
    <row r="4040" spans="1:4" x14ac:dyDescent="0.25">
      <c r="A4040" t="s">
        <v>20</v>
      </c>
      <c r="B4040">
        <v>72</v>
      </c>
      <c r="C4040">
        <v>7</v>
      </c>
      <c r="D4040">
        <v>1</v>
      </c>
    </row>
    <row r="4041" spans="1:4" x14ac:dyDescent="0.25">
      <c r="A4041" t="s">
        <v>20</v>
      </c>
      <c r="B4041">
        <v>72</v>
      </c>
      <c r="C4041">
        <v>8</v>
      </c>
    </row>
    <row r="4042" spans="1:4" x14ac:dyDescent="0.25">
      <c r="A4042" t="s">
        <v>20</v>
      </c>
      <c r="B4042">
        <v>72</v>
      </c>
      <c r="C4042">
        <v>9</v>
      </c>
    </row>
    <row r="4043" spans="1:4" x14ac:dyDescent="0.25">
      <c r="A4043" t="s">
        <v>20</v>
      </c>
      <c r="B4043">
        <v>72</v>
      </c>
      <c r="C4043">
        <v>10</v>
      </c>
      <c r="D4043">
        <v>1</v>
      </c>
    </row>
    <row r="4044" spans="1:4" x14ac:dyDescent="0.25">
      <c r="A4044" t="s">
        <v>20</v>
      </c>
      <c r="B4044">
        <v>72</v>
      </c>
      <c r="C4044">
        <v>11</v>
      </c>
    </row>
    <row r="4045" spans="1:4" x14ac:dyDescent="0.25">
      <c r="A4045" t="s">
        <v>20</v>
      </c>
      <c r="B4045">
        <v>72</v>
      </c>
      <c r="C4045">
        <v>12</v>
      </c>
    </row>
    <row r="4046" spans="1:4" x14ac:dyDescent="0.25">
      <c r="A4046" t="s">
        <v>20</v>
      </c>
      <c r="B4046">
        <v>72</v>
      </c>
      <c r="C4046">
        <v>13</v>
      </c>
      <c r="D4046">
        <v>1</v>
      </c>
    </row>
    <row r="4047" spans="1:4" x14ac:dyDescent="0.25">
      <c r="A4047" t="s">
        <v>20</v>
      </c>
      <c r="B4047">
        <v>72</v>
      </c>
      <c r="C4047">
        <v>14</v>
      </c>
    </row>
    <row r="4048" spans="1:4" x14ac:dyDescent="0.25">
      <c r="A4048" t="s">
        <v>20</v>
      </c>
      <c r="B4048">
        <v>72</v>
      </c>
      <c r="C4048">
        <v>15</v>
      </c>
    </row>
    <row r="4049" spans="1:4" x14ac:dyDescent="0.25">
      <c r="A4049" t="s">
        <v>20</v>
      </c>
      <c r="B4049">
        <v>72</v>
      </c>
      <c r="C4049">
        <v>16</v>
      </c>
      <c r="D4049">
        <v>1</v>
      </c>
    </row>
    <row r="4050" spans="1:4" x14ac:dyDescent="0.25">
      <c r="A4050" t="s">
        <v>20</v>
      </c>
      <c r="B4050">
        <v>72</v>
      </c>
      <c r="C4050">
        <v>17</v>
      </c>
    </row>
    <row r="4051" spans="1:4" x14ac:dyDescent="0.25">
      <c r="A4051" t="s">
        <v>20</v>
      </c>
      <c r="B4051">
        <v>72</v>
      </c>
      <c r="C4051">
        <v>18</v>
      </c>
    </row>
    <row r="4052" spans="1:4" x14ac:dyDescent="0.25">
      <c r="A4052" t="s">
        <v>20</v>
      </c>
      <c r="B4052">
        <v>72</v>
      </c>
      <c r="C4052">
        <v>19</v>
      </c>
    </row>
    <row r="4053" spans="1:4" x14ac:dyDescent="0.25">
      <c r="A4053" t="s">
        <v>20</v>
      </c>
      <c r="B4053">
        <v>72</v>
      </c>
      <c r="C4053">
        <v>20</v>
      </c>
    </row>
    <row r="4054" spans="1:4" x14ac:dyDescent="0.25">
      <c r="A4054" t="s">
        <v>20</v>
      </c>
      <c r="B4054">
        <v>72</v>
      </c>
      <c r="C4054">
        <v>21</v>
      </c>
    </row>
    <row r="4055" spans="1:4" x14ac:dyDescent="0.25">
      <c r="A4055" t="s">
        <v>20</v>
      </c>
      <c r="B4055">
        <v>72</v>
      </c>
      <c r="C4055">
        <v>22</v>
      </c>
    </row>
    <row r="4056" spans="1:4" x14ac:dyDescent="0.25">
      <c r="A4056" t="s">
        <v>20</v>
      </c>
      <c r="B4056">
        <v>72</v>
      </c>
      <c r="C4056">
        <v>23</v>
      </c>
    </row>
    <row r="4057" spans="1:4" x14ac:dyDescent="0.25">
      <c r="A4057" t="s">
        <v>20</v>
      </c>
      <c r="B4057">
        <v>72</v>
      </c>
      <c r="C4057">
        <v>24</v>
      </c>
    </row>
    <row r="4058" spans="1:4" x14ac:dyDescent="0.25">
      <c r="A4058" t="s">
        <v>20</v>
      </c>
      <c r="B4058">
        <v>72</v>
      </c>
      <c r="C4058">
        <v>25</v>
      </c>
      <c r="D4058">
        <v>1</v>
      </c>
    </row>
    <row r="4059" spans="1:4" x14ac:dyDescent="0.25">
      <c r="A4059" t="s">
        <v>20</v>
      </c>
      <c r="B4059">
        <v>72</v>
      </c>
      <c r="C4059">
        <v>26</v>
      </c>
    </row>
    <row r="4060" spans="1:4" x14ac:dyDescent="0.25">
      <c r="A4060" t="s">
        <v>20</v>
      </c>
      <c r="B4060">
        <v>72</v>
      </c>
      <c r="C4060">
        <v>27</v>
      </c>
    </row>
    <row r="4061" spans="1:4" x14ac:dyDescent="0.25">
      <c r="A4061" t="s">
        <v>20</v>
      </c>
      <c r="B4061">
        <v>72</v>
      </c>
      <c r="C4061">
        <v>28</v>
      </c>
      <c r="D4061">
        <v>1</v>
      </c>
    </row>
    <row r="4062" spans="1:4" x14ac:dyDescent="0.25">
      <c r="A4062" t="s">
        <v>20</v>
      </c>
      <c r="B4062">
        <v>72</v>
      </c>
      <c r="C4062">
        <v>29</v>
      </c>
    </row>
    <row r="4063" spans="1:4" x14ac:dyDescent="0.25">
      <c r="A4063" t="s">
        <v>20</v>
      </c>
      <c r="B4063">
        <v>72</v>
      </c>
      <c r="C4063">
        <v>30</v>
      </c>
    </row>
    <row r="4064" spans="1:4" x14ac:dyDescent="0.25">
      <c r="A4064" t="s">
        <v>20</v>
      </c>
      <c r="B4064">
        <v>72</v>
      </c>
      <c r="C4064">
        <v>31</v>
      </c>
      <c r="D4064">
        <v>1</v>
      </c>
    </row>
    <row r="4065" spans="1:4" x14ac:dyDescent="0.25">
      <c r="A4065" t="s">
        <v>20</v>
      </c>
      <c r="B4065">
        <v>72</v>
      </c>
      <c r="C4065">
        <v>32</v>
      </c>
    </row>
    <row r="4066" spans="1:4" x14ac:dyDescent="0.25">
      <c r="A4066" t="s">
        <v>20</v>
      </c>
      <c r="B4066">
        <v>72</v>
      </c>
      <c r="C4066">
        <v>33</v>
      </c>
    </row>
    <row r="4067" spans="1:4" x14ac:dyDescent="0.25">
      <c r="A4067" t="s">
        <v>20</v>
      </c>
      <c r="B4067">
        <v>72</v>
      </c>
      <c r="C4067">
        <v>34</v>
      </c>
      <c r="D4067">
        <v>1</v>
      </c>
    </row>
    <row r="4068" spans="1:4" x14ac:dyDescent="0.25">
      <c r="A4068" t="s">
        <v>20</v>
      </c>
      <c r="B4068">
        <v>72</v>
      </c>
      <c r="C4068">
        <v>35</v>
      </c>
    </row>
    <row r="4069" spans="1:4" x14ac:dyDescent="0.25">
      <c r="A4069" t="s">
        <v>20</v>
      </c>
      <c r="B4069">
        <v>72</v>
      </c>
      <c r="C4069">
        <v>36</v>
      </c>
    </row>
    <row r="4070" spans="1:4" x14ac:dyDescent="0.25">
      <c r="A4070" t="s">
        <v>20</v>
      </c>
      <c r="B4070">
        <v>72</v>
      </c>
      <c r="C4070">
        <v>37</v>
      </c>
      <c r="D4070">
        <v>1</v>
      </c>
    </row>
    <row r="4071" spans="1:4" x14ac:dyDescent="0.25">
      <c r="A4071" t="s">
        <v>20</v>
      </c>
      <c r="B4071">
        <v>72</v>
      </c>
      <c r="C4071">
        <v>38</v>
      </c>
    </row>
    <row r="4072" spans="1:4" x14ac:dyDescent="0.25">
      <c r="A4072" t="s">
        <v>20</v>
      </c>
      <c r="B4072">
        <v>72</v>
      </c>
      <c r="C4072">
        <v>39</v>
      </c>
    </row>
    <row r="4073" spans="1:4" x14ac:dyDescent="0.25">
      <c r="A4073" t="s">
        <v>20</v>
      </c>
      <c r="B4073">
        <v>72</v>
      </c>
      <c r="C4073">
        <v>40</v>
      </c>
      <c r="D4073">
        <v>1</v>
      </c>
    </row>
    <row r="4074" spans="1:4" x14ac:dyDescent="0.25">
      <c r="A4074" t="s">
        <v>20</v>
      </c>
      <c r="B4074">
        <v>72</v>
      </c>
      <c r="C4074">
        <v>41</v>
      </c>
    </row>
    <row r="4075" spans="1:4" x14ac:dyDescent="0.25">
      <c r="A4075" t="s">
        <v>20</v>
      </c>
      <c r="B4075">
        <v>72</v>
      </c>
      <c r="C4075">
        <v>42</v>
      </c>
    </row>
    <row r="4076" spans="1:4" x14ac:dyDescent="0.25">
      <c r="A4076" t="s">
        <v>20</v>
      </c>
      <c r="B4076">
        <v>72</v>
      </c>
      <c r="C4076">
        <v>43</v>
      </c>
      <c r="D4076">
        <v>1</v>
      </c>
    </row>
    <row r="4077" spans="1:4" x14ac:dyDescent="0.25">
      <c r="A4077" t="s">
        <v>20</v>
      </c>
      <c r="B4077">
        <v>72</v>
      </c>
      <c r="C4077">
        <v>44</v>
      </c>
    </row>
    <row r="4078" spans="1:4" x14ac:dyDescent="0.25">
      <c r="A4078" t="s">
        <v>20</v>
      </c>
      <c r="B4078">
        <v>72</v>
      </c>
      <c r="C4078">
        <v>45</v>
      </c>
    </row>
    <row r="4079" spans="1:4" x14ac:dyDescent="0.25">
      <c r="A4079" t="s">
        <v>20</v>
      </c>
      <c r="B4079">
        <v>72</v>
      </c>
      <c r="C4079">
        <v>46</v>
      </c>
      <c r="D4079">
        <v>1</v>
      </c>
    </row>
    <row r="4080" spans="1:4" x14ac:dyDescent="0.25">
      <c r="A4080" t="s">
        <v>20</v>
      </c>
      <c r="B4080">
        <v>72</v>
      </c>
      <c r="C4080">
        <v>47</v>
      </c>
    </row>
    <row r="4081" spans="1:4" x14ac:dyDescent="0.25">
      <c r="A4081" t="s">
        <v>20</v>
      </c>
      <c r="B4081">
        <v>72</v>
      </c>
      <c r="C4081">
        <v>48</v>
      </c>
    </row>
    <row r="4082" spans="1:4" x14ac:dyDescent="0.25">
      <c r="A4082" t="s">
        <v>20</v>
      </c>
      <c r="B4082">
        <v>72</v>
      </c>
      <c r="C4082">
        <v>49</v>
      </c>
      <c r="D4082">
        <v>1</v>
      </c>
    </row>
    <row r="4083" spans="1:4" x14ac:dyDescent="0.25">
      <c r="A4083" t="s">
        <v>20</v>
      </c>
      <c r="B4083">
        <v>72</v>
      </c>
      <c r="C4083">
        <v>50</v>
      </c>
    </row>
    <row r="4084" spans="1:4" x14ac:dyDescent="0.25">
      <c r="A4084" t="s">
        <v>20</v>
      </c>
      <c r="B4084">
        <v>72</v>
      </c>
      <c r="C4084">
        <v>51</v>
      </c>
    </row>
    <row r="4085" spans="1:4" x14ac:dyDescent="0.25">
      <c r="A4085" t="s">
        <v>20</v>
      </c>
      <c r="B4085">
        <v>72</v>
      </c>
      <c r="C4085">
        <v>52</v>
      </c>
      <c r="D4085">
        <v>1</v>
      </c>
    </row>
    <row r="4086" spans="1:4" x14ac:dyDescent="0.25">
      <c r="A4086" t="s">
        <v>20</v>
      </c>
      <c r="B4086">
        <v>72</v>
      </c>
      <c r="C4086">
        <v>53</v>
      </c>
    </row>
    <row r="4087" spans="1:4" x14ac:dyDescent="0.25">
      <c r="A4087" t="s">
        <v>20</v>
      </c>
      <c r="B4087">
        <v>72</v>
      </c>
      <c r="C4087">
        <v>54</v>
      </c>
    </row>
    <row r="4088" spans="1:4" x14ac:dyDescent="0.25">
      <c r="A4088" t="s">
        <v>20</v>
      </c>
      <c r="B4088">
        <v>72</v>
      </c>
      <c r="C4088">
        <v>55</v>
      </c>
      <c r="D4088">
        <v>1</v>
      </c>
    </row>
    <row r="4089" spans="1:4" x14ac:dyDescent="0.25">
      <c r="A4089" t="s">
        <v>20</v>
      </c>
      <c r="B4089">
        <v>72</v>
      </c>
      <c r="C4089">
        <v>56</v>
      </c>
    </row>
    <row r="4090" spans="1:4" x14ac:dyDescent="0.25">
      <c r="A4090" t="s">
        <v>20</v>
      </c>
      <c r="B4090">
        <v>72</v>
      </c>
      <c r="C4090">
        <v>57</v>
      </c>
    </row>
    <row r="4091" spans="1:4" x14ac:dyDescent="0.25">
      <c r="A4091" t="s">
        <v>20</v>
      </c>
      <c r="B4091">
        <v>72</v>
      </c>
      <c r="C4091">
        <v>58</v>
      </c>
      <c r="D4091">
        <v>1</v>
      </c>
    </row>
    <row r="4092" spans="1:4" x14ac:dyDescent="0.25">
      <c r="A4092" t="s">
        <v>20</v>
      </c>
      <c r="B4092">
        <v>72</v>
      </c>
      <c r="C4092">
        <v>59</v>
      </c>
    </row>
    <row r="4093" spans="1:4" x14ac:dyDescent="0.25">
      <c r="A4093" t="s">
        <v>20</v>
      </c>
      <c r="B4093">
        <v>72</v>
      </c>
      <c r="C4093">
        <v>60</v>
      </c>
    </row>
    <row r="4094" spans="1:4" x14ac:dyDescent="0.25">
      <c r="A4094" t="s">
        <v>20</v>
      </c>
      <c r="B4094">
        <v>72</v>
      </c>
      <c r="C4094">
        <v>61</v>
      </c>
    </row>
    <row r="4095" spans="1:4" x14ac:dyDescent="0.25">
      <c r="A4095" t="s">
        <v>20</v>
      </c>
      <c r="B4095">
        <v>72</v>
      </c>
      <c r="C4095">
        <v>62</v>
      </c>
    </row>
    <row r="4096" spans="1:4" x14ac:dyDescent="0.25">
      <c r="A4096" t="s">
        <v>20</v>
      </c>
      <c r="B4096">
        <v>72</v>
      </c>
      <c r="C4096">
        <v>63</v>
      </c>
    </row>
    <row r="4097" spans="1:4" x14ac:dyDescent="0.25">
      <c r="A4097" t="s">
        <v>20</v>
      </c>
      <c r="B4097">
        <v>72</v>
      </c>
      <c r="C4097">
        <v>64</v>
      </c>
    </row>
    <row r="4098" spans="1:4" x14ac:dyDescent="0.25">
      <c r="A4098" t="s">
        <v>20</v>
      </c>
      <c r="B4098">
        <v>72</v>
      </c>
      <c r="C4098">
        <v>65</v>
      </c>
    </row>
    <row r="4099" spans="1:4" x14ac:dyDescent="0.25">
      <c r="A4099" t="s">
        <v>20</v>
      </c>
      <c r="B4099">
        <v>72</v>
      </c>
      <c r="C4099">
        <v>66</v>
      </c>
    </row>
    <row r="4100" spans="1:4" x14ac:dyDescent="0.25">
      <c r="A4100" t="s">
        <v>20</v>
      </c>
      <c r="B4100">
        <v>72</v>
      </c>
      <c r="C4100">
        <v>67</v>
      </c>
      <c r="D4100">
        <v>1</v>
      </c>
    </row>
    <row r="4101" spans="1:4" x14ac:dyDescent="0.25">
      <c r="A4101" t="s">
        <v>20</v>
      </c>
      <c r="B4101">
        <v>72</v>
      </c>
      <c r="C4101">
        <v>68</v>
      </c>
    </row>
    <row r="4102" spans="1:4" x14ac:dyDescent="0.25">
      <c r="A4102" t="s">
        <v>20</v>
      </c>
      <c r="B4102">
        <v>72</v>
      </c>
      <c r="C4102">
        <v>69</v>
      </c>
    </row>
    <row r="4103" spans="1:4" x14ac:dyDescent="0.25">
      <c r="A4103" t="s">
        <v>20</v>
      </c>
      <c r="B4103">
        <v>72</v>
      </c>
      <c r="C4103">
        <v>70</v>
      </c>
      <c r="D4103">
        <v>1</v>
      </c>
    </row>
    <row r="4104" spans="1:4" x14ac:dyDescent="0.25">
      <c r="A4104" t="s">
        <v>20</v>
      </c>
      <c r="B4104">
        <v>72</v>
      </c>
      <c r="C4104">
        <v>71</v>
      </c>
    </row>
    <row r="4105" spans="1:4" x14ac:dyDescent="0.25">
      <c r="A4105" t="s">
        <v>20</v>
      </c>
      <c r="B4105">
        <v>72</v>
      </c>
      <c r="C4105">
        <v>72</v>
      </c>
    </row>
    <row r="4106" spans="1:4" x14ac:dyDescent="0.25">
      <c r="A4106" t="s">
        <v>20</v>
      </c>
      <c r="B4106">
        <v>72</v>
      </c>
      <c r="C4106">
        <v>73</v>
      </c>
      <c r="D4106">
        <v>1</v>
      </c>
    </row>
    <row r="4107" spans="1:4" x14ac:dyDescent="0.25">
      <c r="A4107" t="s">
        <v>20</v>
      </c>
      <c r="B4107">
        <v>72</v>
      </c>
      <c r="C4107">
        <v>74</v>
      </c>
    </row>
    <row r="4108" spans="1:4" x14ac:dyDescent="0.25">
      <c r="A4108" t="s">
        <v>20</v>
      </c>
      <c r="B4108">
        <v>72</v>
      </c>
      <c r="C4108">
        <v>75</v>
      </c>
    </row>
    <row r="4109" spans="1:4" x14ac:dyDescent="0.25">
      <c r="A4109" t="s">
        <v>20</v>
      </c>
      <c r="B4109">
        <v>72</v>
      </c>
      <c r="C4109">
        <v>76</v>
      </c>
      <c r="D4109">
        <v>1</v>
      </c>
    </row>
    <row r="4110" spans="1:4" x14ac:dyDescent="0.25">
      <c r="A4110" t="s">
        <v>20</v>
      </c>
      <c r="B4110">
        <v>72</v>
      </c>
      <c r="C4110">
        <v>77</v>
      </c>
    </row>
    <row r="4111" spans="1:4" x14ac:dyDescent="0.25">
      <c r="A4111" t="s">
        <v>20</v>
      </c>
      <c r="B4111">
        <v>72</v>
      </c>
      <c r="C4111">
        <v>78</v>
      </c>
    </row>
    <row r="4112" spans="1:4" x14ac:dyDescent="0.25">
      <c r="A4112" t="s">
        <v>20</v>
      </c>
      <c r="B4112">
        <v>72</v>
      </c>
      <c r="C4112">
        <v>79</v>
      </c>
      <c r="D4112">
        <v>1</v>
      </c>
    </row>
    <row r="4113" spans="1:4" x14ac:dyDescent="0.25">
      <c r="A4113" t="s">
        <v>20</v>
      </c>
      <c r="B4113">
        <v>72</v>
      </c>
      <c r="C4113">
        <v>80</v>
      </c>
    </row>
    <row r="4114" spans="1:4" x14ac:dyDescent="0.25">
      <c r="A4114" t="s">
        <v>20</v>
      </c>
      <c r="B4114">
        <v>72</v>
      </c>
      <c r="C4114">
        <v>81</v>
      </c>
    </row>
    <row r="4115" spans="1:4" x14ac:dyDescent="0.25">
      <c r="A4115" t="s">
        <v>20</v>
      </c>
      <c r="B4115">
        <v>72</v>
      </c>
      <c r="C4115">
        <v>82</v>
      </c>
    </row>
    <row r="4116" spans="1:4" x14ac:dyDescent="0.25">
      <c r="A4116" t="s">
        <v>20</v>
      </c>
      <c r="B4116">
        <v>72</v>
      </c>
      <c r="C4116">
        <v>83</v>
      </c>
    </row>
    <row r="4117" spans="1:4" x14ac:dyDescent="0.25">
      <c r="A4117" t="s">
        <v>20</v>
      </c>
      <c r="B4117">
        <v>72</v>
      </c>
      <c r="C4117">
        <v>84</v>
      </c>
    </row>
    <row r="4118" spans="1:4" x14ac:dyDescent="0.25">
      <c r="A4118" t="s">
        <v>20</v>
      </c>
      <c r="B4118">
        <v>73</v>
      </c>
      <c r="C4118">
        <v>1</v>
      </c>
      <c r="D4118">
        <v>1</v>
      </c>
    </row>
    <row r="4119" spans="1:4" x14ac:dyDescent="0.25">
      <c r="A4119" t="s">
        <v>20</v>
      </c>
      <c r="B4119">
        <v>73</v>
      </c>
      <c r="C4119">
        <v>2</v>
      </c>
    </row>
    <row r="4120" spans="1:4" x14ac:dyDescent="0.25">
      <c r="A4120" t="s">
        <v>20</v>
      </c>
      <c r="B4120">
        <v>73</v>
      </c>
      <c r="C4120">
        <v>3</v>
      </c>
    </row>
    <row r="4121" spans="1:4" x14ac:dyDescent="0.25">
      <c r="A4121" t="s">
        <v>20</v>
      </c>
      <c r="B4121">
        <v>73</v>
      </c>
      <c r="C4121">
        <v>4</v>
      </c>
    </row>
    <row r="4122" spans="1:4" x14ac:dyDescent="0.25">
      <c r="A4122" t="s">
        <v>20</v>
      </c>
      <c r="B4122">
        <v>73</v>
      </c>
      <c r="C4122">
        <v>5</v>
      </c>
      <c r="D4122">
        <v>1</v>
      </c>
    </row>
    <row r="4123" spans="1:4" x14ac:dyDescent="0.25">
      <c r="A4123" t="s">
        <v>20</v>
      </c>
      <c r="B4123">
        <v>73</v>
      </c>
      <c r="C4123">
        <v>6</v>
      </c>
    </row>
    <row r="4124" spans="1:4" x14ac:dyDescent="0.25">
      <c r="A4124" t="s">
        <v>20</v>
      </c>
      <c r="B4124">
        <v>73</v>
      </c>
      <c r="C4124">
        <v>7</v>
      </c>
    </row>
    <row r="4125" spans="1:4" x14ac:dyDescent="0.25">
      <c r="A4125" t="s">
        <v>20</v>
      </c>
      <c r="B4125">
        <v>73</v>
      </c>
      <c r="C4125">
        <v>8</v>
      </c>
      <c r="D4125">
        <v>1</v>
      </c>
    </row>
    <row r="4126" spans="1:4" x14ac:dyDescent="0.25">
      <c r="A4126" t="s">
        <v>20</v>
      </c>
      <c r="B4126">
        <v>73</v>
      </c>
      <c r="C4126">
        <v>9</v>
      </c>
    </row>
    <row r="4127" spans="1:4" x14ac:dyDescent="0.25">
      <c r="A4127" t="s">
        <v>20</v>
      </c>
      <c r="B4127">
        <v>73</v>
      </c>
      <c r="C4127">
        <v>10</v>
      </c>
      <c r="D4127">
        <v>1</v>
      </c>
    </row>
    <row r="4128" spans="1:4" x14ac:dyDescent="0.25">
      <c r="A4128" t="s">
        <v>20</v>
      </c>
      <c r="B4128">
        <v>73</v>
      </c>
      <c r="C4128">
        <v>11</v>
      </c>
    </row>
    <row r="4129" spans="1:4" x14ac:dyDescent="0.25">
      <c r="A4129" t="s">
        <v>20</v>
      </c>
      <c r="B4129">
        <v>73</v>
      </c>
      <c r="C4129">
        <v>12</v>
      </c>
    </row>
    <row r="4130" spans="1:4" x14ac:dyDescent="0.25">
      <c r="A4130" t="s">
        <v>20</v>
      </c>
      <c r="B4130">
        <v>73</v>
      </c>
      <c r="C4130">
        <v>13</v>
      </c>
      <c r="D4130">
        <v>1</v>
      </c>
    </row>
    <row r="4131" spans="1:4" x14ac:dyDescent="0.25">
      <c r="A4131" t="s">
        <v>20</v>
      </c>
      <c r="B4131">
        <v>73</v>
      </c>
      <c r="C4131">
        <v>14</v>
      </c>
    </row>
    <row r="4132" spans="1:4" x14ac:dyDescent="0.25">
      <c r="A4132" t="s">
        <v>20</v>
      </c>
      <c r="B4132">
        <v>73</v>
      </c>
      <c r="C4132">
        <v>15</v>
      </c>
    </row>
    <row r="4133" spans="1:4" x14ac:dyDescent="0.25">
      <c r="A4133" t="s">
        <v>20</v>
      </c>
      <c r="B4133">
        <v>73</v>
      </c>
      <c r="C4133">
        <v>16</v>
      </c>
    </row>
    <row r="4134" spans="1:4" x14ac:dyDescent="0.25">
      <c r="A4134" t="s">
        <v>20</v>
      </c>
      <c r="B4134">
        <v>73</v>
      </c>
      <c r="C4134">
        <v>17</v>
      </c>
    </row>
    <row r="4135" spans="1:4" x14ac:dyDescent="0.25">
      <c r="A4135" t="s">
        <v>20</v>
      </c>
      <c r="B4135">
        <v>73</v>
      </c>
      <c r="C4135">
        <v>18</v>
      </c>
    </row>
    <row r="4136" spans="1:4" x14ac:dyDescent="0.25">
      <c r="A4136" t="s">
        <v>20</v>
      </c>
      <c r="B4136">
        <v>73</v>
      </c>
      <c r="C4136">
        <v>19</v>
      </c>
      <c r="D4136">
        <v>1</v>
      </c>
    </row>
    <row r="4137" spans="1:4" x14ac:dyDescent="0.25">
      <c r="A4137" t="s">
        <v>20</v>
      </c>
      <c r="B4137">
        <v>73</v>
      </c>
      <c r="C4137">
        <v>20</v>
      </c>
    </row>
    <row r="4138" spans="1:4" x14ac:dyDescent="0.25">
      <c r="A4138" t="s">
        <v>20</v>
      </c>
      <c r="B4138">
        <v>73</v>
      </c>
      <c r="C4138">
        <v>21</v>
      </c>
    </row>
    <row r="4139" spans="1:4" x14ac:dyDescent="0.25">
      <c r="A4139" t="s">
        <v>20</v>
      </c>
      <c r="B4139">
        <v>73</v>
      </c>
      <c r="C4139">
        <v>22</v>
      </c>
      <c r="D4139">
        <v>1</v>
      </c>
    </row>
    <row r="4140" spans="1:4" x14ac:dyDescent="0.25">
      <c r="A4140" t="s">
        <v>20</v>
      </c>
      <c r="B4140">
        <v>73</v>
      </c>
      <c r="C4140">
        <v>23</v>
      </c>
    </row>
    <row r="4141" spans="1:4" x14ac:dyDescent="0.25">
      <c r="A4141" t="s">
        <v>20</v>
      </c>
      <c r="B4141">
        <v>73</v>
      </c>
      <c r="C4141">
        <v>24</v>
      </c>
    </row>
    <row r="4142" spans="1:4" x14ac:dyDescent="0.25">
      <c r="A4142" t="s">
        <v>20</v>
      </c>
      <c r="B4142">
        <v>73</v>
      </c>
      <c r="C4142">
        <v>25</v>
      </c>
      <c r="D4142">
        <v>1</v>
      </c>
    </row>
    <row r="4143" spans="1:4" x14ac:dyDescent="0.25">
      <c r="A4143" t="s">
        <v>20</v>
      </c>
      <c r="B4143">
        <v>73</v>
      </c>
      <c r="C4143">
        <v>26</v>
      </c>
    </row>
    <row r="4144" spans="1:4" x14ac:dyDescent="0.25">
      <c r="A4144" t="s">
        <v>20</v>
      </c>
      <c r="B4144">
        <v>73</v>
      </c>
      <c r="C4144">
        <v>27</v>
      </c>
    </row>
    <row r="4145" spans="1:4" x14ac:dyDescent="0.25">
      <c r="A4145" t="s">
        <v>20</v>
      </c>
      <c r="B4145">
        <v>73</v>
      </c>
      <c r="C4145">
        <v>28</v>
      </c>
      <c r="D4145">
        <v>1</v>
      </c>
    </row>
    <row r="4146" spans="1:4" x14ac:dyDescent="0.25">
      <c r="A4146" t="s">
        <v>20</v>
      </c>
      <c r="B4146">
        <v>73</v>
      </c>
      <c r="C4146">
        <v>29</v>
      </c>
    </row>
    <row r="4147" spans="1:4" x14ac:dyDescent="0.25">
      <c r="A4147" t="s">
        <v>20</v>
      </c>
      <c r="B4147">
        <v>73</v>
      </c>
      <c r="C4147">
        <v>30</v>
      </c>
    </row>
    <row r="4148" spans="1:4" x14ac:dyDescent="0.25">
      <c r="A4148" t="s">
        <v>20</v>
      </c>
      <c r="B4148">
        <v>73</v>
      </c>
      <c r="C4148">
        <v>31</v>
      </c>
    </row>
    <row r="4149" spans="1:4" x14ac:dyDescent="0.25">
      <c r="A4149" t="s">
        <v>20</v>
      </c>
      <c r="B4149">
        <v>73</v>
      </c>
      <c r="C4149">
        <v>32</v>
      </c>
      <c r="D4149">
        <v>1</v>
      </c>
    </row>
    <row r="4150" spans="1:4" x14ac:dyDescent="0.25">
      <c r="A4150" t="s">
        <v>20</v>
      </c>
      <c r="B4150">
        <v>73</v>
      </c>
      <c r="C4150">
        <v>33</v>
      </c>
    </row>
    <row r="4151" spans="1:4" x14ac:dyDescent="0.25">
      <c r="A4151" t="s">
        <v>20</v>
      </c>
      <c r="B4151">
        <v>73</v>
      </c>
      <c r="C4151">
        <v>34</v>
      </c>
    </row>
    <row r="4152" spans="1:4" x14ac:dyDescent="0.25">
      <c r="A4152" t="s">
        <v>20</v>
      </c>
      <c r="B4152">
        <v>73</v>
      </c>
      <c r="C4152">
        <v>35</v>
      </c>
      <c r="D4152">
        <v>1</v>
      </c>
    </row>
    <row r="4153" spans="1:4" x14ac:dyDescent="0.25">
      <c r="A4153" t="s">
        <v>20</v>
      </c>
      <c r="B4153">
        <v>73</v>
      </c>
      <c r="C4153">
        <v>36</v>
      </c>
    </row>
    <row r="4154" spans="1:4" x14ac:dyDescent="0.25">
      <c r="A4154" t="s">
        <v>20</v>
      </c>
      <c r="B4154">
        <v>73</v>
      </c>
      <c r="C4154">
        <v>37</v>
      </c>
      <c r="D4154">
        <v>1</v>
      </c>
    </row>
    <row r="4155" spans="1:4" x14ac:dyDescent="0.25">
      <c r="A4155" t="s">
        <v>20</v>
      </c>
      <c r="B4155">
        <v>73</v>
      </c>
      <c r="C4155">
        <v>38</v>
      </c>
    </row>
    <row r="4156" spans="1:4" x14ac:dyDescent="0.25">
      <c r="A4156" t="s">
        <v>20</v>
      </c>
      <c r="B4156">
        <v>73</v>
      </c>
      <c r="C4156">
        <v>39</v>
      </c>
    </row>
    <row r="4157" spans="1:4" x14ac:dyDescent="0.25">
      <c r="A4157" t="s">
        <v>20</v>
      </c>
      <c r="B4157">
        <v>73</v>
      </c>
      <c r="C4157">
        <v>40</v>
      </c>
    </row>
    <row r="4158" spans="1:4" x14ac:dyDescent="0.25">
      <c r="A4158" t="s">
        <v>20</v>
      </c>
      <c r="B4158">
        <v>73</v>
      </c>
      <c r="C4158">
        <v>41</v>
      </c>
    </row>
    <row r="4159" spans="1:4" x14ac:dyDescent="0.25">
      <c r="A4159" t="s">
        <v>20</v>
      </c>
      <c r="B4159">
        <v>73</v>
      </c>
      <c r="C4159">
        <v>42</v>
      </c>
    </row>
    <row r="4160" spans="1:4" x14ac:dyDescent="0.25">
      <c r="A4160" t="s">
        <v>20</v>
      </c>
      <c r="B4160">
        <v>73</v>
      </c>
      <c r="C4160">
        <v>43</v>
      </c>
    </row>
    <row r="4161" spans="1:4" x14ac:dyDescent="0.25">
      <c r="A4161" t="s">
        <v>20</v>
      </c>
      <c r="B4161">
        <v>73</v>
      </c>
      <c r="C4161">
        <v>44</v>
      </c>
    </row>
    <row r="4162" spans="1:4" x14ac:dyDescent="0.25">
      <c r="A4162" t="s">
        <v>20</v>
      </c>
      <c r="B4162">
        <v>73</v>
      </c>
      <c r="C4162">
        <v>45</v>
      </c>
    </row>
    <row r="4163" spans="1:4" x14ac:dyDescent="0.25">
      <c r="A4163" t="s">
        <v>20</v>
      </c>
      <c r="B4163">
        <v>73</v>
      </c>
      <c r="C4163">
        <v>46</v>
      </c>
    </row>
    <row r="4164" spans="1:4" x14ac:dyDescent="0.25">
      <c r="A4164" t="s">
        <v>20</v>
      </c>
      <c r="B4164">
        <v>73</v>
      </c>
      <c r="C4164">
        <v>47</v>
      </c>
      <c r="D4164">
        <v>1</v>
      </c>
    </row>
    <row r="4165" spans="1:4" x14ac:dyDescent="0.25">
      <c r="A4165" t="s">
        <v>20</v>
      </c>
      <c r="B4165">
        <v>73</v>
      </c>
      <c r="C4165">
        <v>48</v>
      </c>
    </row>
    <row r="4166" spans="1:4" x14ac:dyDescent="0.25">
      <c r="A4166" t="s">
        <v>20</v>
      </c>
      <c r="B4166">
        <v>73</v>
      </c>
      <c r="C4166">
        <v>49</v>
      </c>
    </row>
    <row r="4167" spans="1:4" x14ac:dyDescent="0.25">
      <c r="A4167" t="s">
        <v>20</v>
      </c>
      <c r="B4167">
        <v>73</v>
      </c>
      <c r="C4167">
        <v>50</v>
      </c>
      <c r="D4167">
        <v>1</v>
      </c>
    </row>
    <row r="4168" spans="1:4" x14ac:dyDescent="0.25">
      <c r="A4168" t="s">
        <v>20</v>
      </c>
      <c r="B4168">
        <v>73</v>
      </c>
      <c r="C4168">
        <v>51</v>
      </c>
    </row>
    <row r="4169" spans="1:4" x14ac:dyDescent="0.25">
      <c r="A4169" t="s">
        <v>20</v>
      </c>
      <c r="B4169">
        <v>73</v>
      </c>
      <c r="C4169">
        <v>52</v>
      </c>
    </row>
    <row r="4170" spans="1:4" x14ac:dyDescent="0.25">
      <c r="A4170" t="s">
        <v>20</v>
      </c>
      <c r="B4170">
        <v>73</v>
      </c>
      <c r="C4170">
        <v>53</v>
      </c>
    </row>
    <row r="4171" spans="1:4" x14ac:dyDescent="0.25">
      <c r="A4171" t="s">
        <v>20</v>
      </c>
      <c r="B4171">
        <v>73</v>
      </c>
      <c r="C4171">
        <v>54</v>
      </c>
    </row>
    <row r="4172" spans="1:4" x14ac:dyDescent="0.25">
      <c r="A4172" t="s">
        <v>20</v>
      </c>
      <c r="B4172">
        <v>73</v>
      </c>
      <c r="C4172">
        <v>55</v>
      </c>
    </row>
    <row r="4173" spans="1:4" x14ac:dyDescent="0.25">
      <c r="A4173" t="s">
        <v>20</v>
      </c>
      <c r="B4173">
        <v>73</v>
      </c>
      <c r="C4173">
        <v>56</v>
      </c>
      <c r="D4173">
        <v>1</v>
      </c>
    </row>
    <row r="4174" spans="1:4" x14ac:dyDescent="0.25">
      <c r="A4174" t="s">
        <v>20</v>
      </c>
      <c r="B4174">
        <v>73</v>
      </c>
      <c r="C4174">
        <v>57</v>
      </c>
    </row>
    <row r="4175" spans="1:4" x14ac:dyDescent="0.25">
      <c r="A4175" t="s">
        <v>20</v>
      </c>
      <c r="B4175">
        <v>73</v>
      </c>
      <c r="C4175">
        <v>58</v>
      </c>
    </row>
    <row r="4176" spans="1:4" x14ac:dyDescent="0.25">
      <c r="A4176" t="s">
        <v>20</v>
      </c>
      <c r="B4176">
        <v>73</v>
      </c>
      <c r="C4176">
        <v>59</v>
      </c>
      <c r="D4176">
        <v>1</v>
      </c>
    </row>
    <row r="4177" spans="1:4" x14ac:dyDescent="0.25">
      <c r="A4177" t="s">
        <v>20</v>
      </c>
      <c r="B4177">
        <v>73</v>
      </c>
      <c r="C4177">
        <v>60</v>
      </c>
    </row>
    <row r="4178" spans="1:4" x14ac:dyDescent="0.25">
      <c r="A4178" t="s">
        <v>20</v>
      </c>
      <c r="B4178">
        <v>73</v>
      </c>
      <c r="C4178">
        <v>61</v>
      </c>
    </row>
    <row r="4179" spans="1:4" x14ac:dyDescent="0.25">
      <c r="A4179" t="s">
        <v>20</v>
      </c>
      <c r="B4179">
        <v>73</v>
      </c>
      <c r="C4179">
        <v>62</v>
      </c>
      <c r="D4179">
        <v>1</v>
      </c>
    </row>
    <row r="4180" spans="1:4" x14ac:dyDescent="0.25">
      <c r="A4180" t="s">
        <v>20</v>
      </c>
      <c r="B4180">
        <v>73</v>
      </c>
      <c r="C4180">
        <v>63</v>
      </c>
    </row>
    <row r="4181" spans="1:4" x14ac:dyDescent="0.25">
      <c r="A4181" t="s">
        <v>20</v>
      </c>
      <c r="B4181">
        <v>73</v>
      </c>
      <c r="C4181">
        <v>64</v>
      </c>
    </row>
    <row r="4182" spans="1:4" x14ac:dyDescent="0.25">
      <c r="A4182" t="s">
        <v>20</v>
      </c>
      <c r="B4182">
        <v>73</v>
      </c>
      <c r="C4182">
        <v>65</v>
      </c>
    </row>
    <row r="4183" spans="1:4" x14ac:dyDescent="0.25">
      <c r="A4183" t="s">
        <v>20</v>
      </c>
      <c r="B4183">
        <v>73</v>
      </c>
      <c r="C4183">
        <v>66</v>
      </c>
    </row>
    <row r="4184" spans="1:4" x14ac:dyDescent="0.25">
      <c r="A4184" t="s">
        <v>20</v>
      </c>
      <c r="B4184">
        <v>73</v>
      </c>
      <c r="C4184">
        <v>67</v>
      </c>
    </row>
    <row r="4185" spans="1:4" x14ac:dyDescent="0.25">
      <c r="A4185" t="s">
        <v>20</v>
      </c>
      <c r="B4185">
        <v>73</v>
      </c>
      <c r="C4185">
        <v>68</v>
      </c>
      <c r="D4185">
        <v>1</v>
      </c>
    </row>
    <row r="4186" spans="1:4" x14ac:dyDescent="0.25">
      <c r="A4186" t="s">
        <v>20</v>
      </c>
      <c r="B4186">
        <v>73</v>
      </c>
      <c r="C4186">
        <v>69</v>
      </c>
    </row>
    <row r="4187" spans="1:4" x14ac:dyDescent="0.25">
      <c r="A4187" t="s">
        <v>20</v>
      </c>
      <c r="B4187">
        <v>73</v>
      </c>
      <c r="C4187">
        <v>70</v>
      </c>
    </row>
    <row r="4188" spans="1:4" x14ac:dyDescent="0.25">
      <c r="A4188" t="s">
        <v>20</v>
      </c>
      <c r="B4188">
        <v>73</v>
      </c>
      <c r="C4188">
        <v>71</v>
      </c>
      <c r="D4188">
        <v>1</v>
      </c>
    </row>
    <row r="4189" spans="1:4" x14ac:dyDescent="0.25">
      <c r="A4189" t="s">
        <v>20</v>
      </c>
      <c r="B4189">
        <v>73</v>
      </c>
      <c r="C4189">
        <v>72</v>
      </c>
    </row>
    <row r="4190" spans="1:4" x14ac:dyDescent="0.25">
      <c r="A4190" t="s">
        <v>20</v>
      </c>
      <c r="B4190">
        <v>73</v>
      </c>
      <c r="C4190">
        <v>73</v>
      </c>
    </row>
    <row r="4191" spans="1:4" x14ac:dyDescent="0.25">
      <c r="A4191" t="s">
        <v>20</v>
      </c>
      <c r="B4191">
        <v>73</v>
      </c>
      <c r="C4191">
        <v>74</v>
      </c>
      <c r="D4191">
        <v>1</v>
      </c>
    </row>
    <row r="4192" spans="1:4" x14ac:dyDescent="0.25">
      <c r="A4192" t="s">
        <v>20</v>
      </c>
      <c r="B4192">
        <v>73</v>
      </c>
      <c r="C4192">
        <v>75</v>
      </c>
    </row>
    <row r="4193" spans="1:4" x14ac:dyDescent="0.25">
      <c r="A4193" t="s">
        <v>20</v>
      </c>
      <c r="B4193">
        <v>73</v>
      </c>
      <c r="C4193">
        <v>76</v>
      </c>
      <c r="D4193">
        <v>1</v>
      </c>
    </row>
    <row r="4194" spans="1:4" x14ac:dyDescent="0.25">
      <c r="A4194" t="s">
        <v>20</v>
      </c>
      <c r="B4194">
        <v>73</v>
      </c>
      <c r="C4194">
        <v>77</v>
      </c>
    </row>
    <row r="4195" spans="1:4" x14ac:dyDescent="0.25">
      <c r="A4195" t="s">
        <v>20</v>
      </c>
      <c r="B4195">
        <v>73</v>
      </c>
      <c r="C4195">
        <v>78</v>
      </c>
    </row>
    <row r="4196" spans="1:4" x14ac:dyDescent="0.25">
      <c r="A4196" t="s">
        <v>20</v>
      </c>
      <c r="B4196">
        <v>73</v>
      </c>
      <c r="C4196">
        <v>79</v>
      </c>
      <c r="D4196">
        <v>1</v>
      </c>
    </row>
    <row r="4197" spans="1:4" x14ac:dyDescent="0.25">
      <c r="A4197" t="s">
        <v>20</v>
      </c>
      <c r="B4197">
        <v>73</v>
      </c>
      <c r="C4197">
        <v>80</v>
      </c>
    </row>
    <row r="4198" spans="1:4" x14ac:dyDescent="0.25">
      <c r="A4198" t="s">
        <v>20</v>
      </c>
      <c r="B4198">
        <v>73</v>
      </c>
      <c r="C4198">
        <v>81</v>
      </c>
    </row>
    <row r="4199" spans="1:4" x14ac:dyDescent="0.25">
      <c r="A4199" t="s">
        <v>20</v>
      </c>
      <c r="B4199">
        <v>73</v>
      </c>
      <c r="C4199">
        <v>82</v>
      </c>
    </row>
    <row r="4200" spans="1:4" x14ac:dyDescent="0.25">
      <c r="A4200" t="s">
        <v>20</v>
      </c>
      <c r="B4200">
        <v>73</v>
      </c>
      <c r="C4200">
        <v>83</v>
      </c>
    </row>
    <row r="4201" spans="1:4" x14ac:dyDescent="0.25">
      <c r="A4201" t="s">
        <v>20</v>
      </c>
      <c r="B4201">
        <v>73</v>
      </c>
      <c r="C4201">
        <v>84</v>
      </c>
    </row>
    <row r="4202" spans="1:4" x14ac:dyDescent="0.25">
      <c r="A4202" t="s">
        <v>20</v>
      </c>
      <c r="B4202">
        <v>74</v>
      </c>
      <c r="C4202">
        <v>1</v>
      </c>
      <c r="D4202">
        <v>1</v>
      </c>
    </row>
    <row r="4203" spans="1:4" x14ac:dyDescent="0.25">
      <c r="A4203" t="s">
        <v>20</v>
      </c>
      <c r="B4203">
        <v>74</v>
      </c>
      <c r="C4203">
        <v>2</v>
      </c>
    </row>
    <row r="4204" spans="1:4" x14ac:dyDescent="0.25">
      <c r="A4204" t="s">
        <v>20</v>
      </c>
      <c r="B4204">
        <v>74</v>
      </c>
      <c r="C4204">
        <v>3</v>
      </c>
    </row>
    <row r="4205" spans="1:4" x14ac:dyDescent="0.25">
      <c r="A4205" t="s">
        <v>20</v>
      </c>
      <c r="B4205">
        <v>74</v>
      </c>
      <c r="C4205">
        <v>4</v>
      </c>
      <c r="D4205">
        <v>1</v>
      </c>
    </row>
    <row r="4206" spans="1:4" x14ac:dyDescent="0.25">
      <c r="A4206" t="s">
        <v>20</v>
      </c>
      <c r="B4206">
        <v>74</v>
      </c>
      <c r="C4206">
        <v>5</v>
      </c>
    </row>
    <row r="4207" spans="1:4" x14ac:dyDescent="0.25">
      <c r="A4207" t="s">
        <v>20</v>
      </c>
      <c r="B4207">
        <v>74</v>
      </c>
      <c r="C4207">
        <v>6</v>
      </c>
    </row>
    <row r="4208" spans="1:4" x14ac:dyDescent="0.25">
      <c r="A4208" t="s">
        <v>20</v>
      </c>
      <c r="B4208">
        <v>74</v>
      </c>
      <c r="C4208">
        <v>7</v>
      </c>
      <c r="D4208">
        <v>1</v>
      </c>
    </row>
    <row r="4209" spans="1:4" x14ac:dyDescent="0.25">
      <c r="A4209" t="s">
        <v>20</v>
      </c>
      <c r="B4209">
        <v>74</v>
      </c>
      <c r="C4209">
        <v>8</v>
      </c>
    </row>
    <row r="4210" spans="1:4" x14ac:dyDescent="0.25">
      <c r="A4210" t="s">
        <v>20</v>
      </c>
      <c r="B4210">
        <v>74</v>
      </c>
      <c r="C4210">
        <v>9</v>
      </c>
    </row>
    <row r="4211" spans="1:4" x14ac:dyDescent="0.25">
      <c r="A4211" t="s">
        <v>20</v>
      </c>
      <c r="B4211">
        <v>74</v>
      </c>
      <c r="C4211">
        <v>10</v>
      </c>
      <c r="D4211">
        <v>1</v>
      </c>
    </row>
    <row r="4212" spans="1:4" x14ac:dyDescent="0.25">
      <c r="A4212" t="s">
        <v>20</v>
      </c>
      <c r="B4212">
        <v>74</v>
      </c>
      <c r="C4212">
        <v>11</v>
      </c>
    </row>
    <row r="4213" spans="1:4" x14ac:dyDescent="0.25">
      <c r="A4213" t="s">
        <v>20</v>
      </c>
      <c r="B4213">
        <v>74</v>
      </c>
      <c r="C4213">
        <v>12</v>
      </c>
    </row>
    <row r="4214" spans="1:4" x14ac:dyDescent="0.25">
      <c r="A4214" t="s">
        <v>20</v>
      </c>
      <c r="B4214">
        <v>74</v>
      </c>
      <c r="C4214">
        <v>13</v>
      </c>
      <c r="D4214">
        <v>1</v>
      </c>
    </row>
    <row r="4215" spans="1:4" x14ac:dyDescent="0.25">
      <c r="A4215" t="s">
        <v>20</v>
      </c>
      <c r="B4215">
        <v>74</v>
      </c>
      <c r="C4215">
        <v>14</v>
      </c>
    </row>
    <row r="4216" spans="1:4" x14ac:dyDescent="0.25">
      <c r="A4216" t="s">
        <v>20</v>
      </c>
      <c r="B4216">
        <v>74</v>
      </c>
      <c r="C4216">
        <v>15</v>
      </c>
    </row>
    <row r="4217" spans="1:4" x14ac:dyDescent="0.25">
      <c r="A4217" t="s">
        <v>20</v>
      </c>
      <c r="B4217">
        <v>74</v>
      </c>
      <c r="C4217">
        <v>16</v>
      </c>
      <c r="D4217">
        <v>1</v>
      </c>
    </row>
    <row r="4218" spans="1:4" x14ac:dyDescent="0.25">
      <c r="A4218" t="s">
        <v>20</v>
      </c>
      <c r="B4218">
        <v>74</v>
      </c>
      <c r="C4218">
        <v>17</v>
      </c>
    </row>
    <row r="4219" spans="1:4" x14ac:dyDescent="0.25">
      <c r="A4219" t="s">
        <v>20</v>
      </c>
      <c r="B4219">
        <v>74</v>
      </c>
      <c r="C4219">
        <v>18</v>
      </c>
    </row>
    <row r="4220" spans="1:4" x14ac:dyDescent="0.25">
      <c r="A4220" t="s">
        <v>20</v>
      </c>
      <c r="B4220">
        <v>74</v>
      </c>
      <c r="C4220">
        <v>19</v>
      </c>
      <c r="D4220">
        <v>1</v>
      </c>
    </row>
    <row r="4221" spans="1:4" x14ac:dyDescent="0.25">
      <c r="A4221" t="s">
        <v>20</v>
      </c>
      <c r="B4221">
        <v>74</v>
      </c>
      <c r="C4221">
        <v>20</v>
      </c>
    </row>
    <row r="4222" spans="1:4" x14ac:dyDescent="0.25">
      <c r="A4222" t="s">
        <v>20</v>
      </c>
      <c r="B4222">
        <v>74</v>
      </c>
      <c r="C4222">
        <v>21</v>
      </c>
    </row>
    <row r="4223" spans="1:4" x14ac:dyDescent="0.25">
      <c r="A4223" t="s">
        <v>20</v>
      </c>
      <c r="B4223">
        <v>74</v>
      </c>
      <c r="C4223">
        <v>22</v>
      </c>
      <c r="D4223">
        <v>1</v>
      </c>
    </row>
    <row r="4224" spans="1:4" x14ac:dyDescent="0.25">
      <c r="A4224" t="s">
        <v>20</v>
      </c>
      <c r="B4224">
        <v>74</v>
      </c>
      <c r="C4224">
        <v>23</v>
      </c>
    </row>
    <row r="4225" spans="1:4" x14ac:dyDescent="0.25">
      <c r="A4225" t="s">
        <v>20</v>
      </c>
      <c r="B4225">
        <v>74</v>
      </c>
      <c r="C4225">
        <v>24</v>
      </c>
    </row>
    <row r="4226" spans="1:4" x14ac:dyDescent="0.25">
      <c r="A4226" t="s">
        <v>20</v>
      </c>
      <c r="B4226">
        <v>74</v>
      </c>
      <c r="C4226">
        <v>25</v>
      </c>
      <c r="D4226">
        <v>1</v>
      </c>
    </row>
    <row r="4227" spans="1:4" x14ac:dyDescent="0.25">
      <c r="A4227" t="s">
        <v>20</v>
      </c>
      <c r="B4227">
        <v>74</v>
      </c>
      <c r="C4227">
        <v>26</v>
      </c>
    </row>
    <row r="4228" spans="1:4" x14ac:dyDescent="0.25">
      <c r="A4228" t="s">
        <v>20</v>
      </c>
      <c r="B4228">
        <v>74</v>
      </c>
      <c r="C4228">
        <v>27</v>
      </c>
    </row>
    <row r="4229" spans="1:4" x14ac:dyDescent="0.25">
      <c r="A4229" t="s">
        <v>20</v>
      </c>
      <c r="B4229">
        <v>74</v>
      </c>
      <c r="C4229">
        <v>28</v>
      </c>
      <c r="D4229">
        <v>1</v>
      </c>
    </row>
    <row r="4230" spans="1:4" x14ac:dyDescent="0.25">
      <c r="A4230" t="s">
        <v>20</v>
      </c>
      <c r="B4230">
        <v>74</v>
      </c>
      <c r="C4230">
        <v>29</v>
      </c>
    </row>
    <row r="4231" spans="1:4" x14ac:dyDescent="0.25">
      <c r="A4231" t="s">
        <v>20</v>
      </c>
      <c r="B4231">
        <v>74</v>
      </c>
      <c r="C4231">
        <v>30</v>
      </c>
    </row>
    <row r="4232" spans="1:4" x14ac:dyDescent="0.25">
      <c r="A4232" t="s">
        <v>20</v>
      </c>
      <c r="B4232">
        <v>74</v>
      </c>
      <c r="C4232">
        <v>31</v>
      </c>
      <c r="D4232">
        <v>1</v>
      </c>
    </row>
    <row r="4233" spans="1:4" x14ac:dyDescent="0.25">
      <c r="A4233" t="s">
        <v>20</v>
      </c>
      <c r="B4233">
        <v>74</v>
      </c>
      <c r="C4233">
        <v>32</v>
      </c>
    </row>
    <row r="4234" spans="1:4" x14ac:dyDescent="0.25">
      <c r="A4234" t="s">
        <v>20</v>
      </c>
      <c r="B4234">
        <v>74</v>
      </c>
      <c r="C4234">
        <v>33</v>
      </c>
    </row>
    <row r="4235" spans="1:4" x14ac:dyDescent="0.25">
      <c r="A4235" t="s">
        <v>20</v>
      </c>
      <c r="B4235">
        <v>74</v>
      </c>
      <c r="C4235">
        <v>34</v>
      </c>
      <c r="D4235">
        <v>1</v>
      </c>
    </row>
    <row r="4236" spans="1:4" x14ac:dyDescent="0.25">
      <c r="A4236" t="s">
        <v>20</v>
      </c>
      <c r="B4236">
        <v>74</v>
      </c>
      <c r="C4236">
        <v>35</v>
      </c>
    </row>
    <row r="4237" spans="1:4" x14ac:dyDescent="0.25">
      <c r="A4237" t="s">
        <v>20</v>
      </c>
      <c r="B4237">
        <v>74</v>
      </c>
      <c r="C4237">
        <v>36</v>
      </c>
    </row>
    <row r="4238" spans="1:4" x14ac:dyDescent="0.25">
      <c r="A4238" t="s">
        <v>20</v>
      </c>
      <c r="B4238">
        <v>74</v>
      </c>
      <c r="C4238">
        <v>37</v>
      </c>
      <c r="D4238">
        <v>1</v>
      </c>
    </row>
    <row r="4239" spans="1:4" x14ac:dyDescent="0.25">
      <c r="A4239" t="s">
        <v>20</v>
      </c>
      <c r="B4239">
        <v>74</v>
      </c>
      <c r="C4239">
        <v>38</v>
      </c>
    </row>
    <row r="4240" spans="1:4" x14ac:dyDescent="0.25">
      <c r="A4240" t="s">
        <v>20</v>
      </c>
      <c r="B4240">
        <v>74</v>
      </c>
      <c r="C4240">
        <v>39</v>
      </c>
    </row>
    <row r="4241" spans="1:4" x14ac:dyDescent="0.25">
      <c r="A4241" t="s">
        <v>20</v>
      </c>
      <c r="B4241">
        <v>74</v>
      </c>
      <c r="C4241">
        <v>40</v>
      </c>
      <c r="D4241">
        <v>1</v>
      </c>
    </row>
    <row r="4242" spans="1:4" x14ac:dyDescent="0.25">
      <c r="A4242" t="s">
        <v>20</v>
      </c>
      <c r="B4242">
        <v>74</v>
      </c>
      <c r="C4242">
        <v>41</v>
      </c>
    </row>
    <row r="4243" spans="1:4" x14ac:dyDescent="0.25">
      <c r="A4243" t="s">
        <v>20</v>
      </c>
      <c r="B4243">
        <v>74</v>
      </c>
      <c r="C4243">
        <v>42</v>
      </c>
    </row>
    <row r="4244" spans="1:4" x14ac:dyDescent="0.25">
      <c r="A4244" t="s">
        <v>20</v>
      </c>
      <c r="B4244">
        <v>74</v>
      </c>
      <c r="C4244">
        <v>43</v>
      </c>
    </row>
    <row r="4245" spans="1:4" x14ac:dyDescent="0.25">
      <c r="A4245" t="s">
        <v>20</v>
      </c>
      <c r="B4245">
        <v>74</v>
      </c>
      <c r="C4245">
        <v>44</v>
      </c>
    </row>
    <row r="4246" spans="1:4" x14ac:dyDescent="0.25">
      <c r="A4246" t="s">
        <v>20</v>
      </c>
      <c r="B4246">
        <v>74</v>
      </c>
      <c r="C4246">
        <v>45</v>
      </c>
    </row>
    <row r="4247" spans="1:4" x14ac:dyDescent="0.25">
      <c r="A4247" t="s">
        <v>20</v>
      </c>
      <c r="B4247">
        <v>74</v>
      </c>
      <c r="C4247">
        <v>46</v>
      </c>
      <c r="D4247">
        <v>1</v>
      </c>
    </row>
    <row r="4248" spans="1:4" x14ac:dyDescent="0.25">
      <c r="A4248" t="s">
        <v>20</v>
      </c>
      <c r="B4248">
        <v>74</v>
      </c>
      <c r="C4248">
        <v>47</v>
      </c>
    </row>
    <row r="4249" spans="1:4" x14ac:dyDescent="0.25">
      <c r="A4249" t="s">
        <v>20</v>
      </c>
      <c r="B4249">
        <v>74</v>
      </c>
      <c r="C4249">
        <v>48</v>
      </c>
    </row>
    <row r="4250" spans="1:4" x14ac:dyDescent="0.25">
      <c r="A4250" t="s">
        <v>20</v>
      </c>
      <c r="B4250">
        <v>74</v>
      </c>
      <c r="C4250">
        <v>49</v>
      </c>
      <c r="D4250">
        <v>1</v>
      </c>
    </row>
    <row r="4251" spans="1:4" x14ac:dyDescent="0.25">
      <c r="A4251" t="s">
        <v>20</v>
      </c>
      <c r="B4251">
        <v>74</v>
      </c>
      <c r="C4251">
        <v>50</v>
      </c>
    </row>
    <row r="4252" spans="1:4" x14ac:dyDescent="0.25">
      <c r="A4252" t="s">
        <v>20</v>
      </c>
      <c r="B4252">
        <v>74</v>
      </c>
      <c r="C4252">
        <v>51</v>
      </c>
    </row>
    <row r="4253" spans="1:4" x14ac:dyDescent="0.25">
      <c r="A4253" t="s">
        <v>20</v>
      </c>
      <c r="B4253">
        <v>74</v>
      </c>
      <c r="C4253">
        <v>52</v>
      </c>
      <c r="D4253">
        <v>1</v>
      </c>
    </row>
    <row r="4254" spans="1:4" x14ac:dyDescent="0.25">
      <c r="A4254" t="s">
        <v>20</v>
      </c>
      <c r="B4254">
        <v>74</v>
      </c>
      <c r="C4254">
        <v>53</v>
      </c>
    </row>
    <row r="4255" spans="1:4" x14ac:dyDescent="0.25">
      <c r="A4255" t="s">
        <v>20</v>
      </c>
      <c r="B4255">
        <v>74</v>
      </c>
      <c r="C4255">
        <v>54</v>
      </c>
    </row>
    <row r="4256" spans="1:4" x14ac:dyDescent="0.25">
      <c r="A4256" t="s">
        <v>20</v>
      </c>
      <c r="B4256">
        <v>74</v>
      </c>
      <c r="C4256">
        <v>55</v>
      </c>
      <c r="D4256">
        <v>1</v>
      </c>
    </row>
    <row r="4257" spans="1:4" x14ac:dyDescent="0.25">
      <c r="A4257" t="s">
        <v>20</v>
      </c>
      <c r="B4257">
        <v>74</v>
      </c>
      <c r="C4257">
        <v>56</v>
      </c>
    </row>
    <row r="4258" spans="1:4" x14ac:dyDescent="0.25">
      <c r="A4258" t="s">
        <v>20</v>
      </c>
      <c r="B4258">
        <v>74</v>
      </c>
      <c r="C4258">
        <v>57</v>
      </c>
    </row>
    <row r="4259" spans="1:4" x14ac:dyDescent="0.25">
      <c r="A4259" t="s">
        <v>20</v>
      </c>
      <c r="B4259">
        <v>74</v>
      </c>
      <c r="C4259">
        <v>58</v>
      </c>
      <c r="D4259">
        <v>1</v>
      </c>
    </row>
    <row r="4260" spans="1:4" x14ac:dyDescent="0.25">
      <c r="A4260" t="s">
        <v>20</v>
      </c>
      <c r="B4260">
        <v>74</v>
      </c>
      <c r="C4260">
        <v>59</v>
      </c>
    </row>
    <row r="4261" spans="1:4" x14ac:dyDescent="0.25">
      <c r="A4261" t="s">
        <v>20</v>
      </c>
      <c r="B4261">
        <v>74</v>
      </c>
      <c r="C4261">
        <v>60</v>
      </c>
    </row>
    <row r="4262" spans="1:4" x14ac:dyDescent="0.25">
      <c r="A4262" t="s">
        <v>20</v>
      </c>
      <c r="B4262">
        <v>74</v>
      </c>
      <c r="C4262">
        <v>61</v>
      </c>
      <c r="D4262">
        <v>1</v>
      </c>
    </row>
    <row r="4263" spans="1:4" x14ac:dyDescent="0.25">
      <c r="A4263" t="s">
        <v>20</v>
      </c>
      <c r="B4263">
        <v>74</v>
      </c>
      <c r="C4263">
        <v>62</v>
      </c>
    </row>
    <row r="4264" spans="1:4" x14ac:dyDescent="0.25">
      <c r="A4264" t="s">
        <v>20</v>
      </c>
      <c r="B4264">
        <v>74</v>
      </c>
      <c r="C4264">
        <v>63</v>
      </c>
    </row>
    <row r="4265" spans="1:4" x14ac:dyDescent="0.25">
      <c r="A4265" t="s">
        <v>20</v>
      </c>
      <c r="B4265">
        <v>74</v>
      </c>
      <c r="C4265">
        <v>64</v>
      </c>
    </row>
    <row r="4266" spans="1:4" x14ac:dyDescent="0.25">
      <c r="A4266" t="s">
        <v>20</v>
      </c>
      <c r="B4266">
        <v>74</v>
      </c>
      <c r="C4266">
        <v>65</v>
      </c>
    </row>
    <row r="4267" spans="1:4" x14ac:dyDescent="0.25">
      <c r="A4267" t="s">
        <v>20</v>
      </c>
      <c r="B4267">
        <v>74</v>
      </c>
      <c r="C4267">
        <v>66</v>
      </c>
    </row>
    <row r="4268" spans="1:4" x14ac:dyDescent="0.25">
      <c r="A4268" t="s">
        <v>20</v>
      </c>
      <c r="B4268">
        <v>74</v>
      </c>
      <c r="C4268">
        <v>67</v>
      </c>
      <c r="D4268">
        <v>1</v>
      </c>
    </row>
    <row r="4269" spans="1:4" x14ac:dyDescent="0.25">
      <c r="A4269" t="s">
        <v>20</v>
      </c>
      <c r="B4269">
        <v>74</v>
      </c>
      <c r="C4269">
        <v>68</v>
      </c>
    </row>
    <row r="4270" spans="1:4" x14ac:dyDescent="0.25">
      <c r="A4270" t="s">
        <v>20</v>
      </c>
      <c r="B4270">
        <v>74</v>
      </c>
      <c r="C4270">
        <v>69</v>
      </c>
    </row>
    <row r="4271" spans="1:4" x14ac:dyDescent="0.25">
      <c r="A4271" t="s">
        <v>20</v>
      </c>
      <c r="B4271">
        <v>74</v>
      </c>
      <c r="C4271">
        <v>70</v>
      </c>
      <c r="D4271">
        <v>1</v>
      </c>
    </row>
    <row r="4272" spans="1:4" x14ac:dyDescent="0.25">
      <c r="A4272" t="s">
        <v>20</v>
      </c>
      <c r="B4272">
        <v>74</v>
      </c>
      <c r="C4272">
        <v>71</v>
      </c>
    </row>
    <row r="4273" spans="1:4" x14ac:dyDescent="0.25">
      <c r="A4273" t="s">
        <v>20</v>
      </c>
      <c r="B4273">
        <v>74</v>
      </c>
      <c r="C4273">
        <v>72</v>
      </c>
    </row>
    <row r="4274" spans="1:4" x14ac:dyDescent="0.25">
      <c r="A4274" t="s">
        <v>20</v>
      </c>
      <c r="B4274">
        <v>74</v>
      </c>
      <c r="C4274">
        <v>73</v>
      </c>
    </row>
    <row r="4275" spans="1:4" x14ac:dyDescent="0.25">
      <c r="A4275" t="s">
        <v>20</v>
      </c>
      <c r="B4275">
        <v>74</v>
      </c>
      <c r="C4275">
        <v>74</v>
      </c>
    </row>
    <row r="4276" spans="1:4" x14ac:dyDescent="0.25">
      <c r="A4276" t="s">
        <v>20</v>
      </c>
      <c r="B4276">
        <v>74</v>
      </c>
      <c r="C4276">
        <v>75</v>
      </c>
    </row>
    <row r="4277" spans="1:4" x14ac:dyDescent="0.25">
      <c r="A4277" t="s">
        <v>20</v>
      </c>
      <c r="B4277">
        <v>74</v>
      </c>
      <c r="C4277">
        <v>76</v>
      </c>
      <c r="D4277">
        <v>1</v>
      </c>
    </row>
    <row r="4278" spans="1:4" x14ac:dyDescent="0.25">
      <c r="A4278" t="s">
        <v>20</v>
      </c>
      <c r="B4278">
        <v>74</v>
      </c>
      <c r="C4278">
        <v>77</v>
      </c>
    </row>
    <row r="4279" spans="1:4" x14ac:dyDescent="0.25">
      <c r="A4279" t="s">
        <v>20</v>
      </c>
      <c r="B4279">
        <v>74</v>
      </c>
      <c r="C4279">
        <v>78</v>
      </c>
    </row>
    <row r="4280" spans="1:4" x14ac:dyDescent="0.25">
      <c r="A4280" t="s">
        <v>20</v>
      </c>
      <c r="B4280">
        <v>74</v>
      </c>
      <c r="C4280">
        <v>79</v>
      </c>
      <c r="D4280">
        <v>1</v>
      </c>
    </row>
    <row r="4281" spans="1:4" x14ac:dyDescent="0.25">
      <c r="A4281" t="s">
        <v>20</v>
      </c>
      <c r="B4281">
        <v>74</v>
      </c>
      <c r="C4281">
        <v>80</v>
      </c>
    </row>
    <row r="4282" spans="1:4" x14ac:dyDescent="0.25">
      <c r="A4282" t="s">
        <v>20</v>
      </c>
      <c r="B4282">
        <v>74</v>
      </c>
      <c r="C4282">
        <v>81</v>
      </c>
    </row>
    <row r="4283" spans="1:4" x14ac:dyDescent="0.25">
      <c r="A4283" t="s">
        <v>20</v>
      </c>
      <c r="B4283">
        <v>74</v>
      </c>
      <c r="C4283">
        <v>82</v>
      </c>
    </row>
    <row r="4284" spans="1:4" x14ac:dyDescent="0.25">
      <c r="A4284" t="s">
        <v>20</v>
      </c>
      <c r="B4284">
        <v>74</v>
      </c>
      <c r="C4284">
        <v>83</v>
      </c>
    </row>
    <row r="4285" spans="1:4" x14ac:dyDescent="0.25">
      <c r="A4285" t="s">
        <v>20</v>
      </c>
      <c r="B4285">
        <v>74</v>
      </c>
      <c r="C4285">
        <v>84</v>
      </c>
    </row>
    <row r="4286" spans="1:4" x14ac:dyDescent="0.25">
      <c r="A4286" t="s">
        <v>20</v>
      </c>
      <c r="B4286">
        <v>75</v>
      </c>
      <c r="C4286">
        <v>1</v>
      </c>
    </row>
    <row r="4287" spans="1:4" x14ac:dyDescent="0.25">
      <c r="A4287" t="s">
        <v>20</v>
      </c>
      <c r="B4287">
        <v>75</v>
      </c>
      <c r="C4287">
        <v>2</v>
      </c>
    </row>
    <row r="4288" spans="1:4" x14ac:dyDescent="0.25">
      <c r="A4288" t="s">
        <v>20</v>
      </c>
      <c r="B4288">
        <v>75</v>
      </c>
      <c r="C4288">
        <v>3</v>
      </c>
    </row>
    <row r="4289" spans="1:4" x14ac:dyDescent="0.25">
      <c r="A4289" t="s">
        <v>20</v>
      </c>
      <c r="B4289">
        <v>75</v>
      </c>
      <c r="C4289">
        <v>4</v>
      </c>
    </row>
    <row r="4290" spans="1:4" x14ac:dyDescent="0.25">
      <c r="A4290" t="s">
        <v>20</v>
      </c>
      <c r="B4290">
        <v>75</v>
      </c>
      <c r="C4290">
        <v>5</v>
      </c>
    </row>
    <row r="4291" spans="1:4" x14ac:dyDescent="0.25">
      <c r="A4291" t="s">
        <v>20</v>
      </c>
      <c r="B4291">
        <v>75</v>
      </c>
      <c r="C4291">
        <v>6</v>
      </c>
    </row>
    <row r="4292" spans="1:4" x14ac:dyDescent="0.25">
      <c r="A4292" t="s">
        <v>20</v>
      </c>
      <c r="B4292">
        <v>75</v>
      </c>
      <c r="C4292">
        <v>7</v>
      </c>
    </row>
    <row r="4293" spans="1:4" x14ac:dyDescent="0.25">
      <c r="A4293" t="s">
        <v>20</v>
      </c>
      <c r="B4293">
        <v>75</v>
      </c>
      <c r="C4293">
        <v>8</v>
      </c>
    </row>
    <row r="4294" spans="1:4" x14ac:dyDescent="0.25">
      <c r="A4294" t="s">
        <v>20</v>
      </c>
      <c r="B4294">
        <v>75</v>
      </c>
      <c r="C4294">
        <v>9</v>
      </c>
    </row>
    <row r="4295" spans="1:4" x14ac:dyDescent="0.25">
      <c r="A4295" t="s">
        <v>20</v>
      </c>
      <c r="B4295">
        <v>75</v>
      </c>
      <c r="C4295">
        <v>10</v>
      </c>
    </row>
    <row r="4296" spans="1:4" x14ac:dyDescent="0.25">
      <c r="A4296" t="s">
        <v>20</v>
      </c>
      <c r="B4296">
        <v>75</v>
      </c>
      <c r="C4296">
        <v>11</v>
      </c>
    </row>
    <row r="4297" spans="1:4" x14ac:dyDescent="0.25">
      <c r="A4297" t="s">
        <v>20</v>
      </c>
      <c r="B4297">
        <v>75</v>
      </c>
      <c r="C4297">
        <v>12</v>
      </c>
    </row>
    <row r="4298" spans="1:4" x14ac:dyDescent="0.25">
      <c r="A4298" t="s">
        <v>20</v>
      </c>
      <c r="B4298">
        <v>75</v>
      </c>
      <c r="C4298">
        <v>13</v>
      </c>
    </row>
    <row r="4299" spans="1:4" x14ac:dyDescent="0.25">
      <c r="A4299" t="s">
        <v>20</v>
      </c>
      <c r="B4299">
        <v>75</v>
      </c>
      <c r="C4299">
        <v>14</v>
      </c>
      <c r="D4299">
        <v>1</v>
      </c>
    </row>
    <row r="4300" spans="1:4" x14ac:dyDescent="0.25">
      <c r="A4300" t="s">
        <v>20</v>
      </c>
      <c r="B4300">
        <v>75</v>
      </c>
      <c r="C4300">
        <v>15</v>
      </c>
    </row>
    <row r="4301" spans="1:4" x14ac:dyDescent="0.25">
      <c r="A4301" t="s">
        <v>20</v>
      </c>
      <c r="B4301">
        <v>75</v>
      </c>
      <c r="C4301">
        <v>16</v>
      </c>
    </row>
    <row r="4302" spans="1:4" x14ac:dyDescent="0.25">
      <c r="A4302" t="s">
        <v>20</v>
      </c>
      <c r="B4302">
        <v>75</v>
      </c>
      <c r="C4302">
        <v>17</v>
      </c>
    </row>
    <row r="4303" spans="1:4" x14ac:dyDescent="0.25">
      <c r="A4303" t="s">
        <v>20</v>
      </c>
      <c r="B4303">
        <v>75</v>
      </c>
      <c r="C4303">
        <v>18</v>
      </c>
    </row>
    <row r="4304" spans="1:4" x14ac:dyDescent="0.25">
      <c r="A4304" t="s">
        <v>20</v>
      </c>
      <c r="B4304">
        <v>75</v>
      </c>
      <c r="C4304">
        <v>19</v>
      </c>
    </row>
    <row r="4305" spans="1:4" x14ac:dyDescent="0.25">
      <c r="A4305" t="s">
        <v>20</v>
      </c>
      <c r="B4305">
        <v>75</v>
      </c>
      <c r="C4305">
        <v>20</v>
      </c>
    </row>
    <row r="4306" spans="1:4" x14ac:dyDescent="0.25">
      <c r="A4306" t="s">
        <v>20</v>
      </c>
      <c r="B4306">
        <v>75</v>
      </c>
      <c r="C4306">
        <v>21</v>
      </c>
    </row>
    <row r="4307" spans="1:4" x14ac:dyDescent="0.25">
      <c r="A4307" t="s">
        <v>20</v>
      </c>
      <c r="B4307">
        <v>75</v>
      </c>
      <c r="C4307">
        <v>22</v>
      </c>
    </row>
    <row r="4308" spans="1:4" x14ac:dyDescent="0.25">
      <c r="A4308" t="s">
        <v>20</v>
      </c>
      <c r="B4308">
        <v>75</v>
      </c>
      <c r="C4308">
        <v>23</v>
      </c>
    </row>
    <row r="4309" spans="1:4" x14ac:dyDescent="0.25">
      <c r="A4309" t="s">
        <v>20</v>
      </c>
      <c r="B4309">
        <v>75</v>
      </c>
      <c r="C4309">
        <v>24</v>
      </c>
    </row>
    <row r="4310" spans="1:4" x14ac:dyDescent="0.25">
      <c r="A4310" t="s">
        <v>20</v>
      </c>
      <c r="B4310">
        <v>75</v>
      </c>
      <c r="C4310">
        <v>25</v>
      </c>
    </row>
    <row r="4311" spans="1:4" x14ac:dyDescent="0.25">
      <c r="A4311" t="s">
        <v>20</v>
      </c>
      <c r="B4311">
        <v>75</v>
      </c>
      <c r="C4311">
        <v>26</v>
      </c>
    </row>
    <row r="4312" spans="1:4" x14ac:dyDescent="0.25">
      <c r="A4312" t="s">
        <v>20</v>
      </c>
      <c r="B4312">
        <v>75</v>
      </c>
      <c r="C4312">
        <v>27</v>
      </c>
    </row>
    <row r="4313" spans="1:4" x14ac:dyDescent="0.25">
      <c r="A4313" t="s">
        <v>20</v>
      </c>
      <c r="B4313">
        <v>75</v>
      </c>
      <c r="C4313">
        <v>28</v>
      </c>
    </row>
    <row r="4314" spans="1:4" x14ac:dyDescent="0.25">
      <c r="A4314" t="s">
        <v>20</v>
      </c>
      <c r="B4314">
        <v>75</v>
      </c>
      <c r="C4314">
        <v>29</v>
      </c>
    </row>
    <row r="4315" spans="1:4" x14ac:dyDescent="0.25">
      <c r="A4315" t="s">
        <v>20</v>
      </c>
      <c r="B4315">
        <v>75</v>
      </c>
      <c r="C4315">
        <v>30</v>
      </c>
    </row>
    <row r="4316" spans="1:4" x14ac:dyDescent="0.25">
      <c r="A4316" t="s">
        <v>20</v>
      </c>
      <c r="B4316">
        <v>75</v>
      </c>
      <c r="C4316">
        <v>31</v>
      </c>
    </row>
    <row r="4317" spans="1:4" x14ac:dyDescent="0.25">
      <c r="A4317" t="s">
        <v>20</v>
      </c>
      <c r="B4317">
        <v>75</v>
      </c>
      <c r="C4317">
        <v>32</v>
      </c>
    </row>
    <row r="4318" spans="1:4" x14ac:dyDescent="0.25">
      <c r="A4318" t="s">
        <v>20</v>
      </c>
      <c r="B4318">
        <v>75</v>
      </c>
      <c r="C4318">
        <v>33</v>
      </c>
    </row>
    <row r="4319" spans="1:4" x14ac:dyDescent="0.25">
      <c r="A4319" t="s">
        <v>20</v>
      </c>
      <c r="B4319">
        <v>75</v>
      </c>
      <c r="C4319">
        <v>34</v>
      </c>
    </row>
    <row r="4320" spans="1:4" x14ac:dyDescent="0.25">
      <c r="A4320" t="s">
        <v>20</v>
      </c>
      <c r="B4320">
        <v>75</v>
      </c>
      <c r="C4320">
        <v>35</v>
      </c>
      <c r="D4320">
        <v>1</v>
      </c>
    </row>
    <row r="4321" spans="1:4" x14ac:dyDescent="0.25">
      <c r="A4321" t="s">
        <v>20</v>
      </c>
      <c r="B4321">
        <v>75</v>
      </c>
      <c r="C4321">
        <v>36</v>
      </c>
    </row>
    <row r="4322" spans="1:4" x14ac:dyDescent="0.25">
      <c r="A4322" t="s">
        <v>20</v>
      </c>
      <c r="B4322">
        <v>75</v>
      </c>
      <c r="C4322">
        <v>37</v>
      </c>
    </row>
    <row r="4323" spans="1:4" x14ac:dyDescent="0.25">
      <c r="A4323" t="s">
        <v>20</v>
      </c>
      <c r="B4323">
        <v>75</v>
      </c>
      <c r="C4323">
        <v>38</v>
      </c>
      <c r="D4323">
        <v>1</v>
      </c>
    </row>
    <row r="4324" spans="1:4" x14ac:dyDescent="0.25">
      <c r="A4324" t="s">
        <v>20</v>
      </c>
      <c r="B4324">
        <v>75</v>
      </c>
      <c r="C4324">
        <v>39</v>
      </c>
    </row>
    <row r="4325" spans="1:4" x14ac:dyDescent="0.25">
      <c r="A4325" t="s">
        <v>20</v>
      </c>
      <c r="B4325">
        <v>75</v>
      </c>
      <c r="C4325">
        <v>40</v>
      </c>
    </row>
    <row r="4326" spans="1:4" x14ac:dyDescent="0.25">
      <c r="A4326" t="s">
        <v>20</v>
      </c>
      <c r="B4326">
        <v>75</v>
      </c>
      <c r="C4326">
        <v>41</v>
      </c>
    </row>
    <row r="4327" spans="1:4" x14ac:dyDescent="0.25">
      <c r="A4327" t="s">
        <v>20</v>
      </c>
      <c r="B4327">
        <v>75</v>
      </c>
      <c r="C4327">
        <v>42</v>
      </c>
    </row>
    <row r="4328" spans="1:4" x14ac:dyDescent="0.25">
      <c r="A4328" t="s">
        <v>20</v>
      </c>
      <c r="B4328">
        <v>75</v>
      </c>
      <c r="C4328">
        <v>43</v>
      </c>
    </row>
    <row r="4329" spans="1:4" x14ac:dyDescent="0.25">
      <c r="A4329" t="s">
        <v>20</v>
      </c>
      <c r="B4329">
        <v>75</v>
      </c>
      <c r="C4329">
        <v>44</v>
      </c>
    </row>
    <row r="4330" spans="1:4" x14ac:dyDescent="0.25">
      <c r="A4330" t="s">
        <v>20</v>
      </c>
      <c r="B4330">
        <v>75</v>
      </c>
      <c r="C4330">
        <v>45</v>
      </c>
    </row>
    <row r="4331" spans="1:4" x14ac:dyDescent="0.25">
      <c r="A4331" t="s">
        <v>20</v>
      </c>
      <c r="B4331">
        <v>75</v>
      </c>
      <c r="C4331">
        <v>46</v>
      </c>
    </row>
    <row r="4332" spans="1:4" x14ac:dyDescent="0.25">
      <c r="A4332" t="s">
        <v>20</v>
      </c>
      <c r="B4332">
        <v>75</v>
      </c>
      <c r="C4332">
        <v>47</v>
      </c>
    </row>
    <row r="4333" spans="1:4" x14ac:dyDescent="0.25">
      <c r="A4333" t="s">
        <v>20</v>
      </c>
      <c r="B4333">
        <v>75</v>
      </c>
      <c r="C4333">
        <v>48</v>
      </c>
    </row>
    <row r="4334" spans="1:4" x14ac:dyDescent="0.25">
      <c r="A4334" t="s">
        <v>20</v>
      </c>
      <c r="B4334">
        <v>75</v>
      </c>
      <c r="C4334">
        <v>49</v>
      </c>
    </row>
    <row r="4335" spans="1:4" x14ac:dyDescent="0.25">
      <c r="A4335" t="s">
        <v>20</v>
      </c>
      <c r="B4335">
        <v>75</v>
      </c>
      <c r="C4335">
        <v>50</v>
      </c>
    </row>
    <row r="4336" spans="1:4" x14ac:dyDescent="0.25">
      <c r="A4336" t="s">
        <v>20</v>
      </c>
      <c r="B4336">
        <v>75</v>
      </c>
      <c r="C4336">
        <v>51</v>
      </c>
    </row>
    <row r="4337" spans="1:4" x14ac:dyDescent="0.25">
      <c r="A4337" t="s">
        <v>20</v>
      </c>
      <c r="B4337">
        <v>75</v>
      </c>
      <c r="C4337">
        <v>52</v>
      </c>
    </row>
    <row r="4338" spans="1:4" x14ac:dyDescent="0.25">
      <c r="A4338" t="s">
        <v>20</v>
      </c>
      <c r="B4338">
        <v>75</v>
      </c>
      <c r="C4338">
        <v>53</v>
      </c>
    </row>
    <row r="4339" spans="1:4" x14ac:dyDescent="0.25">
      <c r="A4339" t="s">
        <v>20</v>
      </c>
      <c r="B4339">
        <v>75</v>
      </c>
      <c r="C4339">
        <v>54</v>
      </c>
    </row>
    <row r="4340" spans="1:4" x14ac:dyDescent="0.25">
      <c r="A4340" t="s">
        <v>20</v>
      </c>
      <c r="B4340">
        <v>75</v>
      </c>
      <c r="C4340">
        <v>55</v>
      </c>
    </row>
    <row r="4341" spans="1:4" x14ac:dyDescent="0.25">
      <c r="A4341" t="s">
        <v>20</v>
      </c>
      <c r="B4341">
        <v>75</v>
      </c>
      <c r="C4341">
        <v>56</v>
      </c>
    </row>
    <row r="4342" spans="1:4" x14ac:dyDescent="0.25">
      <c r="A4342" t="s">
        <v>20</v>
      </c>
      <c r="B4342">
        <v>75</v>
      </c>
      <c r="C4342">
        <v>57</v>
      </c>
    </row>
    <row r="4343" spans="1:4" x14ac:dyDescent="0.25">
      <c r="A4343" t="s">
        <v>20</v>
      </c>
      <c r="B4343">
        <v>75</v>
      </c>
      <c r="C4343">
        <v>58</v>
      </c>
    </row>
    <row r="4344" spans="1:4" x14ac:dyDescent="0.25">
      <c r="A4344" t="s">
        <v>20</v>
      </c>
      <c r="B4344">
        <v>75</v>
      </c>
      <c r="C4344">
        <v>59</v>
      </c>
      <c r="D4344">
        <v>1</v>
      </c>
    </row>
    <row r="4345" spans="1:4" x14ac:dyDescent="0.25">
      <c r="A4345" t="s">
        <v>20</v>
      </c>
      <c r="B4345">
        <v>75</v>
      </c>
      <c r="C4345">
        <v>60</v>
      </c>
    </row>
    <row r="4346" spans="1:4" x14ac:dyDescent="0.25">
      <c r="A4346" t="s">
        <v>20</v>
      </c>
      <c r="B4346">
        <v>75</v>
      </c>
      <c r="C4346">
        <v>61</v>
      </c>
    </row>
    <row r="4347" spans="1:4" x14ac:dyDescent="0.25">
      <c r="A4347" t="s">
        <v>20</v>
      </c>
      <c r="B4347">
        <v>75</v>
      </c>
      <c r="C4347">
        <v>62</v>
      </c>
    </row>
    <row r="4348" spans="1:4" x14ac:dyDescent="0.25">
      <c r="A4348" t="s">
        <v>20</v>
      </c>
      <c r="B4348">
        <v>75</v>
      </c>
      <c r="C4348">
        <v>63</v>
      </c>
    </row>
    <row r="4349" spans="1:4" x14ac:dyDescent="0.25">
      <c r="A4349" t="s">
        <v>20</v>
      </c>
      <c r="B4349">
        <v>75</v>
      </c>
      <c r="C4349">
        <v>64</v>
      </c>
    </row>
    <row r="4350" spans="1:4" x14ac:dyDescent="0.25">
      <c r="A4350" t="s">
        <v>20</v>
      </c>
      <c r="B4350">
        <v>75</v>
      </c>
      <c r="C4350">
        <v>65</v>
      </c>
    </row>
    <row r="4351" spans="1:4" x14ac:dyDescent="0.25">
      <c r="A4351" t="s">
        <v>20</v>
      </c>
      <c r="B4351">
        <v>75</v>
      </c>
      <c r="C4351">
        <v>66</v>
      </c>
    </row>
    <row r="4352" spans="1:4" x14ac:dyDescent="0.25">
      <c r="A4352" t="s">
        <v>20</v>
      </c>
      <c r="B4352">
        <v>75</v>
      </c>
      <c r="C4352">
        <v>67</v>
      </c>
    </row>
    <row r="4353" spans="1:4" x14ac:dyDescent="0.25">
      <c r="A4353" t="s">
        <v>20</v>
      </c>
      <c r="B4353">
        <v>75</v>
      </c>
      <c r="C4353">
        <v>68</v>
      </c>
    </row>
    <row r="4354" spans="1:4" x14ac:dyDescent="0.25">
      <c r="A4354" t="s">
        <v>20</v>
      </c>
      <c r="B4354">
        <v>75</v>
      </c>
      <c r="C4354">
        <v>69</v>
      </c>
    </row>
    <row r="4355" spans="1:4" x14ac:dyDescent="0.25">
      <c r="A4355" t="s">
        <v>20</v>
      </c>
      <c r="B4355">
        <v>75</v>
      </c>
      <c r="C4355">
        <v>70</v>
      </c>
    </row>
    <row r="4356" spans="1:4" x14ac:dyDescent="0.25">
      <c r="A4356" t="s">
        <v>20</v>
      </c>
      <c r="B4356">
        <v>75</v>
      </c>
      <c r="C4356">
        <v>71</v>
      </c>
    </row>
    <row r="4357" spans="1:4" x14ac:dyDescent="0.25">
      <c r="A4357" t="s">
        <v>20</v>
      </c>
      <c r="B4357">
        <v>75</v>
      </c>
      <c r="C4357">
        <v>72</v>
      </c>
    </row>
    <row r="4358" spans="1:4" x14ac:dyDescent="0.25">
      <c r="A4358" t="s">
        <v>20</v>
      </c>
      <c r="B4358">
        <v>75</v>
      </c>
      <c r="C4358">
        <v>73</v>
      </c>
    </row>
    <row r="4359" spans="1:4" x14ac:dyDescent="0.25">
      <c r="A4359" t="s">
        <v>20</v>
      </c>
      <c r="B4359">
        <v>75</v>
      </c>
      <c r="C4359">
        <v>74</v>
      </c>
    </row>
    <row r="4360" spans="1:4" x14ac:dyDescent="0.25">
      <c r="A4360" t="s">
        <v>20</v>
      </c>
      <c r="B4360">
        <v>75</v>
      </c>
      <c r="C4360">
        <v>75</v>
      </c>
    </row>
    <row r="4361" spans="1:4" x14ac:dyDescent="0.25">
      <c r="A4361" t="s">
        <v>20</v>
      </c>
      <c r="B4361">
        <v>75</v>
      </c>
      <c r="C4361">
        <v>76</v>
      </c>
    </row>
    <row r="4362" spans="1:4" x14ac:dyDescent="0.25">
      <c r="A4362" t="s">
        <v>20</v>
      </c>
      <c r="B4362">
        <v>75</v>
      </c>
      <c r="C4362">
        <v>77</v>
      </c>
      <c r="D4362">
        <v>1</v>
      </c>
    </row>
    <row r="4363" spans="1:4" x14ac:dyDescent="0.25">
      <c r="A4363" t="s">
        <v>20</v>
      </c>
      <c r="B4363">
        <v>75</v>
      </c>
      <c r="C4363">
        <v>78</v>
      </c>
    </row>
    <row r="4364" spans="1:4" x14ac:dyDescent="0.25">
      <c r="A4364" t="s">
        <v>20</v>
      </c>
      <c r="B4364">
        <v>75</v>
      </c>
      <c r="C4364">
        <v>79</v>
      </c>
    </row>
    <row r="4365" spans="1:4" x14ac:dyDescent="0.25">
      <c r="A4365" t="s">
        <v>20</v>
      </c>
      <c r="B4365">
        <v>75</v>
      </c>
      <c r="C4365">
        <v>80</v>
      </c>
      <c r="D4365">
        <v>1</v>
      </c>
    </row>
    <row r="4366" spans="1:4" x14ac:dyDescent="0.25">
      <c r="A4366" t="s">
        <v>20</v>
      </c>
      <c r="B4366">
        <v>75</v>
      </c>
      <c r="C4366">
        <v>81</v>
      </c>
    </row>
    <row r="4367" spans="1:4" x14ac:dyDescent="0.25">
      <c r="A4367" t="s">
        <v>20</v>
      </c>
      <c r="B4367">
        <v>75</v>
      </c>
      <c r="C4367">
        <v>82</v>
      </c>
    </row>
    <row r="4368" spans="1:4" x14ac:dyDescent="0.25">
      <c r="A4368" t="s">
        <v>20</v>
      </c>
      <c r="B4368">
        <v>75</v>
      </c>
      <c r="C4368">
        <v>83</v>
      </c>
    </row>
    <row r="4369" spans="1:4" x14ac:dyDescent="0.25">
      <c r="A4369" t="s">
        <v>20</v>
      </c>
      <c r="B4369">
        <v>75</v>
      </c>
      <c r="C4369">
        <v>84</v>
      </c>
    </row>
    <row r="4370" spans="1:4" x14ac:dyDescent="0.25">
      <c r="A4370" t="s">
        <v>20</v>
      </c>
      <c r="B4370">
        <v>76</v>
      </c>
      <c r="C4370">
        <v>1</v>
      </c>
    </row>
    <row r="4371" spans="1:4" x14ac:dyDescent="0.25">
      <c r="A4371" t="s">
        <v>20</v>
      </c>
      <c r="B4371">
        <v>76</v>
      </c>
      <c r="C4371">
        <v>2</v>
      </c>
      <c r="D4371">
        <v>1</v>
      </c>
    </row>
    <row r="4372" spans="1:4" x14ac:dyDescent="0.25">
      <c r="A4372" t="s">
        <v>20</v>
      </c>
      <c r="B4372">
        <v>76</v>
      </c>
      <c r="C4372">
        <v>3</v>
      </c>
    </row>
    <row r="4373" spans="1:4" x14ac:dyDescent="0.25">
      <c r="A4373" t="s">
        <v>20</v>
      </c>
      <c r="B4373">
        <v>76</v>
      </c>
      <c r="C4373">
        <v>4</v>
      </c>
    </row>
    <row r="4374" spans="1:4" x14ac:dyDescent="0.25">
      <c r="A4374" t="s">
        <v>20</v>
      </c>
      <c r="B4374">
        <v>76</v>
      </c>
      <c r="C4374">
        <v>5</v>
      </c>
      <c r="D4374">
        <v>1</v>
      </c>
    </row>
    <row r="4375" spans="1:4" x14ac:dyDescent="0.25">
      <c r="A4375" t="s">
        <v>20</v>
      </c>
      <c r="B4375">
        <v>76</v>
      </c>
      <c r="C4375">
        <v>6</v>
      </c>
    </row>
    <row r="4376" spans="1:4" x14ac:dyDescent="0.25">
      <c r="A4376" t="s">
        <v>20</v>
      </c>
      <c r="B4376">
        <v>76</v>
      </c>
      <c r="C4376">
        <v>7</v>
      </c>
    </row>
    <row r="4377" spans="1:4" x14ac:dyDescent="0.25">
      <c r="A4377" t="s">
        <v>20</v>
      </c>
      <c r="B4377">
        <v>76</v>
      </c>
      <c r="C4377">
        <v>8</v>
      </c>
      <c r="D4377">
        <v>1</v>
      </c>
    </row>
    <row r="4378" spans="1:4" x14ac:dyDescent="0.25">
      <c r="A4378" t="s">
        <v>20</v>
      </c>
      <c r="B4378">
        <v>76</v>
      </c>
      <c r="C4378">
        <v>9</v>
      </c>
    </row>
    <row r="4379" spans="1:4" x14ac:dyDescent="0.25">
      <c r="A4379" t="s">
        <v>20</v>
      </c>
      <c r="B4379">
        <v>76</v>
      </c>
      <c r="C4379">
        <v>10</v>
      </c>
    </row>
    <row r="4380" spans="1:4" x14ac:dyDescent="0.25">
      <c r="A4380" t="s">
        <v>20</v>
      </c>
      <c r="B4380">
        <v>76</v>
      </c>
      <c r="C4380">
        <v>11</v>
      </c>
      <c r="D4380">
        <v>1</v>
      </c>
    </row>
    <row r="4381" spans="1:4" x14ac:dyDescent="0.25">
      <c r="A4381" t="s">
        <v>20</v>
      </c>
      <c r="B4381">
        <v>76</v>
      </c>
      <c r="C4381">
        <v>12</v>
      </c>
    </row>
    <row r="4382" spans="1:4" x14ac:dyDescent="0.25">
      <c r="A4382" t="s">
        <v>20</v>
      </c>
      <c r="B4382">
        <v>76</v>
      </c>
      <c r="C4382">
        <v>13</v>
      </c>
    </row>
    <row r="4383" spans="1:4" x14ac:dyDescent="0.25">
      <c r="A4383" t="s">
        <v>20</v>
      </c>
      <c r="B4383">
        <v>76</v>
      </c>
      <c r="C4383">
        <v>14</v>
      </c>
      <c r="D4383">
        <v>1</v>
      </c>
    </row>
    <row r="4384" spans="1:4" x14ac:dyDescent="0.25">
      <c r="A4384" t="s">
        <v>20</v>
      </c>
      <c r="B4384">
        <v>76</v>
      </c>
      <c r="C4384">
        <v>15</v>
      </c>
    </row>
    <row r="4385" spans="1:4" x14ac:dyDescent="0.25">
      <c r="A4385" t="s">
        <v>20</v>
      </c>
      <c r="B4385">
        <v>76</v>
      </c>
      <c r="C4385">
        <v>16</v>
      </c>
    </row>
    <row r="4386" spans="1:4" x14ac:dyDescent="0.25">
      <c r="A4386" t="s">
        <v>20</v>
      </c>
      <c r="B4386">
        <v>76</v>
      </c>
      <c r="C4386">
        <v>17</v>
      </c>
      <c r="D4386">
        <v>1</v>
      </c>
    </row>
    <row r="4387" spans="1:4" x14ac:dyDescent="0.25">
      <c r="A4387" t="s">
        <v>20</v>
      </c>
      <c r="B4387">
        <v>76</v>
      </c>
      <c r="C4387">
        <v>18</v>
      </c>
    </row>
    <row r="4388" spans="1:4" x14ac:dyDescent="0.25">
      <c r="A4388" t="s">
        <v>20</v>
      </c>
      <c r="B4388">
        <v>76</v>
      </c>
      <c r="C4388">
        <v>19</v>
      </c>
      <c r="D4388">
        <v>1</v>
      </c>
    </row>
    <row r="4389" spans="1:4" x14ac:dyDescent="0.25">
      <c r="A4389" t="s">
        <v>20</v>
      </c>
      <c r="B4389">
        <v>76</v>
      </c>
      <c r="C4389">
        <v>20</v>
      </c>
    </row>
    <row r="4390" spans="1:4" x14ac:dyDescent="0.25">
      <c r="A4390" t="s">
        <v>20</v>
      </c>
      <c r="B4390">
        <v>76</v>
      </c>
      <c r="C4390">
        <v>21</v>
      </c>
    </row>
    <row r="4391" spans="1:4" x14ac:dyDescent="0.25">
      <c r="A4391" t="s">
        <v>20</v>
      </c>
      <c r="B4391">
        <v>76</v>
      </c>
      <c r="C4391">
        <v>22</v>
      </c>
    </row>
    <row r="4392" spans="1:4" x14ac:dyDescent="0.25">
      <c r="A4392" t="s">
        <v>20</v>
      </c>
      <c r="B4392">
        <v>76</v>
      </c>
      <c r="C4392">
        <v>23</v>
      </c>
      <c r="D4392">
        <v>1</v>
      </c>
    </row>
    <row r="4393" spans="1:4" x14ac:dyDescent="0.25">
      <c r="A4393" t="s">
        <v>20</v>
      </c>
      <c r="B4393">
        <v>76</v>
      </c>
      <c r="C4393">
        <v>24</v>
      </c>
    </row>
    <row r="4394" spans="1:4" x14ac:dyDescent="0.25">
      <c r="A4394" t="s">
        <v>20</v>
      </c>
      <c r="B4394">
        <v>76</v>
      </c>
      <c r="C4394">
        <v>25</v>
      </c>
    </row>
    <row r="4395" spans="1:4" x14ac:dyDescent="0.25">
      <c r="A4395" t="s">
        <v>20</v>
      </c>
      <c r="B4395">
        <v>76</v>
      </c>
      <c r="C4395">
        <v>26</v>
      </c>
    </row>
    <row r="4396" spans="1:4" x14ac:dyDescent="0.25">
      <c r="A4396" t="s">
        <v>20</v>
      </c>
      <c r="B4396">
        <v>76</v>
      </c>
      <c r="C4396">
        <v>27</v>
      </c>
    </row>
    <row r="4397" spans="1:4" x14ac:dyDescent="0.25">
      <c r="A4397" t="s">
        <v>20</v>
      </c>
      <c r="B4397">
        <v>76</v>
      </c>
      <c r="C4397">
        <v>28</v>
      </c>
    </row>
    <row r="4398" spans="1:4" x14ac:dyDescent="0.25">
      <c r="A4398" t="s">
        <v>20</v>
      </c>
      <c r="B4398">
        <v>76</v>
      </c>
      <c r="C4398">
        <v>29</v>
      </c>
      <c r="D4398">
        <v>1</v>
      </c>
    </row>
    <row r="4399" spans="1:4" x14ac:dyDescent="0.25">
      <c r="A4399" t="s">
        <v>20</v>
      </c>
      <c r="B4399">
        <v>76</v>
      </c>
      <c r="C4399">
        <v>30</v>
      </c>
    </row>
    <row r="4400" spans="1:4" x14ac:dyDescent="0.25">
      <c r="A4400" t="s">
        <v>20</v>
      </c>
      <c r="B4400">
        <v>76</v>
      </c>
      <c r="C4400">
        <v>31</v>
      </c>
    </row>
    <row r="4401" spans="1:4" x14ac:dyDescent="0.25">
      <c r="A4401" t="s">
        <v>20</v>
      </c>
      <c r="B4401">
        <v>76</v>
      </c>
      <c r="C4401">
        <v>32</v>
      </c>
      <c r="D4401">
        <v>1</v>
      </c>
    </row>
    <row r="4402" spans="1:4" x14ac:dyDescent="0.25">
      <c r="A4402" t="s">
        <v>20</v>
      </c>
      <c r="B4402">
        <v>76</v>
      </c>
      <c r="C4402">
        <v>33</v>
      </c>
    </row>
    <row r="4403" spans="1:4" x14ac:dyDescent="0.25">
      <c r="A4403" t="s">
        <v>20</v>
      </c>
      <c r="B4403">
        <v>76</v>
      </c>
      <c r="C4403">
        <v>34</v>
      </c>
    </row>
    <row r="4404" spans="1:4" x14ac:dyDescent="0.25">
      <c r="A4404" t="s">
        <v>20</v>
      </c>
      <c r="B4404">
        <v>76</v>
      </c>
      <c r="C4404">
        <v>35</v>
      </c>
      <c r="D4404">
        <v>1</v>
      </c>
    </row>
    <row r="4405" spans="1:4" x14ac:dyDescent="0.25">
      <c r="A4405" t="s">
        <v>20</v>
      </c>
      <c r="B4405">
        <v>76</v>
      </c>
      <c r="C4405">
        <v>36</v>
      </c>
    </row>
    <row r="4406" spans="1:4" x14ac:dyDescent="0.25">
      <c r="A4406" t="s">
        <v>20</v>
      </c>
      <c r="B4406">
        <v>76</v>
      </c>
      <c r="C4406">
        <v>37</v>
      </c>
    </row>
    <row r="4407" spans="1:4" x14ac:dyDescent="0.25">
      <c r="A4407" t="s">
        <v>20</v>
      </c>
      <c r="B4407">
        <v>76</v>
      </c>
      <c r="C4407">
        <v>38</v>
      </c>
      <c r="D4407">
        <v>1</v>
      </c>
    </row>
    <row r="4408" spans="1:4" x14ac:dyDescent="0.25">
      <c r="A4408" t="s">
        <v>20</v>
      </c>
      <c r="B4408">
        <v>76</v>
      </c>
      <c r="C4408">
        <v>39</v>
      </c>
    </row>
    <row r="4409" spans="1:4" x14ac:dyDescent="0.25">
      <c r="A4409" t="s">
        <v>20</v>
      </c>
      <c r="B4409">
        <v>76</v>
      </c>
      <c r="C4409">
        <v>40</v>
      </c>
      <c r="D4409">
        <v>1</v>
      </c>
    </row>
    <row r="4410" spans="1:4" x14ac:dyDescent="0.25">
      <c r="A4410" t="s">
        <v>20</v>
      </c>
      <c r="B4410">
        <v>76</v>
      </c>
      <c r="C4410">
        <v>41</v>
      </c>
    </row>
    <row r="4411" spans="1:4" x14ac:dyDescent="0.25">
      <c r="A4411" t="s">
        <v>20</v>
      </c>
      <c r="B4411">
        <v>76</v>
      </c>
      <c r="C4411">
        <v>42</v>
      </c>
    </row>
    <row r="4412" spans="1:4" x14ac:dyDescent="0.25">
      <c r="A4412" t="s">
        <v>20</v>
      </c>
      <c r="B4412">
        <v>76</v>
      </c>
      <c r="C4412">
        <v>43</v>
      </c>
    </row>
    <row r="4413" spans="1:4" x14ac:dyDescent="0.25">
      <c r="A4413" t="s">
        <v>20</v>
      </c>
      <c r="B4413">
        <v>76</v>
      </c>
      <c r="C4413">
        <v>44</v>
      </c>
      <c r="D4413">
        <v>1</v>
      </c>
    </row>
    <row r="4414" spans="1:4" x14ac:dyDescent="0.25">
      <c r="A4414" t="s">
        <v>20</v>
      </c>
      <c r="B4414">
        <v>76</v>
      </c>
      <c r="C4414">
        <v>45</v>
      </c>
    </row>
    <row r="4415" spans="1:4" x14ac:dyDescent="0.25">
      <c r="A4415" t="s">
        <v>20</v>
      </c>
      <c r="B4415">
        <v>76</v>
      </c>
      <c r="C4415">
        <v>46</v>
      </c>
    </row>
    <row r="4416" spans="1:4" x14ac:dyDescent="0.25">
      <c r="A4416" t="s">
        <v>20</v>
      </c>
      <c r="B4416">
        <v>76</v>
      </c>
      <c r="C4416">
        <v>47</v>
      </c>
      <c r="D4416">
        <v>1</v>
      </c>
    </row>
    <row r="4417" spans="1:4" x14ac:dyDescent="0.25">
      <c r="A4417" t="s">
        <v>20</v>
      </c>
      <c r="B4417">
        <v>76</v>
      </c>
      <c r="C4417">
        <v>48</v>
      </c>
    </row>
    <row r="4418" spans="1:4" x14ac:dyDescent="0.25">
      <c r="A4418" t="s">
        <v>20</v>
      </c>
      <c r="B4418">
        <v>76</v>
      </c>
      <c r="C4418">
        <v>49</v>
      </c>
    </row>
    <row r="4419" spans="1:4" x14ac:dyDescent="0.25">
      <c r="A4419" t="s">
        <v>20</v>
      </c>
      <c r="B4419">
        <v>76</v>
      </c>
      <c r="C4419">
        <v>50</v>
      </c>
    </row>
    <row r="4420" spans="1:4" x14ac:dyDescent="0.25">
      <c r="A4420" t="s">
        <v>20</v>
      </c>
      <c r="B4420">
        <v>76</v>
      </c>
      <c r="C4420">
        <v>51</v>
      </c>
    </row>
    <row r="4421" spans="1:4" x14ac:dyDescent="0.25">
      <c r="A4421" t="s">
        <v>20</v>
      </c>
      <c r="B4421">
        <v>76</v>
      </c>
      <c r="C4421">
        <v>52</v>
      </c>
    </row>
    <row r="4422" spans="1:4" x14ac:dyDescent="0.25">
      <c r="A4422" t="s">
        <v>20</v>
      </c>
      <c r="B4422">
        <v>76</v>
      </c>
      <c r="C4422">
        <v>53</v>
      </c>
    </row>
    <row r="4423" spans="1:4" x14ac:dyDescent="0.25">
      <c r="A4423" t="s">
        <v>20</v>
      </c>
      <c r="B4423">
        <v>76</v>
      </c>
      <c r="C4423">
        <v>54</v>
      </c>
    </row>
    <row r="4424" spans="1:4" x14ac:dyDescent="0.25">
      <c r="A4424" t="s">
        <v>20</v>
      </c>
      <c r="B4424">
        <v>76</v>
      </c>
      <c r="C4424">
        <v>55</v>
      </c>
    </row>
    <row r="4425" spans="1:4" x14ac:dyDescent="0.25">
      <c r="A4425" t="s">
        <v>20</v>
      </c>
      <c r="B4425">
        <v>76</v>
      </c>
      <c r="C4425">
        <v>56</v>
      </c>
      <c r="D4425">
        <v>1</v>
      </c>
    </row>
    <row r="4426" spans="1:4" x14ac:dyDescent="0.25">
      <c r="A4426" t="s">
        <v>20</v>
      </c>
      <c r="B4426">
        <v>76</v>
      </c>
      <c r="C4426">
        <v>57</v>
      </c>
    </row>
    <row r="4427" spans="1:4" x14ac:dyDescent="0.25">
      <c r="A4427" t="s">
        <v>20</v>
      </c>
      <c r="B4427">
        <v>76</v>
      </c>
      <c r="C4427">
        <v>58</v>
      </c>
    </row>
    <row r="4428" spans="1:4" x14ac:dyDescent="0.25">
      <c r="A4428" t="s">
        <v>20</v>
      </c>
      <c r="B4428">
        <v>76</v>
      </c>
      <c r="C4428">
        <v>59</v>
      </c>
      <c r="D4428">
        <v>1</v>
      </c>
    </row>
    <row r="4429" spans="1:4" x14ac:dyDescent="0.25">
      <c r="A4429" t="s">
        <v>20</v>
      </c>
      <c r="B4429">
        <v>76</v>
      </c>
      <c r="C4429">
        <v>60</v>
      </c>
    </row>
    <row r="4430" spans="1:4" x14ac:dyDescent="0.25">
      <c r="A4430" t="s">
        <v>20</v>
      </c>
      <c r="B4430">
        <v>76</v>
      </c>
      <c r="C4430">
        <v>61</v>
      </c>
    </row>
    <row r="4431" spans="1:4" x14ac:dyDescent="0.25">
      <c r="A4431" t="s">
        <v>20</v>
      </c>
      <c r="B4431">
        <v>76</v>
      </c>
      <c r="C4431">
        <v>62</v>
      </c>
      <c r="D4431">
        <v>1</v>
      </c>
    </row>
    <row r="4432" spans="1:4" x14ac:dyDescent="0.25">
      <c r="A4432" t="s">
        <v>20</v>
      </c>
      <c r="B4432">
        <v>76</v>
      </c>
      <c r="C4432">
        <v>63</v>
      </c>
    </row>
    <row r="4433" spans="1:4" x14ac:dyDescent="0.25">
      <c r="A4433" t="s">
        <v>20</v>
      </c>
      <c r="B4433">
        <v>76</v>
      </c>
      <c r="C4433">
        <v>64</v>
      </c>
    </row>
    <row r="4434" spans="1:4" x14ac:dyDescent="0.25">
      <c r="A4434" t="s">
        <v>20</v>
      </c>
      <c r="B4434">
        <v>76</v>
      </c>
      <c r="C4434">
        <v>65</v>
      </c>
      <c r="D4434">
        <v>1</v>
      </c>
    </row>
    <row r="4435" spans="1:4" x14ac:dyDescent="0.25">
      <c r="A4435" t="s">
        <v>20</v>
      </c>
      <c r="B4435">
        <v>76</v>
      </c>
      <c r="C4435">
        <v>66</v>
      </c>
    </row>
    <row r="4436" spans="1:4" x14ac:dyDescent="0.25">
      <c r="A4436" t="s">
        <v>20</v>
      </c>
      <c r="B4436">
        <v>76</v>
      </c>
      <c r="C4436">
        <v>67</v>
      </c>
    </row>
    <row r="4437" spans="1:4" x14ac:dyDescent="0.25">
      <c r="A4437" t="s">
        <v>20</v>
      </c>
      <c r="B4437">
        <v>76</v>
      </c>
      <c r="C4437">
        <v>68</v>
      </c>
      <c r="D4437">
        <v>1</v>
      </c>
    </row>
    <row r="4438" spans="1:4" x14ac:dyDescent="0.25">
      <c r="A4438" t="s">
        <v>20</v>
      </c>
      <c r="B4438">
        <v>76</v>
      </c>
      <c r="C4438">
        <v>69</v>
      </c>
    </row>
    <row r="4439" spans="1:4" x14ac:dyDescent="0.25">
      <c r="A4439" t="s">
        <v>20</v>
      </c>
      <c r="B4439">
        <v>76</v>
      </c>
      <c r="C4439">
        <v>70</v>
      </c>
    </row>
    <row r="4440" spans="1:4" x14ac:dyDescent="0.25">
      <c r="A4440" t="s">
        <v>20</v>
      </c>
      <c r="B4440">
        <v>76</v>
      </c>
      <c r="C4440">
        <v>71</v>
      </c>
      <c r="D4440">
        <v>1</v>
      </c>
    </row>
    <row r="4441" spans="1:4" x14ac:dyDescent="0.25">
      <c r="A4441" t="s">
        <v>20</v>
      </c>
      <c r="B4441">
        <v>76</v>
      </c>
      <c r="C4441">
        <v>72</v>
      </c>
    </row>
    <row r="4442" spans="1:4" x14ac:dyDescent="0.25">
      <c r="A4442" t="s">
        <v>20</v>
      </c>
      <c r="B4442">
        <v>76</v>
      </c>
      <c r="C4442">
        <v>73</v>
      </c>
    </row>
    <row r="4443" spans="1:4" x14ac:dyDescent="0.25">
      <c r="A4443" t="s">
        <v>20</v>
      </c>
      <c r="B4443">
        <v>76</v>
      </c>
      <c r="C4443">
        <v>74</v>
      </c>
      <c r="D4443">
        <v>1</v>
      </c>
    </row>
    <row r="4444" spans="1:4" x14ac:dyDescent="0.25">
      <c r="A4444" t="s">
        <v>20</v>
      </c>
      <c r="B4444">
        <v>76</v>
      </c>
      <c r="C4444">
        <v>75</v>
      </c>
    </row>
    <row r="4445" spans="1:4" x14ac:dyDescent="0.25">
      <c r="A4445" t="s">
        <v>20</v>
      </c>
      <c r="B4445">
        <v>76</v>
      </c>
      <c r="C4445">
        <v>76</v>
      </c>
    </row>
    <row r="4446" spans="1:4" x14ac:dyDescent="0.25">
      <c r="A4446" t="s">
        <v>20</v>
      </c>
      <c r="B4446">
        <v>76</v>
      </c>
      <c r="C4446">
        <v>77</v>
      </c>
      <c r="D4446">
        <v>1</v>
      </c>
    </row>
    <row r="4447" spans="1:4" x14ac:dyDescent="0.25">
      <c r="A4447" t="s">
        <v>20</v>
      </c>
      <c r="B4447">
        <v>76</v>
      </c>
      <c r="C4447">
        <v>78</v>
      </c>
    </row>
    <row r="4448" spans="1:4" x14ac:dyDescent="0.25">
      <c r="A4448" t="s">
        <v>20</v>
      </c>
      <c r="B4448">
        <v>76</v>
      </c>
      <c r="C4448">
        <v>79</v>
      </c>
    </row>
    <row r="4449" spans="1:4" x14ac:dyDescent="0.25">
      <c r="A4449" t="s">
        <v>20</v>
      </c>
      <c r="B4449">
        <v>76</v>
      </c>
      <c r="C4449">
        <v>80</v>
      </c>
      <c r="D4449">
        <v>1</v>
      </c>
    </row>
    <row r="4450" spans="1:4" x14ac:dyDescent="0.25">
      <c r="A4450" t="s">
        <v>20</v>
      </c>
      <c r="B4450">
        <v>76</v>
      </c>
      <c r="C4450">
        <v>81</v>
      </c>
    </row>
    <row r="4451" spans="1:4" x14ac:dyDescent="0.25">
      <c r="A4451" t="s">
        <v>20</v>
      </c>
      <c r="B4451">
        <v>76</v>
      </c>
      <c r="C4451">
        <v>82</v>
      </c>
      <c r="D4451">
        <v>1</v>
      </c>
    </row>
    <row r="4452" spans="1:4" x14ac:dyDescent="0.25">
      <c r="A4452" t="s">
        <v>20</v>
      </c>
      <c r="B4452">
        <v>76</v>
      </c>
      <c r="C4452">
        <v>83</v>
      </c>
    </row>
    <row r="4453" spans="1:4" x14ac:dyDescent="0.25">
      <c r="A4453" t="s">
        <v>20</v>
      </c>
      <c r="B4453">
        <v>76</v>
      </c>
      <c r="C4453">
        <v>84</v>
      </c>
    </row>
    <row r="4454" spans="1:4" x14ac:dyDescent="0.25">
      <c r="A4454" t="s">
        <v>20</v>
      </c>
      <c r="B4454">
        <v>78</v>
      </c>
      <c r="C4454">
        <v>1</v>
      </c>
    </row>
    <row r="4455" spans="1:4" x14ac:dyDescent="0.25">
      <c r="A4455" t="s">
        <v>20</v>
      </c>
      <c r="B4455">
        <v>78</v>
      </c>
      <c r="C4455">
        <v>2</v>
      </c>
      <c r="D4455">
        <v>1</v>
      </c>
    </row>
    <row r="4456" spans="1:4" x14ac:dyDescent="0.25">
      <c r="A4456" t="s">
        <v>20</v>
      </c>
      <c r="B4456">
        <v>78</v>
      </c>
      <c r="C4456">
        <v>3</v>
      </c>
    </row>
    <row r="4457" spans="1:4" x14ac:dyDescent="0.25">
      <c r="A4457" t="s">
        <v>20</v>
      </c>
      <c r="B4457">
        <v>78</v>
      </c>
      <c r="C4457">
        <v>4</v>
      </c>
    </row>
    <row r="4458" spans="1:4" x14ac:dyDescent="0.25">
      <c r="A4458" t="s">
        <v>20</v>
      </c>
      <c r="B4458">
        <v>78</v>
      </c>
      <c r="C4458">
        <v>5</v>
      </c>
      <c r="D4458">
        <v>1</v>
      </c>
    </row>
    <row r="4459" spans="1:4" x14ac:dyDescent="0.25">
      <c r="A4459" t="s">
        <v>20</v>
      </c>
      <c r="B4459">
        <v>78</v>
      </c>
      <c r="C4459">
        <v>6</v>
      </c>
    </row>
    <row r="4460" spans="1:4" x14ac:dyDescent="0.25">
      <c r="A4460" t="s">
        <v>20</v>
      </c>
      <c r="B4460">
        <v>78</v>
      </c>
      <c r="C4460">
        <v>7</v>
      </c>
    </row>
    <row r="4461" spans="1:4" x14ac:dyDescent="0.25">
      <c r="A4461" t="s">
        <v>20</v>
      </c>
      <c r="B4461">
        <v>78</v>
      </c>
      <c r="C4461">
        <v>8</v>
      </c>
      <c r="D4461">
        <v>1</v>
      </c>
    </row>
    <row r="4462" spans="1:4" x14ac:dyDescent="0.25">
      <c r="A4462" t="s">
        <v>20</v>
      </c>
      <c r="B4462">
        <v>78</v>
      </c>
      <c r="C4462">
        <v>9</v>
      </c>
    </row>
    <row r="4463" spans="1:4" x14ac:dyDescent="0.25">
      <c r="A4463" t="s">
        <v>20</v>
      </c>
      <c r="B4463">
        <v>78</v>
      </c>
      <c r="C4463">
        <v>10</v>
      </c>
    </row>
    <row r="4464" spans="1:4" x14ac:dyDescent="0.25">
      <c r="A4464" t="s">
        <v>20</v>
      </c>
      <c r="B4464">
        <v>78</v>
      </c>
      <c r="C4464">
        <v>11</v>
      </c>
      <c r="D4464">
        <v>1</v>
      </c>
    </row>
    <row r="4465" spans="1:4" x14ac:dyDescent="0.25">
      <c r="A4465" t="s">
        <v>20</v>
      </c>
      <c r="B4465">
        <v>78</v>
      </c>
      <c r="C4465">
        <v>12</v>
      </c>
    </row>
    <row r="4466" spans="1:4" x14ac:dyDescent="0.25">
      <c r="A4466" t="s">
        <v>20</v>
      </c>
      <c r="B4466">
        <v>78</v>
      </c>
      <c r="C4466">
        <v>13</v>
      </c>
    </row>
    <row r="4467" spans="1:4" x14ac:dyDescent="0.25">
      <c r="A4467" t="s">
        <v>20</v>
      </c>
      <c r="B4467">
        <v>78</v>
      </c>
      <c r="C4467">
        <v>14</v>
      </c>
      <c r="D4467">
        <v>1</v>
      </c>
    </row>
    <row r="4468" spans="1:4" x14ac:dyDescent="0.25">
      <c r="A4468" t="s">
        <v>20</v>
      </c>
      <c r="B4468">
        <v>78</v>
      </c>
      <c r="C4468">
        <v>15</v>
      </c>
    </row>
    <row r="4469" spans="1:4" x14ac:dyDescent="0.25">
      <c r="A4469" t="s">
        <v>20</v>
      </c>
      <c r="B4469">
        <v>78</v>
      </c>
      <c r="C4469">
        <v>16</v>
      </c>
    </row>
    <row r="4470" spans="1:4" x14ac:dyDescent="0.25">
      <c r="A4470" t="s">
        <v>20</v>
      </c>
      <c r="B4470">
        <v>78</v>
      </c>
      <c r="C4470">
        <v>17</v>
      </c>
      <c r="D4470">
        <v>1</v>
      </c>
    </row>
    <row r="4471" spans="1:4" x14ac:dyDescent="0.25">
      <c r="A4471" t="s">
        <v>20</v>
      </c>
      <c r="B4471">
        <v>78</v>
      </c>
      <c r="C4471">
        <v>18</v>
      </c>
    </row>
    <row r="4472" spans="1:4" x14ac:dyDescent="0.25">
      <c r="A4472" t="s">
        <v>20</v>
      </c>
      <c r="B4472">
        <v>78</v>
      </c>
      <c r="C4472">
        <v>19</v>
      </c>
    </row>
    <row r="4473" spans="1:4" x14ac:dyDescent="0.25">
      <c r="A4473" t="s">
        <v>20</v>
      </c>
      <c r="B4473">
        <v>78</v>
      </c>
      <c r="C4473">
        <v>20</v>
      </c>
      <c r="D4473">
        <v>1</v>
      </c>
    </row>
    <row r="4474" spans="1:4" x14ac:dyDescent="0.25">
      <c r="A4474" t="s">
        <v>20</v>
      </c>
      <c r="B4474">
        <v>78</v>
      </c>
      <c r="C4474">
        <v>21</v>
      </c>
    </row>
    <row r="4475" spans="1:4" x14ac:dyDescent="0.25">
      <c r="A4475" t="s">
        <v>20</v>
      </c>
      <c r="B4475">
        <v>78</v>
      </c>
      <c r="C4475">
        <v>22</v>
      </c>
    </row>
    <row r="4476" spans="1:4" x14ac:dyDescent="0.25">
      <c r="A4476" t="s">
        <v>20</v>
      </c>
      <c r="B4476">
        <v>78</v>
      </c>
      <c r="C4476">
        <v>23</v>
      </c>
      <c r="D4476">
        <v>1</v>
      </c>
    </row>
    <row r="4477" spans="1:4" x14ac:dyDescent="0.25">
      <c r="A4477" t="s">
        <v>20</v>
      </c>
      <c r="B4477">
        <v>78</v>
      </c>
      <c r="C4477">
        <v>24</v>
      </c>
    </row>
    <row r="4478" spans="1:4" x14ac:dyDescent="0.25">
      <c r="A4478" t="s">
        <v>20</v>
      </c>
      <c r="B4478">
        <v>78</v>
      </c>
      <c r="C4478">
        <v>25</v>
      </c>
    </row>
    <row r="4479" spans="1:4" x14ac:dyDescent="0.25">
      <c r="A4479" t="s">
        <v>20</v>
      </c>
      <c r="B4479">
        <v>78</v>
      </c>
      <c r="C4479">
        <v>26</v>
      </c>
      <c r="D4479">
        <v>1</v>
      </c>
    </row>
    <row r="4480" spans="1:4" x14ac:dyDescent="0.25">
      <c r="A4480" t="s">
        <v>20</v>
      </c>
      <c r="B4480">
        <v>78</v>
      </c>
      <c r="C4480">
        <v>27</v>
      </c>
    </row>
    <row r="4481" spans="1:4" x14ac:dyDescent="0.25">
      <c r="A4481" t="s">
        <v>20</v>
      </c>
      <c r="B4481">
        <v>78</v>
      </c>
      <c r="C4481">
        <v>28</v>
      </c>
    </row>
    <row r="4482" spans="1:4" x14ac:dyDescent="0.25">
      <c r="A4482" t="s">
        <v>20</v>
      </c>
      <c r="B4482">
        <v>78</v>
      </c>
      <c r="C4482">
        <v>29</v>
      </c>
      <c r="D4482">
        <v>1</v>
      </c>
    </row>
    <row r="4483" spans="1:4" x14ac:dyDescent="0.25">
      <c r="A4483" t="s">
        <v>20</v>
      </c>
      <c r="B4483">
        <v>78</v>
      </c>
      <c r="C4483">
        <v>30</v>
      </c>
    </row>
    <row r="4484" spans="1:4" x14ac:dyDescent="0.25">
      <c r="A4484" t="s">
        <v>20</v>
      </c>
      <c r="B4484">
        <v>78</v>
      </c>
      <c r="C4484">
        <v>31</v>
      </c>
    </row>
    <row r="4485" spans="1:4" x14ac:dyDescent="0.25">
      <c r="A4485" t="s">
        <v>20</v>
      </c>
      <c r="B4485">
        <v>78</v>
      </c>
      <c r="C4485">
        <v>32</v>
      </c>
      <c r="D4485">
        <v>1</v>
      </c>
    </row>
    <row r="4486" spans="1:4" x14ac:dyDescent="0.25">
      <c r="A4486" t="s">
        <v>20</v>
      </c>
      <c r="B4486">
        <v>78</v>
      </c>
      <c r="C4486">
        <v>33</v>
      </c>
    </row>
    <row r="4487" spans="1:4" x14ac:dyDescent="0.25">
      <c r="A4487" t="s">
        <v>20</v>
      </c>
      <c r="B4487">
        <v>78</v>
      </c>
      <c r="C4487">
        <v>34</v>
      </c>
    </row>
    <row r="4488" spans="1:4" x14ac:dyDescent="0.25">
      <c r="A4488" t="s">
        <v>20</v>
      </c>
      <c r="B4488">
        <v>78</v>
      </c>
      <c r="C4488">
        <v>35</v>
      </c>
      <c r="D4488">
        <v>1</v>
      </c>
    </row>
    <row r="4489" spans="1:4" x14ac:dyDescent="0.25">
      <c r="A4489" t="s">
        <v>20</v>
      </c>
      <c r="B4489">
        <v>78</v>
      </c>
      <c r="C4489">
        <v>36</v>
      </c>
    </row>
    <row r="4490" spans="1:4" x14ac:dyDescent="0.25">
      <c r="A4490" t="s">
        <v>20</v>
      </c>
      <c r="B4490">
        <v>78</v>
      </c>
      <c r="C4490">
        <v>37</v>
      </c>
    </row>
    <row r="4491" spans="1:4" x14ac:dyDescent="0.25">
      <c r="A4491" t="s">
        <v>20</v>
      </c>
      <c r="B4491">
        <v>78</v>
      </c>
      <c r="C4491">
        <v>38</v>
      </c>
      <c r="D4491">
        <v>1</v>
      </c>
    </row>
    <row r="4492" spans="1:4" x14ac:dyDescent="0.25">
      <c r="A4492" t="s">
        <v>20</v>
      </c>
      <c r="B4492">
        <v>78</v>
      </c>
      <c r="C4492">
        <v>39</v>
      </c>
    </row>
    <row r="4493" spans="1:4" x14ac:dyDescent="0.25">
      <c r="A4493" t="s">
        <v>20</v>
      </c>
      <c r="B4493">
        <v>78</v>
      </c>
      <c r="C4493">
        <v>40</v>
      </c>
    </row>
    <row r="4494" spans="1:4" x14ac:dyDescent="0.25">
      <c r="A4494" t="s">
        <v>20</v>
      </c>
      <c r="B4494">
        <v>78</v>
      </c>
      <c r="C4494">
        <v>41</v>
      </c>
      <c r="D4494">
        <v>1</v>
      </c>
    </row>
    <row r="4495" spans="1:4" x14ac:dyDescent="0.25">
      <c r="A4495" t="s">
        <v>20</v>
      </c>
      <c r="B4495">
        <v>78</v>
      </c>
      <c r="C4495">
        <v>42</v>
      </c>
    </row>
    <row r="4496" spans="1:4" x14ac:dyDescent="0.25">
      <c r="A4496" t="s">
        <v>20</v>
      </c>
      <c r="B4496">
        <v>78</v>
      </c>
      <c r="C4496">
        <v>43</v>
      </c>
    </row>
    <row r="4497" spans="1:4" x14ac:dyDescent="0.25">
      <c r="A4497" t="s">
        <v>20</v>
      </c>
      <c r="B4497">
        <v>78</v>
      </c>
      <c r="C4497">
        <v>44</v>
      </c>
    </row>
    <row r="4498" spans="1:4" x14ac:dyDescent="0.25">
      <c r="A4498" t="s">
        <v>20</v>
      </c>
      <c r="B4498">
        <v>78</v>
      </c>
      <c r="C4498">
        <v>45</v>
      </c>
    </row>
    <row r="4499" spans="1:4" x14ac:dyDescent="0.25">
      <c r="A4499" t="s">
        <v>20</v>
      </c>
      <c r="B4499">
        <v>78</v>
      </c>
      <c r="C4499">
        <v>46</v>
      </c>
    </row>
    <row r="4500" spans="1:4" x14ac:dyDescent="0.25">
      <c r="A4500" t="s">
        <v>20</v>
      </c>
      <c r="B4500">
        <v>78</v>
      </c>
      <c r="C4500">
        <v>47</v>
      </c>
      <c r="D4500">
        <v>1</v>
      </c>
    </row>
    <row r="4501" spans="1:4" x14ac:dyDescent="0.25">
      <c r="A4501" t="s">
        <v>20</v>
      </c>
      <c r="B4501">
        <v>78</v>
      </c>
      <c r="C4501">
        <v>48</v>
      </c>
    </row>
    <row r="4502" spans="1:4" x14ac:dyDescent="0.25">
      <c r="A4502" t="s">
        <v>20</v>
      </c>
      <c r="B4502">
        <v>78</v>
      </c>
      <c r="C4502">
        <v>49</v>
      </c>
    </row>
    <row r="4503" spans="1:4" x14ac:dyDescent="0.25">
      <c r="A4503" t="s">
        <v>20</v>
      </c>
      <c r="B4503">
        <v>78</v>
      </c>
      <c r="C4503">
        <v>50</v>
      </c>
      <c r="D4503">
        <v>1</v>
      </c>
    </row>
    <row r="4504" spans="1:4" x14ac:dyDescent="0.25">
      <c r="A4504" t="s">
        <v>20</v>
      </c>
      <c r="B4504">
        <v>78</v>
      </c>
      <c r="C4504">
        <v>51</v>
      </c>
    </row>
    <row r="4505" spans="1:4" x14ac:dyDescent="0.25">
      <c r="A4505" t="s">
        <v>20</v>
      </c>
      <c r="B4505">
        <v>78</v>
      </c>
      <c r="C4505">
        <v>52</v>
      </c>
    </row>
    <row r="4506" spans="1:4" x14ac:dyDescent="0.25">
      <c r="A4506" t="s">
        <v>20</v>
      </c>
      <c r="B4506">
        <v>78</v>
      </c>
      <c r="C4506">
        <v>53</v>
      </c>
      <c r="D4506">
        <v>1</v>
      </c>
    </row>
    <row r="4507" spans="1:4" x14ac:dyDescent="0.25">
      <c r="A4507" t="s">
        <v>20</v>
      </c>
      <c r="B4507">
        <v>78</v>
      </c>
      <c r="C4507">
        <v>54</v>
      </c>
    </row>
    <row r="4508" spans="1:4" x14ac:dyDescent="0.25">
      <c r="A4508" t="s">
        <v>20</v>
      </c>
      <c r="B4508">
        <v>78</v>
      </c>
      <c r="C4508">
        <v>55</v>
      </c>
    </row>
    <row r="4509" spans="1:4" x14ac:dyDescent="0.25">
      <c r="A4509" t="s">
        <v>20</v>
      </c>
      <c r="B4509">
        <v>78</v>
      </c>
      <c r="C4509">
        <v>56</v>
      </c>
      <c r="D4509">
        <v>1</v>
      </c>
    </row>
    <row r="4510" spans="1:4" x14ac:dyDescent="0.25">
      <c r="A4510" t="s">
        <v>20</v>
      </c>
      <c r="B4510">
        <v>78</v>
      </c>
      <c r="C4510">
        <v>57</v>
      </c>
    </row>
    <row r="4511" spans="1:4" x14ac:dyDescent="0.25">
      <c r="A4511" t="s">
        <v>20</v>
      </c>
      <c r="B4511">
        <v>78</v>
      </c>
      <c r="C4511">
        <v>58</v>
      </c>
    </row>
    <row r="4512" spans="1:4" x14ac:dyDescent="0.25">
      <c r="A4512" t="s">
        <v>20</v>
      </c>
      <c r="B4512">
        <v>78</v>
      </c>
      <c r="C4512">
        <v>59</v>
      </c>
    </row>
    <row r="4513" spans="1:4" x14ac:dyDescent="0.25">
      <c r="A4513" t="s">
        <v>20</v>
      </c>
      <c r="B4513">
        <v>78</v>
      </c>
      <c r="C4513">
        <v>60</v>
      </c>
    </row>
    <row r="4514" spans="1:4" x14ac:dyDescent="0.25">
      <c r="A4514" t="s">
        <v>20</v>
      </c>
      <c r="B4514">
        <v>78</v>
      </c>
      <c r="C4514">
        <v>61</v>
      </c>
    </row>
    <row r="4515" spans="1:4" x14ac:dyDescent="0.25">
      <c r="A4515" t="s">
        <v>20</v>
      </c>
      <c r="B4515">
        <v>78</v>
      </c>
      <c r="C4515">
        <v>62</v>
      </c>
      <c r="D4515">
        <v>1</v>
      </c>
    </row>
    <row r="4516" spans="1:4" x14ac:dyDescent="0.25">
      <c r="A4516" t="s">
        <v>20</v>
      </c>
      <c r="B4516">
        <v>78</v>
      </c>
      <c r="C4516">
        <v>63</v>
      </c>
    </row>
    <row r="4517" spans="1:4" x14ac:dyDescent="0.25">
      <c r="A4517" t="s">
        <v>20</v>
      </c>
      <c r="B4517">
        <v>78</v>
      </c>
      <c r="C4517">
        <v>64</v>
      </c>
    </row>
    <row r="4518" spans="1:4" x14ac:dyDescent="0.25">
      <c r="A4518" t="s">
        <v>20</v>
      </c>
      <c r="B4518">
        <v>78</v>
      </c>
      <c r="C4518">
        <v>65</v>
      </c>
    </row>
    <row r="4519" spans="1:4" x14ac:dyDescent="0.25">
      <c r="A4519" t="s">
        <v>20</v>
      </c>
      <c r="B4519">
        <v>78</v>
      </c>
      <c r="C4519">
        <v>66</v>
      </c>
    </row>
    <row r="4520" spans="1:4" x14ac:dyDescent="0.25">
      <c r="A4520" t="s">
        <v>20</v>
      </c>
      <c r="B4520">
        <v>78</v>
      </c>
      <c r="C4520">
        <v>67</v>
      </c>
    </row>
    <row r="4521" spans="1:4" x14ac:dyDescent="0.25">
      <c r="A4521" t="s">
        <v>20</v>
      </c>
      <c r="B4521">
        <v>78</v>
      </c>
      <c r="C4521">
        <v>68</v>
      </c>
      <c r="D4521">
        <v>1</v>
      </c>
    </row>
    <row r="4522" spans="1:4" x14ac:dyDescent="0.25">
      <c r="A4522" t="s">
        <v>20</v>
      </c>
      <c r="B4522">
        <v>78</v>
      </c>
      <c r="C4522">
        <v>69</v>
      </c>
    </row>
    <row r="4523" spans="1:4" x14ac:dyDescent="0.25">
      <c r="A4523" t="s">
        <v>20</v>
      </c>
      <c r="B4523">
        <v>78</v>
      </c>
      <c r="C4523">
        <v>70</v>
      </c>
    </row>
    <row r="4524" spans="1:4" x14ac:dyDescent="0.25">
      <c r="A4524" t="s">
        <v>20</v>
      </c>
      <c r="B4524">
        <v>78</v>
      </c>
      <c r="C4524">
        <v>71</v>
      </c>
      <c r="D4524">
        <v>1</v>
      </c>
    </row>
    <row r="4525" spans="1:4" x14ac:dyDescent="0.25">
      <c r="A4525" t="s">
        <v>20</v>
      </c>
      <c r="B4525">
        <v>78</v>
      </c>
      <c r="C4525">
        <v>72</v>
      </c>
    </row>
    <row r="4526" spans="1:4" x14ac:dyDescent="0.25">
      <c r="A4526" t="s">
        <v>20</v>
      </c>
      <c r="B4526">
        <v>78</v>
      </c>
      <c r="C4526">
        <v>73</v>
      </c>
    </row>
    <row r="4527" spans="1:4" x14ac:dyDescent="0.25">
      <c r="A4527" t="s">
        <v>20</v>
      </c>
      <c r="B4527">
        <v>78</v>
      </c>
      <c r="C4527">
        <v>74</v>
      </c>
      <c r="D4527">
        <v>1</v>
      </c>
    </row>
    <row r="4528" spans="1:4" x14ac:dyDescent="0.25">
      <c r="A4528" t="s">
        <v>20</v>
      </c>
      <c r="B4528">
        <v>78</v>
      </c>
      <c r="C4528">
        <v>75</v>
      </c>
    </row>
    <row r="4529" spans="1:4" x14ac:dyDescent="0.25">
      <c r="A4529" t="s">
        <v>20</v>
      </c>
      <c r="B4529">
        <v>78</v>
      </c>
      <c r="C4529">
        <v>76</v>
      </c>
    </row>
    <row r="4530" spans="1:4" x14ac:dyDescent="0.25">
      <c r="A4530" t="s">
        <v>20</v>
      </c>
      <c r="B4530">
        <v>78</v>
      </c>
      <c r="C4530">
        <v>77</v>
      </c>
    </row>
    <row r="4531" spans="1:4" x14ac:dyDescent="0.25">
      <c r="A4531" t="s">
        <v>20</v>
      </c>
      <c r="B4531">
        <v>78</v>
      </c>
      <c r="C4531">
        <v>78</v>
      </c>
    </row>
    <row r="4532" spans="1:4" x14ac:dyDescent="0.25">
      <c r="A4532" t="s">
        <v>20</v>
      </c>
      <c r="B4532">
        <v>78</v>
      </c>
      <c r="C4532">
        <v>79</v>
      </c>
    </row>
    <row r="4533" spans="1:4" x14ac:dyDescent="0.25">
      <c r="A4533" t="s">
        <v>20</v>
      </c>
      <c r="B4533">
        <v>78</v>
      </c>
      <c r="C4533">
        <v>80</v>
      </c>
      <c r="D4533">
        <v>1</v>
      </c>
    </row>
    <row r="4534" spans="1:4" x14ac:dyDescent="0.25">
      <c r="A4534" t="s">
        <v>20</v>
      </c>
      <c r="B4534">
        <v>78</v>
      </c>
      <c r="C4534">
        <v>81</v>
      </c>
    </row>
    <row r="4535" spans="1:4" x14ac:dyDescent="0.25">
      <c r="A4535" t="s">
        <v>20</v>
      </c>
      <c r="B4535">
        <v>78</v>
      </c>
      <c r="C4535">
        <v>82</v>
      </c>
    </row>
    <row r="4536" spans="1:4" x14ac:dyDescent="0.25">
      <c r="A4536" t="s">
        <v>20</v>
      </c>
      <c r="B4536">
        <v>78</v>
      </c>
      <c r="C4536">
        <v>83</v>
      </c>
      <c r="D4536">
        <v>1</v>
      </c>
    </row>
    <row r="4537" spans="1:4" x14ac:dyDescent="0.25">
      <c r="A4537" t="s">
        <v>20</v>
      </c>
      <c r="B4537">
        <v>78</v>
      </c>
      <c r="C4537">
        <v>84</v>
      </c>
    </row>
    <row r="4538" spans="1:4" x14ac:dyDescent="0.25">
      <c r="A4538" t="s">
        <v>20</v>
      </c>
      <c r="B4538">
        <v>79</v>
      </c>
      <c r="C4538">
        <v>1</v>
      </c>
    </row>
    <row r="4539" spans="1:4" x14ac:dyDescent="0.25">
      <c r="A4539" t="s">
        <v>20</v>
      </c>
      <c r="B4539">
        <v>79</v>
      </c>
      <c r="C4539">
        <v>2</v>
      </c>
      <c r="D4539">
        <v>1</v>
      </c>
    </row>
    <row r="4540" spans="1:4" x14ac:dyDescent="0.25">
      <c r="A4540" t="s">
        <v>20</v>
      </c>
      <c r="B4540">
        <v>79</v>
      </c>
      <c r="C4540">
        <v>3</v>
      </c>
    </row>
    <row r="4541" spans="1:4" x14ac:dyDescent="0.25">
      <c r="A4541" t="s">
        <v>20</v>
      </c>
      <c r="B4541">
        <v>79</v>
      </c>
      <c r="C4541">
        <v>4</v>
      </c>
    </row>
    <row r="4542" spans="1:4" x14ac:dyDescent="0.25">
      <c r="A4542" t="s">
        <v>20</v>
      </c>
      <c r="B4542">
        <v>79</v>
      </c>
      <c r="C4542">
        <v>5</v>
      </c>
      <c r="D4542">
        <v>1</v>
      </c>
    </row>
    <row r="4543" spans="1:4" x14ac:dyDescent="0.25">
      <c r="A4543" t="s">
        <v>20</v>
      </c>
      <c r="B4543">
        <v>79</v>
      </c>
      <c r="C4543">
        <v>6</v>
      </c>
    </row>
    <row r="4544" spans="1:4" x14ac:dyDescent="0.25">
      <c r="A4544" t="s">
        <v>20</v>
      </c>
      <c r="B4544">
        <v>79</v>
      </c>
      <c r="C4544">
        <v>7</v>
      </c>
    </row>
    <row r="4545" spans="1:4" x14ac:dyDescent="0.25">
      <c r="A4545" t="s">
        <v>20</v>
      </c>
      <c r="B4545">
        <v>79</v>
      </c>
      <c r="C4545">
        <v>8</v>
      </c>
      <c r="D4545">
        <v>1</v>
      </c>
    </row>
    <row r="4546" spans="1:4" x14ac:dyDescent="0.25">
      <c r="A4546" t="s">
        <v>20</v>
      </c>
      <c r="B4546">
        <v>79</v>
      </c>
      <c r="C4546">
        <v>9</v>
      </c>
    </row>
    <row r="4547" spans="1:4" x14ac:dyDescent="0.25">
      <c r="A4547" t="s">
        <v>20</v>
      </c>
      <c r="B4547">
        <v>79</v>
      </c>
      <c r="C4547">
        <v>10</v>
      </c>
    </row>
    <row r="4548" spans="1:4" x14ac:dyDescent="0.25">
      <c r="A4548" t="s">
        <v>20</v>
      </c>
      <c r="B4548">
        <v>79</v>
      </c>
      <c r="C4548">
        <v>11</v>
      </c>
      <c r="D4548">
        <v>1</v>
      </c>
    </row>
    <row r="4549" spans="1:4" x14ac:dyDescent="0.25">
      <c r="A4549" t="s">
        <v>20</v>
      </c>
      <c r="B4549">
        <v>79</v>
      </c>
      <c r="C4549">
        <v>12</v>
      </c>
    </row>
    <row r="4550" spans="1:4" x14ac:dyDescent="0.25">
      <c r="A4550" t="s">
        <v>20</v>
      </c>
      <c r="B4550">
        <v>79</v>
      </c>
      <c r="C4550">
        <v>13</v>
      </c>
    </row>
    <row r="4551" spans="1:4" x14ac:dyDescent="0.25">
      <c r="A4551" t="s">
        <v>20</v>
      </c>
      <c r="B4551">
        <v>79</v>
      </c>
      <c r="C4551">
        <v>14</v>
      </c>
      <c r="D4551">
        <v>1</v>
      </c>
    </row>
    <row r="4552" spans="1:4" x14ac:dyDescent="0.25">
      <c r="A4552" t="s">
        <v>20</v>
      </c>
      <c r="B4552">
        <v>79</v>
      </c>
      <c r="C4552">
        <v>15</v>
      </c>
    </row>
    <row r="4553" spans="1:4" x14ac:dyDescent="0.25">
      <c r="A4553" t="s">
        <v>20</v>
      </c>
      <c r="B4553">
        <v>79</v>
      </c>
      <c r="C4553">
        <v>16</v>
      </c>
    </row>
    <row r="4554" spans="1:4" x14ac:dyDescent="0.25">
      <c r="A4554" t="s">
        <v>20</v>
      </c>
      <c r="B4554">
        <v>79</v>
      </c>
      <c r="C4554">
        <v>17</v>
      </c>
      <c r="D4554">
        <v>1</v>
      </c>
    </row>
    <row r="4555" spans="1:4" x14ac:dyDescent="0.25">
      <c r="A4555" t="s">
        <v>20</v>
      </c>
      <c r="B4555">
        <v>79</v>
      </c>
      <c r="C4555">
        <v>18</v>
      </c>
    </row>
    <row r="4556" spans="1:4" x14ac:dyDescent="0.25">
      <c r="A4556" t="s">
        <v>20</v>
      </c>
      <c r="B4556">
        <v>79</v>
      </c>
      <c r="C4556">
        <v>19</v>
      </c>
    </row>
    <row r="4557" spans="1:4" x14ac:dyDescent="0.25">
      <c r="A4557" t="s">
        <v>20</v>
      </c>
      <c r="B4557">
        <v>79</v>
      </c>
      <c r="C4557">
        <v>20</v>
      </c>
      <c r="D4557">
        <v>1</v>
      </c>
    </row>
    <row r="4558" spans="1:4" x14ac:dyDescent="0.25">
      <c r="A4558" t="s">
        <v>20</v>
      </c>
      <c r="B4558">
        <v>79</v>
      </c>
      <c r="C4558">
        <v>21</v>
      </c>
    </row>
    <row r="4559" spans="1:4" x14ac:dyDescent="0.25">
      <c r="A4559" t="s">
        <v>20</v>
      </c>
      <c r="B4559">
        <v>79</v>
      </c>
      <c r="C4559">
        <v>22</v>
      </c>
    </row>
    <row r="4560" spans="1:4" x14ac:dyDescent="0.25">
      <c r="A4560" t="s">
        <v>20</v>
      </c>
      <c r="B4560">
        <v>79</v>
      </c>
      <c r="C4560">
        <v>23</v>
      </c>
      <c r="D4560">
        <v>1</v>
      </c>
    </row>
    <row r="4561" spans="1:4" x14ac:dyDescent="0.25">
      <c r="A4561" t="s">
        <v>20</v>
      </c>
      <c r="B4561">
        <v>79</v>
      </c>
      <c r="C4561">
        <v>24</v>
      </c>
    </row>
    <row r="4562" spans="1:4" x14ac:dyDescent="0.25">
      <c r="A4562" t="s">
        <v>20</v>
      </c>
      <c r="B4562">
        <v>79</v>
      </c>
      <c r="C4562">
        <v>25</v>
      </c>
    </row>
    <row r="4563" spans="1:4" x14ac:dyDescent="0.25">
      <c r="A4563" t="s">
        <v>20</v>
      </c>
      <c r="B4563">
        <v>79</v>
      </c>
      <c r="C4563">
        <v>26</v>
      </c>
      <c r="D4563">
        <v>1</v>
      </c>
    </row>
    <row r="4564" spans="1:4" x14ac:dyDescent="0.25">
      <c r="A4564" t="s">
        <v>20</v>
      </c>
      <c r="B4564">
        <v>79</v>
      </c>
      <c r="C4564">
        <v>27</v>
      </c>
    </row>
    <row r="4565" spans="1:4" x14ac:dyDescent="0.25">
      <c r="A4565" t="s">
        <v>20</v>
      </c>
      <c r="B4565">
        <v>79</v>
      </c>
      <c r="C4565">
        <v>28</v>
      </c>
    </row>
    <row r="4566" spans="1:4" x14ac:dyDescent="0.25">
      <c r="A4566" t="s">
        <v>20</v>
      </c>
      <c r="B4566">
        <v>79</v>
      </c>
      <c r="C4566">
        <v>29</v>
      </c>
    </row>
    <row r="4567" spans="1:4" x14ac:dyDescent="0.25">
      <c r="A4567" t="s">
        <v>20</v>
      </c>
      <c r="B4567">
        <v>79</v>
      </c>
      <c r="C4567">
        <v>30</v>
      </c>
    </row>
    <row r="4568" spans="1:4" x14ac:dyDescent="0.25">
      <c r="A4568" t="s">
        <v>20</v>
      </c>
      <c r="B4568">
        <v>79</v>
      </c>
      <c r="C4568">
        <v>31</v>
      </c>
    </row>
    <row r="4569" spans="1:4" x14ac:dyDescent="0.25">
      <c r="A4569" t="s">
        <v>20</v>
      </c>
      <c r="B4569">
        <v>79</v>
      </c>
      <c r="C4569">
        <v>32</v>
      </c>
      <c r="D4569">
        <v>1</v>
      </c>
    </row>
    <row r="4570" spans="1:4" x14ac:dyDescent="0.25">
      <c r="A4570" t="s">
        <v>20</v>
      </c>
      <c r="B4570">
        <v>79</v>
      </c>
      <c r="C4570">
        <v>33</v>
      </c>
    </row>
    <row r="4571" spans="1:4" x14ac:dyDescent="0.25">
      <c r="A4571" t="s">
        <v>20</v>
      </c>
      <c r="B4571">
        <v>79</v>
      </c>
      <c r="C4571">
        <v>34</v>
      </c>
    </row>
    <row r="4572" spans="1:4" x14ac:dyDescent="0.25">
      <c r="A4572" t="s">
        <v>20</v>
      </c>
      <c r="B4572">
        <v>79</v>
      </c>
      <c r="C4572">
        <v>35</v>
      </c>
      <c r="D4572">
        <v>1</v>
      </c>
    </row>
    <row r="4573" spans="1:4" x14ac:dyDescent="0.25">
      <c r="A4573" t="s">
        <v>20</v>
      </c>
      <c r="B4573">
        <v>79</v>
      </c>
      <c r="C4573">
        <v>36</v>
      </c>
    </row>
    <row r="4574" spans="1:4" x14ac:dyDescent="0.25">
      <c r="A4574" t="s">
        <v>20</v>
      </c>
      <c r="B4574">
        <v>79</v>
      </c>
      <c r="C4574">
        <v>37</v>
      </c>
    </row>
    <row r="4575" spans="1:4" x14ac:dyDescent="0.25">
      <c r="A4575" t="s">
        <v>20</v>
      </c>
      <c r="B4575">
        <v>79</v>
      </c>
      <c r="C4575">
        <v>38</v>
      </c>
      <c r="D4575">
        <v>1</v>
      </c>
    </row>
    <row r="4576" spans="1:4" x14ac:dyDescent="0.25">
      <c r="A4576" t="s">
        <v>20</v>
      </c>
      <c r="B4576">
        <v>79</v>
      </c>
      <c r="C4576">
        <v>39</v>
      </c>
    </row>
    <row r="4577" spans="1:4" x14ac:dyDescent="0.25">
      <c r="A4577" t="s">
        <v>20</v>
      </c>
      <c r="B4577">
        <v>79</v>
      </c>
      <c r="C4577">
        <v>40</v>
      </c>
    </row>
    <row r="4578" spans="1:4" x14ac:dyDescent="0.25">
      <c r="A4578" t="s">
        <v>20</v>
      </c>
      <c r="B4578">
        <v>79</v>
      </c>
      <c r="C4578">
        <v>41</v>
      </c>
      <c r="D4578">
        <v>1</v>
      </c>
    </row>
    <row r="4579" spans="1:4" x14ac:dyDescent="0.25">
      <c r="A4579" t="s">
        <v>20</v>
      </c>
      <c r="B4579">
        <v>79</v>
      </c>
      <c r="C4579">
        <v>42</v>
      </c>
    </row>
    <row r="4580" spans="1:4" x14ac:dyDescent="0.25">
      <c r="A4580" t="s">
        <v>20</v>
      </c>
      <c r="B4580">
        <v>79</v>
      </c>
      <c r="C4580">
        <v>43</v>
      </c>
    </row>
    <row r="4581" spans="1:4" x14ac:dyDescent="0.25">
      <c r="A4581" t="s">
        <v>20</v>
      </c>
      <c r="B4581">
        <v>79</v>
      </c>
      <c r="C4581">
        <v>44</v>
      </c>
      <c r="D4581">
        <v>1</v>
      </c>
    </row>
    <row r="4582" spans="1:4" x14ac:dyDescent="0.25">
      <c r="A4582" t="s">
        <v>20</v>
      </c>
      <c r="B4582">
        <v>79</v>
      </c>
      <c r="C4582">
        <v>45</v>
      </c>
    </row>
    <row r="4583" spans="1:4" x14ac:dyDescent="0.25">
      <c r="A4583" t="s">
        <v>20</v>
      </c>
      <c r="B4583">
        <v>79</v>
      </c>
      <c r="C4583">
        <v>46</v>
      </c>
    </row>
    <row r="4584" spans="1:4" x14ac:dyDescent="0.25">
      <c r="A4584" t="s">
        <v>20</v>
      </c>
      <c r="B4584">
        <v>79</v>
      </c>
      <c r="C4584">
        <v>47</v>
      </c>
      <c r="D4584">
        <v>1</v>
      </c>
    </row>
    <row r="4585" spans="1:4" x14ac:dyDescent="0.25">
      <c r="A4585" t="s">
        <v>20</v>
      </c>
      <c r="B4585">
        <v>79</v>
      </c>
      <c r="C4585">
        <v>48</v>
      </c>
    </row>
    <row r="4586" spans="1:4" x14ac:dyDescent="0.25">
      <c r="A4586" t="s">
        <v>20</v>
      </c>
      <c r="B4586">
        <v>79</v>
      </c>
      <c r="C4586">
        <v>49</v>
      </c>
    </row>
    <row r="4587" spans="1:4" x14ac:dyDescent="0.25">
      <c r="A4587" t="s">
        <v>20</v>
      </c>
      <c r="B4587">
        <v>79</v>
      </c>
      <c r="C4587">
        <v>50</v>
      </c>
      <c r="D4587">
        <v>1</v>
      </c>
    </row>
    <row r="4588" spans="1:4" x14ac:dyDescent="0.25">
      <c r="A4588" t="s">
        <v>20</v>
      </c>
      <c r="B4588">
        <v>79</v>
      </c>
      <c r="C4588">
        <v>51</v>
      </c>
    </row>
    <row r="4589" spans="1:4" x14ac:dyDescent="0.25">
      <c r="A4589" t="s">
        <v>20</v>
      </c>
      <c r="B4589">
        <v>79</v>
      </c>
      <c r="C4589">
        <v>52</v>
      </c>
    </row>
    <row r="4590" spans="1:4" x14ac:dyDescent="0.25">
      <c r="A4590" t="s">
        <v>20</v>
      </c>
      <c r="B4590">
        <v>79</v>
      </c>
      <c r="C4590">
        <v>53</v>
      </c>
      <c r="D4590">
        <v>1</v>
      </c>
    </row>
    <row r="4591" spans="1:4" x14ac:dyDescent="0.25">
      <c r="A4591" t="s">
        <v>20</v>
      </c>
      <c r="B4591">
        <v>79</v>
      </c>
      <c r="C4591">
        <v>54</v>
      </c>
    </row>
    <row r="4592" spans="1:4" x14ac:dyDescent="0.25">
      <c r="A4592" t="s">
        <v>20</v>
      </c>
      <c r="B4592">
        <v>79</v>
      </c>
      <c r="C4592">
        <v>55</v>
      </c>
    </row>
    <row r="4593" spans="1:4" x14ac:dyDescent="0.25">
      <c r="A4593" t="s">
        <v>20</v>
      </c>
      <c r="B4593">
        <v>79</v>
      </c>
      <c r="C4593">
        <v>56</v>
      </c>
      <c r="D4593">
        <v>1</v>
      </c>
    </row>
    <row r="4594" spans="1:4" x14ac:dyDescent="0.25">
      <c r="A4594" t="s">
        <v>20</v>
      </c>
      <c r="B4594">
        <v>79</v>
      </c>
      <c r="C4594">
        <v>57</v>
      </c>
    </row>
    <row r="4595" spans="1:4" x14ac:dyDescent="0.25">
      <c r="A4595" t="s">
        <v>20</v>
      </c>
      <c r="B4595">
        <v>79</v>
      </c>
      <c r="C4595">
        <v>58</v>
      </c>
    </row>
    <row r="4596" spans="1:4" x14ac:dyDescent="0.25">
      <c r="A4596" t="s">
        <v>20</v>
      </c>
      <c r="B4596">
        <v>79</v>
      </c>
      <c r="C4596">
        <v>59</v>
      </c>
      <c r="D4596">
        <v>1</v>
      </c>
    </row>
    <row r="4597" spans="1:4" x14ac:dyDescent="0.25">
      <c r="A4597" t="s">
        <v>20</v>
      </c>
      <c r="B4597">
        <v>79</v>
      </c>
      <c r="C4597">
        <v>60</v>
      </c>
    </row>
    <row r="4598" spans="1:4" x14ac:dyDescent="0.25">
      <c r="A4598" t="s">
        <v>20</v>
      </c>
      <c r="B4598">
        <v>79</v>
      </c>
      <c r="C4598">
        <v>61</v>
      </c>
    </row>
    <row r="4599" spans="1:4" x14ac:dyDescent="0.25">
      <c r="A4599" t="s">
        <v>20</v>
      </c>
      <c r="B4599">
        <v>79</v>
      </c>
      <c r="C4599">
        <v>62</v>
      </c>
      <c r="D4599">
        <v>1</v>
      </c>
    </row>
    <row r="4600" spans="1:4" x14ac:dyDescent="0.25">
      <c r="A4600" t="s">
        <v>20</v>
      </c>
      <c r="B4600">
        <v>79</v>
      </c>
      <c r="C4600">
        <v>63</v>
      </c>
    </row>
    <row r="4601" spans="1:4" x14ac:dyDescent="0.25">
      <c r="A4601" t="s">
        <v>20</v>
      </c>
      <c r="B4601">
        <v>79</v>
      </c>
      <c r="C4601">
        <v>64</v>
      </c>
    </row>
    <row r="4602" spans="1:4" x14ac:dyDescent="0.25">
      <c r="A4602" t="s">
        <v>20</v>
      </c>
      <c r="B4602">
        <v>79</v>
      </c>
      <c r="C4602">
        <v>65</v>
      </c>
      <c r="D4602">
        <v>1</v>
      </c>
    </row>
    <row r="4603" spans="1:4" x14ac:dyDescent="0.25">
      <c r="A4603" t="s">
        <v>20</v>
      </c>
      <c r="B4603">
        <v>79</v>
      </c>
      <c r="C4603">
        <v>66</v>
      </c>
    </row>
    <row r="4604" spans="1:4" x14ac:dyDescent="0.25">
      <c r="A4604" t="s">
        <v>20</v>
      </c>
      <c r="B4604">
        <v>79</v>
      </c>
      <c r="C4604">
        <v>67</v>
      </c>
    </row>
    <row r="4605" spans="1:4" x14ac:dyDescent="0.25">
      <c r="A4605" t="s">
        <v>20</v>
      </c>
      <c r="B4605">
        <v>79</v>
      </c>
      <c r="C4605">
        <v>68</v>
      </c>
      <c r="D4605">
        <v>1</v>
      </c>
    </row>
    <row r="4606" spans="1:4" x14ac:dyDescent="0.25">
      <c r="A4606" t="s">
        <v>20</v>
      </c>
      <c r="B4606">
        <v>79</v>
      </c>
      <c r="C4606">
        <v>69</v>
      </c>
    </row>
    <row r="4607" spans="1:4" x14ac:dyDescent="0.25">
      <c r="A4607" t="s">
        <v>20</v>
      </c>
      <c r="B4607">
        <v>79</v>
      </c>
      <c r="C4607">
        <v>70</v>
      </c>
    </row>
    <row r="4608" spans="1:4" x14ac:dyDescent="0.25">
      <c r="A4608" t="s">
        <v>20</v>
      </c>
      <c r="B4608">
        <v>79</v>
      </c>
      <c r="C4608">
        <v>71</v>
      </c>
      <c r="D4608">
        <v>1</v>
      </c>
    </row>
    <row r="4609" spans="1:4" x14ac:dyDescent="0.25">
      <c r="A4609" t="s">
        <v>20</v>
      </c>
      <c r="B4609">
        <v>79</v>
      </c>
      <c r="C4609">
        <v>72</v>
      </c>
    </row>
    <row r="4610" spans="1:4" x14ac:dyDescent="0.25">
      <c r="A4610" t="s">
        <v>20</v>
      </c>
      <c r="B4610">
        <v>79</v>
      </c>
      <c r="C4610">
        <v>73</v>
      </c>
    </row>
    <row r="4611" spans="1:4" x14ac:dyDescent="0.25">
      <c r="A4611" t="s">
        <v>20</v>
      </c>
      <c r="B4611">
        <v>79</v>
      </c>
      <c r="C4611">
        <v>74</v>
      </c>
      <c r="D4611">
        <v>1</v>
      </c>
    </row>
    <row r="4612" spans="1:4" x14ac:dyDescent="0.25">
      <c r="A4612" t="s">
        <v>20</v>
      </c>
      <c r="B4612">
        <v>79</v>
      </c>
      <c r="C4612">
        <v>75</v>
      </c>
    </row>
    <row r="4613" spans="1:4" x14ac:dyDescent="0.25">
      <c r="A4613" t="s">
        <v>20</v>
      </c>
      <c r="B4613">
        <v>79</v>
      </c>
      <c r="C4613">
        <v>76</v>
      </c>
    </row>
    <row r="4614" spans="1:4" x14ac:dyDescent="0.25">
      <c r="A4614" t="s">
        <v>20</v>
      </c>
      <c r="B4614">
        <v>79</v>
      </c>
      <c r="C4614">
        <v>77</v>
      </c>
      <c r="D4614">
        <v>1</v>
      </c>
    </row>
    <row r="4615" spans="1:4" x14ac:dyDescent="0.25">
      <c r="A4615" t="s">
        <v>20</v>
      </c>
      <c r="B4615">
        <v>79</v>
      </c>
      <c r="C4615">
        <v>78</v>
      </c>
    </row>
    <row r="4616" spans="1:4" x14ac:dyDescent="0.25">
      <c r="A4616" t="s">
        <v>20</v>
      </c>
      <c r="B4616">
        <v>79</v>
      </c>
      <c r="C4616">
        <v>79</v>
      </c>
    </row>
    <row r="4617" spans="1:4" x14ac:dyDescent="0.25">
      <c r="A4617" t="s">
        <v>20</v>
      </c>
      <c r="B4617">
        <v>79</v>
      </c>
      <c r="C4617">
        <v>80</v>
      </c>
      <c r="D4617">
        <v>1</v>
      </c>
    </row>
    <row r="4618" spans="1:4" x14ac:dyDescent="0.25">
      <c r="A4618" t="s">
        <v>20</v>
      </c>
      <c r="B4618">
        <v>79</v>
      </c>
      <c r="C4618">
        <v>81</v>
      </c>
    </row>
    <row r="4619" spans="1:4" x14ac:dyDescent="0.25">
      <c r="A4619" t="s">
        <v>20</v>
      </c>
      <c r="B4619">
        <v>79</v>
      </c>
      <c r="C4619">
        <v>82</v>
      </c>
    </row>
    <row r="4620" spans="1:4" x14ac:dyDescent="0.25">
      <c r="A4620" t="s">
        <v>20</v>
      </c>
      <c r="B4620">
        <v>79</v>
      </c>
      <c r="C4620">
        <v>83</v>
      </c>
      <c r="D4620">
        <v>1</v>
      </c>
    </row>
    <row r="4621" spans="1:4" x14ac:dyDescent="0.25">
      <c r="A4621" t="s">
        <v>20</v>
      </c>
      <c r="B4621">
        <v>79</v>
      </c>
      <c r="C4621">
        <v>84</v>
      </c>
    </row>
    <row r="4622" spans="1:4" x14ac:dyDescent="0.25">
      <c r="A4622" t="s">
        <v>20</v>
      </c>
      <c r="B4622">
        <v>81</v>
      </c>
      <c r="C4622">
        <v>1</v>
      </c>
      <c r="D4622">
        <v>1</v>
      </c>
    </row>
    <row r="4623" spans="1:4" x14ac:dyDescent="0.25">
      <c r="A4623" t="s">
        <v>20</v>
      </c>
      <c r="B4623">
        <v>81</v>
      </c>
      <c r="C4623">
        <v>2</v>
      </c>
    </row>
    <row r="4624" spans="1:4" x14ac:dyDescent="0.25">
      <c r="A4624" t="s">
        <v>20</v>
      </c>
      <c r="B4624">
        <v>81</v>
      </c>
      <c r="C4624">
        <v>3</v>
      </c>
    </row>
    <row r="4625" spans="1:4" x14ac:dyDescent="0.25">
      <c r="A4625" t="s">
        <v>20</v>
      </c>
      <c r="B4625">
        <v>81</v>
      </c>
      <c r="C4625">
        <v>4</v>
      </c>
      <c r="D4625">
        <v>1</v>
      </c>
    </row>
    <row r="4626" spans="1:4" x14ac:dyDescent="0.25">
      <c r="A4626" t="s">
        <v>20</v>
      </c>
      <c r="B4626">
        <v>81</v>
      </c>
      <c r="C4626">
        <v>5</v>
      </c>
    </row>
    <row r="4627" spans="1:4" x14ac:dyDescent="0.25">
      <c r="A4627" t="s">
        <v>20</v>
      </c>
      <c r="B4627">
        <v>81</v>
      </c>
      <c r="C4627">
        <v>6</v>
      </c>
    </row>
    <row r="4628" spans="1:4" x14ac:dyDescent="0.25">
      <c r="A4628" t="s">
        <v>20</v>
      </c>
      <c r="B4628">
        <v>81</v>
      </c>
      <c r="C4628">
        <v>7</v>
      </c>
    </row>
    <row r="4629" spans="1:4" x14ac:dyDescent="0.25">
      <c r="A4629" t="s">
        <v>20</v>
      </c>
      <c r="B4629">
        <v>81</v>
      </c>
      <c r="C4629">
        <v>8</v>
      </c>
      <c r="D4629">
        <v>1</v>
      </c>
    </row>
    <row r="4630" spans="1:4" x14ac:dyDescent="0.25">
      <c r="A4630" t="s">
        <v>20</v>
      </c>
      <c r="B4630">
        <v>81</v>
      </c>
      <c r="C4630">
        <v>9</v>
      </c>
    </row>
    <row r="4631" spans="1:4" x14ac:dyDescent="0.25">
      <c r="A4631" t="s">
        <v>20</v>
      </c>
      <c r="B4631">
        <v>81</v>
      </c>
      <c r="C4631">
        <v>10</v>
      </c>
    </row>
    <row r="4632" spans="1:4" x14ac:dyDescent="0.25">
      <c r="A4632" t="s">
        <v>20</v>
      </c>
      <c r="B4632">
        <v>81</v>
      </c>
      <c r="C4632">
        <v>11</v>
      </c>
      <c r="D4632">
        <v>1</v>
      </c>
    </row>
    <row r="4633" spans="1:4" x14ac:dyDescent="0.25">
      <c r="A4633" t="s">
        <v>20</v>
      </c>
      <c r="B4633">
        <v>81</v>
      </c>
      <c r="C4633">
        <v>12</v>
      </c>
    </row>
    <row r="4634" spans="1:4" x14ac:dyDescent="0.25">
      <c r="A4634" t="s">
        <v>20</v>
      </c>
      <c r="B4634">
        <v>81</v>
      </c>
      <c r="C4634">
        <v>13</v>
      </c>
    </row>
    <row r="4635" spans="1:4" x14ac:dyDescent="0.25">
      <c r="A4635" t="s">
        <v>20</v>
      </c>
      <c r="B4635">
        <v>81</v>
      </c>
      <c r="C4635">
        <v>14</v>
      </c>
      <c r="D4635">
        <v>1</v>
      </c>
    </row>
    <row r="4636" spans="1:4" x14ac:dyDescent="0.25">
      <c r="A4636" t="s">
        <v>20</v>
      </c>
      <c r="B4636">
        <v>81</v>
      </c>
      <c r="C4636">
        <v>15</v>
      </c>
    </row>
    <row r="4637" spans="1:4" x14ac:dyDescent="0.25">
      <c r="A4637" t="s">
        <v>20</v>
      </c>
      <c r="B4637">
        <v>81</v>
      </c>
      <c r="C4637">
        <v>16</v>
      </c>
    </row>
    <row r="4638" spans="1:4" x14ac:dyDescent="0.25">
      <c r="A4638" t="s">
        <v>20</v>
      </c>
      <c r="B4638">
        <v>81</v>
      </c>
      <c r="C4638">
        <v>17</v>
      </c>
    </row>
    <row r="4639" spans="1:4" x14ac:dyDescent="0.25">
      <c r="A4639" t="s">
        <v>20</v>
      </c>
      <c r="B4639">
        <v>81</v>
      </c>
      <c r="C4639">
        <v>18</v>
      </c>
    </row>
    <row r="4640" spans="1:4" x14ac:dyDescent="0.25">
      <c r="A4640" t="s">
        <v>20</v>
      </c>
      <c r="B4640">
        <v>81</v>
      </c>
      <c r="C4640">
        <v>19</v>
      </c>
    </row>
    <row r="4641" spans="1:4" x14ac:dyDescent="0.25">
      <c r="A4641" t="s">
        <v>20</v>
      </c>
      <c r="B4641">
        <v>81</v>
      </c>
      <c r="C4641">
        <v>20</v>
      </c>
      <c r="D4641">
        <v>1</v>
      </c>
    </row>
    <row r="4642" spans="1:4" x14ac:dyDescent="0.25">
      <c r="A4642" t="s">
        <v>20</v>
      </c>
      <c r="B4642">
        <v>81</v>
      </c>
      <c r="C4642">
        <v>21</v>
      </c>
    </row>
    <row r="4643" spans="1:4" x14ac:dyDescent="0.25">
      <c r="A4643" t="s">
        <v>20</v>
      </c>
      <c r="B4643">
        <v>81</v>
      </c>
      <c r="C4643">
        <v>22</v>
      </c>
      <c r="D4643">
        <v>1</v>
      </c>
    </row>
    <row r="4644" spans="1:4" x14ac:dyDescent="0.25">
      <c r="A4644" t="s">
        <v>20</v>
      </c>
      <c r="B4644">
        <v>81</v>
      </c>
      <c r="C4644">
        <v>23</v>
      </c>
    </row>
    <row r="4645" spans="1:4" x14ac:dyDescent="0.25">
      <c r="A4645" t="s">
        <v>20</v>
      </c>
      <c r="B4645">
        <v>81</v>
      </c>
      <c r="C4645">
        <v>24</v>
      </c>
    </row>
    <row r="4646" spans="1:4" x14ac:dyDescent="0.25">
      <c r="A4646" t="s">
        <v>20</v>
      </c>
      <c r="B4646">
        <v>81</v>
      </c>
      <c r="C4646">
        <v>25</v>
      </c>
      <c r="D4646">
        <v>1</v>
      </c>
    </row>
    <row r="4647" spans="1:4" x14ac:dyDescent="0.25">
      <c r="A4647" t="s">
        <v>20</v>
      </c>
      <c r="B4647">
        <v>81</v>
      </c>
      <c r="C4647">
        <v>26</v>
      </c>
    </row>
    <row r="4648" spans="1:4" x14ac:dyDescent="0.25">
      <c r="A4648" t="s">
        <v>20</v>
      </c>
      <c r="B4648">
        <v>81</v>
      </c>
      <c r="C4648">
        <v>27</v>
      </c>
    </row>
    <row r="4649" spans="1:4" x14ac:dyDescent="0.25">
      <c r="A4649" t="s">
        <v>20</v>
      </c>
      <c r="B4649">
        <v>81</v>
      </c>
      <c r="C4649">
        <v>28</v>
      </c>
    </row>
    <row r="4650" spans="1:4" x14ac:dyDescent="0.25">
      <c r="A4650" t="s">
        <v>20</v>
      </c>
      <c r="B4650">
        <v>81</v>
      </c>
      <c r="C4650">
        <v>29</v>
      </c>
    </row>
    <row r="4651" spans="1:4" x14ac:dyDescent="0.25">
      <c r="A4651" t="s">
        <v>20</v>
      </c>
      <c r="B4651">
        <v>81</v>
      </c>
      <c r="C4651">
        <v>30</v>
      </c>
    </row>
    <row r="4652" spans="1:4" x14ac:dyDescent="0.25">
      <c r="A4652" t="s">
        <v>20</v>
      </c>
      <c r="B4652">
        <v>81</v>
      </c>
      <c r="C4652">
        <v>31</v>
      </c>
    </row>
    <row r="4653" spans="1:4" x14ac:dyDescent="0.25">
      <c r="A4653" t="s">
        <v>20</v>
      </c>
      <c r="B4653">
        <v>81</v>
      </c>
      <c r="C4653">
        <v>32</v>
      </c>
      <c r="D4653">
        <v>1</v>
      </c>
    </row>
    <row r="4654" spans="1:4" x14ac:dyDescent="0.25">
      <c r="A4654" t="s">
        <v>20</v>
      </c>
      <c r="B4654">
        <v>81</v>
      </c>
      <c r="C4654">
        <v>33</v>
      </c>
    </row>
    <row r="4655" spans="1:4" x14ac:dyDescent="0.25">
      <c r="A4655" t="s">
        <v>20</v>
      </c>
      <c r="B4655">
        <v>81</v>
      </c>
      <c r="C4655">
        <v>34</v>
      </c>
    </row>
    <row r="4656" spans="1:4" x14ac:dyDescent="0.25">
      <c r="A4656" t="s">
        <v>20</v>
      </c>
      <c r="B4656">
        <v>81</v>
      </c>
      <c r="C4656">
        <v>35</v>
      </c>
      <c r="D4656">
        <v>1</v>
      </c>
    </row>
    <row r="4657" spans="1:4" x14ac:dyDescent="0.25">
      <c r="A4657" t="s">
        <v>20</v>
      </c>
      <c r="B4657">
        <v>81</v>
      </c>
      <c r="C4657">
        <v>36</v>
      </c>
    </row>
    <row r="4658" spans="1:4" x14ac:dyDescent="0.25">
      <c r="A4658" t="s">
        <v>20</v>
      </c>
      <c r="B4658">
        <v>81</v>
      </c>
      <c r="C4658">
        <v>37</v>
      </c>
    </row>
    <row r="4659" spans="1:4" x14ac:dyDescent="0.25">
      <c r="A4659" t="s">
        <v>20</v>
      </c>
      <c r="B4659">
        <v>81</v>
      </c>
      <c r="C4659">
        <v>38</v>
      </c>
      <c r="D4659">
        <v>1</v>
      </c>
    </row>
    <row r="4660" spans="1:4" x14ac:dyDescent="0.25">
      <c r="A4660" t="s">
        <v>20</v>
      </c>
      <c r="B4660">
        <v>81</v>
      </c>
      <c r="C4660">
        <v>39</v>
      </c>
    </row>
    <row r="4661" spans="1:4" x14ac:dyDescent="0.25">
      <c r="A4661" t="s">
        <v>20</v>
      </c>
      <c r="B4661">
        <v>81</v>
      </c>
      <c r="C4661">
        <v>40</v>
      </c>
    </row>
    <row r="4662" spans="1:4" x14ac:dyDescent="0.25">
      <c r="A4662" t="s">
        <v>20</v>
      </c>
      <c r="B4662">
        <v>81</v>
      </c>
      <c r="C4662">
        <v>41</v>
      </c>
      <c r="D4662">
        <v>1</v>
      </c>
    </row>
    <row r="4663" spans="1:4" x14ac:dyDescent="0.25">
      <c r="A4663" t="s">
        <v>20</v>
      </c>
      <c r="B4663">
        <v>81</v>
      </c>
      <c r="C4663">
        <v>42</v>
      </c>
    </row>
    <row r="4664" spans="1:4" x14ac:dyDescent="0.25">
      <c r="A4664" t="s">
        <v>20</v>
      </c>
      <c r="B4664">
        <v>81</v>
      </c>
      <c r="C4664">
        <v>43</v>
      </c>
      <c r="D4664">
        <v>1</v>
      </c>
    </row>
    <row r="4665" spans="1:4" x14ac:dyDescent="0.25">
      <c r="A4665" t="s">
        <v>20</v>
      </c>
      <c r="B4665">
        <v>81</v>
      </c>
      <c r="C4665">
        <v>44</v>
      </c>
    </row>
    <row r="4666" spans="1:4" x14ac:dyDescent="0.25">
      <c r="A4666" t="s">
        <v>20</v>
      </c>
      <c r="B4666">
        <v>81</v>
      </c>
      <c r="C4666">
        <v>45</v>
      </c>
    </row>
    <row r="4667" spans="1:4" x14ac:dyDescent="0.25">
      <c r="A4667" t="s">
        <v>20</v>
      </c>
      <c r="B4667">
        <v>81</v>
      </c>
      <c r="C4667">
        <v>46</v>
      </c>
      <c r="D4667">
        <v>1</v>
      </c>
    </row>
    <row r="4668" spans="1:4" x14ac:dyDescent="0.25">
      <c r="A4668" t="s">
        <v>20</v>
      </c>
      <c r="B4668">
        <v>81</v>
      </c>
      <c r="C4668">
        <v>47</v>
      </c>
    </row>
    <row r="4669" spans="1:4" x14ac:dyDescent="0.25">
      <c r="A4669" t="s">
        <v>20</v>
      </c>
      <c r="B4669">
        <v>81</v>
      </c>
      <c r="C4669">
        <v>48</v>
      </c>
    </row>
    <row r="4670" spans="1:4" x14ac:dyDescent="0.25">
      <c r="A4670" t="s">
        <v>20</v>
      </c>
      <c r="B4670">
        <v>81</v>
      </c>
      <c r="C4670">
        <v>49</v>
      </c>
    </row>
    <row r="4671" spans="1:4" x14ac:dyDescent="0.25">
      <c r="A4671" t="s">
        <v>20</v>
      </c>
      <c r="B4671">
        <v>81</v>
      </c>
      <c r="C4671">
        <v>50</v>
      </c>
    </row>
    <row r="4672" spans="1:4" x14ac:dyDescent="0.25">
      <c r="A4672" t="s">
        <v>20</v>
      </c>
      <c r="B4672">
        <v>81</v>
      </c>
      <c r="C4672">
        <v>51</v>
      </c>
    </row>
    <row r="4673" spans="1:4" x14ac:dyDescent="0.25">
      <c r="A4673" t="s">
        <v>20</v>
      </c>
      <c r="B4673">
        <v>81</v>
      </c>
      <c r="C4673">
        <v>52</v>
      </c>
    </row>
    <row r="4674" spans="1:4" x14ac:dyDescent="0.25">
      <c r="A4674" t="s">
        <v>20</v>
      </c>
      <c r="B4674">
        <v>81</v>
      </c>
      <c r="C4674">
        <v>53</v>
      </c>
      <c r="D4674">
        <v>1</v>
      </c>
    </row>
    <row r="4675" spans="1:4" x14ac:dyDescent="0.25">
      <c r="A4675" t="s">
        <v>20</v>
      </c>
      <c r="B4675">
        <v>81</v>
      </c>
      <c r="C4675">
        <v>54</v>
      </c>
    </row>
    <row r="4676" spans="1:4" x14ac:dyDescent="0.25">
      <c r="A4676" t="s">
        <v>20</v>
      </c>
      <c r="B4676">
        <v>81</v>
      </c>
      <c r="C4676">
        <v>55</v>
      </c>
    </row>
    <row r="4677" spans="1:4" x14ac:dyDescent="0.25">
      <c r="A4677" t="s">
        <v>20</v>
      </c>
      <c r="B4677">
        <v>81</v>
      </c>
      <c r="C4677">
        <v>56</v>
      </c>
      <c r="D4677">
        <v>1</v>
      </c>
    </row>
    <row r="4678" spans="1:4" x14ac:dyDescent="0.25">
      <c r="A4678" t="s">
        <v>20</v>
      </c>
      <c r="B4678">
        <v>81</v>
      </c>
      <c r="C4678">
        <v>57</v>
      </c>
    </row>
    <row r="4679" spans="1:4" x14ac:dyDescent="0.25">
      <c r="A4679" t="s">
        <v>20</v>
      </c>
      <c r="B4679">
        <v>81</v>
      </c>
      <c r="C4679">
        <v>58</v>
      </c>
    </row>
    <row r="4680" spans="1:4" x14ac:dyDescent="0.25">
      <c r="A4680" t="s">
        <v>20</v>
      </c>
      <c r="B4680">
        <v>81</v>
      </c>
      <c r="C4680">
        <v>59</v>
      </c>
      <c r="D4680">
        <v>1</v>
      </c>
    </row>
    <row r="4681" spans="1:4" x14ac:dyDescent="0.25">
      <c r="A4681" t="s">
        <v>20</v>
      </c>
      <c r="B4681">
        <v>81</v>
      </c>
      <c r="C4681">
        <v>60</v>
      </c>
    </row>
    <row r="4682" spans="1:4" x14ac:dyDescent="0.25">
      <c r="A4682" t="s">
        <v>20</v>
      </c>
      <c r="B4682">
        <v>81</v>
      </c>
      <c r="C4682">
        <v>61</v>
      </c>
    </row>
    <row r="4683" spans="1:4" x14ac:dyDescent="0.25">
      <c r="A4683" t="s">
        <v>20</v>
      </c>
      <c r="B4683">
        <v>81</v>
      </c>
      <c r="C4683">
        <v>62</v>
      </c>
      <c r="D4683">
        <v>1</v>
      </c>
    </row>
    <row r="4684" spans="1:4" x14ac:dyDescent="0.25">
      <c r="A4684" t="s">
        <v>20</v>
      </c>
      <c r="B4684">
        <v>81</v>
      </c>
      <c r="C4684">
        <v>63</v>
      </c>
    </row>
    <row r="4685" spans="1:4" x14ac:dyDescent="0.25">
      <c r="A4685" t="s">
        <v>20</v>
      </c>
      <c r="B4685">
        <v>81</v>
      </c>
      <c r="C4685">
        <v>64</v>
      </c>
      <c r="D4685">
        <v>1</v>
      </c>
    </row>
    <row r="4686" spans="1:4" x14ac:dyDescent="0.25">
      <c r="A4686" t="s">
        <v>20</v>
      </c>
      <c r="B4686">
        <v>81</v>
      </c>
      <c r="C4686">
        <v>65</v>
      </c>
    </row>
    <row r="4687" spans="1:4" x14ac:dyDescent="0.25">
      <c r="A4687" t="s">
        <v>20</v>
      </c>
      <c r="B4687">
        <v>81</v>
      </c>
      <c r="C4687">
        <v>66</v>
      </c>
    </row>
    <row r="4688" spans="1:4" x14ac:dyDescent="0.25">
      <c r="A4688" t="s">
        <v>20</v>
      </c>
      <c r="B4688">
        <v>81</v>
      </c>
      <c r="C4688">
        <v>67</v>
      </c>
      <c r="D4688">
        <v>1</v>
      </c>
    </row>
    <row r="4689" spans="1:4" x14ac:dyDescent="0.25">
      <c r="A4689" t="s">
        <v>20</v>
      </c>
      <c r="B4689">
        <v>81</v>
      </c>
      <c r="C4689">
        <v>68</v>
      </c>
    </row>
    <row r="4690" spans="1:4" x14ac:dyDescent="0.25">
      <c r="A4690" t="s">
        <v>20</v>
      </c>
      <c r="B4690">
        <v>81</v>
      </c>
      <c r="C4690">
        <v>69</v>
      </c>
    </row>
    <row r="4691" spans="1:4" x14ac:dyDescent="0.25">
      <c r="A4691" t="s">
        <v>20</v>
      </c>
      <c r="B4691">
        <v>81</v>
      </c>
      <c r="C4691">
        <v>70</v>
      </c>
    </row>
    <row r="4692" spans="1:4" x14ac:dyDescent="0.25">
      <c r="A4692" t="s">
        <v>20</v>
      </c>
      <c r="B4692">
        <v>81</v>
      </c>
      <c r="C4692">
        <v>71</v>
      </c>
    </row>
    <row r="4693" spans="1:4" x14ac:dyDescent="0.25">
      <c r="A4693" t="s">
        <v>20</v>
      </c>
      <c r="B4693">
        <v>81</v>
      </c>
      <c r="C4693">
        <v>72</v>
      </c>
    </row>
    <row r="4694" spans="1:4" x14ac:dyDescent="0.25">
      <c r="A4694" t="s">
        <v>20</v>
      </c>
      <c r="B4694">
        <v>81</v>
      </c>
      <c r="C4694">
        <v>73</v>
      </c>
    </row>
    <row r="4695" spans="1:4" x14ac:dyDescent="0.25">
      <c r="A4695" t="s">
        <v>20</v>
      </c>
      <c r="B4695">
        <v>81</v>
      </c>
      <c r="C4695">
        <v>74</v>
      </c>
      <c r="D4695">
        <v>1</v>
      </c>
    </row>
    <row r="4696" spans="1:4" x14ac:dyDescent="0.25">
      <c r="A4696" t="s">
        <v>20</v>
      </c>
      <c r="B4696">
        <v>81</v>
      </c>
      <c r="C4696">
        <v>75</v>
      </c>
    </row>
    <row r="4697" spans="1:4" x14ac:dyDescent="0.25">
      <c r="A4697" t="s">
        <v>20</v>
      </c>
      <c r="B4697">
        <v>81</v>
      </c>
      <c r="C4697">
        <v>76</v>
      </c>
    </row>
    <row r="4698" spans="1:4" x14ac:dyDescent="0.25">
      <c r="A4698" t="s">
        <v>20</v>
      </c>
      <c r="B4698">
        <v>81</v>
      </c>
      <c r="C4698">
        <v>77</v>
      </c>
      <c r="D4698">
        <v>1</v>
      </c>
    </row>
    <row r="4699" spans="1:4" x14ac:dyDescent="0.25">
      <c r="A4699" t="s">
        <v>20</v>
      </c>
      <c r="B4699">
        <v>81</v>
      </c>
      <c r="C4699">
        <v>78</v>
      </c>
    </row>
    <row r="4700" spans="1:4" x14ac:dyDescent="0.25">
      <c r="A4700" t="s">
        <v>20</v>
      </c>
      <c r="B4700">
        <v>81</v>
      </c>
      <c r="C4700">
        <v>79</v>
      </c>
    </row>
    <row r="4701" spans="1:4" x14ac:dyDescent="0.25">
      <c r="A4701" t="s">
        <v>20</v>
      </c>
      <c r="B4701">
        <v>81</v>
      </c>
      <c r="C4701">
        <v>80</v>
      </c>
      <c r="D4701">
        <v>1</v>
      </c>
    </row>
    <row r="4702" spans="1:4" x14ac:dyDescent="0.25">
      <c r="A4702" t="s">
        <v>20</v>
      </c>
      <c r="B4702">
        <v>81</v>
      </c>
      <c r="C4702">
        <v>81</v>
      </c>
    </row>
    <row r="4703" spans="1:4" x14ac:dyDescent="0.25">
      <c r="A4703" t="s">
        <v>20</v>
      </c>
      <c r="B4703">
        <v>81</v>
      </c>
      <c r="C4703">
        <v>82</v>
      </c>
    </row>
    <row r="4704" spans="1:4" x14ac:dyDescent="0.25">
      <c r="A4704" t="s">
        <v>20</v>
      </c>
      <c r="B4704">
        <v>81</v>
      </c>
      <c r="C4704">
        <v>83</v>
      </c>
      <c r="D4704">
        <v>1</v>
      </c>
    </row>
    <row r="4705" spans="1:4" x14ac:dyDescent="0.25">
      <c r="A4705" t="s">
        <v>20</v>
      </c>
      <c r="B4705">
        <v>81</v>
      </c>
      <c r="C4705">
        <v>84</v>
      </c>
    </row>
    <row r="4706" spans="1:4" x14ac:dyDescent="0.25">
      <c r="A4706" t="s">
        <v>20</v>
      </c>
      <c r="B4706">
        <v>82</v>
      </c>
      <c r="C4706">
        <v>1</v>
      </c>
    </row>
    <row r="4707" spans="1:4" x14ac:dyDescent="0.25">
      <c r="A4707" t="s">
        <v>20</v>
      </c>
      <c r="B4707">
        <v>82</v>
      </c>
      <c r="C4707">
        <v>2</v>
      </c>
      <c r="D4707">
        <v>1</v>
      </c>
    </row>
    <row r="4708" spans="1:4" x14ac:dyDescent="0.25">
      <c r="A4708" t="s">
        <v>20</v>
      </c>
      <c r="B4708">
        <v>82</v>
      </c>
      <c r="C4708">
        <v>3</v>
      </c>
    </row>
    <row r="4709" spans="1:4" x14ac:dyDescent="0.25">
      <c r="A4709" t="s">
        <v>20</v>
      </c>
      <c r="B4709">
        <v>82</v>
      </c>
      <c r="C4709">
        <v>4</v>
      </c>
    </row>
    <row r="4710" spans="1:4" x14ac:dyDescent="0.25">
      <c r="A4710" t="s">
        <v>20</v>
      </c>
      <c r="B4710">
        <v>82</v>
      </c>
      <c r="C4710">
        <v>5</v>
      </c>
      <c r="D4710">
        <v>1</v>
      </c>
    </row>
    <row r="4711" spans="1:4" x14ac:dyDescent="0.25">
      <c r="A4711" t="s">
        <v>20</v>
      </c>
      <c r="B4711">
        <v>82</v>
      </c>
      <c r="C4711">
        <v>6</v>
      </c>
    </row>
    <row r="4712" spans="1:4" x14ac:dyDescent="0.25">
      <c r="A4712" t="s">
        <v>20</v>
      </c>
      <c r="B4712">
        <v>82</v>
      </c>
      <c r="C4712">
        <v>7</v>
      </c>
    </row>
    <row r="4713" spans="1:4" x14ac:dyDescent="0.25">
      <c r="A4713" t="s">
        <v>20</v>
      </c>
      <c r="B4713">
        <v>82</v>
      </c>
      <c r="C4713">
        <v>8</v>
      </c>
    </row>
    <row r="4714" spans="1:4" x14ac:dyDescent="0.25">
      <c r="A4714" t="s">
        <v>20</v>
      </c>
      <c r="B4714">
        <v>82</v>
      </c>
      <c r="C4714">
        <v>9</v>
      </c>
    </row>
    <row r="4715" spans="1:4" x14ac:dyDescent="0.25">
      <c r="A4715" t="s">
        <v>20</v>
      </c>
      <c r="B4715">
        <v>82</v>
      </c>
      <c r="C4715">
        <v>10</v>
      </c>
      <c r="D4715">
        <v>1</v>
      </c>
    </row>
    <row r="4716" spans="1:4" x14ac:dyDescent="0.25">
      <c r="A4716" t="s">
        <v>20</v>
      </c>
      <c r="B4716">
        <v>82</v>
      </c>
      <c r="C4716">
        <v>11</v>
      </c>
    </row>
    <row r="4717" spans="1:4" x14ac:dyDescent="0.25">
      <c r="A4717" t="s">
        <v>20</v>
      </c>
      <c r="B4717">
        <v>82</v>
      </c>
      <c r="C4717">
        <v>12</v>
      </c>
    </row>
    <row r="4718" spans="1:4" x14ac:dyDescent="0.25">
      <c r="A4718" t="s">
        <v>20</v>
      </c>
      <c r="B4718">
        <v>82</v>
      </c>
      <c r="C4718">
        <v>13</v>
      </c>
      <c r="D4718">
        <v>1</v>
      </c>
    </row>
    <row r="4719" spans="1:4" x14ac:dyDescent="0.25">
      <c r="A4719" t="s">
        <v>20</v>
      </c>
      <c r="B4719">
        <v>82</v>
      </c>
      <c r="C4719">
        <v>14</v>
      </c>
    </row>
    <row r="4720" spans="1:4" x14ac:dyDescent="0.25">
      <c r="A4720" t="s">
        <v>20</v>
      </c>
      <c r="B4720">
        <v>82</v>
      </c>
      <c r="C4720">
        <v>15</v>
      </c>
    </row>
    <row r="4721" spans="1:4" x14ac:dyDescent="0.25">
      <c r="A4721" t="s">
        <v>20</v>
      </c>
      <c r="B4721">
        <v>82</v>
      </c>
      <c r="C4721">
        <v>16</v>
      </c>
    </row>
    <row r="4722" spans="1:4" x14ac:dyDescent="0.25">
      <c r="A4722" t="s">
        <v>20</v>
      </c>
      <c r="B4722">
        <v>82</v>
      </c>
      <c r="C4722">
        <v>17</v>
      </c>
      <c r="D4722">
        <v>1</v>
      </c>
    </row>
    <row r="4723" spans="1:4" x14ac:dyDescent="0.25">
      <c r="A4723" t="s">
        <v>20</v>
      </c>
      <c r="B4723">
        <v>82</v>
      </c>
      <c r="C4723">
        <v>18</v>
      </c>
    </row>
    <row r="4724" spans="1:4" x14ac:dyDescent="0.25">
      <c r="A4724" t="s">
        <v>20</v>
      </c>
      <c r="B4724">
        <v>82</v>
      </c>
      <c r="C4724">
        <v>19</v>
      </c>
      <c r="D4724">
        <v>1</v>
      </c>
    </row>
    <row r="4725" spans="1:4" x14ac:dyDescent="0.25">
      <c r="A4725" t="s">
        <v>20</v>
      </c>
      <c r="B4725">
        <v>82</v>
      </c>
      <c r="C4725">
        <v>20</v>
      </c>
    </row>
    <row r="4726" spans="1:4" x14ac:dyDescent="0.25">
      <c r="A4726" t="s">
        <v>20</v>
      </c>
      <c r="B4726">
        <v>82</v>
      </c>
      <c r="C4726">
        <v>21</v>
      </c>
    </row>
    <row r="4727" spans="1:4" x14ac:dyDescent="0.25">
      <c r="A4727" t="s">
        <v>20</v>
      </c>
      <c r="B4727">
        <v>82</v>
      </c>
      <c r="C4727">
        <v>22</v>
      </c>
    </row>
    <row r="4728" spans="1:4" x14ac:dyDescent="0.25">
      <c r="A4728" t="s">
        <v>20</v>
      </c>
      <c r="B4728">
        <v>82</v>
      </c>
      <c r="C4728">
        <v>23</v>
      </c>
      <c r="D4728">
        <v>1</v>
      </c>
    </row>
    <row r="4729" spans="1:4" x14ac:dyDescent="0.25">
      <c r="A4729" t="s">
        <v>20</v>
      </c>
      <c r="B4729">
        <v>82</v>
      </c>
      <c r="C4729">
        <v>24</v>
      </c>
    </row>
    <row r="4730" spans="1:4" x14ac:dyDescent="0.25">
      <c r="A4730" t="s">
        <v>20</v>
      </c>
      <c r="B4730">
        <v>82</v>
      </c>
      <c r="C4730">
        <v>25</v>
      </c>
    </row>
    <row r="4731" spans="1:4" x14ac:dyDescent="0.25">
      <c r="A4731" t="s">
        <v>20</v>
      </c>
      <c r="B4731">
        <v>82</v>
      </c>
      <c r="C4731">
        <v>26</v>
      </c>
      <c r="D4731">
        <v>1</v>
      </c>
    </row>
    <row r="4732" spans="1:4" x14ac:dyDescent="0.25">
      <c r="A4732" t="s">
        <v>20</v>
      </c>
      <c r="B4732">
        <v>82</v>
      </c>
      <c r="C4732">
        <v>27</v>
      </c>
    </row>
    <row r="4733" spans="1:4" x14ac:dyDescent="0.25">
      <c r="A4733" t="s">
        <v>20</v>
      </c>
      <c r="B4733">
        <v>82</v>
      </c>
      <c r="C4733">
        <v>28</v>
      </c>
    </row>
    <row r="4734" spans="1:4" x14ac:dyDescent="0.25">
      <c r="A4734" t="s">
        <v>20</v>
      </c>
      <c r="B4734">
        <v>82</v>
      </c>
      <c r="C4734">
        <v>29</v>
      </c>
      <c r="D4734">
        <v>1</v>
      </c>
    </row>
    <row r="4735" spans="1:4" x14ac:dyDescent="0.25">
      <c r="A4735" t="s">
        <v>20</v>
      </c>
      <c r="B4735">
        <v>82</v>
      </c>
      <c r="C4735">
        <v>30</v>
      </c>
    </row>
    <row r="4736" spans="1:4" x14ac:dyDescent="0.25">
      <c r="A4736" t="s">
        <v>20</v>
      </c>
      <c r="B4736">
        <v>82</v>
      </c>
      <c r="C4736">
        <v>31</v>
      </c>
      <c r="D4736">
        <v>1</v>
      </c>
    </row>
    <row r="4737" spans="1:4" x14ac:dyDescent="0.25">
      <c r="A4737" t="s">
        <v>20</v>
      </c>
      <c r="B4737">
        <v>82</v>
      </c>
      <c r="C4737">
        <v>32</v>
      </c>
    </row>
    <row r="4738" spans="1:4" x14ac:dyDescent="0.25">
      <c r="A4738" t="s">
        <v>20</v>
      </c>
      <c r="B4738">
        <v>82</v>
      </c>
      <c r="C4738">
        <v>33</v>
      </c>
    </row>
    <row r="4739" spans="1:4" x14ac:dyDescent="0.25">
      <c r="A4739" t="s">
        <v>20</v>
      </c>
      <c r="B4739">
        <v>82</v>
      </c>
      <c r="C4739">
        <v>34</v>
      </c>
      <c r="D4739">
        <v>1</v>
      </c>
    </row>
    <row r="4740" spans="1:4" x14ac:dyDescent="0.25">
      <c r="A4740" t="s">
        <v>20</v>
      </c>
      <c r="B4740">
        <v>82</v>
      </c>
      <c r="C4740">
        <v>35</v>
      </c>
    </row>
    <row r="4741" spans="1:4" x14ac:dyDescent="0.25">
      <c r="A4741" t="s">
        <v>20</v>
      </c>
      <c r="B4741">
        <v>82</v>
      </c>
      <c r="C4741">
        <v>36</v>
      </c>
    </row>
    <row r="4742" spans="1:4" x14ac:dyDescent="0.25">
      <c r="A4742" t="s">
        <v>20</v>
      </c>
      <c r="B4742">
        <v>82</v>
      </c>
      <c r="C4742">
        <v>37</v>
      </c>
      <c r="D4742">
        <v>1</v>
      </c>
    </row>
    <row r="4743" spans="1:4" x14ac:dyDescent="0.25">
      <c r="A4743" t="s">
        <v>20</v>
      </c>
      <c r="B4743">
        <v>82</v>
      </c>
      <c r="C4743">
        <v>38</v>
      </c>
    </row>
    <row r="4744" spans="1:4" x14ac:dyDescent="0.25">
      <c r="A4744" t="s">
        <v>20</v>
      </c>
      <c r="B4744">
        <v>82</v>
      </c>
      <c r="C4744">
        <v>39</v>
      </c>
    </row>
    <row r="4745" spans="1:4" x14ac:dyDescent="0.25">
      <c r="A4745" t="s">
        <v>20</v>
      </c>
      <c r="B4745">
        <v>82</v>
      </c>
      <c r="C4745">
        <v>40</v>
      </c>
      <c r="D4745">
        <v>1</v>
      </c>
    </row>
    <row r="4746" spans="1:4" x14ac:dyDescent="0.25">
      <c r="A4746" t="s">
        <v>20</v>
      </c>
      <c r="B4746">
        <v>82</v>
      </c>
      <c r="C4746">
        <v>41</v>
      </c>
    </row>
    <row r="4747" spans="1:4" x14ac:dyDescent="0.25">
      <c r="A4747" t="s">
        <v>20</v>
      </c>
      <c r="B4747">
        <v>82</v>
      </c>
      <c r="C4747">
        <v>42</v>
      </c>
    </row>
    <row r="4748" spans="1:4" x14ac:dyDescent="0.25">
      <c r="A4748" t="s">
        <v>20</v>
      </c>
      <c r="B4748">
        <v>82</v>
      </c>
      <c r="C4748">
        <v>43</v>
      </c>
      <c r="D4748">
        <v>1</v>
      </c>
    </row>
    <row r="4749" spans="1:4" x14ac:dyDescent="0.25">
      <c r="A4749" t="s">
        <v>20</v>
      </c>
      <c r="B4749">
        <v>82</v>
      </c>
      <c r="C4749">
        <v>44</v>
      </c>
    </row>
    <row r="4750" spans="1:4" x14ac:dyDescent="0.25">
      <c r="A4750" t="s">
        <v>20</v>
      </c>
      <c r="B4750">
        <v>82</v>
      </c>
      <c r="C4750">
        <v>45</v>
      </c>
    </row>
    <row r="4751" spans="1:4" x14ac:dyDescent="0.25">
      <c r="A4751" t="s">
        <v>20</v>
      </c>
      <c r="B4751">
        <v>82</v>
      </c>
      <c r="C4751">
        <v>46</v>
      </c>
      <c r="D4751">
        <v>1</v>
      </c>
    </row>
    <row r="4752" spans="1:4" x14ac:dyDescent="0.25">
      <c r="A4752" t="s">
        <v>20</v>
      </c>
      <c r="B4752">
        <v>82</v>
      </c>
      <c r="C4752">
        <v>47</v>
      </c>
    </row>
    <row r="4753" spans="1:4" x14ac:dyDescent="0.25">
      <c r="A4753" t="s">
        <v>20</v>
      </c>
      <c r="B4753">
        <v>82</v>
      </c>
      <c r="C4753">
        <v>48</v>
      </c>
    </row>
    <row r="4754" spans="1:4" x14ac:dyDescent="0.25">
      <c r="A4754" t="s">
        <v>20</v>
      </c>
      <c r="B4754">
        <v>82</v>
      </c>
      <c r="C4754">
        <v>49</v>
      </c>
    </row>
    <row r="4755" spans="1:4" x14ac:dyDescent="0.25">
      <c r="A4755" t="s">
        <v>20</v>
      </c>
      <c r="B4755">
        <v>82</v>
      </c>
      <c r="C4755">
        <v>50</v>
      </c>
      <c r="D4755">
        <v>1</v>
      </c>
    </row>
    <row r="4756" spans="1:4" x14ac:dyDescent="0.25">
      <c r="A4756" t="s">
        <v>20</v>
      </c>
      <c r="B4756">
        <v>82</v>
      </c>
      <c r="C4756">
        <v>51</v>
      </c>
    </row>
    <row r="4757" spans="1:4" x14ac:dyDescent="0.25">
      <c r="A4757" t="s">
        <v>20</v>
      </c>
      <c r="B4757">
        <v>82</v>
      </c>
      <c r="C4757">
        <v>52</v>
      </c>
      <c r="D4757">
        <v>1</v>
      </c>
    </row>
    <row r="4758" spans="1:4" x14ac:dyDescent="0.25">
      <c r="A4758" t="s">
        <v>20</v>
      </c>
      <c r="B4758">
        <v>82</v>
      </c>
      <c r="C4758">
        <v>53</v>
      </c>
    </row>
    <row r="4759" spans="1:4" x14ac:dyDescent="0.25">
      <c r="A4759" t="s">
        <v>20</v>
      </c>
      <c r="B4759">
        <v>82</v>
      </c>
      <c r="C4759">
        <v>54</v>
      </c>
    </row>
    <row r="4760" spans="1:4" x14ac:dyDescent="0.25">
      <c r="A4760" t="s">
        <v>20</v>
      </c>
      <c r="B4760">
        <v>82</v>
      </c>
      <c r="C4760">
        <v>55</v>
      </c>
    </row>
    <row r="4761" spans="1:4" x14ac:dyDescent="0.25">
      <c r="A4761" t="s">
        <v>20</v>
      </c>
      <c r="B4761">
        <v>82</v>
      </c>
      <c r="C4761">
        <v>56</v>
      </c>
    </row>
    <row r="4762" spans="1:4" x14ac:dyDescent="0.25">
      <c r="A4762" t="s">
        <v>20</v>
      </c>
      <c r="B4762">
        <v>82</v>
      </c>
      <c r="C4762">
        <v>57</v>
      </c>
    </row>
    <row r="4763" spans="1:4" x14ac:dyDescent="0.25">
      <c r="A4763" t="s">
        <v>20</v>
      </c>
      <c r="B4763">
        <v>82</v>
      </c>
      <c r="C4763">
        <v>58</v>
      </c>
    </row>
    <row r="4764" spans="1:4" x14ac:dyDescent="0.25">
      <c r="A4764" t="s">
        <v>20</v>
      </c>
      <c r="B4764">
        <v>82</v>
      </c>
      <c r="C4764">
        <v>59</v>
      </c>
    </row>
    <row r="4765" spans="1:4" x14ac:dyDescent="0.25">
      <c r="A4765" t="s">
        <v>20</v>
      </c>
      <c r="B4765">
        <v>82</v>
      </c>
      <c r="C4765">
        <v>60</v>
      </c>
      <c r="D4765">
        <v>1</v>
      </c>
    </row>
    <row r="4766" spans="1:4" x14ac:dyDescent="0.25">
      <c r="A4766" t="s">
        <v>20</v>
      </c>
      <c r="B4766">
        <v>82</v>
      </c>
      <c r="C4766">
        <v>61</v>
      </c>
    </row>
    <row r="4767" spans="1:4" x14ac:dyDescent="0.25">
      <c r="A4767" t="s">
        <v>20</v>
      </c>
      <c r="B4767">
        <v>82</v>
      </c>
      <c r="C4767">
        <v>62</v>
      </c>
    </row>
    <row r="4768" spans="1:4" x14ac:dyDescent="0.25">
      <c r="A4768" t="s">
        <v>20</v>
      </c>
      <c r="B4768">
        <v>82</v>
      </c>
      <c r="C4768">
        <v>63</v>
      </c>
      <c r="D4768">
        <v>1</v>
      </c>
    </row>
    <row r="4769" spans="1:4" x14ac:dyDescent="0.25">
      <c r="A4769" t="s">
        <v>20</v>
      </c>
      <c r="B4769">
        <v>82</v>
      </c>
      <c r="C4769">
        <v>64</v>
      </c>
    </row>
    <row r="4770" spans="1:4" x14ac:dyDescent="0.25">
      <c r="A4770" t="s">
        <v>20</v>
      </c>
      <c r="B4770">
        <v>82</v>
      </c>
      <c r="C4770">
        <v>65</v>
      </c>
    </row>
    <row r="4771" spans="1:4" x14ac:dyDescent="0.25">
      <c r="A4771" t="s">
        <v>20</v>
      </c>
      <c r="B4771">
        <v>82</v>
      </c>
      <c r="C4771">
        <v>66</v>
      </c>
      <c r="D4771">
        <v>1</v>
      </c>
    </row>
    <row r="4772" spans="1:4" x14ac:dyDescent="0.25">
      <c r="A4772" t="s">
        <v>20</v>
      </c>
      <c r="B4772">
        <v>82</v>
      </c>
      <c r="C4772">
        <v>67</v>
      </c>
      <c r="D4772">
        <v>1</v>
      </c>
    </row>
    <row r="4773" spans="1:4" x14ac:dyDescent="0.25">
      <c r="A4773" t="s">
        <v>20</v>
      </c>
      <c r="B4773">
        <v>82</v>
      </c>
      <c r="C4773">
        <v>68</v>
      </c>
    </row>
    <row r="4774" spans="1:4" x14ac:dyDescent="0.25">
      <c r="A4774" t="s">
        <v>20</v>
      </c>
      <c r="B4774">
        <v>82</v>
      </c>
      <c r="C4774">
        <v>69</v>
      </c>
    </row>
    <row r="4775" spans="1:4" x14ac:dyDescent="0.25">
      <c r="A4775" t="s">
        <v>20</v>
      </c>
      <c r="B4775">
        <v>82</v>
      </c>
      <c r="C4775">
        <v>70</v>
      </c>
    </row>
    <row r="4776" spans="1:4" x14ac:dyDescent="0.25">
      <c r="A4776" t="s">
        <v>20</v>
      </c>
      <c r="B4776">
        <v>82</v>
      </c>
      <c r="C4776">
        <v>71</v>
      </c>
      <c r="D4776">
        <v>1</v>
      </c>
    </row>
    <row r="4777" spans="1:4" x14ac:dyDescent="0.25">
      <c r="A4777" t="s">
        <v>20</v>
      </c>
      <c r="B4777">
        <v>82</v>
      </c>
      <c r="C4777">
        <v>72</v>
      </c>
    </row>
    <row r="4778" spans="1:4" x14ac:dyDescent="0.25">
      <c r="A4778" t="s">
        <v>20</v>
      </c>
      <c r="B4778">
        <v>82</v>
      </c>
      <c r="C4778">
        <v>73</v>
      </c>
    </row>
    <row r="4779" spans="1:4" x14ac:dyDescent="0.25">
      <c r="A4779" t="s">
        <v>20</v>
      </c>
      <c r="B4779">
        <v>82</v>
      </c>
      <c r="C4779">
        <v>74</v>
      </c>
      <c r="D4779">
        <v>1</v>
      </c>
    </row>
    <row r="4780" spans="1:4" x14ac:dyDescent="0.25">
      <c r="A4780" t="s">
        <v>20</v>
      </c>
      <c r="B4780">
        <v>82</v>
      </c>
      <c r="C4780">
        <v>75</v>
      </c>
    </row>
    <row r="4781" spans="1:4" x14ac:dyDescent="0.25">
      <c r="A4781" t="s">
        <v>20</v>
      </c>
      <c r="B4781">
        <v>82</v>
      </c>
      <c r="C4781">
        <v>76</v>
      </c>
    </row>
    <row r="4782" spans="1:4" x14ac:dyDescent="0.25">
      <c r="A4782" t="s">
        <v>20</v>
      </c>
      <c r="B4782">
        <v>82</v>
      </c>
      <c r="C4782">
        <v>77</v>
      </c>
      <c r="D4782">
        <v>1</v>
      </c>
    </row>
    <row r="4783" spans="1:4" x14ac:dyDescent="0.25">
      <c r="A4783" t="s">
        <v>20</v>
      </c>
      <c r="B4783">
        <v>82</v>
      </c>
      <c r="C4783">
        <v>78</v>
      </c>
    </row>
    <row r="4784" spans="1:4" x14ac:dyDescent="0.25">
      <c r="A4784" t="s">
        <v>20</v>
      </c>
      <c r="B4784">
        <v>82</v>
      </c>
      <c r="C4784">
        <v>79</v>
      </c>
    </row>
    <row r="4785" spans="1:4" x14ac:dyDescent="0.25">
      <c r="A4785" t="s">
        <v>20</v>
      </c>
      <c r="B4785">
        <v>82</v>
      </c>
      <c r="C4785">
        <v>80</v>
      </c>
      <c r="D4785">
        <v>1</v>
      </c>
    </row>
    <row r="4786" spans="1:4" x14ac:dyDescent="0.25">
      <c r="A4786" t="s">
        <v>20</v>
      </c>
      <c r="B4786">
        <v>82</v>
      </c>
      <c r="C4786">
        <v>81</v>
      </c>
    </row>
    <row r="4787" spans="1:4" x14ac:dyDescent="0.25">
      <c r="A4787" t="s">
        <v>20</v>
      </c>
      <c r="B4787">
        <v>82</v>
      </c>
      <c r="C4787">
        <v>82</v>
      </c>
      <c r="D4787">
        <v>1</v>
      </c>
    </row>
    <row r="4788" spans="1:4" x14ac:dyDescent="0.25">
      <c r="A4788" t="s">
        <v>20</v>
      </c>
      <c r="B4788">
        <v>82</v>
      </c>
      <c r="C4788">
        <v>83</v>
      </c>
    </row>
    <row r="4789" spans="1:4" x14ac:dyDescent="0.25">
      <c r="A4789" t="s">
        <v>20</v>
      </c>
      <c r="B4789">
        <v>82</v>
      </c>
      <c r="C4789">
        <v>84</v>
      </c>
    </row>
    <row r="4790" spans="1:4" x14ac:dyDescent="0.25">
      <c r="A4790" t="s">
        <v>20</v>
      </c>
      <c r="B4790">
        <v>83</v>
      </c>
      <c r="C4790">
        <v>1</v>
      </c>
      <c r="D4790">
        <v>1</v>
      </c>
    </row>
    <row r="4791" spans="1:4" x14ac:dyDescent="0.25">
      <c r="A4791" t="s">
        <v>20</v>
      </c>
      <c r="B4791">
        <v>83</v>
      </c>
      <c r="C4791">
        <v>2</v>
      </c>
    </row>
    <row r="4792" spans="1:4" x14ac:dyDescent="0.25">
      <c r="A4792" t="s">
        <v>20</v>
      </c>
      <c r="B4792">
        <v>83</v>
      </c>
      <c r="C4792">
        <v>3</v>
      </c>
    </row>
    <row r="4793" spans="1:4" x14ac:dyDescent="0.25">
      <c r="A4793" t="s">
        <v>20</v>
      </c>
      <c r="B4793">
        <v>83</v>
      </c>
      <c r="C4793">
        <v>4</v>
      </c>
      <c r="D4793">
        <v>1</v>
      </c>
    </row>
    <row r="4794" spans="1:4" x14ac:dyDescent="0.25">
      <c r="A4794" t="s">
        <v>20</v>
      </c>
      <c r="B4794">
        <v>83</v>
      </c>
      <c r="C4794">
        <v>5</v>
      </c>
    </row>
    <row r="4795" spans="1:4" x14ac:dyDescent="0.25">
      <c r="A4795" t="s">
        <v>20</v>
      </c>
      <c r="B4795">
        <v>83</v>
      </c>
      <c r="C4795">
        <v>6</v>
      </c>
    </row>
    <row r="4796" spans="1:4" x14ac:dyDescent="0.25">
      <c r="A4796" t="s">
        <v>20</v>
      </c>
      <c r="B4796">
        <v>83</v>
      </c>
      <c r="C4796">
        <v>7</v>
      </c>
      <c r="D4796">
        <v>1</v>
      </c>
    </row>
    <row r="4797" spans="1:4" x14ac:dyDescent="0.25">
      <c r="A4797" t="s">
        <v>20</v>
      </c>
      <c r="B4797">
        <v>83</v>
      </c>
      <c r="C4797">
        <v>8</v>
      </c>
    </row>
    <row r="4798" spans="1:4" x14ac:dyDescent="0.25">
      <c r="A4798" t="s">
        <v>20</v>
      </c>
      <c r="B4798">
        <v>83</v>
      </c>
      <c r="C4798">
        <v>9</v>
      </c>
    </row>
    <row r="4799" spans="1:4" x14ac:dyDescent="0.25">
      <c r="A4799" t="s">
        <v>20</v>
      </c>
      <c r="B4799">
        <v>83</v>
      </c>
      <c r="C4799">
        <v>10</v>
      </c>
    </row>
    <row r="4800" spans="1:4" x14ac:dyDescent="0.25">
      <c r="A4800" t="s">
        <v>20</v>
      </c>
      <c r="B4800">
        <v>83</v>
      </c>
      <c r="C4800">
        <v>11</v>
      </c>
    </row>
    <row r="4801" spans="1:4" x14ac:dyDescent="0.25">
      <c r="A4801" t="s">
        <v>20</v>
      </c>
      <c r="B4801">
        <v>83</v>
      </c>
      <c r="C4801">
        <v>12</v>
      </c>
    </row>
    <row r="4802" spans="1:4" x14ac:dyDescent="0.25">
      <c r="A4802" t="s">
        <v>20</v>
      </c>
      <c r="B4802">
        <v>83</v>
      </c>
      <c r="C4802">
        <v>13</v>
      </c>
    </row>
    <row r="4803" spans="1:4" x14ac:dyDescent="0.25">
      <c r="A4803" t="s">
        <v>20</v>
      </c>
      <c r="B4803">
        <v>83</v>
      </c>
      <c r="C4803">
        <v>14</v>
      </c>
    </row>
    <row r="4804" spans="1:4" x14ac:dyDescent="0.25">
      <c r="A4804" t="s">
        <v>20</v>
      </c>
      <c r="B4804">
        <v>83</v>
      </c>
      <c r="C4804">
        <v>15</v>
      </c>
    </row>
    <row r="4805" spans="1:4" x14ac:dyDescent="0.25">
      <c r="A4805" t="s">
        <v>20</v>
      </c>
      <c r="B4805">
        <v>83</v>
      </c>
      <c r="C4805">
        <v>16</v>
      </c>
      <c r="D4805">
        <v>1</v>
      </c>
    </row>
    <row r="4806" spans="1:4" x14ac:dyDescent="0.25">
      <c r="A4806" t="s">
        <v>20</v>
      </c>
      <c r="B4806">
        <v>83</v>
      </c>
      <c r="C4806">
        <v>17</v>
      </c>
    </row>
    <row r="4807" spans="1:4" x14ac:dyDescent="0.25">
      <c r="A4807" t="s">
        <v>20</v>
      </c>
      <c r="B4807">
        <v>83</v>
      </c>
      <c r="C4807">
        <v>18</v>
      </c>
    </row>
    <row r="4808" spans="1:4" x14ac:dyDescent="0.25">
      <c r="A4808" t="s">
        <v>20</v>
      </c>
      <c r="B4808">
        <v>83</v>
      </c>
      <c r="C4808">
        <v>19</v>
      </c>
      <c r="D4808">
        <v>1</v>
      </c>
    </row>
    <row r="4809" spans="1:4" x14ac:dyDescent="0.25">
      <c r="A4809" t="s">
        <v>20</v>
      </c>
      <c r="B4809">
        <v>83</v>
      </c>
      <c r="C4809">
        <v>20</v>
      </c>
    </row>
    <row r="4810" spans="1:4" x14ac:dyDescent="0.25">
      <c r="A4810" t="s">
        <v>20</v>
      </c>
      <c r="B4810">
        <v>83</v>
      </c>
      <c r="C4810">
        <v>21</v>
      </c>
    </row>
    <row r="4811" spans="1:4" x14ac:dyDescent="0.25">
      <c r="A4811" t="s">
        <v>20</v>
      </c>
      <c r="B4811">
        <v>83</v>
      </c>
      <c r="C4811">
        <v>22</v>
      </c>
    </row>
    <row r="4812" spans="1:4" x14ac:dyDescent="0.25">
      <c r="A4812" t="s">
        <v>20</v>
      </c>
      <c r="B4812">
        <v>83</v>
      </c>
      <c r="C4812">
        <v>23</v>
      </c>
    </row>
    <row r="4813" spans="1:4" x14ac:dyDescent="0.25">
      <c r="A4813" t="s">
        <v>20</v>
      </c>
      <c r="B4813">
        <v>83</v>
      </c>
      <c r="C4813">
        <v>24</v>
      </c>
    </row>
    <row r="4814" spans="1:4" x14ac:dyDescent="0.25">
      <c r="A4814" t="s">
        <v>20</v>
      </c>
      <c r="B4814">
        <v>83</v>
      </c>
      <c r="C4814">
        <v>25</v>
      </c>
    </row>
    <row r="4815" spans="1:4" x14ac:dyDescent="0.25">
      <c r="A4815" t="s">
        <v>20</v>
      </c>
      <c r="B4815">
        <v>83</v>
      </c>
      <c r="C4815">
        <v>26</v>
      </c>
    </row>
    <row r="4816" spans="1:4" x14ac:dyDescent="0.25">
      <c r="A4816" t="s">
        <v>20</v>
      </c>
      <c r="B4816">
        <v>83</v>
      </c>
      <c r="C4816">
        <v>27</v>
      </c>
    </row>
    <row r="4817" spans="1:4" x14ac:dyDescent="0.25">
      <c r="A4817" t="s">
        <v>20</v>
      </c>
      <c r="B4817">
        <v>83</v>
      </c>
      <c r="C4817">
        <v>28</v>
      </c>
      <c r="D4817">
        <v>1</v>
      </c>
    </row>
    <row r="4818" spans="1:4" x14ac:dyDescent="0.25">
      <c r="A4818" t="s">
        <v>20</v>
      </c>
      <c r="B4818">
        <v>83</v>
      </c>
      <c r="C4818">
        <v>29</v>
      </c>
    </row>
    <row r="4819" spans="1:4" x14ac:dyDescent="0.25">
      <c r="A4819" t="s">
        <v>20</v>
      </c>
      <c r="B4819">
        <v>83</v>
      </c>
      <c r="C4819">
        <v>30</v>
      </c>
    </row>
    <row r="4820" spans="1:4" x14ac:dyDescent="0.25">
      <c r="A4820" t="s">
        <v>20</v>
      </c>
      <c r="B4820">
        <v>83</v>
      </c>
      <c r="C4820">
        <v>31</v>
      </c>
    </row>
    <row r="4821" spans="1:4" x14ac:dyDescent="0.25">
      <c r="A4821" t="s">
        <v>20</v>
      </c>
      <c r="B4821">
        <v>83</v>
      </c>
      <c r="C4821">
        <v>32</v>
      </c>
    </row>
    <row r="4822" spans="1:4" x14ac:dyDescent="0.25">
      <c r="A4822" t="s">
        <v>20</v>
      </c>
      <c r="B4822">
        <v>83</v>
      </c>
      <c r="C4822">
        <v>33</v>
      </c>
    </row>
    <row r="4823" spans="1:4" x14ac:dyDescent="0.25">
      <c r="A4823" t="s">
        <v>20</v>
      </c>
      <c r="B4823">
        <v>83</v>
      </c>
      <c r="C4823">
        <v>34</v>
      </c>
    </row>
    <row r="4824" spans="1:4" x14ac:dyDescent="0.25">
      <c r="A4824" t="s">
        <v>20</v>
      </c>
      <c r="B4824">
        <v>83</v>
      </c>
      <c r="C4824">
        <v>35</v>
      </c>
    </row>
    <row r="4825" spans="1:4" x14ac:dyDescent="0.25">
      <c r="A4825" t="s">
        <v>20</v>
      </c>
      <c r="B4825">
        <v>83</v>
      </c>
      <c r="C4825">
        <v>36</v>
      </c>
    </row>
    <row r="4826" spans="1:4" x14ac:dyDescent="0.25">
      <c r="A4826" t="s">
        <v>20</v>
      </c>
      <c r="B4826">
        <v>83</v>
      </c>
      <c r="C4826">
        <v>37</v>
      </c>
      <c r="D4826">
        <v>1</v>
      </c>
    </row>
    <row r="4827" spans="1:4" x14ac:dyDescent="0.25">
      <c r="A4827" t="s">
        <v>20</v>
      </c>
      <c r="B4827">
        <v>83</v>
      </c>
      <c r="C4827">
        <v>38</v>
      </c>
    </row>
    <row r="4828" spans="1:4" x14ac:dyDescent="0.25">
      <c r="A4828" t="s">
        <v>20</v>
      </c>
      <c r="B4828">
        <v>83</v>
      </c>
      <c r="C4828">
        <v>39</v>
      </c>
    </row>
    <row r="4829" spans="1:4" x14ac:dyDescent="0.25">
      <c r="A4829" t="s">
        <v>20</v>
      </c>
      <c r="B4829">
        <v>83</v>
      </c>
      <c r="C4829">
        <v>40</v>
      </c>
      <c r="D4829">
        <v>1</v>
      </c>
    </row>
    <row r="4830" spans="1:4" x14ac:dyDescent="0.25">
      <c r="A4830" t="s">
        <v>20</v>
      </c>
      <c r="B4830">
        <v>83</v>
      </c>
      <c r="C4830">
        <v>41</v>
      </c>
    </row>
    <row r="4831" spans="1:4" x14ac:dyDescent="0.25">
      <c r="A4831" t="s">
        <v>20</v>
      </c>
      <c r="B4831">
        <v>83</v>
      </c>
      <c r="C4831">
        <v>42</v>
      </c>
    </row>
    <row r="4832" spans="1:4" x14ac:dyDescent="0.25">
      <c r="A4832" t="s">
        <v>20</v>
      </c>
      <c r="B4832">
        <v>83</v>
      </c>
      <c r="C4832">
        <v>43</v>
      </c>
      <c r="D4832">
        <v>1</v>
      </c>
    </row>
    <row r="4833" spans="1:4" x14ac:dyDescent="0.25">
      <c r="A4833" t="s">
        <v>20</v>
      </c>
      <c r="B4833">
        <v>83</v>
      </c>
      <c r="C4833">
        <v>44</v>
      </c>
    </row>
    <row r="4834" spans="1:4" x14ac:dyDescent="0.25">
      <c r="A4834" t="s">
        <v>20</v>
      </c>
      <c r="B4834">
        <v>83</v>
      </c>
      <c r="C4834">
        <v>45</v>
      </c>
    </row>
    <row r="4835" spans="1:4" x14ac:dyDescent="0.25">
      <c r="A4835" t="s">
        <v>20</v>
      </c>
      <c r="B4835">
        <v>83</v>
      </c>
      <c r="C4835">
        <v>46</v>
      </c>
      <c r="D4835">
        <v>1</v>
      </c>
    </row>
    <row r="4836" spans="1:4" x14ac:dyDescent="0.25">
      <c r="A4836" t="s">
        <v>20</v>
      </c>
      <c r="B4836">
        <v>83</v>
      </c>
      <c r="C4836">
        <v>47</v>
      </c>
    </row>
    <row r="4837" spans="1:4" x14ac:dyDescent="0.25">
      <c r="A4837" t="s">
        <v>20</v>
      </c>
      <c r="B4837">
        <v>83</v>
      </c>
      <c r="C4837">
        <v>48</v>
      </c>
    </row>
    <row r="4838" spans="1:4" x14ac:dyDescent="0.25">
      <c r="A4838" t="s">
        <v>20</v>
      </c>
      <c r="B4838">
        <v>83</v>
      </c>
      <c r="C4838">
        <v>49</v>
      </c>
      <c r="D4838">
        <v>1</v>
      </c>
    </row>
    <row r="4839" spans="1:4" x14ac:dyDescent="0.25">
      <c r="A4839" t="s">
        <v>20</v>
      </c>
      <c r="B4839">
        <v>83</v>
      </c>
      <c r="C4839">
        <v>50</v>
      </c>
    </row>
    <row r="4840" spans="1:4" x14ac:dyDescent="0.25">
      <c r="A4840" t="s">
        <v>20</v>
      </c>
      <c r="B4840">
        <v>83</v>
      </c>
      <c r="C4840">
        <v>51</v>
      </c>
    </row>
    <row r="4841" spans="1:4" x14ac:dyDescent="0.25">
      <c r="A4841" t="s">
        <v>20</v>
      </c>
      <c r="B4841">
        <v>83</v>
      </c>
      <c r="C4841">
        <v>52</v>
      </c>
      <c r="D4841">
        <v>1</v>
      </c>
    </row>
    <row r="4842" spans="1:4" x14ac:dyDescent="0.25">
      <c r="A4842" t="s">
        <v>20</v>
      </c>
      <c r="B4842">
        <v>83</v>
      </c>
      <c r="C4842">
        <v>53</v>
      </c>
    </row>
    <row r="4843" spans="1:4" x14ac:dyDescent="0.25">
      <c r="A4843" t="s">
        <v>20</v>
      </c>
      <c r="B4843">
        <v>83</v>
      </c>
      <c r="C4843">
        <v>54</v>
      </c>
    </row>
    <row r="4844" spans="1:4" x14ac:dyDescent="0.25">
      <c r="A4844" t="s">
        <v>20</v>
      </c>
      <c r="B4844">
        <v>83</v>
      </c>
      <c r="C4844">
        <v>55</v>
      </c>
      <c r="D4844">
        <v>1</v>
      </c>
    </row>
    <row r="4845" spans="1:4" x14ac:dyDescent="0.25">
      <c r="A4845" t="s">
        <v>20</v>
      </c>
      <c r="B4845">
        <v>83</v>
      </c>
      <c r="C4845">
        <v>56</v>
      </c>
    </row>
    <row r="4846" spans="1:4" x14ac:dyDescent="0.25">
      <c r="A4846" t="s">
        <v>20</v>
      </c>
      <c r="B4846">
        <v>83</v>
      </c>
      <c r="C4846">
        <v>57</v>
      </c>
    </row>
    <row r="4847" spans="1:4" x14ac:dyDescent="0.25">
      <c r="A4847" t="s">
        <v>20</v>
      </c>
      <c r="B4847">
        <v>83</v>
      </c>
      <c r="C4847">
        <v>58</v>
      </c>
      <c r="D4847">
        <v>1</v>
      </c>
    </row>
    <row r="4848" spans="1:4" x14ac:dyDescent="0.25">
      <c r="A4848" t="s">
        <v>20</v>
      </c>
      <c r="B4848">
        <v>83</v>
      </c>
      <c r="C4848">
        <v>59</v>
      </c>
    </row>
    <row r="4849" spans="1:4" x14ac:dyDescent="0.25">
      <c r="A4849" t="s">
        <v>20</v>
      </c>
      <c r="B4849">
        <v>83</v>
      </c>
      <c r="C4849">
        <v>60</v>
      </c>
    </row>
    <row r="4850" spans="1:4" x14ac:dyDescent="0.25">
      <c r="A4850" t="s">
        <v>20</v>
      </c>
      <c r="B4850">
        <v>83</v>
      </c>
      <c r="C4850">
        <v>61</v>
      </c>
      <c r="D4850">
        <v>1</v>
      </c>
    </row>
    <row r="4851" spans="1:4" x14ac:dyDescent="0.25">
      <c r="A4851" t="s">
        <v>20</v>
      </c>
      <c r="B4851">
        <v>83</v>
      </c>
      <c r="C4851">
        <v>62</v>
      </c>
    </row>
    <row r="4852" spans="1:4" x14ac:dyDescent="0.25">
      <c r="A4852" t="s">
        <v>20</v>
      </c>
      <c r="B4852">
        <v>83</v>
      </c>
      <c r="C4852">
        <v>63</v>
      </c>
    </row>
    <row r="4853" spans="1:4" x14ac:dyDescent="0.25">
      <c r="A4853" t="s">
        <v>20</v>
      </c>
      <c r="B4853">
        <v>83</v>
      </c>
      <c r="C4853">
        <v>64</v>
      </c>
      <c r="D4853">
        <v>1</v>
      </c>
    </row>
    <row r="4854" spans="1:4" x14ac:dyDescent="0.25">
      <c r="A4854" t="s">
        <v>20</v>
      </c>
      <c r="B4854">
        <v>83</v>
      </c>
      <c r="C4854">
        <v>65</v>
      </c>
    </row>
    <row r="4855" spans="1:4" x14ac:dyDescent="0.25">
      <c r="A4855" t="s">
        <v>20</v>
      </c>
      <c r="B4855">
        <v>83</v>
      </c>
      <c r="C4855">
        <v>66</v>
      </c>
    </row>
    <row r="4856" spans="1:4" x14ac:dyDescent="0.25">
      <c r="A4856" t="s">
        <v>20</v>
      </c>
      <c r="B4856">
        <v>83</v>
      </c>
      <c r="C4856">
        <v>67</v>
      </c>
      <c r="D4856">
        <v>1</v>
      </c>
    </row>
    <row r="4857" spans="1:4" x14ac:dyDescent="0.25">
      <c r="A4857" t="s">
        <v>20</v>
      </c>
      <c r="B4857">
        <v>83</v>
      </c>
      <c r="C4857">
        <v>68</v>
      </c>
    </row>
    <row r="4858" spans="1:4" x14ac:dyDescent="0.25">
      <c r="A4858" t="s">
        <v>20</v>
      </c>
      <c r="B4858">
        <v>83</v>
      </c>
      <c r="C4858">
        <v>69</v>
      </c>
    </row>
    <row r="4859" spans="1:4" x14ac:dyDescent="0.25">
      <c r="A4859" t="s">
        <v>20</v>
      </c>
      <c r="B4859">
        <v>83</v>
      </c>
      <c r="C4859">
        <v>70</v>
      </c>
      <c r="D4859">
        <v>1</v>
      </c>
    </row>
    <row r="4860" spans="1:4" x14ac:dyDescent="0.25">
      <c r="A4860" t="s">
        <v>20</v>
      </c>
      <c r="B4860">
        <v>83</v>
      </c>
      <c r="C4860">
        <v>71</v>
      </c>
    </row>
    <row r="4861" spans="1:4" x14ac:dyDescent="0.25">
      <c r="A4861" t="s">
        <v>20</v>
      </c>
      <c r="B4861">
        <v>83</v>
      </c>
      <c r="C4861">
        <v>72</v>
      </c>
    </row>
    <row r="4862" spans="1:4" x14ac:dyDescent="0.25">
      <c r="A4862" t="s">
        <v>20</v>
      </c>
      <c r="B4862">
        <v>83</v>
      </c>
      <c r="C4862">
        <v>73</v>
      </c>
      <c r="D4862">
        <v>1</v>
      </c>
    </row>
    <row r="4863" spans="1:4" x14ac:dyDescent="0.25">
      <c r="A4863" t="s">
        <v>20</v>
      </c>
      <c r="B4863">
        <v>83</v>
      </c>
      <c r="C4863">
        <v>74</v>
      </c>
    </row>
    <row r="4864" spans="1:4" x14ac:dyDescent="0.25">
      <c r="A4864" t="s">
        <v>20</v>
      </c>
      <c r="B4864">
        <v>83</v>
      </c>
      <c r="C4864">
        <v>75</v>
      </c>
    </row>
    <row r="4865" spans="1:4" x14ac:dyDescent="0.25">
      <c r="A4865" t="s">
        <v>20</v>
      </c>
      <c r="B4865">
        <v>83</v>
      </c>
      <c r="C4865">
        <v>76</v>
      </c>
      <c r="D4865">
        <v>1</v>
      </c>
    </row>
    <row r="4866" spans="1:4" x14ac:dyDescent="0.25">
      <c r="A4866" t="s">
        <v>20</v>
      </c>
      <c r="B4866">
        <v>83</v>
      </c>
      <c r="C4866">
        <v>77</v>
      </c>
    </row>
    <row r="4867" spans="1:4" x14ac:dyDescent="0.25">
      <c r="A4867" t="s">
        <v>20</v>
      </c>
      <c r="B4867">
        <v>83</v>
      </c>
      <c r="C4867">
        <v>78</v>
      </c>
    </row>
    <row r="4868" spans="1:4" x14ac:dyDescent="0.25">
      <c r="A4868" t="s">
        <v>20</v>
      </c>
      <c r="B4868">
        <v>83</v>
      </c>
      <c r="C4868">
        <v>79</v>
      </c>
      <c r="D4868">
        <v>1</v>
      </c>
    </row>
    <row r="4869" spans="1:4" x14ac:dyDescent="0.25">
      <c r="A4869" t="s">
        <v>20</v>
      </c>
      <c r="B4869">
        <v>83</v>
      </c>
      <c r="C4869">
        <v>80</v>
      </c>
    </row>
    <row r="4870" spans="1:4" x14ac:dyDescent="0.25">
      <c r="A4870" t="s">
        <v>20</v>
      </c>
      <c r="B4870">
        <v>83</v>
      </c>
      <c r="C4870">
        <v>81</v>
      </c>
    </row>
    <row r="4871" spans="1:4" x14ac:dyDescent="0.25">
      <c r="A4871" t="s">
        <v>20</v>
      </c>
      <c r="B4871">
        <v>83</v>
      </c>
      <c r="C4871">
        <v>82</v>
      </c>
    </row>
    <row r="4872" spans="1:4" x14ac:dyDescent="0.25">
      <c r="A4872" t="s">
        <v>20</v>
      </c>
      <c r="B4872">
        <v>83</v>
      </c>
      <c r="C4872">
        <v>83</v>
      </c>
    </row>
    <row r="4873" spans="1:4" x14ac:dyDescent="0.25">
      <c r="A4873" t="s">
        <v>20</v>
      </c>
      <c r="B4873">
        <v>83</v>
      </c>
      <c r="C4873">
        <v>84</v>
      </c>
    </row>
    <row r="4874" spans="1:4" x14ac:dyDescent="0.25">
      <c r="A4874" t="s">
        <v>20</v>
      </c>
      <c r="B4874">
        <v>84</v>
      </c>
      <c r="C4874">
        <v>1</v>
      </c>
    </row>
    <row r="4875" spans="1:4" x14ac:dyDescent="0.25">
      <c r="A4875" t="s">
        <v>20</v>
      </c>
      <c r="B4875">
        <v>84</v>
      </c>
      <c r="C4875">
        <v>2</v>
      </c>
    </row>
    <row r="4876" spans="1:4" x14ac:dyDescent="0.25">
      <c r="A4876" t="s">
        <v>20</v>
      </c>
      <c r="B4876">
        <v>84</v>
      </c>
      <c r="C4876">
        <v>3</v>
      </c>
      <c r="D4876">
        <v>1</v>
      </c>
    </row>
    <row r="4877" spans="1:4" x14ac:dyDescent="0.25">
      <c r="A4877" t="s">
        <v>20</v>
      </c>
      <c r="B4877">
        <v>84</v>
      </c>
      <c r="C4877">
        <v>4</v>
      </c>
    </row>
    <row r="4878" spans="1:4" x14ac:dyDescent="0.25">
      <c r="A4878" t="s">
        <v>20</v>
      </c>
      <c r="B4878">
        <v>84</v>
      </c>
      <c r="C4878">
        <v>5</v>
      </c>
    </row>
    <row r="4879" spans="1:4" x14ac:dyDescent="0.25">
      <c r="A4879" t="s">
        <v>20</v>
      </c>
      <c r="B4879">
        <v>84</v>
      </c>
      <c r="C4879">
        <v>6</v>
      </c>
      <c r="D4879">
        <v>1</v>
      </c>
    </row>
    <row r="4880" spans="1:4" x14ac:dyDescent="0.25">
      <c r="A4880" t="s">
        <v>20</v>
      </c>
      <c r="B4880">
        <v>84</v>
      </c>
      <c r="C4880">
        <v>7</v>
      </c>
    </row>
    <row r="4881" spans="1:4" x14ac:dyDescent="0.25">
      <c r="A4881" t="s">
        <v>20</v>
      </c>
      <c r="B4881">
        <v>84</v>
      </c>
      <c r="C4881">
        <v>8</v>
      </c>
    </row>
    <row r="4882" spans="1:4" x14ac:dyDescent="0.25">
      <c r="A4882" t="s">
        <v>20</v>
      </c>
      <c r="B4882">
        <v>84</v>
      </c>
      <c r="C4882">
        <v>9</v>
      </c>
      <c r="D4882">
        <v>1</v>
      </c>
    </row>
    <row r="4883" spans="1:4" x14ac:dyDescent="0.25">
      <c r="A4883" t="s">
        <v>20</v>
      </c>
      <c r="B4883">
        <v>84</v>
      </c>
      <c r="C4883">
        <v>10</v>
      </c>
      <c r="D4883">
        <v>1</v>
      </c>
    </row>
    <row r="4884" spans="1:4" x14ac:dyDescent="0.25">
      <c r="A4884" t="s">
        <v>20</v>
      </c>
      <c r="B4884">
        <v>84</v>
      </c>
      <c r="C4884">
        <v>11</v>
      </c>
    </row>
    <row r="4885" spans="1:4" x14ac:dyDescent="0.25">
      <c r="A4885" t="s">
        <v>20</v>
      </c>
      <c r="B4885">
        <v>84</v>
      </c>
      <c r="C4885">
        <v>12</v>
      </c>
    </row>
    <row r="4886" spans="1:4" x14ac:dyDescent="0.25">
      <c r="A4886" t="s">
        <v>20</v>
      </c>
      <c r="B4886">
        <v>84</v>
      </c>
      <c r="C4886">
        <v>13</v>
      </c>
    </row>
    <row r="4887" spans="1:4" x14ac:dyDescent="0.25">
      <c r="A4887" t="s">
        <v>20</v>
      </c>
      <c r="B4887">
        <v>84</v>
      </c>
      <c r="C4887">
        <v>14</v>
      </c>
    </row>
    <row r="4888" spans="1:4" x14ac:dyDescent="0.25">
      <c r="A4888" t="s">
        <v>20</v>
      </c>
      <c r="B4888">
        <v>84</v>
      </c>
      <c r="C4888">
        <v>15</v>
      </c>
      <c r="D4888">
        <v>1</v>
      </c>
    </row>
    <row r="4889" spans="1:4" x14ac:dyDescent="0.25">
      <c r="A4889" t="s">
        <v>20</v>
      </c>
      <c r="B4889">
        <v>84</v>
      </c>
      <c r="C4889">
        <v>16</v>
      </c>
    </row>
    <row r="4890" spans="1:4" x14ac:dyDescent="0.25">
      <c r="A4890" t="s">
        <v>20</v>
      </c>
      <c r="B4890">
        <v>84</v>
      </c>
      <c r="C4890">
        <v>17</v>
      </c>
    </row>
    <row r="4891" spans="1:4" x14ac:dyDescent="0.25">
      <c r="A4891" t="s">
        <v>20</v>
      </c>
      <c r="B4891">
        <v>84</v>
      </c>
      <c r="C4891">
        <v>18</v>
      </c>
      <c r="D4891">
        <v>1</v>
      </c>
    </row>
    <row r="4892" spans="1:4" x14ac:dyDescent="0.25">
      <c r="A4892" t="s">
        <v>20</v>
      </c>
      <c r="B4892">
        <v>84</v>
      </c>
      <c r="C4892">
        <v>19</v>
      </c>
    </row>
    <row r="4893" spans="1:4" x14ac:dyDescent="0.25">
      <c r="A4893" t="s">
        <v>20</v>
      </c>
      <c r="B4893">
        <v>84</v>
      </c>
      <c r="C4893">
        <v>20</v>
      </c>
    </row>
    <row r="4894" spans="1:4" x14ac:dyDescent="0.25">
      <c r="A4894" t="s">
        <v>20</v>
      </c>
      <c r="B4894">
        <v>84</v>
      </c>
      <c r="C4894">
        <v>21</v>
      </c>
      <c r="D4894">
        <v>1</v>
      </c>
    </row>
    <row r="4895" spans="1:4" x14ac:dyDescent="0.25">
      <c r="A4895" t="s">
        <v>20</v>
      </c>
      <c r="B4895">
        <v>84</v>
      </c>
      <c r="C4895">
        <v>22</v>
      </c>
    </row>
    <row r="4896" spans="1:4" x14ac:dyDescent="0.25">
      <c r="A4896" t="s">
        <v>20</v>
      </c>
      <c r="B4896">
        <v>84</v>
      </c>
      <c r="C4896">
        <v>23</v>
      </c>
    </row>
    <row r="4897" spans="1:4" x14ac:dyDescent="0.25">
      <c r="A4897" t="s">
        <v>20</v>
      </c>
      <c r="B4897">
        <v>84</v>
      </c>
      <c r="C4897">
        <v>24</v>
      </c>
      <c r="D4897">
        <v>1</v>
      </c>
    </row>
    <row r="4898" spans="1:4" x14ac:dyDescent="0.25">
      <c r="A4898" t="s">
        <v>20</v>
      </c>
      <c r="B4898">
        <v>84</v>
      </c>
      <c r="C4898">
        <v>25</v>
      </c>
    </row>
    <row r="4899" spans="1:4" x14ac:dyDescent="0.25">
      <c r="A4899" t="s">
        <v>20</v>
      </c>
      <c r="B4899">
        <v>84</v>
      </c>
      <c r="C4899">
        <v>26</v>
      </c>
    </row>
    <row r="4900" spans="1:4" x14ac:dyDescent="0.25">
      <c r="A4900" t="s">
        <v>20</v>
      </c>
      <c r="B4900">
        <v>84</v>
      </c>
      <c r="C4900">
        <v>27</v>
      </c>
      <c r="D4900">
        <v>1</v>
      </c>
    </row>
    <row r="4901" spans="1:4" x14ac:dyDescent="0.25">
      <c r="A4901" t="s">
        <v>20</v>
      </c>
      <c r="B4901">
        <v>84</v>
      </c>
      <c r="C4901">
        <v>28</v>
      </c>
    </row>
    <row r="4902" spans="1:4" x14ac:dyDescent="0.25">
      <c r="A4902" t="s">
        <v>20</v>
      </c>
      <c r="B4902">
        <v>84</v>
      </c>
      <c r="C4902">
        <v>29</v>
      </c>
    </row>
    <row r="4903" spans="1:4" x14ac:dyDescent="0.25">
      <c r="A4903" t="s">
        <v>20</v>
      </c>
      <c r="B4903">
        <v>84</v>
      </c>
      <c r="C4903">
        <v>30</v>
      </c>
    </row>
    <row r="4904" spans="1:4" x14ac:dyDescent="0.25">
      <c r="A4904" t="s">
        <v>20</v>
      </c>
      <c r="B4904">
        <v>84</v>
      </c>
      <c r="C4904">
        <v>31</v>
      </c>
      <c r="D4904">
        <v>1</v>
      </c>
    </row>
    <row r="4905" spans="1:4" x14ac:dyDescent="0.25">
      <c r="A4905" t="s">
        <v>20</v>
      </c>
      <c r="B4905">
        <v>84</v>
      </c>
      <c r="C4905">
        <v>32</v>
      </c>
    </row>
    <row r="4906" spans="1:4" x14ac:dyDescent="0.25">
      <c r="A4906" t="s">
        <v>20</v>
      </c>
      <c r="B4906">
        <v>84</v>
      </c>
      <c r="C4906">
        <v>33</v>
      </c>
    </row>
    <row r="4907" spans="1:4" x14ac:dyDescent="0.25">
      <c r="A4907" t="s">
        <v>20</v>
      </c>
      <c r="B4907">
        <v>84</v>
      </c>
      <c r="C4907">
        <v>34</v>
      </c>
      <c r="D4907">
        <v>1</v>
      </c>
    </row>
    <row r="4908" spans="1:4" x14ac:dyDescent="0.25">
      <c r="A4908" t="s">
        <v>20</v>
      </c>
      <c r="B4908">
        <v>84</v>
      </c>
      <c r="C4908">
        <v>35</v>
      </c>
    </row>
    <row r="4909" spans="1:4" x14ac:dyDescent="0.25">
      <c r="A4909" t="s">
        <v>20</v>
      </c>
      <c r="B4909">
        <v>84</v>
      </c>
      <c r="C4909">
        <v>36</v>
      </c>
    </row>
    <row r="4910" spans="1:4" x14ac:dyDescent="0.25">
      <c r="A4910" t="s">
        <v>20</v>
      </c>
      <c r="B4910">
        <v>84</v>
      </c>
      <c r="C4910">
        <v>37</v>
      </c>
      <c r="D4910">
        <v>1</v>
      </c>
    </row>
    <row r="4911" spans="1:4" x14ac:dyDescent="0.25">
      <c r="A4911" t="s">
        <v>20</v>
      </c>
      <c r="B4911">
        <v>84</v>
      </c>
      <c r="C4911">
        <v>38</v>
      </c>
    </row>
    <row r="4912" spans="1:4" x14ac:dyDescent="0.25">
      <c r="A4912" t="s">
        <v>20</v>
      </c>
      <c r="B4912">
        <v>84</v>
      </c>
      <c r="C4912">
        <v>39</v>
      </c>
    </row>
    <row r="4913" spans="1:4" x14ac:dyDescent="0.25">
      <c r="A4913" t="s">
        <v>20</v>
      </c>
      <c r="B4913">
        <v>84</v>
      </c>
      <c r="C4913">
        <v>40</v>
      </c>
      <c r="D4913">
        <v>1</v>
      </c>
    </row>
    <row r="4914" spans="1:4" x14ac:dyDescent="0.25">
      <c r="A4914" t="s">
        <v>20</v>
      </c>
      <c r="B4914">
        <v>84</v>
      </c>
      <c r="C4914">
        <v>41</v>
      </c>
    </row>
    <row r="4915" spans="1:4" x14ac:dyDescent="0.25">
      <c r="A4915" t="s">
        <v>20</v>
      </c>
      <c r="B4915">
        <v>84</v>
      </c>
      <c r="C4915">
        <v>42</v>
      </c>
    </row>
    <row r="4916" spans="1:4" x14ac:dyDescent="0.25">
      <c r="A4916" t="s">
        <v>20</v>
      </c>
      <c r="B4916">
        <v>84</v>
      </c>
      <c r="C4916">
        <v>43</v>
      </c>
    </row>
    <row r="4917" spans="1:4" x14ac:dyDescent="0.25">
      <c r="A4917" t="s">
        <v>20</v>
      </c>
      <c r="B4917">
        <v>84</v>
      </c>
      <c r="C4917">
        <v>44</v>
      </c>
    </row>
    <row r="4918" spans="1:4" x14ac:dyDescent="0.25">
      <c r="A4918" t="s">
        <v>20</v>
      </c>
      <c r="B4918">
        <v>84</v>
      </c>
      <c r="C4918">
        <v>45</v>
      </c>
      <c r="D4918">
        <v>1</v>
      </c>
    </row>
    <row r="4919" spans="1:4" x14ac:dyDescent="0.25">
      <c r="A4919" t="s">
        <v>20</v>
      </c>
      <c r="B4919">
        <v>84</v>
      </c>
      <c r="C4919">
        <v>46</v>
      </c>
    </row>
    <row r="4920" spans="1:4" x14ac:dyDescent="0.25">
      <c r="A4920" t="s">
        <v>20</v>
      </c>
      <c r="B4920">
        <v>84</v>
      </c>
      <c r="C4920">
        <v>47</v>
      </c>
    </row>
    <row r="4921" spans="1:4" x14ac:dyDescent="0.25">
      <c r="A4921" t="s">
        <v>20</v>
      </c>
      <c r="B4921">
        <v>84</v>
      </c>
      <c r="C4921">
        <v>48</v>
      </c>
      <c r="D4921">
        <v>1</v>
      </c>
    </row>
    <row r="4922" spans="1:4" x14ac:dyDescent="0.25">
      <c r="A4922" t="s">
        <v>20</v>
      </c>
      <c r="B4922">
        <v>84</v>
      </c>
      <c r="C4922">
        <v>49</v>
      </c>
    </row>
    <row r="4923" spans="1:4" x14ac:dyDescent="0.25">
      <c r="A4923" t="s">
        <v>20</v>
      </c>
      <c r="B4923">
        <v>84</v>
      </c>
      <c r="C4923">
        <v>50</v>
      </c>
    </row>
    <row r="4924" spans="1:4" x14ac:dyDescent="0.25">
      <c r="A4924" t="s">
        <v>20</v>
      </c>
      <c r="B4924">
        <v>84</v>
      </c>
      <c r="C4924">
        <v>51</v>
      </c>
    </row>
    <row r="4925" spans="1:4" x14ac:dyDescent="0.25">
      <c r="A4925" t="s">
        <v>20</v>
      </c>
      <c r="B4925">
        <v>84</v>
      </c>
      <c r="C4925">
        <v>52</v>
      </c>
      <c r="D4925">
        <v>1</v>
      </c>
    </row>
    <row r="4926" spans="1:4" x14ac:dyDescent="0.25">
      <c r="A4926" t="s">
        <v>20</v>
      </c>
      <c r="B4926">
        <v>84</v>
      </c>
      <c r="C4926">
        <v>53</v>
      </c>
    </row>
    <row r="4927" spans="1:4" x14ac:dyDescent="0.25">
      <c r="A4927" t="s">
        <v>20</v>
      </c>
      <c r="B4927">
        <v>84</v>
      </c>
      <c r="C4927">
        <v>54</v>
      </c>
    </row>
    <row r="4928" spans="1:4" x14ac:dyDescent="0.25">
      <c r="A4928" t="s">
        <v>20</v>
      </c>
      <c r="B4928">
        <v>84</v>
      </c>
      <c r="C4928">
        <v>55</v>
      </c>
    </row>
    <row r="4929" spans="1:4" x14ac:dyDescent="0.25">
      <c r="A4929" t="s">
        <v>20</v>
      </c>
      <c r="B4929">
        <v>84</v>
      </c>
      <c r="C4929">
        <v>56</v>
      </c>
    </row>
    <row r="4930" spans="1:4" x14ac:dyDescent="0.25">
      <c r="A4930" t="s">
        <v>20</v>
      </c>
      <c r="B4930">
        <v>84</v>
      </c>
      <c r="C4930">
        <v>57</v>
      </c>
    </row>
    <row r="4931" spans="1:4" x14ac:dyDescent="0.25">
      <c r="A4931" t="s">
        <v>20</v>
      </c>
      <c r="B4931">
        <v>84</v>
      </c>
      <c r="C4931">
        <v>58</v>
      </c>
    </row>
    <row r="4932" spans="1:4" x14ac:dyDescent="0.25">
      <c r="A4932" t="s">
        <v>20</v>
      </c>
      <c r="B4932">
        <v>84</v>
      </c>
      <c r="C4932">
        <v>59</v>
      </c>
    </row>
    <row r="4933" spans="1:4" x14ac:dyDescent="0.25">
      <c r="A4933" t="s">
        <v>20</v>
      </c>
      <c r="B4933">
        <v>84</v>
      </c>
      <c r="C4933">
        <v>60</v>
      </c>
      <c r="D4933">
        <v>1</v>
      </c>
    </row>
    <row r="4934" spans="1:4" x14ac:dyDescent="0.25">
      <c r="A4934" t="s">
        <v>20</v>
      </c>
      <c r="B4934">
        <v>84</v>
      </c>
      <c r="C4934">
        <v>61</v>
      </c>
    </row>
    <row r="4935" spans="1:4" x14ac:dyDescent="0.25">
      <c r="A4935" t="s">
        <v>20</v>
      </c>
      <c r="B4935">
        <v>84</v>
      </c>
      <c r="C4935">
        <v>62</v>
      </c>
    </row>
    <row r="4936" spans="1:4" x14ac:dyDescent="0.25">
      <c r="A4936" t="s">
        <v>20</v>
      </c>
      <c r="B4936">
        <v>84</v>
      </c>
      <c r="C4936">
        <v>63</v>
      </c>
    </row>
    <row r="4937" spans="1:4" x14ac:dyDescent="0.25">
      <c r="A4937" t="s">
        <v>20</v>
      </c>
      <c r="B4937">
        <v>84</v>
      </c>
      <c r="C4937">
        <v>64</v>
      </c>
    </row>
    <row r="4938" spans="1:4" x14ac:dyDescent="0.25">
      <c r="A4938" t="s">
        <v>20</v>
      </c>
      <c r="B4938">
        <v>84</v>
      </c>
      <c r="C4938">
        <v>65</v>
      </c>
    </row>
    <row r="4939" spans="1:4" x14ac:dyDescent="0.25">
      <c r="A4939" t="s">
        <v>20</v>
      </c>
      <c r="B4939">
        <v>84</v>
      </c>
      <c r="C4939">
        <v>66</v>
      </c>
      <c r="D4939">
        <v>1</v>
      </c>
    </row>
    <row r="4940" spans="1:4" x14ac:dyDescent="0.25">
      <c r="A4940" t="s">
        <v>20</v>
      </c>
      <c r="B4940">
        <v>84</v>
      </c>
      <c r="C4940">
        <v>67</v>
      </c>
    </row>
    <row r="4941" spans="1:4" x14ac:dyDescent="0.25">
      <c r="A4941" t="s">
        <v>20</v>
      </c>
      <c r="B4941">
        <v>84</v>
      </c>
      <c r="C4941">
        <v>68</v>
      </c>
    </row>
    <row r="4942" spans="1:4" x14ac:dyDescent="0.25">
      <c r="A4942" t="s">
        <v>20</v>
      </c>
      <c r="B4942">
        <v>84</v>
      </c>
      <c r="C4942">
        <v>69</v>
      </c>
    </row>
    <row r="4943" spans="1:4" x14ac:dyDescent="0.25">
      <c r="A4943" t="s">
        <v>20</v>
      </c>
      <c r="B4943">
        <v>84</v>
      </c>
      <c r="C4943">
        <v>70</v>
      </c>
    </row>
    <row r="4944" spans="1:4" x14ac:dyDescent="0.25">
      <c r="A4944" t="s">
        <v>20</v>
      </c>
      <c r="B4944">
        <v>84</v>
      </c>
      <c r="C4944">
        <v>71</v>
      </c>
    </row>
    <row r="4945" spans="1:4" x14ac:dyDescent="0.25">
      <c r="A4945" t="s">
        <v>20</v>
      </c>
      <c r="B4945">
        <v>84</v>
      </c>
      <c r="C4945">
        <v>72</v>
      </c>
    </row>
    <row r="4946" spans="1:4" x14ac:dyDescent="0.25">
      <c r="A4946" t="s">
        <v>20</v>
      </c>
      <c r="B4946">
        <v>84</v>
      </c>
      <c r="C4946">
        <v>73</v>
      </c>
      <c r="D4946">
        <v>1</v>
      </c>
    </row>
    <row r="4947" spans="1:4" x14ac:dyDescent="0.25">
      <c r="A4947" t="s">
        <v>20</v>
      </c>
      <c r="B4947">
        <v>84</v>
      </c>
      <c r="C4947">
        <v>74</v>
      </c>
    </row>
    <row r="4948" spans="1:4" x14ac:dyDescent="0.25">
      <c r="A4948" t="s">
        <v>20</v>
      </c>
      <c r="B4948">
        <v>84</v>
      </c>
      <c r="C4948">
        <v>75</v>
      </c>
    </row>
    <row r="4949" spans="1:4" x14ac:dyDescent="0.25">
      <c r="A4949" t="s">
        <v>20</v>
      </c>
      <c r="B4949">
        <v>84</v>
      </c>
      <c r="C4949">
        <v>76</v>
      </c>
      <c r="D4949">
        <v>1</v>
      </c>
    </row>
    <row r="4950" spans="1:4" x14ac:dyDescent="0.25">
      <c r="A4950" t="s">
        <v>20</v>
      </c>
      <c r="B4950">
        <v>84</v>
      </c>
      <c r="C4950">
        <v>77</v>
      </c>
    </row>
    <row r="4951" spans="1:4" x14ac:dyDescent="0.25">
      <c r="A4951" t="s">
        <v>20</v>
      </c>
      <c r="B4951">
        <v>84</v>
      </c>
      <c r="C4951">
        <v>78</v>
      </c>
    </row>
    <row r="4952" spans="1:4" x14ac:dyDescent="0.25">
      <c r="A4952" t="s">
        <v>20</v>
      </c>
      <c r="B4952">
        <v>84</v>
      </c>
      <c r="C4952">
        <v>79</v>
      </c>
    </row>
    <row r="4953" spans="1:4" x14ac:dyDescent="0.25">
      <c r="A4953" t="s">
        <v>20</v>
      </c>
      <c r="B4953">
        <v>84</v>
      </c>
      <c r="C4953">
        <v>80</v>
      </c>
    </row>
    <row r="4954" spans="1:4" x14ac:dyDescent="0.25">
      <c r="A4954" t="s">
        <v>20</v>
      </c>
      <c r="B4954">
        <v>84</v>
      </c>
      <c r="C4954">
        <v>81</v>
      </c>
    </row>
    <row r="4955" spans="1:4" x14ac:dyDescent="0.25">
      <c r="A4955" t="s">
        <v>20</v>
      </c>
      <c r="B4955">
        <v>84</v>
      </c>
      <c r="C4955">
        <v>82</v>
      </c>
    </row>
    <row r="4956" spans="1:4" x14ac:dyDescent="0.25">
      <c r="A4956" t="s">
        <v>20</v>
      </c>
      <c r="B4956">
        <v>84</v>
      </c>
      <c r="C4956">
        <v>83</v>
      </c>
    </row>
    <row r="4957" spans="1:4" x14ac:dyDescent="0.25">
      <c r="A4957" t="s">
        <v>20</v>
      </c>
      <c r="B4957">
        <v>84</v>
      </c>
      <c r="C4957">
        <v>84</v>
      </c>
    </row>
    <row r="4958" spans="1:4" x14ac:dyDescent="0.25">
      <c r="A4958" t="s">
        <v>20</v>
      </c>
      <c r="B4958">
        <v>86</v>
      </c>
      <c r="C4958">
        <v>1</v>
      </c>
      <c r="D4958">
        <v>1</v>
      </c>
    </row>
    <row r="4959" spans="1:4" x14ac:dyDescent="0.25">
      <c r="A4959" t="s">
        <v>20</v>
      </c>
      <c r="B4959">
        <v>86</v>
      </c>
      <c r="C4959">
        <v>2</v>
      </c>
    </row>
    <row r="4960" spans="1:4" x14ac:dyDescent="0.25">
      <c r="A4960" t="s">
        <v>20</v>
      </c>
      <c r="B4960">
        <v>86</v>
      </c>
      <c r="C4960">
        <v>3</v>
      </c>
    </row>
    <row r="4961" spans="1:4" x14ac:dyDescent="0.25">
      <c r="A4961" t="s">
        <v>20</v>
      </c>
      <c r="B4961">
        <v>86</v>
      </c>
      <c r="C4961">
        <v>4</v>
      </c>
      <c r="D4961">
        <v>1</v>
      </c>
    </row>
    <row r="4962" spans="1:4" x14ac:dyDescent="0.25">
      <c r="A4962" t="s">
        <v>20</v>
      </c>
      <c r="B4962">
        <v>86</v>
      </c>
      <c r="C4962">
        <v>5</v>
      </c>
    </row>
    <row r="4963" spans="1:4" x14ac:dyDescent="0.25">
      <c r="A4963" t="s">
        <v>20</v>
      </c>
      <c r="B4963">
        <v>86</v>
      </c>
      <c r="C4963">
        <v>6</v>
      </c>
    </row>
    <row r="4964" spans="1:4" x14ac:dyDescent="0.25">
      <c r="A4964" t="s">
        <v>20</v>
      </c>
      <c r="B4964">
        <v>86</v>
      </c>
      <c r="C4964">
        <v>7</v>
      </c>
      <c r="D4964">
        <v>1</v>
      </c>
    </row>
    <row r="4965" spans="1:4" x14ac:dyDescent="0.25">
      <c r="A4965" t="s">
        <v>20</v>
      </c>
      <c r="B4965">
        <v>86</v>
      </c>
      <c r="C4965">
        <v>8</v>
      </c>
    </row>
    <row r="4966" spans="1:4" x14ac:dyDescent="0.25">
      <c r="A4966" t="s">
        <v>20</v>
      </c>
      <c r="B4966">
        <v>86</v>
      </c>
      <c r="C4966">
        <v>9</v>
      </c>
    </row>
    <row r="4967" spans="1:4" x14ac:dyDescent="0.25">
      <c r="A4967" t="s">
        <v>20</v>
      </c>
      <c r="B4967">
        <v>86</v>
      </c>
      <c r="C4967">
        <v>10</v>
      </c>
      <c r="D4967">
        <v>1</v>
      </c>
    </row>
    <row r="4968" spans="1:4" x14ac:dyDescent="0.25">
      <c r="A4968" t="s">
        <v>20</v>
      </c>
      <c r="B4968">
        <v>86</v>
      </c>
      <c r="C4968">
        <v>11</v>
      </c>
    </row>
    <row r="4969" spans="1:4" x14ac:dyDescent="0.25">
      <c r="A4969" t="s">
        <v>20</v>
      </c>
      <c r="B4969">
        <v>86</v>
      </c>
      <c r="C4969">
        <v>12</v>
      </c>
    </row>
    <row r="4970" spans="1:4" x14ac:dyDescent="0.25">
      <c r="A4970" t="s">
        <v>20</v>
      </c>
      <c r="B4970">
        <v>86</v>
      </c>
      <c r="C4970">
        <v>13</v>
      </c>
      <c r="D4970">
        <v>1</v>
      </c>
    </row>
    <row r="4971" spans="1:4" x14ac:dyDescent="0.25">
      <c r="A4971" t="s">
        <v>20</v>
      </c>
      <c r="B4971">
        <v>86</v>
      </c>
      <c r="C4971">
        <v>14</v>
      </c>
    </row>
    <row r="4972" spans="1:4" x14ac:dyDescent="0.25">
      <c r="A4972" t="s">
        <v>20</v>
      </c>
      <c r="B4972">
        <v>86</v>
      </c>
      <c r="C4972">
        <v>15</v>
      </c>
    </row>
    <row r="4973" spans="1:4" x14ac:dyDescent="0.25">
      <c r="A4973" t="s">
        <v>20</v>
      </c>
      <c r="B4973">
        <v>86</v>
      </c>
      <c r="C4973">
        <v>16</v>
      </c>
      <c r="D4973">
        <v>1</v>
      </c>
    </row>
    <row r="4974" spans="1:4" x14ac:dyDescent="0.25">
      <c r="A4974" t="s">
        <v>20</v>
      </c>
      <c r="B4974">
        <v>86</v>
      </c>
      <c r="C4974">
        <v>17</v>
      </c>
    </row>
    <row r="4975" spans="1:4" x14ac:dyDescent="0.25">
      <c r="A4975" t="s">
        <v>20</v>
      </c>
      <c r="B4975">
        <v>86</v>
      </c>
      <c r="C4975">
        <v>18</v>
      </c>
    </row>
    <row r="4976" spans="1:4" x14ac:dyDescent="0.25">
      <c r="A4976" t="s">
        <v>20</v>
      </c>
      <c r="B4976">
        <v>86</v>
      </c>
      <c r="C4976">
        <v>19</v>
      </c>
      <c r="D4976">
        <v>1</v>
      </c>
    </row>
    <row r="4977" spans="1:4" x14ac:dyDescent="0.25">
      <c r="A4977" t="s">
        <v>20</v>
      </c>
      <c r="B4977">
        <v>86</v>
      </c>
      <c r="C4977">
        <v>20</v>
      </c>
    </row>
    <row r="4978" spans="1:4" x14ac:dyDescent="0.25">
      <c r="A4978" t="s">
        <v>20</v>
      </c>
      <c r="B4978">
        <v>86</v>
      </c>
      <c r="C4978">
        <v>21</v>
      </c>
    </row>
    <row r="4979" spans="1:4" x14ac:dyDescent="0.25">
      <c r="A4979" t="s">
        <v>20</v>
      </c>
      <c r="B4979">
        <v>86</v>
      </c>
      <c r="C4979">
        <v>22</v>
      </c>
      <c r="D4979">
        <v>1</v>
      </c>
    </row>
    <row r="4980" spans="1:4" x14ac:dyDescent="0.25">
      <c r="A4980" t="s">
        <v>20</v>
      </c>
      <c r="B4980">
        <v>86</v>
      </c>
      <c r="C4980">
        <v>23</v>
      </c>
    </row>
    <row r="4981" spans="1:4" x14ac:dyDescent="0.25">
      <c r="A4981" t="s">
        <v>20</v>
      </c>
      <c r="B4981">
        <v>86</v>
      </c>
      <c r="C4981">
        <v>24</v>
      </c>
    </row>
    <row r="4982" spans="1:4" x14ac:dyDescent="0.25">
      <c r="A4982" t="s">
        <v>20</v>
      </c>
      <c r="B4982">
        <v>86</v>
      </c>
      <c r="C4982">
        <v>25</v>
      </c>
      <c r="D4982">
        <v>1</v>
      </c>
    </row>
    <row r="4983" spans="1:4" x14ac:dyDescent="0.25">
      <c r="A4983" t="s">
        <v>20</v>
      </c>
      <c r="B4983">
        <v>86</v>
      </c>
      <c r="C4983">
        <v>26</v>
      </c>
    </row>
    <row r="4984" spans="1:4" x14ac:dyDescent="0.25">
      <c r="A4984" t="s">
        <v>20</v>
      </c>
      <c r="B4984">
        <v>86</v>
      </c>
      <c r="C4984">
        <v>27</v>
      </c>
    </row>
    <row r="4985" spans="1:4" x14ac:dyDescent="0.25">
      <c r="A4985" t="s">
        <v>20</v>
      </c>
      <c r="B4985">
        <v>86</v>
      </c>
      <c r="C4985">
        <v>28</v>
      </c>
      <c r="D4985">
        <v>1</v>
      </c>
    </row>
    <row r="4986" spans="1:4" x14ac:dyDescent="0.25">
      <c r="A4986" t="s">
        <v>20</v>
      </c>
      <c r="B4986">
        <v>86</v>
      </c>
      <c r="C4986">
        <v>29</v>
      </c>
    </row>
    <row r="4987" spans="1:4" x14ac:dyDescent="0.25">
      <c r="A4987" t="s">
        <v>20</v>
      </c>
      <c r="B4987">
        <v>86</v>
      </c>
      <c r="C4987">
        <v>30</v>
      </c>
    </row>
    <row r="4988" spans="1:4" x14ac:dyDescent="0.25">
      <c r="A4988" t="s">
        <v>20</v>
      </c>
      <c r="B4988">
        <v>86</v>
      </c>
      <c r="C4988">
        <v>31</v>
      </c>
      <c r="D4988">
        <v>1</v>
      </c>
    </row>
    <row r="4989" spans="1:4" x14ac:dyDescent="0.25">
      <c r="A4989" t="s">
        <v>20</v>
      </c>
      <c r="B4989">
        <v>86</v>
      </c>
      <c r="C4989">
        <v>32</v>
      </c>
    </row>
    <row r="4990" spans="1:4" x14ac:dyDescent="0.25">
      <c r="A4990" t="s">
        <v>20</v>
      </c>
      <c r="B4990">
        <v>86</v>
      </c>
      <c r="C4990">
        <v>33</v>
      </c>
    </row>
    <row r="4991" spans="1:4" x14ac:dyDescent="0.25">
      <c r="A4991" t="s">
        <v>20</v>
      </c>
      <c r="B4991">
        <v>86</v>
      </c>
      <c r="C4991">
        <v>34</v>
      </c>
      <c r="D4991">
        <v>1</v>
      </c>
    </row>
    <row r="4992" spans="1:4" x14ac:dyDescent="0.25">
      <c r="A4992" t="s">
        <v>20</v>
      </c>
      <c r="B4992">
        <v>86</v>
      </c>
      <c r="C4992">
        <v>35</v>
      </c>
    </row>
    <row r="4993" spans="1:4" x14ac:dyDescent="0.25">
      <c r="A4993" t="s">
        <v>20</v>
      </c>
      <c r="B4993">
        <v>86</v>
      </c>
      <c r="C4993">
        <v>36</v>
      </c>
    </row>
    <row r="4994" spans="1:4" x14ac:dyDescent="0.25">
      <c r="A4994" t="s">
        <v>20</v>
      </c>
      <c r="B4994">
        <v>86</v>
      </c>
      <c r="C4994">
        <v>37</v>
      </c>
      <c r="D4994">
        <v>1</v>
      </c>
    </row>
    <row r="4995" spans="1:4" x14ac:dyDescent="0.25">
      <c r="A4995" t="s">
        <v>20</v>
      </c>
      <c r="B4995">
        <v>86</v>
      </c>
      <c r="C4995">
        <v>38</v>
      </c>
    </row>
    <row r="4996" spans="1:4" x14ac:dyDescent="0.25">
      <c r="A4996" t="s">
        <v>20</v>
      </c>
      <c r="B4996">
        <v>86</v>
      </c>
      <c r="C4996">
        <v>39</v>
      </c>
    </row>
    <row r="4997" spans="1:4" x14ac:dyDescent="0.25">
      <c r="A4997" t="s">
        <v>20</v>
      </c>
      <c r="B4997">
        <v>86</v>
      </c>
      <c r="C4997">
        <v>40</v>
      </c>
      <c r="D4997">
        <v>1</v>
      </c>
    </row>
    <row r="4998" spans="1:4" x14ac:dyDescent="0.25">
      <c r="A4998" t="s">
        <v>20</v>
      </c>
      <c r="B4998">
        <v>86</v>
      </c>
      <c r="C4998">
        <v>41</v>
      </c>
    </row>
    <row r="4999" spans="1:4" x14ac:dyDescent="0.25">
      <c r="A4999" t="s">
        <v>20</v>
      </c>
      <c r="B4999">
        <v>86</v>
      </c>
      <c r="C4999">
        <v>42</v>
      </c>
    </row>
    <row r="5000" spans="1:4" x14ac:dyDescent="0.25">
      <c r="A5000" t="s">
        <v>20</v>
      </c>
      <c r="B5000">
        <v>86</v>
      </c>
      <c r="C5000">
        <v>43</v>
      </c>
    </row>
    <row r="5001" spans="1:4" x14ac:dyDescent="0.25">
      <c r="A5001" t="s">
        <v>20</v>
      </c>
      <c r="B5001">
        <v>86</v>
      </c>
      <c r="C5001">
        <v>44</v>
      </c>
    </row>
    <row r="5002" spans="1:4" x14ac:dyDescent="0.25">
      <c r="A5002" t="s">
        <v>20</v>
      </c>
      <c r="B5002">
        <v>86</v>
      </c>
      <c r="C5002">
        <v>45</v>
      </c>
    </row>
    <row r="5003" spans="1:4" x14ac:dyDescent="0.25">
      <c r="A5003" t="s">
        <v>20</v>
      </c>
      <c r="B5003">
        <v>86</v>
      </c>
      <c r="C5003">
        <v>46</v>
      </c>
      <c r="D5003">
        <v>1</v>
      </c>
    </row>
    <row r="5004" spans="1:4" x14ac:dyDescent="0.25">
      <c r="A5004" t="s">
        <v>20</v>
      </c>
      <c r="B5004">
        <v>86</v>
      </c>
      <c r="C5004">
        <v>47</v>
      </c>
    </row>
    <row r="5005" spans="1:4" x14ac:dyDescent="0.25">
      <c r="A5005" t="s">
        <v>20</v>
      </c>
      <c r="B5005">
        <v>86</v>
      </c>
      <c r="C5005">
        <v>48</v>
      </c>
    </row>
    <row r="5006" spans="1:4" x14ac:dyDescent="0.25">
      <c r="A5006" t="s">
        <v>20</v>
      </c>
      <c r="B5006">
        <v>86</v>
      </c>
      <c r="C5006">
        <v>49</v>
      </c>
      <c r="D5006">
        <v>1</v>
      </c>
    </row>
    <row r="5007" spans="1:4" x14ac:dyDescent="0.25">
      <c r="A5007" t="s">
        <v>20</v>
      </c>
      <c r="B5007">
        <v>86</v>
      </c>
      <c r="C5007">
        <v>50</v>
      </c>
    </row>
    <row r="5008" spans="1:4" x14ac:dyDescent="0.25">
      <c r="A5008" t="s">
        <v>20</v>
      </c>
      <c r="B5008">
        <v>86</v>
      </c>
      <c r="C5008">
        <v>51</v>
      </c>
    </row>
    <row r="5009" spans="1:4" x14ac:dyDescent="0.25">
      <c r="A5009" t="s">
        <v>20</v>
      </c>
      <c r="B5009">
        <v>86</v>
      </c>
      <c r="C5009">
        <v>52</v>
      </c>
      <c r="D5009">
        <v>1</v>
      </c>
    </row>
    <row r="5010" spans="1:4" x14ac:dyDescent="0.25">
      <c r="A5010" t="s">
        <v>20</v>
      </c>
      <c r="B5010">
        <v>86</v>
      </c>
      <c r="C5010">
        <v>53</v>
      </c>
    </row>
    <row r="5011" spans="1:4" x14ac:dyDescent="0.25">
      <c r="A5011" t="s">
        <v>20</v>
      </c>
      <c r="B5011">
        <v>86</v>
      </c>
      <c r="C5011">
        <v>54</v>
      </c>
    </row>
    <row r="5012" spans="1:4" x14ac:dyDescent="0.25">
      <c r="A5012" t="s">
        <v>20</v>
      </c>
      <c r="B5012">
        <v>86</v>
      </c>
      <c r="C5012">
        <v>55</v>
      </c>
      <c r="D5012">
        <v>1</v>
      </c>
    </row>
    <row r="5013" spans="1:4" x14ac:dyDescent="0.25">
      <c r="A5013" t="s">
        <v>20</v>
      </c>
      <c r="B5013">
        <v>86</v>
      </c>
      <c r="C5013">
        <v>56</v>
      </c>
    </row>
    <row r="5014" spans="1:4" x14ac:dyDescent="0.25">
      <c r="A5014" t="s">
        <v>20</v>
      </c>
      <c r="B5014">
        <v>86</v>
      </c>
      <c r="C5014">
        <v>57</v>
      </c>
    </row>
    <row r="5015" spans="1:4" x14ac:dyDescent="0.25">
      <c r="A5015" t="s">
        <v>20</v>
      </c>
      <c r="B5015">
        <v>86</v>
      </c>
      <c r="C5015">
        <v>58</v>
      </c>
      <c r="D5015">
        <v>1</v>
      </c>
    </row>
    <row r="5016" spans="1:4" x14ac:dyDescent="0.25">
      <c r="A5016" t="s">
        <v>20</v>
      </c>
      <c r="B5016">
        <v>86</v>
      </c>
      <c r="C5016">
        <v>59</v>
      </c>
    </row>
    <row r="5017" spans="1:4" x14ac:dyDescent="0.25">
      <c r="A5017" t="s">
        <v>20</v>
      </c>
      <c r="B5017">
        <v>86</v>
      </c>
      <c r="C5017">
        <v>60</v>
      </c>
    </row>
    <row r="5018" spans="1:4" x14ac:dyDescent="0.25">
      <c r="A5018" t="s">
        <v>20</v>
      </c>
      <c r="B5018">
        <v>86</v>
      </c>
      <c r="C5018">
        <v>61</v>
      </c>
    </row>
    <row r="5019" spans="1:4" x14ac:dyDescent="0.25">
      <c r="A5019" t="s">
        <v>20</v>
      </c>
      <c r="B5019">
        <v>86</v>
      </c>
      <c r="C5019">
        <v>62</v>
      </c>
    </row>
    <row r="5020" spans="1:4" x14ac:dyDescent="0.25">
      <c r="A5020" t="s">
        <v>20</v>
      </c>
      <c r="B5020">
        <v>86</v>
      </c>
      <c r="C5020">
        <v>63</v>
      </c>
    </row>
    <row r="5021" spans="1:4" x14ac:dyDescent="0.25">
      <c r="A5021" t="s">
        <v>20</v>
      </c>
      <c r="B5021">
        <v>86</v>
      </c>
      <c r="C5021">
        <v>64</v>
      </c>
      <c r="D5021">
        <v>1</v>
      </c>
    </row>
    <row r="5022" spans="1:4" x14ac:dyDescent="0.25">
      <c r="A5022" t="s">
        <v>20</v>
      </c>
      <c r="B5022">
        <v>86</v>
      </c>
      <c r="C5022">
        <v>65</v>
      </c>
    </row>
    <row r="5023" spans="1:4" x14ac:dyDescent="0.25">
      <c r="A5023" t="s">
        <v>20</v>
      </c>
      <c r="B5023">
        <v>86</v>
      </c>
      <c r="C5023">
        <v>66</v>
      </c>
    </row>
    <row r="5024" spans="1:4" x14ac:dyDescent="0.25">
      <c r="A5024" t="s">
        <v>20</v>
      </c>
      <c r="B5024">
        <v>86</v>
      </c>
      <c r="C5024">
        <v>67</v>
      </c>
      <c r="D5024">
        <v>1</v>
      </c>
    </row>
    <row r="5025" spans="1:3" x14ac:dyDescent="0.25">
      <c r="A5025" t="s">
        <v>20</v>
      </c>
      <c r="B5025">
        <v>86</v>
      </c>
      <c r="C5025">
        <v>68</v>
      </c>
    </row>
    <row r="5026" spans="1:3" x14ac:dyDescent="0.25">
      <c r="A5026" t="s">
        <v>20</v>
      </c>
      <c r="B5026">
        <v>86</v>
      </c>
      <c r="C5026">
        <v>69</v>
      </c>
    </row>
    <row r="5027" spans="1:3" x14ac:dyDescent="0.25">
      <c r="A5027" t="s">
        <v>20</v>
      </c>
      <c r="B5027">
        <v>86</v>
      </c>
      <c r="C5027">
        <v>70</v>
      </c>
    </row>
    <row r="5028" spans="1:3" x14ac:dyDescent="0.25">
      <c r="A5028" t="s">
        <v>20</v>
      </c>
      <c r="B5028">
        <v>86</v>
      </c>
      <c r="C5028">
        <v>71</v>
      </c>
    </row>
    <row r="5029" spans="1:3" x14ac:dyDescent="0.25">
      <c r="A5029" t="s">
        <v>20</v>
      </c>
      <c r="B5029">
        <v>86</v>
      </c>
      <c r="C5029">
        <v>72</v>
      </c>
    </row>
    <row r="5030" spans="1:3" x14ac:dyDescent="0.25">
      <c r="A5030" t="s">
        <v>20</v>
      </c>
      <c r="B5030">
        <v>86</v>
      </c>
      <c r="C5030">
        <v>73</v>
      </c>
    </row>
    <row r="5031" spans="1:3" x14ac:dyDescent="0.25">
      <c r="A5031" t="s">
        <v>20</v>
      </c>
      <c r="B5031">
        <v>86</v>
      </c>
      <c r="C5031">
        <v>74</v>
      </c>
    </row>
    <row r="5032" spans="1:3" x14ac:dyDescent="0.25">
      <c r="A5032" t="s">
        <v>20</v>
      </c>
      <c r="B5032">
        <v>86</v>
      </c>
      <c r="C5032">
        <v>75</v>
      </c>
    </row>
    <row r="5033" spans="1:3" x14ac:dyDescent="0.25">
      <c r="A5033" t="s">
        <v>20</v>
      </c>
      <c r="B5033">
        <v>86</v>
      </c>
      <c r="C5033">
        <v>76</v>
      </c>
    </row>
    <row r="5034" spans="1:3" x14ac:dyDescent="0.25">
      <c r="A5034" t="s">
        <v>20</v>
      </c>
      <c r="B5034">
        <v>86</v>
      </c>
      <c r="C5034">
        <v>77</v>
      </c>
    </row>
    <row r="5035" spans="1:3" x14ac:dyDescent="0.25">
      <c r="A5035" t="s">
        <v>20</v>
      </c>
      <c r="B5035">
        <v>86</v>
      </c>
      <c r="C5035">
        <v>78</v>
      </c>
    </row>
    <row r="5036" spans="1:3" x14ac:dyDescent="0.25">
      <c r="A5036" t="s">
        <v>20</v>
      </c>
      <c r="B5036">
        <v>86</v>
      </c>
      <c r="C5036">
        <v>79</v>
      </c>
    </row>
    <row r="5037" spans="1:3" x14ac:dyDescent="0.25">
      <c r="A5037" t="s">
        <v>20</v>
      </c>
      <c r="B5037">
        <v>86</v>
      </c>
      <c r="C5037">
        <v>80</v>
      </c>
    </row>
    <row r="5038" spans="1:3" x14ac:dyDescent="0.25">
      <c r="A5038" t="s">
        <v>20</v>
      </c>
      <c r="B5038">
        <v>86</v>
      </c>
      <c r="C5038">
        <v>81</v>
      </c>
    </row>
    <row r="5039" spans="1:3" x14ac:dyDescent="0.25">
      <c r="A5039" t="s">
        <v>20</v>
      </c>
      <c r="B5039">
        <v>86</v>
      </c>
      <c r="C5039">
        <v>82</v>
      </c>
    </row>
    <row r="5040" spans="1:3" x14ac:dyDescent="0.25">
      <c r="A5040" t="s">
        <v>20</v>
      </c>
      <c r="B5040">
        <v>86</v>
      </c>
      <c r="C5040">
        <v>83</v>
      </c>
    </row>
    <row r="5041" spans="1:4" x14ac:dyDescent="0.25">
      <c r="A5041" t="s">
        <v>20</v>
      </c>
      <c r="B5041">
        <v>86</v>
      </c>
      <c r="C5041">
        <v>84</v>
      </c>
    </row>
    <row r="5042" spans="1:4" x14ac:dyDescent="0.25">
      <c r="A5042" t="s">
        <v>20</v>
      </c>
      <c r="B5042">
        <v>87</v>
      </c>
      <c r="C5042">
        <v>1</v>
      </c>
    </row>
    <row r="5043" spans="1:4" x14ac:dyDescent="0.25">
      <c r="A5043" t="s">
        <v>20</v>
      </c>
      <c r="B5043">
        <v>87</v>
      </c>
      <c r="C5043">
        <v>2</v>
      </c>
      <c r="D5043">
        <v>1</v>
      </c>
    </row>
    <row r="5044" spans="1:4" x14ac:dyDescent="0.25">
      <c r="A5044" t="s">
        <v>20</v>
      </c>
      <c r="B5044">
        <v>87</v>
      </c>
      <c r="C5044">
        <v>3</v>
      </c>
    </row>
    <row r="5045" spans="1:4" x14ac:dyDescent="0.25">
      <c r="A5045" t="s">
        <v>20</v>
      </c>
      <c r="B5045">
        <v>87</v>
      </c>
      <c r="C5045">
        <v>4</v>
      </c>
    </row>
    <row r="5046" spans="1:4" x14ac:dyDescent="0.25">
      <c r="A5046" t="s">
        <v>20</v>
      </c>
      <c r="B5046">
        <v>87</v>
      </c>
      <c r="C5046">
        <v>5</v>
      </c>
      <c r="D5046">
        <v>1</v>
      </c>
    </row>
    <row r="5047" spans="1:4" x14ac:dyDescent="0.25">
      <c r="A5047" t="s">
        <v>20</v>
      </c>
      <c r="B5047">
        <v>87</v>
      </c>
      <c r="C5047">
        <v>6</v>
      </c>
    </row>
    <row r="5048" spans="1:4" x14ac:dyDescent="0.25">
      <c r="A5048" t="s">
        <v>20</v>
      </c>
      <c r="B5048">
        <v>87</v>
      </c>
      <c r="C5048">
        <v>7</v>
      </c>
    </row>
    <row r="5049" spans="1:4" x14ac:dyDescent="0.25">
      <c r="A5049" t="s">
        <v>20</v>
      </c>
      <c r="B5049">
        <v>87</v>
      </c>
      <c r="C5049">
        <v>8</v>
      </c>
    </row>
    <row r="5050" spans="1:4" x14ac:dyDescent="0.25">
      <c r="A5050" t="s">
        <v>20</v>
      </c>
      <c r="B5050">
        <v>87</v>
      </c>
      <c r="C5050">
        <v>9</v>
      </c>
    </row>
    <row r="5051" spans="1:4" x14ac:dyDescent="0.25">
      <c r="A5051" t="s">
        <v>20</v>
      </c>
      <c r="B5051">
        <v>87</v>
      </c>
      <c r="C5051">
        <v>10</v>
      </c>
    </row>
    <row r="5052" spans="1:4" x14ac:dyDescent="0.25">
      <c r="A5052" t="s">
        <v>20</v>
      </c>
      <c r="B5052">
        <v>87</v>
      </c>
      <c r="C5052">
        <v>11</v>
      </c>
      <c r="D5052">
        <v>1</v>
      </c>
    </row>
    <row r="5053" spans="1:4" x14ac:dyDescent="0.25">
      <c r="A5053" t="s">
        <v>20</v>
      </c>
      <c r="B5053">
        <v>87</v>
      </c>
      <c r="C5053">
        <v>12</v>
      </c>
    </row>
    <row r="5054" spans="1:4" x14ac:dyDescent="0.25">
      <c r="A5054" t="s">
        <v>20</v>
      </c>
      <c r="B5054">
        <v>87</v>
      </c>
      <c r="C5054">
        <v>13</v>
      </c>
    </row>
    <row r="5055" spans="1:4" x14ac:dyDescent="0.25">
      <c r="A5055" t="s">
        <v>20</v>
      </c>
      <c r="B5055">
        <v>87</v>
      </c>
      <c r="C5055">
        <v>14</v>
      </c>
      <c r="D5055">
        <v>1</v>
      </c>
    </row>
    <row r="5056" spans="1:4" x14ac:dyDescent="0.25">
      <c r="A5056" t="s">
        <v>20</v>
      </c>
      <c r="B5056">
        <v>87</v>
      </c>
      <c r="C5056">
        <v>15</v>
      </c>
    </row>
    <row r="5057" spans="1:4" x14ac:dyDescent="0.25">
      <c r="A5057" t="s">
        <v>20</v>
      </c>
      <c r="B5057">
        <v>87</v>
      </c>
      <c r="C5057">
        <v>16</v>
      </c>
    </row>
    <row r="5058" spans="1:4" x14ac:dyDescent="0.25">
      <c r="A5058" t="s">
        <v>20</v>
      </c>
      <c r="B5058">
        <v>87</v>
      </c>
      <c r="C5058">
        <v>17</v>
      </c>
      <c r="D5058">
        <v>1</v>
      </c>
    </row>
    <row r="5059" spans="1:4" x14ac:dyDescent="0.25">
      <c r="A5059" t="s">
        <v>20</v>
      </c>
      <c r="B5059">
        <v>87</v>
      </c>
      <c r="C5059">
        <v>18</v>
      </c>
    </row>
    <row r="5060" spans="1:4" x14ac:dyDescent="0.25">
      <c r="A5060" t="s">
        <v>20</v>
      </c>
      <c r="B5060">
        <v>87</v>
      </c>
      <c r="C5060">
        <v>19</v>
      </c>
    </row>
    <row r="5061" spans="1:4" x14ac:dyDescent="0.25">
      <c r="A5061" t="s">
        <v>20</v>
      </c>
      <c r="B5061">
        <v>87</v>
      </c>
      <c r="C5061">
        <v>20</v>
      </c>
      <c r="D5061">
        <v>1</v>
      </c>
    </row>
    <row r="5062" spans="1:4" x14ac:dyDescent="0.25">
      <c r="A5062" t="s">
        <v>20</v>
      </c>
      <c r="B5062">
        <v>87</v>
      </c>
      <c r="C5062">
        <v>21</v>
      </c>
    </row>
    <row r="5063" spans="1:4" x14ac:dyDescent="0.25">
      <c r="A5063" t="s">
        <v>20</v>
      </c>
      <c r="B5063">
        <v>87</v>
      </c>
      <c r="C5063">
        <v>22</v>
      </c>
    </row>
    <row r="5064" spans="1:4" x14ac:dyDescent="0.25">
      <c r="A5064" t="s">
        <v>20</v>
      </c>
      <c r="B5064">
        <v>87</v>
      </c>
      <c r="C5064">
        <v>23</v>
      </c>
    </row>
    <row r="5065" spans="1:4" x14ac:dyDescent="0.25">
      <c r="A5065" t="s">
        <v>20</v>
      </c>
      <c r="B5065">
        <v>87</v>
      </c>
      <c r="C5065">
        <v>24</v>
      </c>
    </row>
    <row r="5066" spans="1:4" x14ac:dyDescent="0.25">
      <c r="A5066" t="s">
        <v>20</v>
      </c>
      <c r="B5066">
        <v>87</v>
      </c>
      <c r="C5066">
        <v>25</v>
      </c>
    </row>
    <row r="5067" spans="1:4" x14ac:dyDescent="0.25">
      <c r="A5067" t="s">
        <v>20</v>
      </c>
      <c r="B5067">
        <v>87</v>
      </c>
      <c r="C5067">
        <v>26</v>
      </c>
      <c r="D5067">
        <v>1</v>
      </c>
    </row>
    <row r="5068" spans="1:4" x14ac:dyDescent="0.25">
      <c r="A5068" t="s">
        <v>20</v>
      </c>
      <c r="B5068">
        <v>87</v>
      </c>
      <c r="C5068">
        <v>27</v>
      </c>
    </row>
    <row r="5069" spans="1:4" x14ac:dyDescent="0.25">
      <c r="A5069" t="s">
        <v>20</v>
      </c>
      <c r="B5069">
        <v>87</v>
      </c>
      <c r="C5069">
        <v>28</v>
      </c>
    </row>
    <row r="5070" spans="1:4" x14ac:dyDescent="0.25">
      <c r="A5070" t="s">
        <v>20</v>
      </c>
      <c r="B5070">
        <v>87</v>
      </c>
      <c r="C5070">
        <v>29</v>
      </c>
    </row>
    <row r="5071" spans="1:4" x14ac:dyDescent="0.25">
      <c r="A5071" t="s">
        <v>20</v>
      </c>
      <c r="B5071">
        <v>87</v>
      </c>
      <c r="C5071">
        <v>30</v>
      </c>
    </row>
    <row r="5072" spans="1:4" x14ac:dyDescent="0.25">
      <c r="A5072" t="s">
        <v>20</v>
      </c>
      <c r="B5072">
        <v>87</v>
      </c>
      <c r="C5072">
        <v>31</v>
      </c>
    </row>
    <row r="5073" spans="1:4" x14ac:dyDescent="0.25">
      <c r="A5073" t="s">
        <v>20</v>
      </c>
      <c r="B5073">
        <v>87</v>
      </c>
      <c r="C5073">
        <v>32</v>
      </c>
      <c r="D5073">
        <v>1</v>
      </c>
    </row>
    <row r="5074" spans="1:4" x14ac:dyDescent="0.25">
      <c r="A5074" t="s">
        <v>20</v>
      </c>
      <c r="B5074">
        <v>87</v>
      </c>
      <c r="C5074">
        <v>33</v>
      </c>
    </row>
    <row r="5075" spans="1:4" x14ac:dyDescent="0.25">
      <c r="A5075" t="s">
        <v>20</v>
      </c>
      <c r="B5075">
        <v>87</v>
      </c>
      <c r="C5075">
        <v>34</v>
      </c>
    </row>
    <row r="5076" spans="1:4" x14ac:dyDescent="0.25">
      <c r="A5076" t="s">
        <v>20</v>
      </c>
      <c r="B5076">
        <v>87</v>
      </c>
      <c r="C5076">
        <v>35</v>
      </c>
      <c r="D5076">
        <v>1</v>
      </c>
    </row>
    <row r="5077" spans="1:4" x14ac:dyDescent="0.25">
      <c r="A5077" t="s">
        <v>20</v>
      </c>
      <c r="B5077">
        <v>87</v>
      </c>
      <c r="C5077">
        <v>36</v>
      </c>
    </row>
    <row r="5078" spans="1:4" x14ac:dyDescent="0.25">
      <c r="A5078" t="s">
        <v>20</v>
      </c>
      <c r="B5078">
        <v>87</v>
      </c>
      <c r="C5078">
        <v>37</v>
      </c>
    </row>
    <row r="5079" spans="1:4" x14ac:dyDescent="0.25">
      <c r="A5079" t="s">
        <v>20</v>
      </c>
      <c r="B5079">
        <v>87</v>
      </c>
      <c r="C5079">
        <v>38</v>
      </c>
      <c r="D5079">
        <v>1</v>
      </c>
    </row>
    <row r="5080" spans="1:4" x14ac:dyDescent="0.25">
      <c r="A5080" t="s">
        <v>20</v>
      </c>
      <c r="B5080">
        <v>87</v>
      </c>
      <c r="C5080">
        <v>39</v>
      </c>
    </row>
    <row r="5081" spans="1:4" x14ac:dyDescent="0.25">
      <c r="A5081" t="s">
        <v>20</v>
      </c>
      <c r="B5081">
        <v>87</v>
      </c>
      <c r="C5081">
        <v>40</v>
      </c>
    </row>
    <row r="5082" spans="1:4" x14ac:dyDescent="0.25">
      <c r="A5082" t="s">
        <v>20</v>
      </c>
      <c r="B5082">
        <v>87</v>
      </c>
      <c r="C5082">
        <v>41</v>
      </c>
      <c r="D5082">
        <v>1</v>
      </c>
    </row>
    <row r="5083" spans="1:4" x14ac:dyDescent="0.25">
      <c r="A5083" t="s">
        <v>20</v>
      </c>
      <c r="B5083">
        <v>87</v>
      </c>
      <c r="C5083">
        <v>42</v>
      </c>
    </row>
    <row r="5084" spans="1:4" x14ac:dyDescent="0.25">
      <c r="A5084" t="s">
        <v>20</v>
      </c>
      <c r="B5084">
        <v>87</v>
      </c>
      <c r="C5084">
        <v>43</v>
      </c>
    </row>
    <row r="5085" spans="1:4" x14ac:dyDescent="0.25">
      <c r="A5085" t="s">
        <v>20</v>
      </c>
      <c r="B5085">
        <v>87</v>
      </c>
      <c r="C5085">
        <v>44</v>
      </c>
    </row>
    <row r="5086" spans="1:4" x14ac:dyDescent="0.25">
      <c r="A5086" t="s">
        <v>20</v>
      </c>
      <c r="B5086">
        <v>87</v>
      </c>
      <c r="C5086">
        <v>45</v>
      </c>
    </row>
    <row r="5087" spans="1:4" x14ac:dyDescent="0.25">
      <c r="A5087" t="s">
        <v>20</v>
      </c>
      <c r="B5087">
        <v>87</v>
      </c>
      <c r="C5087">
        <v>46</v>
      </c>
    </row>
    <row r="5088" spans="1:4" x14ac:dyDescent="0.25">
      <c r="A5088" t="s">
        <v>20</v>
      </c>
      <c r="B5088">
        <v>87</v>
      </c>
      <c r="C5088">
        <v>47</v>
      </c>
      <c r="D5088">
        <v>1</v>
      </c>
    </row>
    <row r="5089" spans="1:4" x14ac:dyDescent="0.25">
      <c r="A5089" t="s">
        <v>20</v>
      </c>
      <c r="B5089">
        <v>87</v>
      </c>
      <c r="C5089">
        <v>48</v>
      </c>
    </row>
    <row r="5090" spans="1:4" x14ac:dyDescent="0.25">
      <c r="A5090" t="s">
        <v>20</v>
      </c>
      <c r="B5090">
        <v>87</v>
      </c>
      <c r="C5090">
        <v>49</v>
      </c>
    </row>
    <row r="5091" spans="1:4" x14ac:dyDescent="0.25">
      <c r="A5091" t="s">
        <v>20</v>
      </c>
      <c r="B5091">
        <v>87</v>
      </c>
      <c r="C5091">
        <v>50</v>
      </c>
    </row>
    <row r="5092" spans="1:4" x14ac:dyDescent="0.25">
      <c r="A5092" t="s">
        <v>20</v>
      </c>
      <c r="B5092">
        <v>87</v>
      </c>
      <c r="C5092">
        <v>51</v>
      </c>
    </row>
    <row r="5093" spans="1:4" x14ac:dyDescent="0.25">
      <c r="A5093" t="s">
        <v>20</v>
      </c>
      <c r="B5093">
        <v>87</v>
      </c>
      <c r="C5093">
        <v>52</v>
      </c>
    </row>
    <row r="5094" spans="1:4" x14ac:dyDescent="0.25">
      <c r="A5094" t="s">
        <v>20</v>
      </c>
      <c r="B5094">
        <v>87</v>
      </c>
      <c r="C5094">
        <v>53</v>
      </c>
      <c r="D5094">
        <v>1</v>
      </c>
    </row>
    <row r="5095" spans="1:4" x14ac:dyDescent="0.25">
      <c r="A5095" t="s">
        <v>20</v>
      </c>
      <c r="B5095">
        <v>87</v>
      </c>
      <c r="C5095">
        <v>54</v>
      </c>
    </row>
    <row r="5096" spans="1:4" x14ac:dyDescent="0.25">
      <c r="A5096" t="s">
        <v>20</v>
      </c>
      <c r="B5096">
        <v>87</v>
      </c>
      <c r="C5096">
        <v>55</v>
      </c>
    </row>
    <row r="5097" spans="1:4" x14ac:dyDescent="0.25">
      <c r="A5097" t="s">
        <v>20</v>
      </c>
      <c r="B5097">
        <v>87</v>
      </c>
      <c r="C5097">
        <v>56</v>
      </c>
      <c r="D5097">
        <v>1</v>
      </c>
    </row>
    <row r="5098" spans="1:4" x14ac:dyDescent="0.25">
      <c r="A5098" t="s">
        <v>20</v>
      </c>
      <c r="B5098">
        <v>87</v>
      </c>
      <c r="C5098">
        <v>57</v>
      </c>
    </row>
    <row r="5099" spans="1:4" x14ac:dyDescent="0.25">
      <c r="A5099" t="s">
        <v>20</v>
      </c>
      <c r="B5099">
        <v>87</v>
      </c>
      <c r="C5099">
        <v>58</v>
      </c>
    </row>
    <row r="5100" spans="1:4" x14ac:dyDescent="0.25">
      <c r="A5100" t="s">
        <v>20</v>
      </c>
      <c r="B5100">
        <v>87</v>
      </c>
      <c r="C5100">
        <v>59</v>
      </c>
    </row>
    <row r="5101" spans="1:4" x14ac:dyDescent="0.25">
      <c r="A5101" t="s">
        <v>20</v>
      </c>
      <c r="B5101">
        <v>87</v>
      </c>
      <c r="C5101">
        <v>60</v>
      </c>
    </row>
    <row r="5102" spans="1:4" x14ac:dyDescent="0.25">
      <c r="A5102" t="s">
        <v>20</v>
      </c>
      <c r="B5102">
        <v>87</v>
      </c>
      <c r="C5102">
        <v>61</v>
      </c>
    </row>
    <row r="5103" spans="1:4" x14ac:dyDescent="0.25">
      <c r="A5103" t="s">
        <v>20</v>
      </c>
      <c r="B5103">
        <v>87</v>
      </c>
      <c r="C5103">
        <v>62</v>
      </c>
      <c r="D5103">
        <v>1</v>
      </c>
    </row>
    <row r="5104" spans="1:4" x14ac:dyDescent="0.25">
      <c r="A5104" t="s">
        <v>20</v>
      </c>
      <c r="B5104">
        <v>87</v>
      </c>
      <c r="C5104">
        <v>63</v>
      </c>
    </row>
    <row r="5105" spans="1:4" x14ac:dyDescent="0.25">
      <c r="A5105" t="s">
        <v>20</v>
      </c>
      <c r="B5105">
        <v>87</v>
      </c>
      <c r="C5105">
        <v>64</v>
      </c>
    </row>
    <row r="5106" spans="1:4" x14ac:dyDescent="0.25">
      <c r="A5106" t="s">
        <v>20</v>
      </c>
      <c r="B5106">
        <v>87</v>
      </c>
      <c r="C5106">
        <v>65</v>
      </c>
      <c r="D5106">
        <v>1</v>
      </c>
    </row>
    <row r="5107" spans="1:4" x14ac:dyDescent="0.25">
      <c r="A5107" t="s">
        <v>20</v>
      </c>
      <c r="B5107">
        <v>87</v>
      </c>
      <c r="C5107">
        <v>66</v>
      </c>
    </row>
    <row r="5108" spans="1:4" x14ac:dyDescent="0.25">
      <c r="A5108" t="s">
        <v>20</v>
      </c>
      <c r="B5108">
        <v>87</v>
      </c>
      <c r="C5108">
        <v>67</v>
      </c>
    </row>
    <row r="5109" spans="1:4" x14ac:dyDescent="0.25">
      <c r="A5109" t="s">
        <v>20</v>
      </c>
      <c r="B5109">
        <v>87</v>
      </c>
      <c r="C5109">
        <v>68</v>
      </c>
    </row>
    <row r="5110" spans="1:4" x14ac:dyDescent="0.25">
      <c r="A5110" t="s">
        <v>20</v>
      </c>
      <c r="B5110">
        <v>87</v>
      </c>
      <c r="C5110">
        <v>69</v>
      </c>
    </row>
    <row r="5111" spans="1:4" x14ac:dyDescent="0.25">
      <c r="A5111" t="s">
        <v>20</v>
      </c>
      <c r="B5111">
        <v>87</v>
      </c>
      <c r="C5111">
        <v>70</v>
      </c>
    </row>
    <row r="5112" spans="1:4" x14ac:dyDescent="0.25">
      <c r="A5112" t="s">
        <v>20</v>
      </c>
      <c r="B5112">
        <v>87</v>
      </c>
      <c r="C5112">
        <v>71</v>
      </c>
    </row>
    <row r="5113" spans="1:4" x14ac:dyDescent="0.25">
      <c r="A5113" t="s">
        <v>20</v>
      </c>
      <c r="B5113">
        <v>87</v>
      </c>
      <c r="C5113">
        <v>72</v>
      </c>
    </row>
    <row r="5114" spans="1:4" x14ac:dyDescent="0.25">
      <c r="A5114" t="s">
        <v>20</v>
      </c>
      <c r="B5114">
        <v>87</v>
      </c>
      <c r="C5114">
        <v>73</v>
      </c>
    </row>
    <row r="5115" spans="1:4" x14ac:dyDescent="0.25">
      <c r="A5115" t="s">
        <v>20</v>
      </c>
      <c r="B5115">
        <v>87</v>
      </c>
      <c r="C5115">
        <v>74</v>
      </c>
      <c r="D5115">
        <v>1</v>
      </c>
    </row>
    <row r="5116" spans="1:4" x14ac:dyDescent="0.25">
      <c r="A5116" t="s">
        <v>20</v>
      </c>
      <c r="B5116">
        <v>87</v>
      </c>
      <c r="C5116">
        <v>75</v>
      </c>
    </row>
    <row r="5117" spans="1:4" x14ac:dyDescent="0.25">
      <c r="A5117" t="s">
        <v>20</v>
      </c>
      <c r="B5117">
        <v>87</v>
      </c>
      <c r="C5117">
        <v>76</v>
      </c>
    </row>
    <row r="5118" spans="1:4" x14ac:dyDescent="0.25">
      <c r="A5118" t="s">
        <v>20</v>
      </c>
      <c r="B5118">
        <v>87</v>
      </c>
      <c r="C5118">
        <v>77</v>
      </c>
      <c r="D5118">
        <v>1</v>
      </c>
    </row>
    <row r="5119" spans="1:4" x14ac:dyDescent="0.25">
      <c r="A5119" t="s">
        <v>20</v>
      </c>
      <c r="B5119">
        <v>87</v>
      </c>
      <c r="C5119">
        <v>78</v>
      </c>
    </row>
    <row r="5120" spans="1:4" x14ac:dyDescent="0.25">
      <c r="A5120" t="s">
        <v>20</v>
      </c>
      <c r="B5120">
        <v>87</v>
      </c>
      <c r="C5120">
        <v>79</v>
      </c>
    </row>
    <row r="5121" spans="1:4" x14ac:dyDescent="0.25">
      <c r="A5121" t="s">
        <v>20</v>
      </c>
      <c r="B5121">
        <v>87</v>
      </c>
      <c r="C5121">
        <v>80</v>
      </c>
      <c r="D5121">
        <v>1</v>
      </c>
    </row>
    <row r="5122" spans="1:4" x14ac:dyDescent="0.25">
      <c r="A5122" t="s">
        <v>20</v>
      </c>
      <c r="B5122">
        <v>87</v>
      </c>
      <c r="C5122">
        <v>81</v>
      </c>
    </row>
    <row r="5123" spans="1:4" x14ac:dyDescent="0.25">
      <c r="A5123" t="s">
        <v>20</v>
      </c>
      <c r="B5123">
        <v>87</v>
      </c>
      <c r="C5123">
        <v>82</v>
      </c>
    </row>
    <row r="5124" spans="1:4" x14ac:dyDescent="0.25">
      <c r="A5124" t="s">
        <v>20</v>
      </c>
      <c r="B5124">
        <v>87</v>
      </c>
      <c r="C5124">
        <v>83</v>
      </c>
      <c r="D5124">
        <v>1</v>
      </c>
    </row>
    <row r="5125" spans="1:4" x14ac:dyDescent="0.25">
      <c r="A5125" t="s">
        <v>20</v>
      </c>
      <c r="B5125">
        <v>87</v>
      </c>
      <c r="C5125">
        <v>84</v>
      </c>
    </row>
    <row r="5126" spans="1:4" x14ac:dyDescent="0.25">
      <c r="A5126" t="s">
        <v>20</v>
      </c>
      <c r="B5126">
        <v>88</v>
      </c>
      <c r="C5126">
        <v>1</v>
      </c>
    </row>
    <row r="5127" spans="1:4" x14ac:dyDescent="0.25">
      <c r="A5127" t="s">
        <v>20</v>
      </c>
      <c r="B5127">
        <v>88</v>
      </c>
      <c r="C5127">
        <v>2</v>
      </c>
    </row>
    <row r="5128" spans="1:4" x14ac:dyDescent="0.25">
      <c r="A5128" t="s">
        <v>20</v>
      </c>
      <c r="B5128">
        <v>88</v>
      </c>
      <c r="C5128">
        <v>3</v>
      </c>
    </row>
    <row r="5129" spans="1:4" x14ac:dyDescent="0.25">
      <c r="A5129" t="s">
        <v>20</v>
      </c>
      <c r="B5129">
        <v>88</v>
      </c>
      <c r="C5129">
        <v>4</v>
      </c>
    </row>
    <row r="5130" spans="1:4" x14ac:dyDescent="0.25">
      <c r="A5130" t="s">
        <v>20</v>
      </c>
      <c r="B5130">
        <v>88</v>
      </c>
      <c r="C5130">
        <v>5</v>
      </c>
    </row>
    <row r="5131" spans="1:4" x14ac:dyDescent="0.25">
      <c r="A5131" t="s">
        <v>20</v>
      </c>
      <c r="B5131">
        <v>88</v>
      </c>
      <c r="C5131">
        <v>6</v>
      </c>
    </row>
    <row r="5132" spans="1:4" x14ac:dyDescent="0.25">
      <c r="A5132" t="s">
        <v>20</v>
      </c>
      <c r="B5132">
        <v>88</v>
      </c>
      <c r="C5132">
        <v>7</v>
      </c>
    </row>
    <row r="5133" spans="1:4" x14ac:dyDescent="0.25">
      <c r="A5133" t="s">
        <v>20</v>
      </c>
      <c r="B5133">
        <v>88</v>
      </c>
      <c r="C5133">
        <v>8</v>
      </c>
    </row>
    <row r="5134" spans="1:4" x14ac:dyDescent="0.25">
      <c r="A5134" t="s">
        <v>20</v>
      </c>
      <c r="B5134">
        <v>88</v>
      </c>
      <c r="C5134">
        <v>9</v>
      </c>
    </row>
    <row r="5135" spans="1:4" x14ac:dyDescent="0.25">
      <c r="A5135" t="s">
        <v>20</v>
      </c>
      <c r="B5135">
        <v>88</v>
      </c>
      <c r="C5135">
        <v>10</v>
      </c>
    </row>
    <row r="5136" spans="1:4" x14ac:dyDescent="0.25">
      <c r="A5136" t="s">
        <v>20</v>
      </c>
      <c r="B5136">
        <v>88</v>
      </c>
      <c r="C5136">
        <v>11</v>
      </c>
    </row>
    <row r="5137" spans="1:3" x14ac:dyDescent="0.25">
      <c r="A5137" t="s">
        <v>20</v>
      </c>
      <c r="B5137">
        <v>88</v>
      </c>
      <c r="C5137">
        <v>12</v>
      </c>
    </row>
    <row r="5138" spans="1:3" x14ac:dyDescent="0.25">
      <c r="A5138" t="s">
        <v>20</v>
      </c>
      <c r="B5138">
        <v>88</v>
      </c>
      <c r="C5138">
        <v>13</v>
      </c>
    </row>
    <row r="5139" spans="1:3" x14ac:dyDescent="0.25">
      <c r="A5139" t="s">
        <v>20</v>
      </c>
      <c r="B5139">
        <v>88</v>
      </c>
      <c r="C5139">
        <v>14</v>
      </c>
    </row>
    <row r="5140" spans="1:3" x14ac:dyDescent="0.25">
      <c r="A5140" t="s">
        <v>20</v>
      </c>
      <c r="B5140">
        <v>88</v>
      </c>
      <c r="C5140">
        <v>15</v>
      </c>
    </row>
    <row r="5141" spans="1:3" x14ac:dyDescent="0.25">
      <c r="A5141" t="s">
        <v>20</v>
      </c>
      <c r="B5141">
        <v>88</v>
      </c>
      <c r="C5141">
        <v>16</v>
      </c>
    </row>
    <row r="5142" spans="1:3" x14ac:dyDescent="0.25">
      <c r="A5142" t="s">
        <v>20</v>
      </c>
      <c r="B5142">
        <v>88</v>
      </c>
      <c r="C5142">
        <v>17</v>
      </c>
    </row>
    <row r="5143" spans="1:3" x14ac:dyDescent="0.25">
      <c r="A5143" t="s">
        <v>20</v>
      </c>
      <c r="B5143">
        <v>88</v>
      </c>
      <c r="C5143">
        <v>18</v>
      </c>
    </row>
    <row r="5144" spans="1:3" x14ac:dyDescent="0.25">
      <c r="A5144" t="s">
        <v>20</v>
      </c>
      <c r="B5144">
        <v>88</v>
      </c>
      <c r="C5144">
        <v>19</v>
      </c>
    </row>
    <row r="5145" spans="1:3" x14ac:dyDescent="0.25">
      <c r="A5145" t="s">
        <v>20</v>
      </c>
      <c r="B5145">
        <v>88</v>
      </c>
      <c r="C5145">
        <v>20</v>
      </c>
    </row>
    <row r="5146" spans="1:3" x14ac:dyDescent="0.25">
      <c r="A5146" t="s">
        <v>20</v>
      </c>
      <c r="B5146">
        <v>88</v>
      </c>
      <c r="C5146">
        <v>21</v>
      </c>
    </row>
    <row r="5147" spans="1:3" x14ac:dyDescent="0.25">
      <c r="A5147" t="s">
        <v>20</v>
      </c>
      <c r="B5147">
        <v>88</v>
      </c>
      <c r="C5147">
        <v>22</v>
      </c>
    </row>
    <row r="5148" spans="1:3" x14ac:dyDescent="0.25">
      <c r="A5148" t="s">
        <v>20</v>
      </c>
      <c r="B5148">
        <v>88</v>
      </c>
      <c r="C5148">
        <v>23</v>
      </c>
    </row>
    <row r="5149" spans="1:3" x14ac:dyDescent="0.25">
      <c r="A5149" t="s">
        <v>20</v>
      </c>
      <c r="B5149">
        <v>88</v>
      </c>
      <c r="C5149">
        <v>24</v>
      </c>
    </row>
    <row r="5150" spans="1:3" x14ac:dyDescent="0.25">
      <c r="A5150" t="s">
        <v>20</v>
      </c>
      <c r="B5150">
        <v>88</v>
      </c>
      <c r="C5150">
        <v>25</v>
      </c>
    </row>
    <row r="5151" spans="1:3" x14ac:dyDescent="0.25">
      <c r="A5151" t="s">
        <v>20</v>
      </c>
      <c r="B5151">
        <v>88</v>
      </c>
      <c r="C5151">
        <v>26</v>
      </c>
    </row>
    <row r="5152" spans="1:3" x14ac:dyDescent="0.25">
      <c r="A5152" t="s">
        <v>20</v>
      </c>
      <c r="B5152">
        <v>88</v>
      </c>
      <c r="C5152">
        <v>27</v>
      </c>
    </row>
    <row r="5153" spans="1:3" x14ac:dyDescent="0.25">
      <c r="A5153" t="s">
        <v>20</v>
      </c>
      <c r="B5153">
        <v>88</v>
      </c>
      <c r="C5153">
        <v>28</v>
      </c>
    </row>
    <row r="5154" spans="1:3" x14ac:dyDescent="0.25">
      <c r="A5154" t="s">
        <v>20</v>
      </c>
      <c r="B5154">
        <v>88</v>
      </c>
      <c r="C5154">
        <v>29</v>
      </c>
    </row>
    <row r="5155" spans="1:3" x14ac:dyDescent="0.25">
      <c r="A5155" t="s">
        <v>20</v>
      </c>
      <c r="B5155">
        <v>88</v>
      </c>
      <c r="C5155">
        <v>30</v>
      </c>
    </row>
    <row r="5156" spans="1:3" x14ac:dyDescent="0.25">
      <c r="A5156" t="s">
        <v>20</v>
      </c>
      <c r="B5156">
        <v>88</v>
      </c>
      <c r="C5156">
        <v>31</v>
      </c>
    </row>
    <row r="5157" spans="1:3" x14ac:dyDescent="0.25">
      <c r="A5157" t="s">
        <v>20</v>
      </c>
      <c r="B5157">
        <v>88</v>
      </c>
      <c r="C5157">
        <v>32</v>
      </c>
    </row>
    <row r="5158" spans="1:3" x14ac:dyDescent="0.25">
      <c r="A5158" t="s">
        <v>20</v>
      </c>
      <c r="B5158">
        <v>88</v>
      </c>
      <c r="C5158">
        <v>33</v>
      </c>
    </row>
    <row r="5159" spans="1:3" x14ac:dyDescent="0.25">
      <c r="A5159" t="s">
        <v>20</v>
      </c>
      <c r="B5159">
        <v>88</v>
      </c>
      <c r="C5159">
        <v>34</v>
      </c>
    </row>
    <row r="5160" spans="1:3" x14ac:dyDescent="0.25">
      <c r="A5160" t="s">
        <v>20</v>
      </c>
      <c r="B5160">
        <v>88</v>
      </c>
      <c r="C5160">
        <v>35</v>
      </c>
    </row>
    <row r="5161" spans="1:3" x14ac:dyDescent="0.25">
      <c r="A5161" t="s">
        <v>20</v>
      </c>
      <c r="B5161">
        <v>88</v>
      </c>
      <c r="C5161">
        <v>36</v>
      </c>
    </row>
    <row r="5162" spans="1:3" x14ac:dyDescent="0.25">
      <c r="A5162" t="s">
        <v>20</v>
      </c>
      <c r="B5162">
        <v>88</v>
      </c>
      <c r="C5162">
        <v>37</v>
      </c>
    </row>
    <row r="5163" spans="1:3" x14ac:dyDescent="0.25">
      <c r="A5163" t="s">
        <v>20</v>
      </c>
      <c r="B5163">
        <v>88</v>
      </c>
      <c r="C5163">
        <v>38</v>
      </c>
    </row>
    <row r="5164" spans="1:3" x14ac:dyDescent="0.25">
      <c r="A5164" t="s">
        <v>20</v>
      </c>
      <c r="B5164">
        <v>88</v>
      </c>
      <c r="C5164">
        <v>39</v>
      </c>
    </row>
    <row r="5165" spans="1:3" x14ac:dyDescent="0.25">
      <c r="A5165" t="s">
        <v>20</v>
      </c>
      <c r="B5165">
        <v>88</v>
      </c>
      <c r="C5165">
        <v>40</v>
      </c>
    </row>
    <row r="5166" spans="1:3" x14ac:dyDescent="0.25">
      <c r="A5166" t="s">
        <v>20</v>
      </c>
      <c r="B5166">
        <v>88</v>
      </c>
      <c r="C5166">
        <v>41</v>
      </c>
    </row>
    <row r="5167" spans="1:3" x14ac:dyDescent="0.25">
      <c r="A5167" t="s">
        <v>20</v>
      </c>
      <c r="B5167">
        <v>88</v>
      </c>
      <c r="C5167">
        <v>42</v>
      </c>
    </row>
    <row r="5168" spans="1:3" x14ac:dyDescent="0.25">
      <c r="A5168" t="s">
        <v>20</v>
      </c>
      <c r="B5168">
        <v>88</v>
      </c>
      <c r="C5168">
        <v>43</v>
      </c>
    </row>
    <row r="5169" spans="1:3" x14ac:dyDescent="0.25">
      <c r="A5169" t="s">
        <v>20</v>
      </c>
      <c r="B5169">
        <v>88</v>
      </c>
      <c r="C5169">
        <v>44</v>
      </c>
    </row>
    <row r="5170" spans="1:3" x14ac:dyDescent="0.25">
      <c r="A5170" t="s">
        <v>20</v>
      </c>
      <c r="B5170">
        <v>88</v>
      </c>
      <c r="C5170">
        <v>45</v>
      </c>
    </row>
    <row r="5171" spans="1:3" x14ac:dyDescent="0.25">
      <c r="A5171" t="s">
        <v>20</v>
      </c>
      <c r="B5171">
        <v>88</v>
      </c>
      <c r="C5171">
        <v>46</v>
      </c>
    </row>
    <row r="5172" spans="1:3" x14ac:dyDescent="0.25">
      <c r="A5172" t="s">
        <v>20</v>
      </c>
      <c r="B5172">
        <v>88</v>
      </c>
      <c r="C5172">
        <v>47</v>
      </c>
    </row>
    <row r="5173" spans="1:3" x14ac:dyDescent="0.25">
      <c r="A5173" t="s">
        <v>20</v>
      </c>
      <c r="B5173">
        <v>88</v>
      </c>
      <c r="C5173">
        <v>48</v>
      </c>
    </row>
    <row r="5174" spans="1:3" x14ac:dyDescent="0.25">
      <c r="A5174" t="s">
        <v>20</v>
      </c>
      <c r="B5174">
        <v>88</v>
      </c>
      <c r="C5174">
        <v>49</v>
      </c>
    </row>
    <row r="5175" spans="1:3" x14ac:dyDescent="0.25">
      <c r="A5175" t="s">
        <v>20</v>
      </c>
      <c r="B5175">
        <v>88</v>
      </c>
      <c r="C5175">
        <v>50</v>
      </c>
    </row>
    <row r="5176" spans="1:3" x14ac:dyDescent="0.25">
      <c r="A5176" t="s">
        <v>20</v>
      </c>
      <c r="B5176">
        <v>88</v>
      </c>
      <c r="C5176">
        <v>51</v>
      </c>
    </row>
    <row r="5177" spans="1:3" x14ac:dyDescent="0.25">
      <c r="A5177" t="s">
        <v>20</v>
      </c>
      <c r="B5177">
        <v>88</v>
      </c>
      <c r="C5177">
        <v>52</v>
      </c>
    </row>
    <row r="5178" spans="1:3" x14ac:dyDescent="0.25">
      <c r="A5178" t="s">
        <v>20</v>
      </c>
      <c r="B5178">
        <v>88</v>
      </c>
      <c r="C5178">
        <v>53</v>
      </c>
    </row>
    <row r="5179" spans="1:3" x14ac:dyDescent="0.25">
      <c r="A5179" t="s">
        <v>20</v>
      </c>
      <c r="B5179">
        <v>88</v>
      </c>
      <c r="C5179">
        <v>54</v>
      </c>
    </row>
    <row r="5180" spans="1:3" x14ac:dyDescent="0.25">
      <c r="A5180" t="s">
        <v>20</v>
      </c>
      <c r="B5180">
        <v>88</v>
      </c>
      <c r="C5180">
        <v>55</v>
      </c>
    </row>
    <row r="5181" spans="1:3" x14ac:dyDescent="0.25">
      <c r="A5181" t="s">
        <v>20</v>
      </c>
      <c r="B5181">
        <v>88</v>
      </c>
      <c r="C5181">
        <v>56</v>
      </c>
    </row>
    <row r="5182" spans="1:3" x14ac:dyDescent="0.25">
      <c r="A5182" t="s">
        <v>20</v>
      </c>
      <c r="B5182">
        <v>88</v>
      </c>
      <c r="C5182">
        <v>57</v>
      </c>
    </row>
    <row r="5183" spans="1:3" x14ac:dyDescent="0.25">
      <c r="A5183" t="s">
        <v>20</v>
      </c>
      <c r="B5183">
        <v>88</v>
      </c>
      <c r="C5183">
        <v>58</v>
      </c>
    </row>
    <row r="5184" spans="1:3" x14ac:dyDescent="0.25">
      <c r="A5184" t="s">
        <v>20</v>
      </c>
      <c r="B5184">
        <v>88</v>
      </c>
      <c r="C5184">
        <v>59</v>
      </c>
    </row>
    <row r="5185" spans="1:3" x14ac:dyDescent="0.25">
      <c r="A5185" t="s">
        <v>20</v>
      </c>
      <c r="B5185">
        <v>88</v>
      </c>
      <c r="C5185">
        <v>60</v>
      </c>
    </row>
    <row r="5186" spans="1:3" x14ac:dyDescent="0.25">
      <c r="A5186" t="s">
        <v>20</v>
      </c>
      <c r="B5186">
        <v>88</v>
      </c>
      <c r="C5186">
        <v>61</v>
      </c>
    </row>
    <row r="5187" spans="1:3" x14ac:dyDescent="0.25">
      <c r="A5187" t="s">
        <v>20</v>
      </c>
      <c r="B5187">
        <v>88</v>
      </c>
      <c r="C5187">
        <v>62</v>
      </c>
    </row>
    <row r="5188" spans="1:3" x14ac:dyDescent="0.25">
      <c r="A5188" t="s">
        <v>20</v>
      </c>
      <c r="B5188">
        <v>88</v>
      </c>
      <c r="C5188">
        <v>63</v>
      </c>
    </row>
    <row r="5189" spans="1:3" x14ac:dyDescent="0.25">
      <c r="A5189" t="s">
        <v>20</v>
      </c>
      <c r="B5189">
        <v>88</v>
      </c>
      <c r="C5189">
        <v>64</v>
      </c>
    </row>
    <row r="5190" spans="1:3" x14ac:dyDescent="0.25">
      <c r="A5190" t="s">
        <v>20</v>
      </c>
      <c r="B5190">
        <v>88</v>
      </c>
      <c r="C5190">
        <v>65</v>
      </c>
    </row>
    <row r="5191" spans="1:3" x14ac:dyDescent="0.25">
      <c r="A5191" t="s">
        <v>20</v>
      </c>
      <c r="B5191">
        <v>88</v>
      </c>
      <c r="C5191">
        <v>66</v>
      </c>
    </row>
    <row r="5192" spans="1:3" x14ac:dyDescent="0.25">
      <c r="A5192" t="s">
        <v>20</v>
      </c>
      <c r="B5192">
        <v>88</v>
      </c>
      <c r="C5192">
        <v>67</v>
      </c>
    </row>
    <row r="5193" spans="1:3" x14ac:dyDescent="0.25">
      <c r="A5193" t="s">
        <v>20</v>
      </c>
      <c r="B5193">
        <v>88</v>
      </c>
      <c r="C5193">
        <v>68</v>
      </c>
    </row>
    <row r="5194" spans="1:3" x14ac:dyDescent="0.25">
      <c r="A5194" t="s">
        <v>20</v>
      </c>
      <c r="B5194">
        <v>88</v>
      </c>
      <c r="C5194">
        <v>69</v>
      </c>
    </row>
    <row r="5195" spans="1:3" x14ac:dyDescent="0.25">
      <c r="A5195" t="s">
        <v>20</v>
      </c>
      <c r="B5195">
        <v>88</v>
      </c>
      <c r="C5195">
        <v>70</v>
      </c>
    </row>
    <row r="5196" spans="1:3" x14ac:dyDescent="0.25">
      <c r="A5196" t="s">
        <v>20</v>
      </c>
      <c r="B5196">
        <v>88</v>
      </c>
      <c r="C5196">
        <v>71</v>
      </c>
    </row>
    <row r="5197" spans="1:3" x14ac:dyDescent="0.25">
      <c r="A5197" t="s">
        <v>20</v>
      </c>
      <c r="B5197">
        <v>88</v>
      </c>
      <c r="C5197">
        <v>72</v>
      </c>
    </row>
    <row r="5198" spans="1:3" x14ac:dyDescent="0.25">
      <c r="A5198" t="s">
        <v>20</v>
      </c>
      <c r="B5198">
        <v>88</v>
      </c>
      <c r="C5198">
        <v>73</v>
      </c>
    </row>
    <row r="5199" spans="1:3" x14ac:dyDescent="0.25">
      <c r="A5199" t="s">
        <v>20</v>
      </c>
      <c r="B5199">
        <v>88</v>
      </c>
      <c r="C5199">
        <v>74</v>
      </c>
    </row>
    <row r="5200" spans="1:3" x14ac:dyDescent="0.25">
      <c r="A5200" t="s">
        <v>20</v>
      </c>
      <c r="B5200">
        <v>88</v>
      </c>
      <c r="C5200">
        <v>75</v>
      </c>
    </row>
    <row r="5201" spans="1:4" x14ac:dyDescent="0.25">
      <c r="A5201" t="s">
        <v>20</v>
      </c>
      <c r="B5201">
        <v>88</v>
      </c>
      <c r="C5201">
        <v>76</v>
      </c>
    </row>
    <row r="5202" spans="1:4" x14ac:dyDescent="0.25">
      <c r="A5202" t="s">
        <v>20</v>
      </c>
      <c r="B5202">
        <v>88</v>
      </c>
      <c r="C5202">
        <v>77</v>
      </c>
    </row>
    <row r="5203" spans="1:4" x14ac:dyDescent="0.25">
      <c r="A5203" t="s">
        <v>20</v>
      </c>
      <c r="B5203">
        <v>88</v>
      </c>
      <c r="C5203">
        <v>78</v>
      </c>
    </row>
    <row r="5204" spans="1:4" x14ac:dyDescent="0.25">
      <c r="A5204" t="s">
        <v>20</v>
      </c>
      <c r="B5204">
        <v>88</v>
      </c>
      <c r="C5204">
        <v>79</v>
      </c>
    </row>
    <row r="5205" spans="1:4" x14ac:dyDescent="0.25">
      <c r="A5205" t="s">
        <v>20</v>
      </c>
      <c r="B5205">
        <v>88</v>
      </c>
      <c r="C5205">
        <v>80</v>
      </c>
    </row>
    <row r="5206" spans="1:4" x14ac:dyDescent="0.25">
      <c r="A5206" t="s">
        <v>20</v>
      </c>
      <c r="B5206">
        <v>88</v>
      </c>
      <c r="C5206">
        <v>81</v>
      </c>
    </row>
    <row r="5207" spans="1:4" x14ac:dyDescent="0.25">
      <c r="A5207" t="s">
        <v>20</v>
      </c>
      <c r="B5207">
        <v>88</v>
      </c>
      <c r="C5207">
        <v>82</v>
      </c>
    </row>
    <row r="5208" spans="1:4" x14ac:dyDescent="0.25">
      <c r="A5208" t="s">
        <v>20</v>
      </c>
      <c r="B5208">
        <v>88</v>
      </c>
      <c r="C5208">
        <v>83</v>
      </c>
    </row>
    <row r="5209" spans="1:4" x14ac:dyDescent="0.25">
      <c r="A5209" t="s">
        <v>20</v>
      </c>
      <c r="B5209">
        <v>88</v>
      </c>
      <c r="C5209">
        <v>84</v>
      </c>
    </row>
    <row r="5210" spans="1:4" x14ac:dyDescent="0.25">
      <c r="A5210" t="s">
        <v>20</v>
      </c>
      <c r="B5210">
        <v>89</v>
      </c>
      <c r="C5210">
        <v>1</v>
      </c>
      <c r="D5210">
        <v>1</v>
      </c>
    </row>
    <row r="5211" spans="1:4" x14ac:dyDescent="0.25">
      <c r="A5211" t="s">
        <v>20</v>
      </c>
      <c r="B5211">
        <v>89</v>
      </c>
      <c r="C5211">
        <v>2</v>
      </c>
    </row>
    <row r="5212" spans="1:4" x14ac:dyDescent="0.25">
      <c r="A5212" t="s">
        <v>20</v>
      </c>
      <c r="B5212">
        <v>89</v>
      </c>
      <c r="C5212">
        <v>3</v>
      </c>
    </row>
    <row r="5213" spans="1:4" x14ac:dyDescent="0.25">
      <c r="A5213" t="s">
        <v>20</v>
      </c>
      <c r="B5213">
        <v>89</v>
      </c>
      <c r="C5213">
        <v>4</v>
      </c>
    </row>
    <row r="5214" spans="1:4" x14ac:dyDescent="0.25">
      <c r="A5214" t="s">
        <v>20</v>
      </c>
      <c r="B5214">
        <v>89</v>
      </c>
      <c r="C5214">
        <v>5</v>
      </c>
      <c r="D5214">
        <v>1</v>
      </c>
    </row>
    <row r="5215" spans="1:4" x14ac:dyDescent="0.25">
      <c r="A5215" t="s">
        <v>20</v>
      </c>
      <c r="B5215">
        <v>89</v>
      </c>
      <c r="C5215">
        <v>6</v>
      </c>
    </row>
    <row r="5216" spans="1:4" x14ac:dyDescent="0.25">
      <c r="A5216" t="s">
        <v>20</v>
      </c>
      <c r="B5216">
        <v>89</v>
      </c>
      <c r="C5216">
        <v>7</v>
      </c>
      <c r="D5216">
        <v>1</v>
      </c>
    </row>
    <row r="5217" spans="1:4" x14ac:dyDescent="0.25">
      <c r="A5217" t="s">
        <v>20</v>
      </c>
      <c r="B5217">
        <v>89</v>
      </c>
      <c r="C5217">
        <v>8</v>
      </c>
    </row>
    <row r="5218" spans="1:4" x14ac:dyDescent="0.25">
      <c r="A5218" t="s">
        <v>20</v>
      </c>
      <c r="B5218">
        <v>89</v>
      </c>
      <c r="C5218">
        <v>9</v>
      </c>
    </row>
    <row r="5219" spans="1:4" x14ac:dyDescent="0.25">
      <c r="A5219" t="s">
        <v>20</v>
      </c>
      <c r="B5219">
        <v>89</v>
      </c>
      <c r="C5219">
        <v>10</v>
      </c>
      <c r="D5219">
        <v>1</v>
      </c>
    </row>
    <row r="5220" spans="1:4" x14ac:dyDescent="0.25">
      <c r="A5220" t="s">
        <v>20</v>
      </c>
      <c r="B5220">
        <v>89</v>
      </c>
      <c r="C5220">
        <v>11</v>
      </c>
    </row>
    <row r="5221" spans="1:4" x14ac:dyDescent="0.25">
      <c r="A5221" t="s">
        <v>20</v>
      </c>
      <c r="B5221">
        <v>89</v>
      </c>
      <c r="C5221">
        <v>12</v>
      </c>
    </row>
    <row r="5222" spans="1:4" x14ac:dyDescent="0.25">
      <c r="A5222" t="s">
        <v>20</v>
      </c>
      <c r="B5222">
        <v>89</v>
      </c>
      <c r="C5222">
        <v>13</v>
      </c>
    </row>
    <row r="5223" spans="1:4" x14ac:dyDescent="0.25">
      <c r="A5223" t="s">
        <v>20</v>
      </c>
      <c r="B5223">
        <v>89</v>
      </c>
      <c r="C5223">
        <v>14</v>
      </c>
    </row>
    <row r="5224" spans="1:4" x14ac:dyDescent="0.25">
      <c r="A5224" t="s">
        <v>20</v>
      </c>
      <c r="B5224">
        <v>89</v>
      </c>
      <c r="C5224">
        <v>15</v>
      </c>
    </row>
    <row r="5225" spans="1:4" x14ac:dyDescent="0.25">
      <c r="A5225" t="s">
        <v>20</v>
      </c>
      <c r="B5225">
        <v>89</v>
      </c>
      <c r="C5225">
        <v>16</v>
      </c>
    </row>
    <row r="5226" spans="1:4" x14ac:dyDescent="0.25">
      <c r="A5226" t="s">
        <v>20</v>
      </c>
      <c r="B5226">
        <v>89</v>
      </c>
      <c r="C5226">
        <v>17</v>
      </c>
    </row>
    <row r="5227" spans="1:4" x14ac:dyDescent="0.25">
      <c r="A5227" t="s">
        <v>20</v>
      </c>
      <c r="B5227">
        <v>89</v>
      </c>
      <c r="C5227">
        <v>18</v>
      </c>
    </row>
    <row r="5228" spans="1:4" x14ac:dyDescent="0.25">
      <c r="A5228" t="s">
        <v>20</v>
      </c>
      <c r="B5228">
        <v>89</v>
      </c>
      <c r="C5228">
        <v>19</v>
      </c>
    </row>
    <row r="5229" spans="1:4" x14ac:dyDescent="0.25">
      <c r="A5229" t="s">
        <v>20</v>
      </c>
      <c r="B5229">
        <v>89</v>
      </c>
      <c r="C5229">
        <v>20</v>
      </c>
      <c r="D5229">
        <v>1</v>
      </c>
    </row>
    <row r="5230" spans="1:4" x14ac:dyDescent="0.25">
      <c r="A5230" t="s">
        <v>20</v>
      </c>
      <c r="B5230">
        <v>89</v>
      </c>
      <c r="C5230">
        <v>21</v>
      </c>
    </row>
    <row r="5231" spans="1:4" x14ac:dyDescent="0.25">
      <c r="A5231" t="s">
        <v>20</v>
      </c>
      <c r="B5231">
        <v>89</v>
      </c>
      <c r="C5231">
        <v>22</v>
      </c>
      <c r="D5231">
        <v>1</v>
      </c>
    </row>
    <row r="5232" spans="1:4" x14ac:dyDescent="0.25">
      <c r="A5232" t="s">
        <v>20</v>
      </c>
      <c r="B5232">
        <v>89</v>
      </c>
      <c r="C5232">
        <v>23</v>
      </c>
    </row>
    <row r="5233" spans="1:4" x14ac:dyDescent="0.25">
      <c r="A5233" t="s">
        <v>20</v>
      </c>
      <c r="B5233">
        <v>89</v>
      </c>
      <c r="C5233">
        <v>24</v>
      </c>
    </row>
    <row r="5234" spans="1:4" x14ac:dyDescent="0.25">
      <c r="A5234" t="s">
        <v>20</v>
      </c>
      <c r="B5234">
        <v>89</v>
      </c>
      <c r="C5234">
        <v>25</v>
      </c>
      <c r="D5234">
        <v>1</v>
      </c>
    </row>
    <row r="5235" spans="1:4" x14ac:dyDescent="0.25">
      <c r="A5235" t="s">
        <v>20</v>
      </c>
      <c r="B5235">
        <v>89</v>
      </c>
      <c r="C5235">
        <v>26</v>
      </c>
    </row>
    <row r="5236" spans="1:4" x14ac:dyDescent="0.25">
      <c r="A5236" t="s">
        <v>20</v>
      </c>
      <c r="B5236">
        <v>89</v>
      </c>
      <c r="C5236">
        <v>27</v>
      </c>
    </row>
    <row r="5237" spans="1:4" x14ac:dyDescent="0.25">
      <c r="A5237" t="s">
        <v>20</v>
      </c>
      <c r="B5237">
        <v>89</v>
      </c>
      <c r="C5237">
        <v>28</v>
      </c>
    </row>
    <row r="5238" spans="1:4" x14ac:dyDescent="0.25">
      <c r="A5238" t="s">
        <v>20</v>
      </c>
      <c r="B5238">
        <v>89</v>
      </c>
      <c r="C5238">
        <v>29</v>
      </c>
      <c r="D5238">
        <v>1</v>
      </c>
    </row>
    <row r="5239" spans="1:4" x14ac:dyDescent="0.25">
      <c r="A5239" t="s">
        <v>20</v>
      </c>
      <c r="B5239">
        <v>89</v>
      </c>
      <c r="C5239">
        <v>30</v>
      </c>
    </row>
    <row r="5240" spans="1:4" x14ac:dyDescent="0.25">
      <c r="A5240" t="s">
        <v>20</v>
      </c>
      <c r="B5240">
        <v>89</v>
      </c>
      <c r="C5240">
        <v>31</v>
      </c>
    </row>
    <row r="5241" spans="1:4" x14ac:dyDescent="0.25">
      <c r="A5241" t="s">
        <v>20</v>
      </c>
      <c r="B5241">
        <v>89</v>
      </c>
      <c r="C5241">
        <v>32</v>
      </c>
    </row>
    <row r="5242" spans="1:4" x14ac:dyDescent="0.25">
      <c r="A5242" t="s">
        <v>20</v>
      </c>
      <c r="B5242">
        <v>89</v>
      </c>
      <c r="C5242">
        <v>33</v>
      </c>
    </row>
    <row r="5243" spans="1:4" x14ac:dyDescent="0.25">
      <c r="A5243" t="s">
        <v>20</v>
      </c>
      <c r="B5243">
        <v>89</v>
      </c>
      <c r="C5243">
        <v>34</v>
      </c>
      <c r="D5243">
        <v>1</v>
      </c>
    </row>
    <row r="5244" spans="1:4" x14ac:dyDescent="0.25">
      <c r="A5244" t="s">
        <v>20</v>
      </c>
      <c r="B5244">
        <v>89</v>
      </c>
      <c r="C5244">
        <v>35</v>
      </c>
    </row>
    <row r="5245" spans="1:4" x14ac:dyDescent="0.25">
      <c r="A5245" t="s">
        <v>20</v>
      </c>
      <c r="B5245">
        <v>89</v>
      </c>
      <c r="C5245">
        <v>36</v>
      </c>
    </row>
    <row r="5246" spans="1:4" x14ac:dyDescent="0.25">
      <c r="A5246" t="s">
        <v>20</v>
      </c>
      <c r="B5246">
        <v>89</v>
      </c>
      <c r="C5246">
        <v>37</v>
      </c>
      <c r="D5246">
        <v>1</v>
      </c>
    </row>
    <row r="5247" spans="1:4" x14ac:dyDescent="0.25">
      <c r="A5247" t="s">
        <v>20</v>
      </c>
      <c r="B5247">
        <v>89</v>
      </c>
      <c r="C5247">
        <v>38</v>
      </c>
    </row>
    <row r="5248" spans="1:4" x14ac:dyDescent="0.25">
      <c r="A5248" t="s">
        <v>20</v>
      </c>
      <c r="B5248">
        <v>89</v>
      </c>
      <c r="C5248">
        <v>39</v>
      </c>
    </row>
    <row r="5249" spans="1:4" x14ac:dyDescent="0.25">
      <c r="A5249" t="s">
        <v>20</v>
      </c>
      <c r="B5249">
        <v>89</v>
      </c>
      <c r="C5249">
        <v>40</v>
      </c>
      <c r="D5249">
        <v>1</v>
      </c>
    </row>
    <row r="5250" spans="1:4" x14ac:dyDescent="0.25">
      <c r="A5250" t="s">
        <v>20</v>
      </c>
      <c r="B5250">
        <v>89</v>
      </c>
      <c r="C5250">
        <v>41</v>
      </c>
    </row>
    <row r="5251" spans="1:4" x14ac:dyDescent="0.25">
      <c r="A5251" t="s">
        <v>20</v>
      </c>
      <c r="B5251">
        <v>89</v>
      </c>
      <c r="C5251">
        <v>42</v>
      </c>
    </row>
    <row r="5252" spans="1:4" x14ac:dyDescent="0.25">
      <c r="A5252" t="s">
        <v>20</v>
      </c>
      <c r="B5252">
        <v>89</v>
      </c>
      <c r="C5252">
        <v>43</v>
      </c>
    </row>
    <row r="5253" spans="1:4" x14ac:dyDescent="0.25">
      <c r="A5253" t="s">
        <v>20</v>
      </c>
      <c r="B5253">
        <v>89</v>
      </c>
      <c r="C5253">
        <v>44</v>
      </c>
      <c r="D5253">
        <v>1</v>
      </c>
    </row>
    <row r="5254" spans="1:4" x14ac:dyDescent="0.25">
      <c r="A5254" t="s">
        <v>20</v>
      </c>
      <c r="B5254">
        <v>89</v>
      </c>
      <c r="C5254">
        <v>45</v>
      </c>
    </row>
    <row r="5255" spans="1:4" x14ac:dyDescent="0.25">
      <c r="A5255" t="s">
        <v>20</v>
      </c>
      <c r="B5255">
        <v>89</v>
      </c>
      <c r="C5255">
        <v>46</v>
      </c>
      <c r="D5255">
        <v>1</v>
      </c>
    </row>
    <row r="5256" spans="1:4" x14ac:dyDescent="0.25">
      <c r="A5256" t="s">
        <v>20</v>
      </c>
      <c r="B5256">
        <v>89</v>
      </c>
      <c r="C5256">
        <v>47</v>
      </c>
    </row>
    <row r="5257" spans="1:4" x14ac:dyDescent="0.25">
      <c r="A5257" t="s">
        <v>20</v>
      </c>
      <c r="B5257">
        <v>89</v>
      </c>
      <c r="C5257">
        <v>48</v>
      </c>
    </row>
    <row r="5258" spans="1:4" x14ac:dyDescent="0.25">
      <c r="A5258" t="s">
        <v>20</v>
      </c>
      <c r="B5258">
        <v>89</v>
      </c>
      <c r="C5258">
        <v>49</v>
      </c>
      <c r="D5258">
        <v>1</v>
      </c>
    </row>
    <row r="5259" spans="1:4" x14ac:dyDescent="0.25">
      <c r="A5259" t="s">
        <v>20</v>
      </c>
      <c r="B5259">
        <v>89</v>
      </c>
      <c r="C5259">
        <v>50</v>
      </c>
    </row>
    <row r="5260" spans="1:4" x14ac:dyDescent="0.25">
      <c r="A5260" t="s">
        <v>20</v>
      </c>
      <c r="B5260">
        <v>89</v>
      </c>
      <c r="C5260">
        <v>51</v>
      </c>
    </row>
    <row r="5261" spans="1:4" x14ac:dyDescent="0.25">
      <c r="A5261" t="s">
        <v>20</v>
      </c>
      <c r="B5261">
        <v>89</v>
      </c>
      <c r="C5261">
        <v>52</v>
      </c>
    </row>
    <row r="5262" spans="1:4" x14ac:dyDescent="0.25">
      <c r="A5262" t="s">
        <v>20</v>
      </c>
      <c r="B5262">
        <v>89</v>
      </c>
      <c r="C5262">
        <v>53</v>
      </c>
      <c r="D5262">
        <v>1</v>
      </c>
    </row>
    <row r="5263" spans="1:4" x14ac:dyDescent="0.25">
      <c r="A5263" t="s">
        <v>20</v>
      </c>
      <c r="B5263">
        <v>89</v>
      </c>
      <c r="C5263">
        <v>54</v>
      </c>
    </row>
    <row r="5264" spans="1:4" x14ac:dyDescent="0.25">
      <c r="A5264" t="s">
        <v>20</v>
      </c>
      <c r="B5264">
        <v>89</v>
      </c>
      <c r="C5264">
        <v>55</v>
      </c>
      <c r="D5264">
        <v>1</v>
      </c>
    </row>
    <row r="5265" spans="1:4" x14ac:dyDescent="0.25">
      <c r="A5265" t="s">
        <v>20</v>
      </c>
      <c r="B5265">
        <v>89</v>
      </c>
      <c r="C5265">
        <v>56</v>
      </c>
    </row>
    <row r="5266" spans="1:4" x14ac:dyDescent="0.25">
      <c r="A5266" t="s">
        <v>20</v>
      </c>
      <c r="B5266">
        <v>89</v>
      </c>
      <c r="C5266">
        <v>57</v>
      </c>
    </row>
    <row r="5267" spans="1:4" x14ac:dyDescent="0.25">
      <c r="A5267" t="s">
        <v>20</v>
      </c>
      <c r="B5267">
        <v>89</v>
      </c>
      <c r="C5267">
        <v>58</v>
      </c>
    </row>
    <row r="5268" spans="1:4" x14ac:dyDescent="0.25">
      <c r="A5268" t="s">
        <v>20</v>
      </c>
      <c r="B5268">
        <v>89</v>
      </c>
      <c r="C5268">
        <v>59</v>
      </c>
    </row>
    <row r="5269" spans="1:4" x14ac:dyDescent="0.25">
      <c r="A5269" t="s">
        <v>20</v>
      </c>
      <c r="B5269">
        <v>89</v>
      </c>
      <c r="C5269">
        <v>60</v>
      </c>
    </row>
    <row r="5270" spans="1:4" x14ac:dyDescent="0.25">
      <c r="A5270" t="s">
        <v>20</v>
      </c>
      <c r="B5270">
        <v>89</v>
      </c>
      <c r="C5270">
        <v>61</v>
      </c>
    </row>
    <row r="5271" spans="1:4" x14ac:dyDescent="0.25">
      <c r="A5271" t="s">
        <v>20</v>
      </c>
      <c r="B5271">
        <v>89</v>
      </c>
      <c r="C5271">
        <v>62</v>
      </c>
      <c r="D5271">
        <v>1</v>
      </c>
    </row>
    <row r="5272" spans="1:4" x14ac:dyDescent="0.25">
      <c r="A5272" t="s">
        <v>20</v>
      </c>
      <c r="B5272">
        <v>89</v>
      </c>
      <c r="C5272">
        <v>63</v>
      </c>
    </row>
    <row r="5273" spans="1:4" x14ac:dyDescent="0.25">
      <c r="A5273" t="s">
        <v>20</v>
      </c>
      <c r="B5273">
        <v>89</v>
      </c>
      <c r="C5273">
        <v>64</v>
      </c>
    </row>
    <row r="5274" spans="1:4" x14ac:dyDescent="0.25">
      <c r="A5274" t="s">
        <v>20</v>
      </c>
      <c r="B5274">
        <v>89</v>
      </c>
      <c r="C5274">
        <v>65</v>
      </c>
      <c r="D5274">
        <v>1</v>
      </c>
    </row>
    <row r="5275" spans="1:4" x14ac:dyDescent="0.25">
      <c r="A5275" t="s">
        <v>20</v>
      </c>
      <c r="B5275">
        <v>89</v>
      </c>
      <c r="C5275">
        <v>66</v>
      </c>
    </row>
    <row r="5276" spans="1:4" x14ac:dyDescent="0.25">
      <c r="A5276" t="s">
        <v>20</v>
      </c>
      <c r="B5276">
        <v>89</v>
      </c>
      <c r="C5276">
        <v>67</v>
      </c>
      <c r="D5276">
        <v>1</v>
      </c>
    </row>
    <row r="5277" spans="1:4" x14ac:dyDescent="0.25">
      <c r="A5277" t="s">
        <v>20</v>
      </c>
      <c r="B5277">
        <v>89</v>
      </c>
      <c r="C5277">
        <v>68</v>
      </c>
    </row>
    <row r="5278" spans="1:4" x14ac:dyDescent="0.25">
      <c r="A5278" t="s">
        <v>20</v>
      </c>
      <c r="B5278">
        <v>89</v>
      </c>
      <c r="C5278">
        <v>69</v>
      </c>
    </row>
    <row r="5279" spans="1:4" x14ac:dyDescent="0.25">
      <c r="A5279" t="s">
        <v>20</v>
      </c>
      <c r="B5279">
        <v>89</v>
      </c>
      <c r="C5279">
        <v>70</v>
      </c>
    </row>
    <row r="5280" spans="1:4" x14ac:dyDescent="0.25">
      <c r="A5280" t="s">
        <v>20</v>
      </c>
      <c r="B5280">
        <v>89</v>
      </c>
      <c r="C5280">
        <v>71</v>
      </c>
    </row>
    <row r="5281" spans="1:4" x14ac:dyDescent="0.25">
      <c r="A5281" t="s">
        <v>20</v>
      </c>
      <c r="B5281">
        <v>89</v>
      </c>
      <c r="C5281">
        <v>72</v>
      </c>
    </row>
    <row r="5282" spans="1:4" x14ac:dyDescent="0.25">
      <c r="A5282" t="s">
        <v>20</v>
      </c>
      <c r="B5282">
        <v>89</v>
      </c>
      <c r="C5282">
        <v>73</v>
      </c>
      <c r="D5282">
        <v>1</v>
      </c>
    </row>
    <row r="5283" spans="1:4" x14ac:dyDescent="0.25">
      <c r="A5283" t="s">
        <v>20</v>
      </c>
      <c r="B5283">
        <v>89</v>
      </c>
      <c r="C5283">
        <v>74</v>
      </c>
    </row>
    <row r="5284" spans="1:4" x14ac:dyDescent="0.25">
      <c r="A5284" t="s">
        <v>20</v>
      </c>
      <c r="B5284">
        <v>89</v>
      </c>
      <c r="C5284">
        <v>75</v>
      </c>
    </row>
    <row r="5285" spans="1:4" x14ac:dyDescent="0.25">
      <c r="A5285" t="s">
        <v>20</v>
      </c>
      <c r="B5285">
        <v>89</v>
      </c>
      <c r="C5285">
        <v>76</v>
      </c>
      <c r="D5285">
        <v>1</v>
      </c>
    </row>
    <row r="5286" spans="1:4" x14ac:dyDescent="0.25">
      <c r="A5286" t="s">
        <v>20</v>
      </c>
      <c r="B5286">
        <v>89</v>
      </c>
      <c r="C5286">
        <v>77</v>
      </c>
    </row>
    <row r="5287" spans="1:4" x14ac:dyDescent="0.25">
      <c r="A5287" t="s">
        <v>20</v>
      </c>
      <c r="B5287">
        <v>89</v>
      </c>
      <c r="C5287">
        <v>78</v>
      </c>
    </row>
    <row r="5288" spans="1:4" x14ac:dyDescent="0.25">
      <c r="A5288" t="s">
        <v>20</v>
      </c>
      <c r="B5288">
        <v>89</v>
      </c>
      <c r="C5288">
        <v>79</v>
      </c>
      <c r="D5288">
        <v>1</v>
      </c>
    </row>
    <row r="5289" spans="1:4" x14ac:dyDescent="0.25">
      <c r="A5289" t="s">
        <v>20</v>
      </c>
      <c r="B5289">
        <v>89</v>
      </c>
      <c r="C5289">
        <v>80</v>
      </c>
    </row>
    <row r="5290" spans="1:4" x14ac:dyDescent="0.25">
      <c r="A5290" t="s">
        <v>20</v>
      </c>
      <c r="B5290">
        <v>89</v>
      </c>
      <c r="C5290">
        <v>81</v>
      </c>
    </row>
    <row r="5291" spans="1:4" x14ac:dyDescent="0.25">
      <c r="A5291" t="s">
        <v>20</v>
      </c>
      <c r="B5291">
        <v>89</v>
      </c>
      <c r="C5291">
        <v>82</v>
      </c>
    </row>
    <row r="5292" spans="1:4" x14ac:dyDescent="0.25">
      <c r="A5292" t="s">
        <v>20</v>
      </c>
      <c r="B5292">
        <v>89</v>
      </c>
      <c r="C5292">
        <v>83</v>
      </c>
    </row>
    <row r="5293" spans="1:4" x14ac:dyDescent="0.25">
      <c r="A5293" t="s">
        <v>20</v>
      </c>
      <c r="B5293">
        <v>89</v>
      </c>
      <c r="C5293">
        <v>84</v>
      </c>
    </row>
    <row r="5294" spans="1:4" x14ac:dyDescent="0.25">
      <c r="A5294" t="s">
        <v>20</v>
      </c>
      <c r="B5294">
        <v>95</v>
      </c>
      <c r="C5294">
        <v>1</v>
      </c>
    </row>
    <row r="5295" spans="1:4" x14ac:dyDescent="0.25">
      <c r="A5295" t="s">
        <v>20</v>
      </c>
      <c r="B5295">
        <v>95</v>
      </c>
      <c r="C5295">
        <v>2</v>
      </c>
    </row>
    <row r="5296" spans="1:4" x14ac:dyDescent="0.25">
      <c r="A5296" t="s">
        <v>20</v>
      </c>
      <c r="B5296">
        <v>95</v>
      </c>
      <c r="C5296">
        <v>3</v>
      </c>
    </row>
    <row r="5297" spans="1:3" x14ac:dyDescent="0.25">
      <c r="A5297" t="s">
        <v>20</v>
      </c>
      <c r="B5297">
        <v>95</v>
      </c>
      <c r="C5297">
        <v>4</v>
      </c>
    </row>
    <row r="5298" spans="1:3" x14ac:dyDescent="0.25">
      <c r="A5298" t="s">
        <v>20</v>
      </c>
      <c r="B5298">
        <v>95</v>
      </c>
      <c r="C5298">
        <v>5</v>
      </c>
    </row>
    <row r="5299" spans="1:3" x14ac:dyDescent="0.25">
      <c r="A5299" t="s">
        <v>20</v>
      </c>
      <c r="B5299">
        <v>95</v>
      </c>
      <c r="C5299">
        <v>6</v>
      </c>
    </row>
    <row r="5300" spans="1:3" x14ac:dyDescent="0.25">
      <c r="A5300" t="s">
        <v>20</v>
      </c>
      <c r="B5300">
        <v>95</v>
      </c>
      <c r="C5300">
        <v>7</v>
      </c>
    </row>
    <row r="5301" spans="1:3" x14ac:dyDescent="0.25">
      <c r="A5301" t="s">
        <v>20</v>
      </c>
      <c r="B5301">
        <v>95</v>
      </c>
      <c r="C5301">
        <v>8</v>
      </c>
    </row>
    <row r="5302" spans="1:3" x14ac:dyDescent="0.25">
      <c r="A5302" t="s">
        <v>20</v>
      </c>
      <c r="B5302">
        <v>95</v>
      </c>
      <c r="C5302">
        <v>9</v>
      </c>
    </row>
    <row r="5303" spans="1:3" x14ac:dyDescent="0.25">
      <c r="A5303" t="s">
        <v>20</v>
      </c>
      <c r="B5303">
        <v>95</v>
      </c>
      <c r="C5303">
        <v>10</v>
      </c>
    </row>
    <row r="5304" spans="1:3" x14ac:dyDescent="0.25">
      <c r="A5304" t="s">
        <v>20</v>
      </c>
      <c r="B5304">
        <v>95</v>
      </c>
      <c r="C5304">
        <v>11</v>
      </c>
    </row>
    <row r="5305" spans="1:3" x14ac:dyDescent="0.25">
      <c r="A5305" t="s">
        <v>20</v>
      </c>
      <c r="B5305">
        <v>95</v>
      </c>
      <c r="C5305">
        <v>12</v>
      </c>
    </row>
    <row r="5306" spans="1:3" x14ac:dyDescent="0.25">
      <c r="A5306" t="s">
        <v>20</v>
      </c>
      <c r="B5306">
        <v>95</v>
      </c>
      <c r="C5306">
        <v>13</v>
      </c>
    </row>
    <row r="5307" spans="1:3" x14ac:dyDescent="0.25">
      <c r="A5307" t="s">
        <v>20</v>
      </c>
      <c r="B5307">
        <v>95</v>
      </c>
      <c r="C5307">
        <v>14</v>
      </c>
    </row>
    <row r="5308" spans="1:3" x14ac:dyDescent="0.25">
      <c r="A5308" t="s">
        <v>20</v>
      </c>
      <c r="B5308">
        <v>95</v>
      </c>
      <c r="C5308">
        <v>15</v>
      </c>
    </row>
    <row r="5309" spans="1:3" x14ac:dyDescent="0.25">
      <c r="A5309" t="s">
        <v>20</v>
      </c>
      <c r="B5309">
        <v>95</v>
      </c>
      <c r="C5309">
        <v>16</v>
      </c>
    </row>
    <row r="5310" spans="1:3" x14ac:dyDescent="0.25">
      <c r="A5310" t="s">
        <v>20</v>
      </c>
      <c r="B5310">
        <v>95</v>
      </c>
      <c r="C5310">
        <v>17</v>
      </c>
    </row>
    <row r="5311" spans="1:3" x14ac:dyDescent="0.25">
      <c r="A5311" t="s">
        <v>20</v>
      </c>
      <c r="B5311">
        <v>95</v>
      </c>
      <c r="C5311">
        <v>18</v>
      </c>
    </row>
    <row r="5312" spans="1:3" x14ac:dyDescent="0.25">
      <c r="A5312" t="s">
        <v>20</v>
      </c>
      <c r="B5312">
        <v>95</v>
      </c>
      <c r="C5312">
        <v>19</v>
      </c>
    </row>
    <row r="5313" spans="1:3" x14ac:dyDescent="0.25">
      <c r="A5313" t="s">
        <v>20</v>
      </c>
      <c r="B5313">
        <v>95</v>
      </c>
      <c r="C5313">
        <v>20</v>
      </c>
    </row>
    <row r="5314" spans="1:3" x14ac:dyDescent="0.25">
      <c r="A5314" t="s">
        <v>20</v>
      </c>
      <c r="B5314">
        <v>95</v>
      </c>
      <c r="C5314">
        <v>21</v>
      </c>
    </row>
    <row r="5315" spans="1:3" x14ac:dyDescent="0.25">
      <c r="A5315" t="s">
        <v>20</v>
      </c>
      <c r="B5315">
        <v>95</v>
      </c>
      <c r="C5315">
        <v>22</v>
      </c>
    </row>
    <row r="5316" spans="1:3" x14ac:dyDescent="0.25">
      <c r="A5316" t="s">
        <v>20</v>
      </c>
      <c r="B5316">
        <v>95</v>
      </c>
      <c r="C5316">
        <v>23</v>
      </c>
    </row>
    <row r="5317" spans="1:3" x14ac:dyDescent="0.25">
      <c r="A5317" t="s">
        <v>20</v>
      </c>
      <c r="B5317">
        <v>95</v>
      </c>
      <c r="C5317">
        <v>24</v>
      </c>
    </row>
    <row r="5318" spans="1:3" x14ac:dyDescent="0.25">
      <c r="A5318" t="s">
        <v>20</v>
      </c>
      <c r="B5318">
        <v>95</v>
      </c>
      <c r="C5318">
        <v>25</v>
      </c>
    </row>
    <row r="5319" spans="1:3" x14ac:dyDescent="0.25">
      <c r="A5319" t="s">
        <v>20</v>
      </c>
      <c r="B5319">
        <v>95</v>
      </c>
      <c r="C5319">
        <v>26</v>
      </c>
    </row>
    <row r="5320" spans="1:3" x14ac:dyDescent="0.25">
      <c r="A5320" t="s">
        <v>20</v>
      </c>
      <c r="B5320">
        <v>95</v>
      </c>
      <c r="C5320">
        <v>27</v>
      </c>
    </row>
    <row r="5321" spans="1:3" x14ac:dyDescent="0.25">
      <c r="A5321" t="s">
        <v>20</v>
      </c>
      <c r="B5321">
        <v>95</v>
      </c>
      <c r="C5321">
        <v>28</v>
      </c>
    </row>
    <row r="5322" spans="1:3" x14ac:dyDescent="0.25">
      <c r="A5322" t="s">
        <v>20</v>
      </c>
      <c r="B5322">
        <v>95</v>
      </c>
      <c r="C5322">
        <v>29</v>
      </c>
    </row>
    <row r="5323" spans="1:3" x14ac:dyDescent="0.25">
      <c r="A5323" t="s">
        <v>20</v>
      </c>
      <c r="B5323">
        <v>95</v>
      </c>
      <c r="C5323">
        <v>30</v>
      </c>
    </row>
    <row r="5324" spans="1:3" x14ac:dyDescent="0.25">
      <c r="A5324" t="s">
        <v>20</v>
      </c>
      <c r="B5324">
        <v>95</v>
      </c>
      <c r="C5324">
        <v>31</v>
      </c>
    </row>
    <row r="5325" spans="1:3" x14ac:dyDescent="0.25">
      <c r="A5325" t="s">
        <v>20</v>
      </c>
      <c r="B5325">
        <v>95</v>
      </c>
      <c r="C5325">
        <v>32</v>
      </c>
    </row>
    <row r="5326" spans="1:3" x14ac:dyDescent="0.25">
      <c r="A5326" t="s">
        <v>20</v>
      </c>
      <c r="B5326">
        <v>95</v>
      </c>
      <c r="C5326">
        <v>33</v>
      </c>
    </row>
    <row r="5327" spans="1:3" x14ac:dyDescent="0.25">
      <c r="A5327" t="s">
        <v>20</v>
      </c>
      <c r="B5327">
        <v>95</v>
      </c>
      <c r="C5327">
        <v>34</v>
      </c>
    </row>
    <row r="5328" spans="1:3" x14ac:dyDescent="0.25">
      <c r="A5328" t="s">
        <v>20</v>
      </c>
      <c r="B5328">
        <v>95</v>
      </c>
      <c r="C5328">
        <v>35</v>
      </c>
    </row>
    <row r="5329" spans="1:3" x14ac:dyDescent="0.25">
      <c r="A5329" t="s">
        <v>20</v>
      </c>
      <c r="B5329">
        <v>95</v>
      </c>
      <c r="C5329">
        <v>36</v>
      </c>
    </row>
    <row r="5330" spans="1:3" x14ac:dyDescent="0.25">
      <c r="A5330" t="s">
        <v>20</v>
      </c>
      <c r="B5330">
        <v>95</v>
      </c>
      <c r="C5330">
        <v>37</v>
      </c>
    </row>
    <row r="5331" spans="1:3" x14ac:dyDescent="0.25">
      <c r="A5331" t="s">
        <v>20</v>
      </c>
      <c r="B5331">
        <v>95</v>
      </c>
      <c r="C5331">
        <v>38</v>
      </c>
    </row>
    <row r="5332" spans="1:3" x14ac:dyDescent="0.25">
      <c r="A5332" t="s">
        <v>20</v>
      </c>
      <c r="B5332">
        <v>95</v>
      </c>
      <c r="C5332">
        <v>39</v>
      </c>
    </row>
    <row r="5333" spans="1:3" x14ac:dyDescent="0.25">
      <c r="A5333" t="s">
        <v>20</v>
      </c>
      <c r="B5333">
        <v>95</v>
      </c>
      <c r="C5333">
        <v>40</v>
      </c>
    </row>
    <row r="5334" spans="1:3" x14ac:dyDescent="0.25">
      <c r="A5334" t="s">
        <v>20</v>
      </c>
      <c r="B5334">
        <v>95</v>
      </c>
      <c r="C5334">
        <v>41</v>
      </c>
    </row>
    <row r="5335" spans="1:3" x14ac:dyDescent="0.25">
      <c r="A5335" t="s">
        <v>20</v>
      </c>
      <c r="B5335">
        <v>95</v>
      </c>
      <c r="C5335">
        <v>42</v>
      </c>
    </row>
    <row r="5336" spans="1:3" x14ac:dyDescent="0.25">
      <c r="A5336" t="s">
        <v>20</v>
      </c>
      <c r="B5336">
        <v>95</v>
      </c>
      <c r="C5336">
        <v>43</v>
      </c>
    </row>
    <row r="5337" spans="1:3" x14ac:dyDescent="0.25">
      <c r="A5337" t="s">
        <v>20</v>
      </c>
      <c r="B5337">
        <v>95</v>
      </c>
      <c r="C5337">
        <v>44</v>
      </c>
    </row>
    <row r="5338" spans="1:3" x14ac:dyDescent="0.25">
      <c r="A5338" t="s">
        <v>20</v>
      </c>
      <c r="B5338">
        <v>95</v>
      </c>
      <c r="C5338">
        <v>45</v>
      </c>
    </row>
    <row r="5339" spans="1:3" x14ac:dyDescent="0.25">
      <c r="A5339" t="s">
        <v>20</v>
      </c>
      <c r="B5339">
        <v>95</v>
      </c>
      <c r="C5339">
        <v>46</v>
      </c>
    </row>
    <row r="5340" spans="1:3" x14ac:dyDescent="0.25">
      <c r="A5340" t="s">
        <v>20</v>
      </c>
      <c r="B5340">
        <v>95</v>
      </c>
      <c r="C5340">
        <v>47</v>
      </c>
    </row>
    <row r="5341" spans="1:3" x14ac:dyDescent="0.25">
      <c r="A5341" t="s">
        <v>20</v>
      </c>
      <c r="B5341">
        <v>95</v>
      </c>
      <c r="C5341">
        <v>48</v>
      </c>
    </row>
    <row r="5342" spans="1:3" x14ac:dyDescent="0.25">
      <c r="A5342" t="s">
        <v>20</v>
      </c>
      <c r="B5342">
        <v>95</v>
      </c>
      <c r="C5342">
        <v>49</v>
      </c>
    </row>
    <row r="5343" spans="1:3" x14ac:dyDescent="0.25">
      <c r="A5343" t="s">
        <v>20</v>
      </c>
      <c r="B5343">
        <v>95</v>
      </c>
      <c r="C5343">
        <v>50</v>
      </c>
    </row>
    <row r="5344" spans="1:3" x14ac:dyDescent="0.25">
      <c r="A5344" t="s">
        <v>20</v>
      </c>
      <c r="B5344">
        <v>95</v>
      </c>
      <c r="C5344">
        <v>51</v>
      </c>
    </row>
    <row r="5345" spans="1:3" x14ac:dyDescent="0.25">
      <c r="A5345" t="s">
        <v>20</v>
      </c>
      <c r="B5345">
        <v>95</v>
      </c>
      <c r="C5345">
        <v>52</v>
      </c>
    </row>
    <row r="5346" spans="1:3" x14ac:dyDescent="0.25">
      <c r="A5346" t="s">
        <v>20</v>
      </c>
      <c r="B5346">
        <v>95</v>
      </c>
      <c r="C5346">
        <v>53</v>
      </c>
    </row>
    <row r="5347" spans="1:3" x14ac:dyDescent="0.25">
      <c r="A5347" t="s">
        <v>20</v>
      </c>
      <c r="B5347">
        <v>95</v>
      </c>
      <c r="C5347">
        <v>54</v>
      </c>
    </row>
    <row r="5348" spans="1:3" x14ac:dyDescent="0.25">
      <c r="A5348" t="s">
        <v>20</v>
      </c>
      <c r="B5348">
        <v>95</v>
      </c>
      <c r="C5348">
        <v>55</v>
      </c>
    </row>
    <row r="5349" spans="1:3" x14ac:dyDescent="0.25">
      <c r="A5349" t="s">
        <v>20</v>
      </c>
      <c r="B5349">
        <v>95</v>
      </c>
      <c r="C5349">
        <v>56</v>
      </c>
    </row>
    <row r="5350" spans="1:3" x14ac:dyDescent="0.25">
      <c r="A5350" t="s">
        <v>20</v>
      </c>
      <c r="B5350">
        <v>95</v>
      </c>
      <c r="C5350">
        <v>57</v>
      </c>
    </row>
    <row r="5351" spans="1:3" x14ac:dyDescent="0.25">
      <c r="A5351" t="s">
        <v>20</v>
      </c>
      <c r="B5351">
        <v>95</v>
      </c>
      <c r="C5351">
        <v>58</v>
      </c>
    </row>
    <row r="5352" spans="1:3" x14ac:dyDescent="0.25">
      <c r="A5352" t="s">
        <v>20</v>
      </c>
      <c r="B5352">
        <v>95</v>
      </c>
      <c r="C5352">
        <v>59</v>
      </c>
    </row>
    <row r="5353" spans="1:3" x14ac:dyDescent="0.25">
      <c r="A5353" t="s">
        <v>20</v>
      </c>
      <c r="B5353">
        <v>95</v>
      </c>
      <c r="C5353">
        <v>60</v>
      </c>
    </row>
    <row r="5354" spans="1:3" x14ac:dyDescent="0.25">
      <c r="A5354" t="s">
        <v>20</v>
      </c>
      <c r="B5354">
        <v>95</v>
      </c>
      <c r="C5354">
        <v>61</v>
      </c>
    </row>
    <row r="5355" spans="1:3" x14ac:dyDescent="0.25">
      <c r="A5355" t="s">
        <v>20</v>
      </c>
      <c r="B5355">
        <v>95</v>
      </c>
      <c r="C5355">
        <v>62</v>
      </c>
    </row>
    <row r="5356" spans="1:3" x14ac:dyDescent="0.25">
      <c r="A5356" t="s">
        <v>20</v>
      </c>
      <c r="B5356">
        <v>95</v>
      </c>
      <c r="C5356">
        <v>63</v>
      </c>
    </row>
    <row r="5357" spans="1:3" x14ac:dyDescent="0.25">
      <c r="A5357" t="s">
        <v>20</v>
      </c>
      <c r="B5357">
        <v>95</v>
      </c>
      <c r="C5357">
        <v>64</v>
      </c>
    </row>
    <row r="5358" spans="1:3" x14ac:dyDescent="0.25">
      <c r="A5358" t="s">
        <v>20</v>
      </c>
      <c r="B5358">
        <v>95</v>
      </c>
      <c r="C5358">
        <v>65</v>
      </c>
    </row>
    <row r="5359" spans="1:3" x14ac:dyDescent="0.25">
      <c r="A5359" t="s">
        <v>20</v>
      </c>
      <c r="B5359">
        <v>95</v>
      </c>
      <c r="C5359">
        <v>66</v>
      </c>
    </row>
    <row r="5360" spans="1:3" x14ac:dyDescent="0.25">
      <c r="A5360" t="s">
        <v>20</v>
      </c>
      <c r="B5360">
        <v>95</v>
      </c>
      <c r="C5360">
        <v>67</v>
      </c>
    </row>
    <row r="5361" spans="1:3" x14ac:dyDescent="0.25">
      <c r="A5361" t="s">
        <v>20</v>
      </c>
      <c r="B5361">
        <v>95</v>
      </c>
      <c r="C5361">
        <v>68</v>
      </c>
    </row>
    <row r="5362" spans="1:3" x14ac:dyDescent="0.25">
      <c r="A5362" t="s">
        <v>20</v>
      </c>
      <c r="B5362">
        <v>95</v>
      </c>
      <c r="C5362">
        <v>69</v>
      </c>
    </row>
    <row r="5363" spans="1:3" x14ac:dyDescent="0.25">
      <c r="A5363" t="s">
        <v>20</v>
      </c>
      <c r="B5363">
        <v>95</v>
      </c>
      <c r="C5363">
        <v>70</v>
      </c>
    </row>
    <row r="5364" spans="1:3" x14ac:dyDescent="0.25">
      <c r="A5364" t="s">
        <v>20</v>
      </c>
      <c r="B5364">
        <v>95</v>
      </c>
      <c r="C5364">
        <v>71</v>
      </c>
    </row>
    <row r="5365" spans="1:3" x14ac:dyDescent="0.25">
      <c r="A5365" t="s">
        <v>20</v>
      </c>
      <c r="B5365">
        <v>95</v>
      </c>
      <c r="C5365">
        <v>72</v>
      </c>
    </row>
    <row r="5366" spans="1:3" x14ac:dyDescent="0.25">
      <c r="A5366" t="s">
        <v>20</v>
      </c>
      <c r="B5366">
        <v>95</v>
      </c>
      <c r="C5366">
        <v>73</v>
      </c>
    </row>
    <row r="5367" spans="1:3" x14ac:dyDescent="0.25">
      <c r="A5367" t="s">
        <v>20</v>
      </c>
      <c r="B5367">
        <v>95</v>
      </c>
      <c r="C5367">
        <v>74</v>
      </c>
    </row>
    <row r="5368" spans="1:3" x14ac:dyDescent="0.25">
      <c r="A5368" t="s">
        <v>20</v>
      </c>
      <c r="B5368">
        <v>95</v>
      </c>
      <c r="C5368">
        <v>75</v>
      </c>
    </row>
    <row r="5369" spans="1:3" x14ac:dyDescent="0.25">
      <c r="A5369" t="s">
        <v>20</v>
      </c>
      <c r="B5369">
        <v>95</v>
      </c>
      <c r="C5369">
        <v>76</v>
      </c>
    </row>
    <row r="5370" spans="1:3" x14ac:dyDescent="0.25">
      <c r="A5370" t="s">
        <v>20</v>
      </c>
      <c r="B5370">
        <v>95</v>
      </c>
      <c r="C5370">
        <v>77</v>
      </c>
    </row>
    <row r="5371" spans="1:3" x14ac:dyDescent="0.25">
      <c r="A5371" t="s">
        <v>20</v>
      </c>
      <c r="B5371">
        <v>95</v>
      </c>
      <c r="C5371">
        <v>78</v>
      </c>
    </row>
    <row r="5372" spans="1:3" x14ac:dyDescent="0.25">
      <c r="A5372" t="s">
        <v>20</v>
      </c>
      <c r="B5372">
        <v>95</v>
      </c>
      <c r="C5372">
        <v>79</v>
      </c>
    </row>
    <row r="5373" spans="1:3" x14ac:dyDescent="0.25">
      <c r="A5373" t="s">
        <v>20</v>
      </c>
      <c r="B5373">
        <v>95</v>
      </c>
      <c r="C5373">
        <v>80</v>
      </c>
    </row>
    <row r="5374" spans="1:3" x14ac:dyDescent="0.25">
      <c r="A5374" t="s">
        <v>20</v>
      </c>
      <c r="B5374">
        <v>95</v>
      </c>
      <c r="C5374">
        <v>81</v>
      </c>
    </row>
    <row r="5375" spans="1:3" x14ac:dyDescent="0.25">
      <c r="A5375" t="s">
        <v>20</v>
      </c>
      <c r="B5375">
        <v>95</v>
      </c>
      <c r="C5375">
        <v>82</v>
      </c>
    </row>
    <row r="5376" spans="1:3" x14ac:dyDescent="0.25">
      <c r="A5376" t="s">
        <v>20</v>
      </c>
      <c r="B5376">
        <v>95</v>
      </c>
      <c r="C5376">
        <v>83</v>
      </c>
    </row>
    <row r="5377" spans="1:3" x14ac:dyDescent="0.25">
      <c r="A5377" t="s">
        <v>20</v>
      </c>
      <c r="B5377">
        <v>95</v>
      </c>
      <c r="C5377">
        <v>84</v>
      </c>
    </row>
    <row r="5378" spans="1:3" x14ac:dyDescent="0.25">
      <c r="A5378" t="s">
        <v>20</v>
      </c>
      <c r="B5378">
        <v>99</v>
      </c>
      <c r="C5378">
        <v>1</v>
      </c>
    </row>
    <row r="5379" spans="1:3" x14ac:dyDescent="0.25">
      <c r="A5379" t="s">
        <v>20</v>
      </c>
      <c r="B5379">
        <v>99</v>
      </c>
      <c r="C5379">
        <v>2</v>
      </c>
    </row>
    <row r="5380" spans="1:3" x14ac:dyDescent="0.25">
      <c r="A5380" t="s">
        <v>20</v>
      </c>
      <c r="B5380">
        <v>99</v>
      </c>
      <c r="C5380">
        <v>3</v>
      </c>
    </row>
    <row r="5381" spans="1:3" x14ac:dyDescent="0.25">
      <c r="A5381" t="s">
        <v>20</v>
      </c>
      <c r="B5381">
        <v>99</v>
      </c>
      <c r="C5381">
        <v>4</v>
      </c>
    </row>
    <row r="5382" spans="1:3" x14ac:dyDescent="0.25">
      <c r="A5382" t="s">
        <v>20</v>
      </c>
      <c r="B5382">
        <v>99</v>
      </c>
      <c r="C5382">
        <v>5</v>
      </c>
    </row>
    <row r="5383" spans="1:3" x14ac:dyDescent="0.25">
      <c r="A5383" t="s">
        <v>20</v>
      </c>
      <c r="B5383">
        <v>99</v>
      </c>
      <c r="C5383">
        <v>6</v>
      </c>
    </row>
    <row r="5384" spans="1:3" x14ac:dyDescent="0.25">
      <c r="A5384" t="s">
        <v>20</v>
      </c>
      <c r="B5384">
        <v>99</v>
      </c>
      <c r="C5384">
        <v>7</v>
      </c>
    </row>
    <row r="5385" spans="1:3" x14ac:dyDescent="0.25">
      <c r="A5385" t="s">
        <v>20</v>
      </c>
      <c r="B5385">
        <v>99</v>
      </c>
      <c r="C5385">
        <v>8</v>
      </c>
    </row>
    <row r="5386" spans="1:3" x14ac:dyDescent="0.25">
      <c r="A5386" t="s">
        <v>20</v>
      </c>
      <c r="B5386">
        <v>99</v>
      </c>
      <c r="C5386">
        <v>9</v>
      </c>
    </row>
    <row r="5387" spans="1:3" x14ac:dyDescent="0.25">
      <c r="A5387" t="s">
        <v>20</v>
      </c>
      <c r="B5387">
        <v>99</v>
      </c>
      <c r="C5387">
        <v>10</v>
      </c>
    </row>
    <row r="5388" spans="1:3" x14ac:dyDescent="0.25">
      <c r="A5388" t="s">
        <v>20</v>
      </c>
      <c r="B5388">
        <v>99</v>
      </c>
      <c r="C5388">
        <v>11</v>
      </c>
    </row>
    <row r="5389" spans="1:3" x14ac:dyDescent="0.25">
      <c r="A5389" t="s">
        <v>20</v>
      </c>
      <c r="B5389">
        <v>99</v>
      </c>
      <c r="C5389">
        <v>12</v>
      </c>
    </row>
    <row r="5390" spans="1:3" x14ac:dyDescent="0.25">
      <c r="A5390" t="s">
        <v>20</v>
      </c>
      <c r="B5390">
        <v>99</v>
      </c>
      <c r="C5390">
        <v>13</v>
      </c>
    </row>
    <row r="5391" spans="1:3" x14ac:dyDescent="0.25">
      <c r="A5391" t="s">
        <v>20</v>
      </c>
      <c r="B5391">
        <v>99</v>
      </c>
      <c r="C5391">
        <v>14</v>
      </c>
    </row>
    <row r="5392" spans="1:3" x14ac:dyDescent="0.25">
      <c r="A5392" t="s">
        <v>20</v>
      </c>
      <c r="B5392">
        <v>99</v>
      </c>
      <c r="C5392">
        <v>15</v>
      </c>
    </row>
    <row r="5393" spans="1:3" x14ac:dyDescent="0.25">
      <c r="A5393" t="s">
        <v>20</v>
      </c>
      <c r="B5393">
        <v>99</v>
      </c>
      <c r="C5393">
        <v>16</v>
      </c>
    </row>
    <row r="5394" spans="1:3" x14ac:dyDescent="0.25">
      <c r="A5394" t="s">
        <v>20</v>
      </c>
      <c r="B5394">
        <v>99</v>
      </c>
      <c r="C5394">
        <v>17</v>
      </c>
    </row>
    <row r="5395" spans="1:3" x14ac:dyDescent="0.25">
      <c r="A5395" t="s">
        <v>20</v>
      </c>
      <c r="B5395">
        <v>99</v>
      </c>
      <c r="C5395">
        <v>18</v>
      </c>
    </row>
    <row r="5396" spans="1:3" x14ac:dyDescent="0.25">
      <c r="A5396" t="s">
        <v>20</v>
      </c>
      <c r="B5396">
        <v>99</v>
      </c>
      <c r="C5396">
        <v>19</v>
      </c>
    </row>
    <row r="5397" spans="1:3" x14ac:dyDescent="0.25">
      <c r="A5397" t="s">
        <v>20</v>
      </c>
      <c r="B5397">
        <v>99</v>
      </c>
      <c r="C5397">
        <v>20</v>
      </c>
    </row>
    <row r="5398" spans="1:3" x14ac:dyDescent="0.25">
      <c r="A5398" t="s">
        <v>20</v>
      </c>
      <c r="B5398">
        <v>99</v>
      </c>
      <c r="C5398">
        <v>21</v>
      </c>
    </row>
    <row r="5399" spans="1:3" x14ac:dyDescent="0.25">
      <c r="A5399" t="s">
        <v>20</v>
      </c>
      <c r="B5399">
        <v>99</v>
      </c>
      <c r="C5399">
        <v>22</v>
      </c>
    </row>
    <row r="5400" spans="1:3" x14ac:dyDescent="0.25">
      <c r="A5400" t="s">
        <v>20</v>
      </c>
      <c r="B5400">
        <v>99</v>
      </c>
      <c r="C5400">
        <v>23</v>
      </c>
    </row>
    <row r="5401" spans="1:3" x14ac:dyDescent="0.25">
      <c r="A5401" t="s">
        <v>20</v>
      </c>
      <c r="B5401">
        <v>99</v>
      </c>
      <c r="C5401">
        <v>24</v>
      </c>
    </row>
    <row r="5402" spans="1:3" x14ac:dyDescent="0.25">
      <c r="A5402" t="s">
        <v>20</v>
      </c>
      <c r="B5402">
        <v>99</v>
      </c>
      <c r="C5402">
        <v>25</v>
      </c>
    </row>
    <row r="5403" spans="1:3" x14ac:dyDescent="0.25">
      <c r="A5403" t="s">
        <v>20</v>
      </c>
      <c r="B5403">
        <v>99</v>
      </c>
      <c r="C5403">
        <v>26</v>
      </c>
    </row>
    <row r="5404" spans="1:3" x14ac:dyDescent="0.25">
      <c r="A5404" t="s">
        <v>20</v>
      </c>
      <c r="B5404">
        <v>99</v>
      </c>
      <c r="C5404">
        <v>27</v>
      </c>
    </row>
    <row r="5405" spans="1:3" x14ac:dyDescent="0.25">
      <c r="A5405" t="s">
        <v>20</v>
      </c>
      <c r="B5405">
        <v>99</v>
      </c>
      <c r="C5405">
        <v>28</v>
      </c>
    </row>
    <row r="5406" spans="1:3" x14ac:dyDescent="0.25">
      <c r="A5406" t="s">
        <v>20</v>
      </c>
      <c r="B5406">
        <v>99</v>
      </c>
      <c r="C5406">
        <v>29</v>
      </c>
    </row>
    <row r="5407" spans="1:3" x14ac:dyDescent="0.25">
      <c r="A5407" t="s">
        <v>20</v>
      </c>
      <c r="B5407">
        <v>99</v>
      </c>
      <c r="C5407">
        <v>30</v>
      </c>
    </row>
    <row r="5408" spans="1:3" x14ac:dyDescent="0.25">
      <c r="A5408" t="s">
        <v>20</v>
      </c>
      <c r="B5408">
        <v>99</v>
      </c>
      <c r="C5408">
        <v>31</v>
      </c>
    </row>
    <row r="5409" spans="1:3" x14ac:dyDescent="0.25">
      <c r="A5409" t="s">
        <v>20</v>
      </c>
      <c r="B5409">
        <v>99</v>
      </c>
      <c r="C5409">
        <v>32</v>
      </c>
    </row>
    <row r="5410" spans="1:3" x14ac:dyDescent="0.25">
      <c r="A5410" t="s">
        <v>20</v>
      </c>
      <c r="B5410">
        <v>99</v>
      </c>
      <c r="C5410">
        <v>33</v>
      </c>
    </row>
    <row r="5411" spans="1:3" x14ac:dyDescent="0.25">
      <c r="A5411" t="s">
        <v>20</v>
      </c>
      <c r="B5411">
        <v>99</v>
      </c>
      <c r="C5411">
        <v>34</v>
      </c>
    </row>
    <row r="5412" spans="1:3" x14ac:dyDescent="0.25">
      <c r="A5412" t="s">
        <v>20</v>
      </c>
      <c r="B5412">
        <v>99</v>
      </c>
      <c r="C5412">
        <v>35</v>
      </c>
    </row>
    <row r="5413" spans="1:3" x14ac:dyDescent="0.25">
      <c r="A5413" t="s">
        <v>20</v>
      </c>
      <c r="B5413">
        <v>99</v>
      </c>
      <c r="C5413">
        <v>36</v>
      </c>
    </row>
    <row r="5414" spans="1:3" x14ac:dyDescent="0.25">
      <c r="A5414" t="s">
        <v>20</v>
      </c>
      <c r="B5414">
        <v>99</v>
      </c>
      <c r="C5414">
        <v>37</v>
      </c>
    </row>
    <row r="5415" spans="1:3" x14ac:dyDescent="0.25">
      <c r="A5415" t="s">
        <v>20</v>
      </c>
      <c r="B5415">
        <v>99</v>
      </c>
      <c r="C5415">
        <v>38</v>
      </c>
    </row>
    <row r="5416" spans="1:3" x14ac:dyDescent="0.25">
      <c r="A5416" t="s">
        <v>20</v>
      </c>
      <c r="B5416">
        <v>99</v>
      </c>
      <c r="C5416">
        <v>39</v>
      </c>
    </row>
    <row r="5417" spans="1:3" x14ac:dyDescent="0.25">
      <c r="A5417" t="s">
        <v>20</v>
      </c>
      <c r="B5417">
        <v>99</v>
      </c>
      <c r="C5417">
        <v>40</v>
      </c>
    </row>
    <row r="5418" spans="1:3" x14ac:dyDescent="0.25">
      <c r="A5418" t="s">
        <v>20</v>
      </c>
      <c r="B5418">
        <v>99</v>
      </c>
      <c r="C5418">
        <v>41</v>
      </c>
    </row>
    <row r="5419" spans="1:3" x14ac:dyDescent="0.25">
      <c r="A5419" t="s">
        <v>20</v>
      </c>
      <c r="B5419">
        <v>99</v>
      </c>
      <c r="C5419">
        <v>42</v>
      </c>
    </row>
    <row r="5420" spans="1:3" x14ac:dyDescent="0.25">
      <c r="A5420" t="s">
        <v>20</v>
      </c>
      <c r="B5420">
        <v>99</v>
      </c>
      <c r="C5420">
        <v>43</v>
      </c>
    </row>
    <row r="5421" spans="1:3" x14ac:dyDescent="0.25">
      <c r="A5421" t="s">
        <v>20</v>
      </c>
      <c r="B5421">
        <v>99</v>
      </c>
      <c r="C5421">
        <v>44</v>
      </c>
    </row>
    <row r="5422" spans="1:3" x14ac:dyDescent="0.25">
      <c r="A5422" t="s">
        <v>20</v>
      </c>
      <c r="B5422">
        <v>99</v>
      </c>
      <c r="C5422">
        <v>45</v>
      </c>
    </row>
    <row r="5423" spans="1:3" x14ac:dyDescent="0.25">
      <c r="A5423" t="s">
        <v>20</v>
      </c>
      <c r="B5423">
        <v>99</v>
      </c>
      <c r="C5423">
        <v>46</v>
      </c>
    </row>
    <row r="5424" spans="1:3" x14ac:dyDescent="0.25">
      <c r="A5424" t="s">
        <v>20</v>
      </c>
      <c r="B5424">
        <v>99</v>
      </c>
      <c r="C5424">
        <v>47</v>
      </c>
    </row>
    <row r="5425" spans="1:3" x14ac:dyDescent="0.25">
      <c r="A5425" t="s">
        <v>20</v>
      </c>
      <c r="B5425">
        <v>99</v>
      </c>
      <c r="C5425">
        <v>48</v>
      </c>
    </row>
    <row r="5426" spans="1:3" x14ac:dyDescent="0.25">
      <c r="A5426" t="s">
        <v>20</v>
      </c>
      <c r="B5426">
        <v>99</v>
      </c>
      <c r="C5426">
        <v>49</v>
      </c>
    </row>
    <row r="5427" spans="1:3" x14ac:dyDescent="0.25">
      <c r="A5427" t="s">
        <v>20</v>
      </c>
      <c r="B5427">
        <v>99</v>
      </c>
      <c r="C5427">
        <v>50</v>
      </c>
    </row>
    <row r="5428" spans="1:3" x14ac:dyDescent="0.25">
      <c r="A5428" t="s">
        <v>20</v>
      </c>
      <c r="B5428">
        <v>99</v>
      </c>
      <c r="C5428">
        <v>51</v>
      </c>
    </row>
    <row r="5429" spans="1:3" x14ac:dyDescent="0.25">
      <c r="A5429" t="s">
        <v>20</v>
      </c>
      <c r="B5429">
        <v>99</v>
      </c>
      <c r="C5429">
        <v>52</v>
      </c>
    </row>
    <row r="5430" spans="1:3" x14ac:dyDescent="0.25">
      <c r="A5430" t="s">
        <v>20</v>
      </c>
      <c r="B5430">
        <v>99</v>
      </c>
      <c r="C5430">
        <v>53</v>
      </c>
    </row>
    <row r="5431" spans="1:3" x14ac:dyDescent="0.25">
      <c r="A5431" t="s">
        <v>20</v>
      </c>
      <c r="B5431">
        <v>99</v>
      </c>
      <c r="C5431">
        <v>54</v>
      </c>
    </row>
    <row r="5432" spans="1:3" x14ac:dyDescent="0.25">
      <c r="A5432" t="s">
        <v>20</v>
      </c>
      <c r="B5432">
        <v>99</v>
      </c>
      <c r="C5432">
        <v>55</v>
      </c>
    </row>
    <row r="5433" spans="1:3" x14ac:dyDescent="0.25">
      <c r="A5433" t="s">
        <v>20</v>
      </c>
      <c r="B5433">
        <v>99</v>
      </c>
      <c r="C5433">
        <v>56</v>
      </c>
    </row>
    <row r="5434" spans="1:3" x14ac:dyDescent="0.25">
      <c r="A5434" t="s">
        <v>20</v>
      </c>
      <c r="B5434">
        <v>99</v>
      </c>
      <c r="C5434">
        <v>57</v>
      </c>
    </row>
    <row r="5435" spans="1:3" x14ac:dyDescent="0.25">
      <c r="A5435" t="s">
        <v>20</v>
      </c>
      <c r="B5435">
        <v>99</v>
      </c>
      <c r="C5435">
        <v>58</v>
      </c>
    </row>
    <row r="5436" spans="1:3" x14ac:dyDescent="0.25">
      <c r="A5436" t="s">
        <v>20</v>
      </c>
      <c r="B5436">
        <v>99</v>
      </c>
      <c r="C5436">
        <v>59</v>
      </c>
    </row>
    <row r="5437" spans="1:3" x14ac:dyDescent="0.25">
      <c r="A5437" t="s">
        <v>20</v>
      </c>
      <c r="B5437">
        <v>99</v>
      </c>
      <c r="C5437">
        <v>60</v>
      </c>
    </row>
    <row r="5438" spans="1:3" x14ac:dyDescent="0.25">
      <c r="A5438" t="s">
        <v>20</v>
      </c>
      <c r="B5438">
        <v>99</v>
      </c>
      <c r="C5438">
        <v>61</v>
      </c>
    </row>
    <row r="5439" spans="1:3" x14ac:dyDescent="0.25">
      <c r="A5439" t="s">
        <v>20</v>
      </c>
      <c r="B5439">
        <v>99</v>
      </c>
      <c r="C5439">
        <v>62</v>
      </c>
    </row>
    <row r="5440" spans="1:3" x14ac:dyDescent="0.25">
      <c r="A5440" t="s">
        <v>20</v>
      </c>
      <c r="B5440">
        <v>99</v>
      </c>
      <c r="C5440">
        <v>63</v>
      </c>
    </row>
    <row r="5441" spans="1:3" x14ac:dyDescent="0.25">
      <c r="A5441" t="s">
        <v>20</v>
      </c>
      <c r="B5441">
        <v>99</v>
      </c>
      <c r="C5441">
        <v>64</v>
      </c>
    </row>
    <row r="5442" spans="1:3" x14ac:dyDescent="0.25">
      <c r="A5442" t="s">
        <v>20</v>
      </c>
      <c r="B5442">
        <v>99</v>
      </c>
      <c r="C5442">
        <v>65</v>
      </c>
    </row>
    <row r="5443" spans="1:3" x14ac:dyDescent="0.25">
      <c r="A5443" t="s">
        <v>20</v>
      </c>
      <c r="B5443">
        <v>99</v>
      </c>
      <c r="C5443">
        <v>66</v>
      </c>
    </row>
    <row r="5444" spans="1:3" x14ac:dyDescent="0.25">
      <c r="A5444" t="s">
        <v>20</v>
      </c>
      <c r="B5444">
        <v>99</v>
      </c>
      <c r="C5444">
        <v>67</v>
      </c>
    </row>
    <row r="5445" spans="1:3" x14ac:dyDescent="0.25">
      <c r="A5445" t="s">
        <v>20</v>
      </c>
      <c r="B5445">
        <v>99</v>
      </c>
      <c r="C5445">
        <v>68</v>
      </c>
    </row>
    <row r="5446" spans="1:3" x14ac:dyDescent="0.25">
      <c r="A5446" t="s">
        <v>20</v>
      </c>
      <c r="B5446">
        <v>99</v>
      </c>
      <c r="C5446">
        <v>69</v>
      </c>
    </row>
    <row r="5447" spans="1:3" x14ac:dyDescent="0.25">
      <c r="A5447" t="s">
        <v>20</v>
      </c>
      <c r="B5447">
        <v>99</v>
      </c>
      <c r="C5447">
        <v>70</v>
      </c>
    </row>
    <row r="5448" spans="1:3" x14ac:dyDescent="0.25">
      <c r="A5448" t="s">
        <v>20</v>
      </c>
      <c r="B5448">
        <v>99</v>
      </c>
      <c r="C5448">
        <v>71</v>
      </c>
    </row>
    <row r="5449" spans="1:3" x14ac:dyDescent="0.25">
      <c r="A5449" t="s">
        <v>20</v>
      </c>
      <c r="B5449">
        <v>99</v>
      </c>
      <c r="C5449">
        <v>72</v>
      </c>
    </row>
    <row r="5450" spans="1:3" x14ac:dyDescent="0.25">
      <c r="A5450" t="s">
        <v>20</v>
      </c>
      <c r="B5450">
        <v>99</v>
      </c>
      <c r="C5450">
        <v>73</v>
      </c>
    </row>
    <row r="5451" spans="1:3" x14ac:dyDescent="0.25">
      <c r="A5451" t="s">
        <v>20</v>
      </c>
      <c r="B5451">
        <v>99</v>
      </c>
      <c r="C5451">
        <v>74</v>
      </c>
    </row>
    <row r="5452" spans="1:3" x14ac:dyDescent="0.25">
      <c r="A5452" t="s">
        <v>20</v>
      </c>
      <c r="B5452">
        <v>99</v>
      </c>
      <c r="C5452">
        <v>75</v>
      </c>
    </row>
    <row r="5453" spans="1:3" x14ac:dyDescent="0.25">
      <c r="A5453" t="s">
        <v>20</v>
      </c>
      <c r="B5453">
        <v>99</v>
      </c>
      <c r="C5453">
        <v>76</v>
      </c>
    </row>
    <row r="5454" spans="1:3" x14ac:dyDescent="0.25">
      <c r="A5454" t="s">
        <v>20</v>
      </c>
      <c r="B5454">
        <v>99</v>
      </c>
      <c r="C5454">
        <v>77</v>
      </c>
    </row>
    <row r="5455" spans="1:3" x14ac:dyDescent="0.25">
      <c r="A5455" t="s">
        <v>20</v>
      </c>
      <c r="B5455">
        <v>99</v>
      </c>
      <c r="C5455">
        <v>78</v>
      </c>
    </row>
    <row r="5456" spans="1:3" x14ac:dyDescent="0.25">
      <c r="A5456" t="s">
        <v>20</v>
      </c>
      <c r="B5456">
        <v>99</v>
      </c>
      <c r="C5456">
        <v>79</v>
      </c>
    </row>
    <row r="5457" spans="1:3" x14ac:dyDescent="0.25">
      <c r="A5457" t="s">
        <v>20</v>
      </c>
      <c r="B5457">
        <v>99</v>
      </c>
      <c r="C5457">
        <v>80</v>
      </c>
    </row>
    <row r="5458" spans="1:3" x14ac:dyDescent="0.25">
      <c r="A5458" t="s">
        <v>20</v>
      </c>
      <c r="B5458">
        <v>99</v>
      </c>
      <c r="C5458">
        <v>81</v>
      </c>
    </row>
    <row r="5459" spans="1:3" x14ac:dyDescent="0.25">
      <c r="A5459" t="s">
        <v>20</v>
      </c>
      <c r="B5459">
        <v>99</v>
      </c>
      <c r="C5459">
        <v>82</v>
      </c>
    </row>
    <row r="5460" spans="1:3" x14ac:dyDescent="0.25">
      <c r="A5460" t="s">
        <v>20</v>
      </c>
      <c r="B5460">
        <v>99</v>
      </c>
      <c r="C5460">
        <v>83</v>
      </c>
    </row>
    <row r="5461" spans="1:3" x14ac:dyDescent="0.25">
      <c r="A5461" t="s">
        <v>20</v>
      </c>
      <c r="B5461">
        <v>99</v>
      </c>
      <c r="C5461">
        <v>84</v>
      </c>
    </row>
    <row r="5462" spans="1:3" x14ac:dyDescent="0.25">
      <c r="A5462" t="s">
        <v>20</v>
      </c>
      <c r="B5462">
        <v>104</v>
      </c>
      <c r="C5462">
        <v>1</v>
      </c>
    </row>
    <row r="5463" spans="1:3" x14ac:dyDescent="0.25">
      <c r="A5463" t="s">
        <v>20</v>
      </c>
      <c r="B5463">
        <v>104</v>
      </c>
      <c r="C5463">
        <v>2</v>
      </c>
    </row>
    <row r="5464" spans="1:3" x14ac:dyDescent="0.25">
      <c r="A5464" t="s">
        <v>20</v>
      </c>
      <c r="B5464">
        <v>104</v>
      </c>
      <c r="C5464">
        <v>3</v>
      </c>
    </row>
    <row r="5465" spans="1:3" x14ac:dyDescent="0.25">
      <c r="A5465" t="s">
        <v>20</v>
      </c>
      <c r="B5465">
        <v>104</v>
      </c>
      <c r="C5465">
        <v>4</v>
      </c>
    </row>
    <row r="5466" spans="1:3" x14ac:dyDescent="0.25">
      <c r="A5466" t="s">
        <v>20</v>
      </c>
      <c r="B5466">
        <v>104</v>
      </c>
      <c r="C5466">
        <v>5</v>
      </c>
    </row>
    <row r="5467" spans="1:3" x14ac:dyDescent="0.25">
      <c r="A5467" t="s">
        <v>20</v>
      </c>
      <c r="B5467">
        <v>104</v>
      </c>
      <c r="C5467">
        <v>6</v>
      </c>
    </row>
    <row r="5468" spans="1:3" x14ac:dyDescent="0.25">
      <c r="A5468" t="s">
        <v>20</v>
      </c>
      <c r="B5468">
        <v>104</v>
      </c>
      <c r="C5468">
        <v>7</v>
      </c>
    </row>
    <row r="5469" spans="1:3" x14ac:dyDescent="0.25">
      <c r="A5469" t="s">
        <v>20</v>
      </c>
      <c r="B5469">
        <v>104</v>
      </c>
      <c r="C5469">
        <v>8</v>
      </c>
    </row>
    <row r="5470" spans="1:3" x14ac:dyDescent="0.25">
      <c r="A5470" t="s">
        <v>20</v>
      </c>
      <c r="B5470">
        <v>104</v>
      </c>
      <c r="C5470">
        <v>9</v>
      </c>
    </row>
    <row r="5471" spans="1:3" x14ac:dyDescent="0.25">
      <c r="A5471" t="s">
        <v>20</v>
      </c>
      <c r="B5471">
        <v>104</v>
      </c>
      <c r="C5471">
        <v>10</v>
      </c>
    </row>
    <row r="5472" spans="1:3" x14ac:dyDescent="0.25">
      <c r="A5472" t="s">
        <v>20</v>
      </c>
      <c r="B5472">
        <v>104</v>
      </c>
      <c r="C5472">
        <v>11</v>
      </c>
    </row>
    <row r="5473" spans="1:3" x14ac:dyDescent="0.25">
      <c r="A5473" t="s">
        <v>20</v>
      </c>
      <c r="B5473">
        <v>104</v>
      </c>
      <c r="C5473">
        <v>12</v>
      </c>
    </row>
    <row r="5474" spans="1:3" x14ac:dyDescent="0.25">
      <c r="A5474" t="s">
        <v>20</v>
      </c>
      <c r="B5474">
        <v>104</v>
      </c>
      <c r="C5474">
        <v>13</v>
      </c>
    </row>
    <row r="5475" spans="1:3" x14ac:dyDescent="0.25">
      <c r="A5475" t="s">
        <v>20</v>
      </c>
      <c r="B5475">
        <v>104</v>
      </c>
      <c r="C5475">
        <v>14</v>
      </c>
    </row>
    <row r="5476" spans="1:3" x14ac:dyDescent="0.25">
      <c r="A5476" t="s">
        <v>20</v>
      </c>
      <c r="B5476">
        <v>104</v>
      </c>
      <c r="C5476">
        <v>15</v>
      </c>
    </row>
    <row r="5477" spans="1:3" x14ac:dyDescent="0.25">
      <c r="A5477" t="s">
        <v>20</v>
      </c>
      <c r="B5477">
        <v>104</v>
      </c>
      <c r="C5477">
        <v>16</v>
      </c>
    </row>
    <row r="5478" spans="1:3" x14ac:dyDescent="0.25">
      <c r="A5478" t="s">
        <v>20</v>
      </c>
      <c r="B5478">
        <v>104</v>
      </c>
      <c r="C5478">
        <v>17</v>
      </c>
    </row>
    <row r="5479" spans="1:3" x14ac:dyDescent="0.25">
      <c r="A5479" t="s">
        <v>20</v>
      </c>
      <c r="B5479">
        <v>104</v>
      </c>
      <c r="C5479">
        <v>18</v>
      </c>
    </row>
    <row r="5480" spans="1:3" x14ac:dyDescent="0.25">
      <c r="A5480" t="s">
        <v>20</v>
      </c>
      <c r="B5480">
        <v>104</v>
      </c>
      <c r="C5480">
        <v>19</v>
      </c>
    </row>
    <row r="5481" spans="1:3" x14ac:dyDescent="0.25">
      <c r="A5481" t="s">
        <v>20</v>
      </c>
      <c r="B5481">
        <v>104</v>
      </c>
      <c r="C5481">
        <v>20</v>
      </c>
    </row>
    <row r="5482" spans="1:3" x14ac:dyDescent="0.25">
      <c r="A5482" t="s">
        <v>20</v>
      </c>
      <c r="B5482">
        <v>104</v>
      </c>
      <c r="C5482">
        <v>21</v>
      </c>
    </row>
    <row r="5483" spans="1:3" x14ac:dyDescent="0.25">
      <c r="A5483" t="s">
        <v>20</v>
      </c>
      <c r="B5483">
        <v>104</v>
      </c>
      <c r="C5483">
        <v>22</v>
      </c>
    </row>
    <row r="5484" spans="1:3" x14ac:dyDescent="0.25">
      <c r="A5484" t="s">
        <v>20</v>
      </c>
      <c r="B5484">
        <v>104</v>
      </c>
      <c r="C5484">
        <v>23</v>
      </c>
    </row>
    <row r="5485" spans="1:3" x14ac:dyDescent="0.25">
      <c r="A5485" t="s">
        <v>20</v>
      </c>
      <c r="B5485">
        <v>104</v>
      </c>
      <c r="C5485">
        <v>24</v>
      </c>
    </row>
    <row r="5486" spans="1:3" x14ac:dyDescent="0.25">
      <c r="A5486" t="s">
        <v>20</v>
      </c>
      <c r="B5486">
        <v>104</v>
      </c>
      <c r="C5486">
        <v>25</v>
      </c>
    </row>
    <row r="5487" spans="1:3" x14ac:dyDescent="0.25">
      <c r="A5487" t="s">
        <v>20</v>
      </c>
      <c r="B5487">
        <v>104</v>
      </c>
      <c r="C5487">
        <v>26</v>
      </c>
    </row>
    <row r="5488" spans="1:3" x14ac:dyDescent="0.25">
      <c r="A5488" t="s">
        <v>20</v>
      </c>
      <c r="B5488">
        <v>104</v>
      </c>
      <c r="C5488">
        <v>27</v>
      </c>
    </row>
    <row r="5489" spans="1:3" x14ac:dyDescent="0.25">
      <c r="A5489" t="s">
        <v>20</v>
      </c>
      <c r="B5489">
        <v>104</v>
      </c>
      <c r="C5489">
        <v>28</v>
      </c>
    </row>
    <row r="5490" spans="1:3" x14ac:dyDescent="0.25">
      <c r="A5490" t="s">
        <v>20</v>
      </c>
      <c r="B5490">
        <v>104</v>
      </c>
      <c r="C5490">
        <v>29</v>
      </c>
    </row>
    <row r="5491" spans="1:3" x14ac:dyDescent="0.25">
      <c r="A5491" t="s">
        <v>20</v>
      </c>
      <c r="B5491">
        <v>104</v>
      </c>
      <c r="C5491">
        <v>30</v>
      </c>
    </row>
    <row r="5492" spans="1:3" x14ac:dyDescent="0.25">
      <c r="A5492" t="s">
        <v>20</v>
      </c>
      <c r="B5492">
        <v>104</v>
      </c>
      <c r="C5492">
        <v>31</v>
      </c>
    </row>
    <row r="5493" spans="1:3" x14ac:dyDescent="0.25">
      <c r="A5493" t="s">
        <v>20</v>
      </c>
      <c r="B5493">
        <v>104</v>
      </c>
      <c r="C5493">
        <v>32</v>
      </c>
    </row>
    <row r="5494" spans="1:3" x14ac:dyDescent="0.25">
      <c r="A5494" t="s">
        <v>20</v>
      </c>
      <c r="B5494">
        <v>104</v>
      </c>
      <c r="C5494">
        <v>33</v>
      </c>
    </row>
    <row r="5495" spans="1:3" x14ac:dyDescent="0.25">
      <c r="A5495" t="s">
        <v>20</v>
      </c>
      <c r="B5495">
        <v>104</v>
      </c>
      <c r="C5495">
        <v>34</v>
      </c>
    </row>
    <row r="5496" spans="1:3" x14ac:dyDescent="0.25">
      <c r="A5496" t="s">
        <v>20</v>
      </c>
      <c r="B5496">
        <v>104</v>
      </c>
      <c r="C5496">
        <v>35</v>
      </c>
    </row>
    <row r="5497" spans="1:3" x14ac:dyDescent="0.25">
      <c r="A5497" t="s">
        <v>20</v>
      </c>
      <c r="B5497">
        <v>104</v>
      </c>
      <c r="C5497">
        <v>36</v>
      </c>
    </row>
    <row r="5498" spans="1:3" x14ac:dyDescent="0.25">
      <c r="A5498" t="s">
        <v>20</v>
      </c>
      <c r="B5498">
        <v>104</v>
      </c>
      <c r="C5498">
        <v>37</v>
      </c>
    </row>
    <row r="5499" spans="1:3" x14ac:dyDescent="0.25">
      <c r="A5499" t="s">
        <v>20</v>
      </c>
      <c r="B5499">
        <v>104</v>
      </c>
      <c r="C5499">
        <v>38</v>
      </c>
    </row>
    <row r="5500" spans="1:3" x14ac:dyDescent="0.25">
      <c r="A5500" t="s">
        <v>20</v>
      </c>
      <c r="B5500">
        <v>104</v>
      </c>
      <c r="C5500">
        <v>39</v>
      </c>
    </row>
    <row r="5501" spans="1:3" x14ac:dyDescent="0.25">
      <c r="A5501" t="s">
        <v>20</v>
      </c>
      <c r="B5501">
        <v>104</v>
      </c>
      <c r="C5501">
        <v>40</v>
      </c>
    </row>
    <row r="5502" spans="1:3" x14ac:dyDescent="0.25">
      <c r="A5502" t="s">
        <v>20</v>
      </c>
      <c r="B5502">
        <v>104</v>
      </c>
      <c r="C5502">
        <v>41</v>
      </c>
    </row>
    <row r="5503" spans="1:3" x14ac:dyDescent="0.25">
      <c r="A5503" t="s">
        <v>20</v>
      </c>
      <c r="B5503">
        <v>104</v>
      </c>
      <c r="C5503">
        <v>42</v>
      </c>
    </row>
    <row r="5504" spans="1:3" x14ac:dyDescent="0.25">
      <c r="A5504" t="s">
        <v>20</v>
      </c>
      <c r="B5504">
        <v>104</v>
      </c>
      <c r="C5504">
        <v>43</v>
      </c>
    </row>
    <row r="5505" spans="1:3" x14ac:dyDescent="0.25">
      <c r="A5505" t="s">
        <v>20</v>
      </c>
      <c r="B5505">
        <v>104</v>
      </c>
      <c r="C5505">
        <v>44</v>
      </c>
    </row>
    <row r="5506" spans="1:3" x14ac:dyDescent="0.25">
      <c r="A5506" t="s">
        <v>20</v>
      </c>
      <c r="B5506">
        <v>104</v>
      </c>
      <c r="C5506">
        <v>45</v>
      </c>
    </row>
    <row r="5507" spans="1:3" x14ac:dyDescent="0.25">
      <c r="A5507" t="s">
        <v>20</v>
      </c>
      <c r="B5507">
        <v>104</v>
      </c>
      <c r="C5507">
        <v>46</v>
      </c>
    </row>
    <row r="5508" spans="1:3" x14ac:dyDescent="0.25">
      <c r="A5508" t="s">
        <v>20</v>
      </c>
      <c r="B5508">
        <v>104</v>
      </c>
      <c r="C5508">
        <v>47</v>
      </c>
    </row>
    <row r="5509" spans="1:3" x14ac:dyDescent="0.25">
      <c r="A5509" t="s">
        <v>20</v>
      </c>
      <c r="B5509">
        <v>104</v>
      </c>
      <c r="C5509">
        <v>48</v>
      </c>
    </row>
    <row r="5510" spans="1:3" x14ac:dyDescent="0.25">
      <c r="A5510" t="s">
        <v>20</v>
      </c>
      <c r="B5510">
        <v>104</v>
      </c>
      <c r="C5510">
        <v>49</v>
      </c>
    </row>
    <row r="5511" spans="1:3" x14ac:dyDescent="0.25">
      <c r="A5511" t="s">
        <v>20</v>
      </c>
      <c r="B5511">
        <v>104</v>
      </c>
      <c r="C5511">
        <v>50</v>
      </c>
    </row>
    <row r="5512" spans="1:3" x14ac:dyDescent="0.25">
      <c r="A5512" t="s">
        <v>20</v>
      </c>
      <c r="B5512">
        <v>104</v>
      </c>
      <c r="C5512">
        <v>51</v>
      </c>
    </row>
    <row r="5513" spans="1:3" x14ac:dyDescent="0.25">
      <c r="A5513" t="s">
        <v>20</v>
      </c>
      <c r="B5513">
        <v>104</v>
      </c>
      <c r="C5513">
        <v>52</v>
      </c>
    </row>
    <row r="5514" spans="1:3" x14ac:dyDescent="0.25">
      <c r="A5514" t="s">
        <v>20</v>
      </c>
      <c r="B5514">
        <v>104</v>
      </c>
      <c r="C5514">
        <v>53</v>
      </c>
    </row>
    <row r="5515" spans="1:3" x14ac:dyDescent="0.25">
      <c r="A5515" t="s">
        <v>20</v>
      </c>
      <c r="B5515">
        <v>104</v>
      </c>
      <c r="C5515">
        <v>54</v>
      </c>
    </row>
    <row r="5516" spans="1:3" x14ac:dyDescent="0.25">
      <c r="A5516" t="s">
        <v>20</v>
      </c>
      <c r="B5516">
        <v>104</v>
      </c>
      <c r="C5516">
        <v>55</v>
      </c>
    </row>
    <row r="5517" spans="1:3" x14ac:dyDescent="0.25">
      <c r="A5517" t="s">
        <v>20</v>
      </c>
      <c r="B5517">
        <v>104</v>
      </c>
      <c r="C5517">
        <v>56</v>
      </c>
    </row>
    <row r="5518" spans="1:3" x14ac:dyDescent="0.25">
      <c r="A5518" t="s">
        <v>20</v>
      </c>
      <c r="B5518">
        <v>104</v>
      </c>
      <c r="C5518">
        <v>57</v>
      </c>
    </row>
    <row r="5519" spans="1:3" x14ac:dyDescent="0.25">
      <c r="A5519" t="s">
        <v>20</v>
      </c>
      <c r="B5519">
        <v>104</v>
      </c>
      <c r="C5519">
        <v>58</v>
      </c>
    </row>
    <row r="5520" spans="1:3" x14ac:dyDescent="0.25">
      <c r="A5520" t="s">
        <v>20</v>
      </c>
      <c r="B5520">
        <v>104</v>
      </c>
      <c r="C5520">
        <v>59</v>
      </c>
    </row>
    <row r="5521" spans="1:3" x14ac:dyDescent="0.25">
      <c r="A5521" t="s">
        <v>20</v>
      </c>
      <c r="B5521">
        <v>104</v>
      </c>
      <c r="C5521">
        <v>60</v>
      </c>
    </row>
    <row r="5522" spans="1:3" x14ac:dyDescent="0.25">
      <c r="A5522" t="s">
        <v>20</v>
      </c>
      <c r="B5522">
        <v>104</v>
      </c>
      <c r="C5522">
        <v>61</v>
      </c>
    </row>
    <row r="5523" spans="1:3" x14ac:dyDescent="0.25">
      <c r="A5523" t="s">
        <v>20</v>
      </c>
      <c r="B5523">
        <v>104</v>
      </c>
      <c r="C5523">
        <v>62</v>
      </c>
    </row>
    <row r="5524" spans="1:3" x14ac:dyDescent="0.25">
      <c r="A5524" t="s">
        <v>20</v>
      </c>
      <c r="B5524">
        <v>104</v>
      </c>
      <c r="C5524">
        <v>63</v>
      </c>
    </row>
    <row r="5525" spans="1:3" x14ac:dyDescent="0.25">
      <c r="A5525" t="s">
        <v>20</v>
      </c>
      <c r="B5525">
        <v>104</v>
      </c>
      <c r="C5525">
        <v>64</v>
      </c>
    </row>
    <row r="5526" spans="1:3" x14ac:dyDescent="0.25">
      <c r="A5526" t="s">
        <v>20</v>
      </c>
      <c r="B5526">
        <v>104</v>
      </c>
      <c r="C5526">
        <v>65</v>
      </c>
    </row>
    <row r="5527" spans="1:3" x14ac:dyDescent="0.25">
      <c r="A5527" t="s">
        <v>20</v>
      </c>
      <c r="B5527">
        <v>104</v>
      </c>
      <c r="C5527">
        <v>66</v>
      </c>
    </row>
    <row r="5528" spans="1:3" x14ac:dyDescent="0.25">
      <c r="A5528" t="s">
        <v>20</v>
      </c>
      <c r="B5528">
        <v>104</v>
      </c>
      <c r="C5528">
        <v>67</v>
      </c>
    </row>
    <row r="5529" spans="1:3" x14ac:dyDescent="0.25">
      <c r="A5529" t="s">
        <v>20</v>
      </c>
      <c r="B5529">
        <v>104</v>
      </c>
      <c r="C5529">
        <v>68</v>
      </c>
    </row>
    <row r="5530" spans="1:3" x14ac:dyDescent="0.25">
      <c r="A5530" t="s">
        <v>20</v>
      </c>
      <c r="B5530">
        <v>104</v>
      </c>
      <c r="C5530">
        <v>69</v>
      </c>
    </row>
    <row r="5531" spans="1:3" x14ac:dyDescent="0.25">
      <c r="A5531" t="s">
        <v>20</v>
      </c>
      <c r="B5531">
        <v>104</v>
      </c>
      <c r="C5531">
        <v>70</v>
      </c>
    </row>
    <row r="5532" spans="1:3" x14ac:dyDescent="0.25">
      <c r="A5532" t="s">
        <v>20</v>
      </c>
      <c r="B5532">
        <v>104</v>
      </c>
      <c r="C5532">
        <v>71</v>
      </c>
    </row>
    <row r="5533" spans="1:3" x14ac:dyDescent="0.25">
      <c r="A5533" t="s">
        <v>20</v>
      </c>
      <c r="B5533">
        <v>104</v>
      </c>
      <c r="C5533">
        <v>72</v>
      </c>
    </row>
    <row r="5534" spans="1:3" x14ac:dyDescent="0.25">
      <c r="A5534" t="s">
        <v>20</v>
      </c>
      <c r="B5534">
        <v>104</v>
      </c>
      <c r="C5534">
        <v>73</v>
      </c>
    </row>
    <row r="5535" spans="1:3" x14ac:dyDescent="0.25">
      <c r="A5535" t="s">
        <v>20</v>
      </c>
      <c r="B5535">
        <v>104</v>
      </c>
      <c r="C5535">
        <v>74</v>
      </c>
    </row>
    <row r="5536" spans="1:3" x14ac:dyDescent="0.25">
      <c r="A5536" t="s">
        <v>20</v>
      </c>
      <c r="B5536">
        <v>104</v>
      </c>
      <c r="C5536">
        <v>75</v>
      </c>
    </row>
    <row r="5537" spans="1:3" x14ac:dyDescent="0.25">
      <c r="A5537" t="s">
        <v>20</v>
      </c>
      <c r="B5537">
        <v>104</v>
      </c>
      <c r="C5537">
        <v>76</v>
      </c>
    </row>
    <row r="5538" spans="1:3" x14ac:dyDescent="0.25">
      <c r="A5538" t="s">
        <v>20</v>
      </c>
      <c r="B5538">
        <v>104</v>
      </c>
      <c r="C5538">
        <v>77</v>
      </c>
    </row>
    <row r="5539" spans="1:3" x14ac:dyDescent="0.25">
      <c r="A5539" t="s">
        <v>20</v>
      </c>
      <c r="B5539">
        <v>104</v>
      </c>
      <c r="C5539">
        <v>78</v>
      </c>
    </row>
    <row r="5540" spans="1:3" x14ac:dyDescent="0.25">
      <c r="A5540" t="s">
        <v>20</v>
      </c>
      <c r="B5540">
        <v>104</v>
      </c>
      <c r="C5540">
        <v>79</v>
      </c>
    </row>
    <row r="5541" spans="1:3" x14ac:dyDescent="0.25">
      <c r="A5541" t="s">
        <v>20</v>
      </c>
      <c r="B5541">
        <v>104</v>
      </c>
      <c r="C5541">
        <v>80</v>
      </c>
    </row>
    <row r="5542" spans="1:3" x14ac:dyDescent="0.25">
      <c r="A5542" t="s">
        <v>20</v>
      </c>
      <c r="B5542">
        <v>104</v>
      </c>
      <c r="C5542">
        <v>81</v>
      </c>
    </row>
    <row r="5543" spans="1:3" x14ac:dyDescent="0.25">
      <c r="A5543" t="s">
        <v>20</v>
      </c>
      <c r="B5543">
        <v>104</v>
      </c>
      <c r="C5543">
        <v>82</v>
      </c>
    </row>
    <row r="5544" spans="1:3" x14ac:dyDescent="0.25">
      <c r="A5544" t="s">
        <v>20</v>
      </c>
      <c r="B5544">
        <v>104</v>
      </c>
      <c r="C5544">
        <v>83</v>
      </c>
    </row>
    <row r="5545" spans="1:3" x14ac:dyDescent="0.25">
      <c r="A5545" t="s">
        <v>20</v>
      </c>
      <c r="B5545">
        <v>104</v>
      </c>
      <c r="C5545">
        <v>84</v>
      </c>
    </row>
    <row r="5546" spans="1:3" x14ac:dyDescent="0.25">
      <c r="A5546" t="s">
        <v>20</v>
      </c>
      <c r="B5546">
        <v>106</v>
      </c>
      <c r="C5546">
        <v>1</v>
      </c>
    </row>
    <row r="5547" spans="1:3" x14ac:dyDescent="0.25">
      <c r="A5547" t="s">
        <v>20</v>
      </c>
      <c r="B5547">
        <v>106</v>
      </c>
      <c r="C5547">
        <v>2</v>
      </c>
    </row>
    <row r="5548" spans="1:3" x14ac:dyDescent="0.25">
      <c r="A5548" t="s">
        <v>20</v>
      </c>
      <c r="B5548">
        <v>106</v>
      </c>
      <c r="C5548">
        <v>3</v>
      </c>
    </row>
    <row r="5549" spans="1:3" x14ac:dyDescent="0.25">
      <c r="A5549" t="s">
        <v>20</v>
      </c>
      <c r="B5549">
        <v>106</v>
      </c>
      <c r="C5549">
        <v>4</v>
      </c>
    </row>
    <row r="5550" spans="1:3" x14ac:dyDescent="0.25">
      <c r="A5550" t="s">
        <v>20</v>
      </c>
      <c r="B5550">
        <v>106</v>
      </c>
      <c r="C5550">
        <v>5</v>
      </c>
    </row>
    <row r="5551" spans="1:3" x14ac:dyDescent="0.25">
      <c r="A5551" t="s">
        <v>20</v>
      </c>
      <c r="B5551">
        <v>106</v>
      </c>
      <c r="C5551">
        <v>6</v>
      </c>
    </row>
    <row r="5552" spans="1:3" x14ac:dyDescent="0.25">
      <c r="A5552" t="s">
        <v>20</v>
      </c>
      <c r="B5552">
        <v>106</v>
      </c>
      <c r="C5552">
        <v>7</v>
      </c>
    </row>
    <row r="5553" spans="1:3" x14ac:dyDescent="0.25">
      <c r="A5553" t="s">
        <v>20</v>
      </c>
      <c r="B5553">
        <v>106</v>
      </c>
      <c r="C5553">
        <v>8</v>
      </c>
    </row>
    <row r="5554" spans="1:3" x14ac:dyDescent="0.25">
      <c r="A5554" t="s">
        <v>20</v>
      </c>
      <c r="B5554">
        <v>106</v>
      </c>
      <c r="C5554">
        <v>9</v>
      </c>
    </row>
    <row r="5555" spans="1:3" x14ac:dyDescent="0.25">
      <c r="A5555" t="s">
        <v>20</v>
      </c>
      <c r="B5555">
        <v>106</v>
      </c>
      <c r="C5555">
        <v>10</v>
      </c>
    </row>
    <row r="5556" spans="1:3" x14ac:dyDescent="0.25">
      <c r="A5556" t="s">
        <v>20</v>
      </c>
      <c r="B5556">
        <v>106</v>
      </c>
      <c r="C5556">
        <v>11</v>
      </c>
    </row>
    <row r="5557" spans="1:3" x14ac:dyDescent="0.25">
      <c r="A5557" t="s">
        <v>20</v>
      </c>
      <c r="B5557">
        <v>106</v>
      </c>
      <c r="C5557">
        <v>12</v>
      </c>
    </row>
    <row r="5558" spans="1:3" x14ac:dyDescent="0.25">
      <c r="A5558" t="s">
        <v>20</v>
      </c>
      <c r="B5558">
        <v>106</v>
      </c>
      <c r="C5558">
        <v>13</v>
      </c>
    </row>
    <row r="5559" spans="1:3" x14ac:dyDescent="0.25">
      <c r="A5559" t="s">
        <v>20</v>
      </c>
      <c r="B5559">
        <v>106</v>
      </c>
      <c r="C5559">
        <v>14</v>
      </c>
    </row>
    <row r="5560" spans="1:3" x14ac:dyDescent="0.25">
      <c r="A5560" t="s">
        <v>20</v>
      </c>
      <c r="B5560">
        <v>106</v>
      </c>
      <c r="C5560">
        <v>15</v>
      </c>
    </row>
    <row r="5561" spans="1:3" x14ac:dyDescent="0.25">
      <c r="A5561" t="s">
        <v>20</v>
      </c>
      <c r="B5561">
        <v>106</v>
      </c>
      <c r="C5561">
        <v>16</v>
      </c>
    </row>
    <row r="5562" spans="1:3" x14ac:dyDescent="0.25">
      <c r="A5562" t="s">
        <v>20</v>
      </c>
      <c r="B5562">
        <v>106</v>
      </c>
      <c r="C5562">
        <v>17</v>
      </c>
    </row>
    <row r="5563" spans="1:3" x14ac:dyDescent="0.25">
      <c r="A5563" t="s">
        <v>20</v>
      </c>
      <c r="B5563">
        <v>106</v>
      </c>
      <c r="C5563">
        <v>18</v>
      </c>
    </row>
    <row r="5564" spans="1:3" x14ac:dyDescent="0.25">
      <c r="A5564" t="s">
        <v>20</v>
      </c>
      <c r="B5564">
        <v>106</v>
      </c>
      <c r="C5564">
        <v>19</v>
      </c>
    </row>
    <row r="5565" spans="1:3" x14ac:dyDescent="0.25">
      <c r="A5565" t="s">
        <v>20</v>
      </c>
      <c r="B5565">
        <v>106</v>
      </c>
      <c r="C5565">
        <v>20</v>
      </c>
    </row>
    <row r="5566" spans="1:3" x14ac:dyDescent="0.25">
      <c r="A5566" t="s">
        <v>20</v>
      </c>
      <c r="B5566">
        <v>106</v>
      </c>
      <c r="C5566">
        <v>21</v>
      </c>
    </row>
    <row r="5567" spans="1:3" x14ac:dyDescent="0.25">
      <c r="A5567" t="s">
        <v>20</v>
      </c>
      <c r="B5567">
        <v>106</v>
      </c>
      <c r="C5567">
        <v>22</v>
      </c>
    </row>
    <row r="5568" spans="1:3" x14ac:dyDescent="0.25">
      <c r="A5568" t="s">
        <v>20</v>
      </c>
      <c r="B5568">
        <v>106</v>
      </c>
      <c r="C5568">
        <v>23</v>
      </c>
    </row>
    <row r="5569" spans="1:3" x14ac:dyDescent="0.25">
      <c r="A5569" t="s">
        <v>20</v>
      </c>
      <c r="B5569">
        <v>106</v>
      </c>
      <c r="C5569">
        <v>24</v>
      </c>
    </row>
    <row r="5570" spans="1:3" x14ac:dyDescent="0.25">
      <c r="A5570" t="s">
        <v>20</v>
      </c>
      <c r="B5570">
        <v>106</v>
      </c>
      <c r="C5570">
        <v>25</v>
      </c>
    </row>
    <row r="5571" spans="1:3" x14ac:dyDescent="0.25">
      <c r="A5571" t="s">
        <v>20</v>
      </c>
      <c r="B5571">
        <v>106</v>
      </c>
      <c r="C5571">
        <v>26</v>
      </c>
    </row>
    <row r="5572" spans="1:3" x14ac:dyDescent="0.25">
      <c r="A5572" t="s">
        <v>20</v>
      </c>
      <c r="B5572">
        <v>106</v>
      </c>
      <c r="C5572">
        <v>27</v>
      </c>
    </row>
    <row r="5573" spans="1:3" x14ac:dyDescent="0.25">
      <c r="A5573" t="s">
        <v>20</v>
      </c>
      <c r="B5573">
        <v>106</v>
      </c>
      <c r="C5573">
        <v>28</v>
      </c>
    </row>
    <row r="5574" spans="1:3" x14ac:dyDescent="0.25">
      <c r="A5574" t="s">
        <v>20</v>
      </c>
      <c r="B5574">
        <v>106</v>
      </c>
      <c r="C5574">
        <v>29</v>
      </c>
    </row>
    <row r="5575" spans="1:3" x14ac:dyDescent="0.25">
      <c r="A5575" t="s">
        <v>20</v>
      </c>
      <c r="B5575">
        <v>106</v>
      </c>
      <c r="C5575">
        <v>30</v>
      </c>
    </row>
    <row r="5576" spans="1:3" x14ac:dyDescent="0.25">
      <c r="A5576" t="s">
        <v>20</v>
      </c>
      <c r="B5576">
        <v>106</v>
      </c>
      <c r="C5576">
        <v>31</v>
      </c>
    </row>
    <row r="5577" spans="1:3" x14ac:dyDescent="0.25">
      <c r="A5577" t="s">
        <v>20</v>
      </c>
      <c r="B5577">
        <v>106</v>
      </c>
      <c r="C5577">
        <v>32</v>
      </c>
    </row>
    <row r="5578" spans="1:3" x14ac:dyDescent="0.25">
      <c r="A5578" t="s">
        <v>20</v>
      </c>
      <c r="B5578">
        <v>106</v>
      </c>
      <c r="C5578">
        <v>33</v>
      </c>
    </row>
    <row r="5579" spans="1:3" x14ac:dyDescent="0.25">
      <c r="A5579" t="s">
        <v>20</v>
      </c>
      <c r="B5579">
        <v>106</v>
      </c>
      <c r="C5579">
        <v>34</v>
      </c>
    </row>
    <row r="5580" spans="1:3" x14ac:dyDescent="0.25">
      <c r="A5580" t="s">
        <v>20</v>
      </c>
      <c r="B5580">
        <v>106</v>
      </c>
      <c r="C5580">
        <v>35</v>
      </c>
    </row>
    <row r="5581" spans="1:3" x14ac:dyDescent="0.25">
      <c r="A5581" t="s">
        <v>20</v>
      </c>
      <c r="B5581">
        <v>106</v>
      </c>
      <c r="C5581">
        <v>36</v>
      </c>
    </row>
    <row r="5582" spans="1:3" x14ac:dyDescent="0.25">
      <c r="A5582" t="s">
        <v>20</v>
      </c>
      <c r="B5582">
        <v>106</v>
      </c>
      <c r="C5582">
        <v>37</v>
      </c>
    </row>
    <row r="5583" spans="1:3" x14ac:dyDescent="0.25">
      <c r="A5583" t="s">
        <v>20</v>
      </c>
      <c r="B5583">
        <v>106</v>
      </c>
      <c r="C5583">
        <v>38</v>
      </c>
    </row>
    <row r="5584" spans="1:3" x14ac:dyDescent="0.25">
      <c r="A5584" t="s">
        <v>20</v>
      </c>
      <c r="B5584">
        <v>106</v>
      </c>
      <c r="C5584">
        <v>39</v>
      </c>
    </row>
    <row r="5585" spans="1:3" x14ac:dyDescent="0.25">
      <c r="A5585" t="s">
        <v>20</v>
      </c>
      <c r="B5585">
        <v>106</v>
      </c>
      <c r="C5585">
        <v>40</v>
      </c>
    </row>
    <row r="5586" spans="1:3" x14ac:dyDescent="0.25">
      <c r="A5586" t="s">
        <v>20</v>
      </c>
      <c r="B5586">
        <v>106</v>
      </c>
      <c r="C5586">
        <v>41</v>
      </c>
    </row>
    <row r="5587" spans="1:3" x14ac:dyDescent="0.25">
      <c r="A5587" t="s">
        <v>20</v>
      </c>
      <c r="B5587">
        <v>106</v>
      </c>
      <c r="C5587">
        <v>42</v>
      </c>
    </row>
    <row r="5588" spans="1:3" x14ac:dyDescent="0.25">
      <c r="A5588" t="s">
        <v>20</v>
      </c>
      <c r="B5588">
        <v>106</v>
      </c>
      <c r="C5588">
        <v>43</v>
      </c>
    </row>
    <row r="5589" spans="1:3" x14ac:dyDescent="0.25">
      <c r="A5589" t="s">
        <v>20</v>
      </c>
      <c r="B5589">
        <v>106</v>
      </c>
      <c r="C5589">
        <v>44</v>
      </c>
    </row>
    <row r="5590" spans="1:3" x14ac:dyDescent="0.25">
      <c r="A5590" t="s">
        <v>20</v>
      </c>
      <c r="B5590">
        <v>106</v>
      </c>
      <c r="C5590">
        <v>45</v>
      </c>
    </row>
    <row r="5591" spans="1:3" x14ac:dyDescent="0.25">
      <c r="A5591" t="s">
        <v>20</v>
      </c>
      <c r="B5591">
        <v>106</v>
      </c>
      <c r="C5591">
        <v>46</v>
      </c>
    </row>
    <row r="5592" spans="1:3" x14ac:dyDescent="0.25">
      <c r="A5592" t="s">
        <v>20</v>
      </c>
      <c r="B5592">
        <v>106</v>
      </c>
      <c r="C5592">
        <v>47</v>
      </c>
    </row>
    <row r="5593" spans="1:3" x14ac:dyDescent="0.25">
      <c r="A5593" t="s">
        <v>20</v>
      </c>
      <c r="B5593">
        <v>106</v>
      </c>
      <c r="C5593">
        <v>48</v>
      </c>
    </row>
    <row r="5594" spans="1:3" x14ac:dyDescent="0.25">
      <c r="A5594" t="s">
        <v>20</v>
      </c>
      <c r="B5594">
        <v>106</v>
      </c>
      <c r="C5594">
        <v>49</v>
      </c>
    </row>
    <row r="5595" spans="1:3" x14ac:dyDescent="0.25">
      <c r="A5595" t="s">
        <v>20</v>
      </c>
      <c r="B5595">
        <v>106</v>
      </c>
      <c r="C5595">
        <v>50</v>
      </c>
    </row>
    <row r="5596" spans="1:3" x14ac:dyDescent="0.25">
      <c r="A5596" t="s">
        <v>20</v>
      </c>
      <c r="B5596">
        <v>106</v>
      </c>
      <c r="C5596">
        <v>51</v>
      </c>
    </row>
    <row r="5597" spans="1:3" x14ac:dyDescent="0.25">
      <c r="A5597" t="s">
        <v>20</v>
      </c>
      <c r="B5597">
        <v>106</v>
      </c>
      <c r="C5597">
        <v>52</v>
      </c>
    </row>
    <row r="5598" spans="1:3" x14ac:dyDescent="0.25">
      <c r="A5598" t="s">
        <v>20</v>
      </c>
      <c r="B5598">
        <v>106</v>
      </c>
      <c r="C5598">
        <v>53</v>
      </c>
    </row>
    <row r="5599" spans="1:3" x14ac:dyDescent="0.25">
      <c r="A5599" t="s">
        <v>20</v>
      </c>
      <c r="B5599">
        <v>106</v>
      </c>
      <c r="C5599">
        <v>54</v>
      </c>
    </row>
    <row r="5600" spans="1:3" x14ac:dyDescent="0.25">
      <c r="A5600" t="s">
        <v>20</v>
      </c>
      <c r="B5600">
        <v>106</v>
      </c>
      <c r="C5600">
        <v>55</v>
      </c>
    </row>
    <row r="5601" spans="1:3" x14ac:dyDescent="0.25">
      <c r="A5601" t="s">
        <v>20</v>
      </c>
      <c r="B5601">
        <v>106</v>
      </c>
      <c r="C5601">
        <v>56</v>
      </c>
    </row>
    <row r="5602" spans="1:3" x14ac:dyDescent="0.25">
      <c r="A5602" t="s">
        <v>20</v>
      </c>
      <c r="B5602">
        <v>106</v>
      </c>
      <c r="C5602">
        <v>57</v>
      </c>
    </row>
    <row r="5603" spans="1:3" x14ac:dyDescent="0.25">
      <c r="A5603" t="s">
        <v>20</v>
      </c>
      <c r="B5603">
        <v>106</v>
      </c>
      <c r="C5603">
        <v>58</v>
      </c>
    </row>
    <row r="5604" spans="1:3" x14ac:dyDescent="0.25">
      <c r="A5604" t="s">
        <v>20</v>
      </c>
      <c r="B5604">
        <v>106</v>
      </c>
      <c r="C5604">
        <v>59</v>
      </c>
    </row>
    <row r="5605" spans="1:3" x14ac:dyDescent="0.25">
      <c r="A5605" t="s">
        <v>20</v>
      </c>
      <c r="B5605">
        <v>106</v>
      </c>
      <c r="C5605">
        <v>60</v>
      </c>
    </row>
    <row r="5606" spans="1:3" x14ac:dyDescent="0.25">
      <c r="A5606" t="s">
        <v>20</v>
      </c>
      <c r="B5606">
        <v>106</v>
      </c>
      <c r="C5606">
        <v>61</v>
      </c>
    </row>
    <row r="5607" spans="1:3" x14ac:dyDescent="0.25">
      <c r="A5607" t="s">
        <v>20</v>
      </c>
      <c r="B5607">
        <v>106</v>
      </c>
      <c r="C5607">
        <v>62</v>
      </c>
    </row>
    <row r="5608" spans="1:3" x14ac:dyDescent="0.25">
      <c r="A5608" t="s">
        <v>20</v>
      </c>
      <c r="B5608">
        <v>106</v>
      </c>
      <c r="C5608">
        <v>63</v>
      </c>
    </row>
    <row r="5609" spans="1:3" x14ac:dyDescent="0.25">
      <c r="A5609" t="s">
        <v>20</v>
      </c>
      <c r="B5609">
        <v>106</v>
      </c>
      <c r="C5609">
        <v>64</v>
      </c>
    </row>
    <row r="5610" spans="1:3" x14ac:dyDescent="0.25">
      <c r="A5610" t="s">
        <v>20</v>
      </c>
      <c r="B5610">
        <v>106</v>
      </c>
      <c r="C5610">
        <v>65</v>
      </c>
    </row>
    <row r="5611" spans="1:3" x14ac:dyDescent="0.25">
      <c r="A5611" t="s">
        <v>20</v>
      </c>
      <c r="B5611">
        <v>106</v>
      </c>
      <c r="C5611">
        <v>66</v>
      </c>
    </row>
    <row r="5612" spans="1:3" x14ac:dyDescent="0.25">
      <c r="A5612" t="s">
        <v>20</v>
      </c>
      <c r="B5612">
        <v>106</v>
      </c>
      <c r="C5612">
        <v>67</v>
      </c>
    </row>
    <row r="5613" spans="1:3" x14ac:dyDescent="0.25">
      <c r="A5613" t="s">
        <v>20</v>
      </c>
      <c r="B5613">
        <v>106</v>
      </c>
      <c r="C5613">
        <v>68</v>
      </c>
    </row>
    <row r="5614" spans="1:3" x14ac:dyDescent="0.25">
      <c r="A5614" t="s">
        <v>20</v>
      </c>
      <c r="B5614">
        <v>106</v>
      </c>
      <c r="C5614">
        <v>69</v>
      </c>
    </row>
    <row r="5615" spans="1:3" x14ac:dyDescent="0.25">
      <c r="A5615" t="s">
        <v>20</v>
      </c>
      <c r="B5615">
        <v>106</v>
      </c>
      <c r="C5615">
        <v>70</v>
      </c>
    </row>
    <row r="5616" spans="1:3" x14ac:dyDescent="0.25">
      <c r="A5616" t="s">
        <v>20</v>
      </c>
      <c r="B5616">
        <v>106</v>
      </c>
      <c r="C5616">
        <v>71</v>
      </c>
    </row>
    <row r="5617" spans="1:3" x14ac:dyDescent="0.25">
      <c r="A5617" t="s">
        <v>20</v>
      </c>
      <c r="B5617">
        <v>106</v>
      </c>
      <c r="C5617">
        <v>72</v>
      </c>
    </row>
    <row r="5618" spans="1:3" x14ac:dyDescent="0.25">
      <c r="A5618" t="s">
        <v>20</v>
      </c>
      <c r="B5618">
        <v>106</v>
      </c>
      <c r="C5618">
        <v>73</v>
      </c>
    </row>
    <row r="5619" spans="1:3" x14ac:dyDescent="0.25">
      <c r="A5619" t="s">
        <v>20</v>
      </c>
      <c r="B5619">
        <v>106</v>
      </c>
      <c r="C5619">
        <v>74</v>
      </c>
    </row>
    <row r="5620" spans="1:3" x14ac:dyDescent="0.25">
      <c r="A5620" t="s">
        <v>20</v>
      </c>
      <c r="B5620">
        <v>106</v>
      </c>
      <c r="C5620">
        <v>75</v>
      </c>
    </row>
    <row r="5621" spans="1:3" x14ac:dyDescent="0.25">
      <c r="A5621" t="s">
        <v>20</v>
      </c>
      <c r="B5621">
        <v>106</v>
      </c>
      <c r="C5621">
        <v>76</v>
      </c>
    </row>
    <row r="5622" spans="1:3" x14ac:dyDescent="0.25">
      <c r="A5622" t="s">
        <v>20</v>
      </c>
      <c r="B5622">
        <v>106</v>
      </c>
      <c r="C5622">
        <v>77</v>
      </c>
    </row>
    <row r="5623" spans="1:3" x14ac:dyDescent="0.25">
      <c r="A5623" t="s">
        <v>20</v>
      </c>
      <c r="B5623">
        <v>106</v>
      </c>
      <c r="C5623">
        <v>78</v>
      </c>
    </row>
    <row r="5624" spans="1:3" x14ac:dyDescent="0.25">
      <c r="A5624" t="s">
        <v>20</v>
      </c>
      <c r="B5624">
        <v>106</v>
      </c>
      <c r="C5624">
        <v>79</v>
      </c>
    </row>
    <row r="5625" spans="1:3" x14ac:dyDescent="0.25">
      <c r="A5625" t="s">
        <v>20</v>
      </c>
      <c r="B5625">
        <v>106</v>
      </c>
      <c r="C5625">
        <v>80</v>
      </c>
    </row>
    <row r="5626" spans="1:3" x14ac:dyDescent="0.25">
      <c r="A5626" t="s">
        <v>20</v>
      </c>
      <c r="B5626">
        <v>106</v>
      </c>
      <c r="C5626">
        <v>81</v>
      </c>
    </row>
    <row r="5627" spans="1:3" x14ac:dyDescent="0.25">
      <c r="A5627" t="s">
        <v>20</v>
      </c>
      <c r="B5627">
        <v>106</v>
      </c>
      <c r="C5627">
        <v>82</v>
      </c>
    </row>
    <row r="5628" spans="1:3" x14ac:dyDescent="0.25">
      <c r="A5628" t="s">
        <v>20</v>
      </c>
      <c r="B5628">
        <v>106</v>
      </c>
      <c r="C5628">
        <v>83</v>
      </c>
    </row>
    <row r="5629" spans="1:3" x14ac:dyDescent="0.25">
      <c r="A5629" t="s">
        <v>20</v>
      </c>
      <c r="B5629">
        <v>106</v>
      </c>
      <c r="C5629">
        <v>84</v>
      </c>
    </row>
    <row r="5630" spans="1:3" x14ac:dyDescent="0.25">
      <c r="A5630" t="s">
        <v>20</v>
      </c>
      <c r="B5630">
        <v>108</v>
      </c>
      <c r="C5630">
        <v>1</v>
      </c>
    </row>
    <row r="5631" spans="1:3" x14ac:dyDescent="0.25">
      <c r="A5631" t="s">
        <v>20</v>
      </c>
      <c r="B5631">
        <v>108</v>
      </c>
      <c r="C5631">
        <v>2</v>
      </c>
    </row>
    <row r="5632" spans="1:3" x14ac:dyDescent="0.25">
      <c r="A5632" t="s">
        <v>20</v>
      </c>
      <c r="B5632">
        <v>108</v>
      </c>
      <c r="C5632">
        <v>3</v>
      </c>
    </row>
    <row r="5633" spans="1:3" x14ac:dyDescent="0.25">
      <c r="A5633" t="s">
        <v>20</v>
      </c>
      <c r="B5633">
        <v>108</v>
      </c>
      <c r="C5633">
        <v>4</v>
      </c>
    </row>
    <row r="5634" spans="1:3" x14ac:dyDescent="0.25">
      <c r="A5634" t="s">
        <v>20</v>
      </c>
      <c r="B5634">
        <v>108</v>
      </c>
      <c r="C5634">
        <v>5</v>
      </c>
    </row>
    <row r="5635" spans="1:3" x14ac:dyDescent="0.25">
      <c r="A5635" t="s">
        <v>20</v>
      </c>
      <c r="B5635">
        <v>108</v>
      </c>
      <c r="C5635">
        <v>6</v>
      </c>
    </row>
    <row r="5636" spans="1:3" x14ac:dyDescent="0.25">
      <c r="A5636" t="s">
        <v>20</v>
      </c>
      <c r="B5636">
        <v>108</v>
      </c>
      <c r="C5636">
        <v>7</v>
      </c>
    </row>
    <row r="5637" spans="1:3" x14ac:dyDescent="0.25">
      <c r="A5637" t="s">
        <v>20</v>
      </c>
      <c r="B5637">
        <v>108</v>
      </c>
      <c r="C5637">
        <v>8</v>
      </c>
    </row>
    <row r="5638" spans="1:3" x14ac:dyDescent="0.25">
      <c r="A5638" t="s">
        <v>20</v>
      </c>
      <c r="B5638">
        <v>108</v>
      </c>
      <c r="C5638">
        <v>9</v>
      </c>
    </row>
    <row r="5639" spans="1:3" x14ac:dyDescent="0.25">
      <c r="A5639" t="s">
        <v>20</v>
      </c>
      <c r="B5639">
        <v>108</v>
      </c>
      <c r="C5639">
        <v>10</v>
      </c>
    </row>
    <row r="5640" spans="1:3" x14ac:dyDescent="0.25">
      <c r="A5640" t="s">
        <v>20</v>
      </c>
      <c r="B5640">
        <v>108</v>
      </c>
      <c r="C5640">
        <v>11</v>
      </c>
    </row>
    <row r="5641" spans="1:3" x14ac:dyDescent="0.25">
      <c r="A5641" t="s">
        <v>20</v>
      </c>
      <c r="B5641">
        <v>108</v>
      </c>
      <c r="C5641">
        <v>12</v>
      </c>
    </row>
    <row r="5642" spans="1:3" x14ac:dyDescent="0.25">
      <c r="A5642" t="s">
        <v>20</v>
      </c>
      <c r="B5642">
        <v>108</v>
      </c>
      <c r="C5642">
        <v>13</v>
      </c>
    </row>
    <row r="5643" spans="1:3" x14ac:dyDescent="0.25">
      <c r="A5643" t="s">
        <v>20</v>
      </c>
      <c r="B5643">
        <v>108</v>
      </c>
      <c r="C5643">
        <v>14</v>
      </c>
    </row>
    <row r="5644" spans="1:3" x14ac:dyDescent="0.25">
      <c r="A5644" t="s">
        <v>20</v>
      </c>
      <c r="B5644">
        <v>108</v>
      </c>
      <c r="C5644">
        <v>15</v>
      </c>
    </row>
    <row r="5645" spans="1:3" x14ac:dyDescent="0.25">
      <c r="A5645" t="s">
        <v>20</v>
      </c>
      <c r="B5645">
        <v>108</v>
      </c>
      <c r="C5645">
        <v>16</v>
      </c>
    </row>
    <row r="5646" spans="1:3" x14ac:dyDescent="0.25">
      <c r="A5646" t="s">
        <v>20</v>
      </c>
      <c r="B5646">
        <v>108</v>
      </c>
      <c r="C5646">
        <v>17</v>
      </c>
    </row>
    <row r="5647" spans="1:3" x14ac:dyDescent="0.25">
      <c r="A5647" t="s">
        <v>20</v>
      </c>
      <c r="B5647">
        <v>108</v>
      </c>
      <c r="C5647">
        <v>18</v>
      </c>
    </row>
    <row r="5648" spans="1:3" x14ac:dyDescent="0.25">
      <c r="A5648" t="s">
        <v>20</v>
      </c>
      <c r="B5648">
        <v>108</v>
      </c>
      <c r="C5648">
        <v>19</v>
      </c>
    </row>
    <row r="5649" spans="1:3" x14ac:dyDescent="0.25">
      <c r="A5649" t="s">
        <v>20</v>
      </c>
      <c r="B5649">
        <v>108</v>
      </c>
      <c r="C5649">
        <v>20</v>
      </c>
    </row>
    <row r="5650" spans="1:3" x14ac:dyDescent="0.25">
      <c r="A5650" t="s">
        <v>20</v>
      </c>
      <c r="B5650">
        <v>108</v>
      </c>
      <c r="C5650">
        <v>21</v>
      </c>
    </row>
    <row r="5651" spans="1:3" x14ac:dyDescent="0.25">
      <c r="A5651" t="s">
        <v>20</v>
      </c>
      <c r="B5651">
        <v>108</v>
      </c>
      <c r="C5651">
        <v>22</v>
      </c>
    </row>
    <row r="5652" spans="1:3" x14ac:dyDescent="0.25">
      <c r="A5652" t="s">
        <v>20</v>
      </c>
      <c r="B5652">
        <v>108</v>
      </c>
      <c r="C5652">
        <v>23</v>
      </c>
    </row>
    <row r="5653" spans="1:3" x14ac:dyDescent="0.25">
      <c r="A5653" t="s">
        <v>20</v>
      </c>
      <c r="B5653">
        <v>108</v>
      </c>
      <c r="C5653">
        <v>24</v>
      </c>
    </row>
    <row r="5654" spans="1:3" x14ac:dyDescent="0.25">
      <c r="A5654" t="s">
        <v>20</v>
      </c>
      <c r="B5654">
        <v>108</v>
      </c>
      <c r="C5654">
        <v>25</v>
      </c>
    </row>
    <row r="5655" spans="1:3" x14ac:dyDescent="0.25">
      <c r="A5655" t="s">
        <v>20</v>
      </c>
      <c r="B5655">
        <v>108</v>
      </c>
      <c r="C5655">
        <v>26</v>
      </c>
    </row>
    <row r="5656" spans="1:3" x14ac:dyDescent="0.25">
      <c r="A5656" t="s">
        <v>20</v>
      </c>
      <c r="B5656">
        <v>108</v>
      </c>
      <c r="C5656">
        <v>27</v>
      </c>
    </row>
    <row r="5657" spans="1:3" x14ac:dyDescent="0.25">
      <c r="A5657" t="s">
        <v>20</v>
      </c>
      <c r="B5657">
        <v>108</v>
      </c>
      <c r="C5657">
        <v>28</v>
      </c>
    </row>
    <row r="5658" spans="1:3" x14ac:dyDescent="0.25">
      <c r="A5658" t="s">
        <v>20</v>
      </c>
      <c r="B5658">
        <v>108</v>
      </c>
      <c r="C5658">
        <v>29</v>
      </c>
    </row>
    <row r="5659" spans="1:3" x14ac:dyDescent="0.25">
      <c r="A5659" t="s">
        <v>20</v>
      </c>
      <c r="B5659">
        <v>108</v>
      </c>
      <c r="C5659">
        <v>30</v>
      </c>
    </row>
    <row r="5660" spans="1:3" x14ac:dyDescent="0.25">
      <c r="A5660" t="s">
        <v>20</v>
      </c>
      <c r="B5660">
        <v>108</v>
      </c>
      <c r="C5660">
        <v>31</v>
      </c>
    </row>
    <row r="5661" spans="1:3" x14ac:dyDescent="0.25">
      <c r="A5661" t="s">
        <v>20</v>
      </c>
      <c r="B5661">
        <v>108</v>
      </c>
      <c r="C5661">
        <v>32</v>
      </c>
    </row>
    <row r="5662" spans="1:3" x14ac:dyDescent="0.25">
      <c r="A5662" t="s">
        <v>20</v>
      </c>
      <c r="B5662">
        <v>108</v>
      </c>
      <c r="C5662">
        <v>33</v>
      </c>
    </row>
    <row r="5663" spans="1:3" x14ac:dyDescent="0.25">
      <c r="A5663" t="s">
        <v>20</v>
      </c>
      <c r="B5663">
        <v>108</v>
      </c>
      <c r="C5663">
        <v>34</v>
      </c>
    </row>
    <row r="5664" spans="1:3" x14ac:dyDescent="0.25">
      <c r="A5664" t="s">
        <v>20</v>
      </c>
      <c r="B5664">
        <v>108</v>
      </c>
      <c r="C5664">
        <v>35</v>
      </c>
    </row>
    <row r="5665" spans="1:3" x14ac:dyDescent="0.25">
      <c r="A5665" t="s">
        <v>20</v>
      </c>
      <c r="B5665">
        <v>108</v>
      </c>
      <c r="C5665">
        <v>36</v>
      </c>
    </row>
    <row r="5666" spans="1:3" x14ac:dyDescent="0.25">
      <c r="A5666" t="s">
        <v>20</v>
      </c>
      <c r="B5666">
        <v>108</v>
      </c>
      <c r="C5666">
        <v>37</v>
      </c>
    </row>
    <row r="5667" spans="1:3" x14ac:dyDescent="0.25">
      <c r="A5667" t="s">
        <v>20</v>
      </c>
      <c r="B5667">
        <v>108</v>
      </c>
      <c r="C5667">
        <v>38</v>
      </c>
    </row>
    <row r="5668" spans="1:3" x14ac:dyDescent="0.25">
      <c r="A5668" t="s">
        <v>20</v>
      </c>
      <c r="B5668">
        <v>108</v>
      </c>
      <c r="C5668">
        <v>39</v>
      </c>
    </row>
    <row r="5669" spans="1:3" x14ac:dyDescent="0.25">
      <c r="A5669" t="s">
        <v>20</v>
      </c>
      <c r="B5669">
        <v>108</v>
      </c>
      <c r="C5669">
        <v>40</v>
      </c>
    </row>
    <row r="5670" spans="1:3" x14ac:dyDescent="0.25">
      <c r="A5670" t="s">
        <v>20</v>
      </c>
      <c r="B5670">
        <v>108</v>
      </c>
      <c r="C5670">
        <v>41</v>
      </c>
    </row>
    <row r="5671" spans="1:3" x14ac:dyDescent="0.25">
      <c r="A5671" t="s">
        <v>20</v>
      </c>
      <c r="B5671">
        <v>108</v>
      </c>
      <c r="C5671">
        <v>42</v>
      </c>
    </row>
    <row r="5672" spans="1:3" x14ac:dyDescent="0.25">
      <c r="A5672" t="s">
        <v>20</v>
      </c>
      <c r="B5672">
        <v>108</v>
      </c>
      <c r="C5672">
        <v>43</v>
      </c>
    </row>
    <row r="5673" spans="1:3" x14ac:dyDescent="0.25">
      <c r="A5673" t="s">
        <v>20</v>
      </c>
      <c r="B5673">
        <v>108</v>
      </c>
      <c r="C5673">
        <v>44</v>
      </c>
    </row>
    <row r="5674" spans="1:3" x14ac:dyDescent="0.25">
      <c r="A5674" t="s">
        <v>20</v>
      </c>
      <c r="B5674">
        <v>108</v>
      </c>
      <c r="C5674">
        <v>45</v>
      </c>
    </row>
    <row r="5675" spans="1:3" x14ac:dyDescent="0.25">
      <c r="A5675" t="s">
        <v>20</v>
      </c>
      <c r="B5675">
        <v>108</v>
      </c>
      <c r="C5675">
        <v>46</v>
      </c>
    </row>
    <row r="5676" spans="1:3" x14ac:dyDescent="0.25">
      <c r="A5676" t="s">
        <v>20</v>
      </c>
      <c r="B5676">
        <v>108</v>
      </c>
      <c r="C5676">
        <v>47</v>
      </c>
    </row>
    <row r="5677" spans="1:3" x14ac:dyDescent="0.25">
      <c r="A5677" t="s">
        <v>20</v>
      </c>
      <c r="B5677">
        <v>108</v>
      </c>
      <c r="C5677">
        <v>48</v>
      </c>
    </row>
    <row r="5678" spans="1:3" x14ac:dyDescent="0.25">
      <c r="A5678" t="s">
        <v>20</v>
      </c>
      <c r="B5678">
        <v>108</v>
      </c>
      <c r="C5678">
        <v>49</v>
      </c>
    </row>
    <row r="5679" spans="1:3" x14ac:dyDescent="0.25">
      <c r="A5679" t="s">
        <v>20</v>
      </c>
      <c r="B5679">
        <v>108</v>
      </c>
      <c r="C5679">
        <v>50</v>
      </c>
    </row>
    <row r="5680" spans="1:3" x14ac:dyDescent="0.25">
      <c r="A5680" t="s">
        <v>20</v>
      </c>
      <c r="B5680">
        <v>108</v>
      </c>
      <c r="C5680">
        <v>51</v>
      </c>
    </row>
    <row r="5681" spans="1:3" x14ac:dyDescent="0.25">
      <c r="A5681" t="s">
        <v>20</v>
      </c>
      <c r="B5681">
        <v>108</v>
      </c>
      <c r="C5681">
        <v>52</v>
      </c>
    </row>
    <row r="5682" spans="1:3" x14ac:dyDescent="0.25">
      <c r="A5682" t="s">
        <v>20</v>
      </c>
      <c r="B5682">
        <v>108</v>
      </c>
      <c r="C5682">
        <v>53</v>
      </c>
    </row>
    <row r="5683" spans="1:3" x14ac:dyDescent="0.25">
      <c r="A5683" t="s">
        <v>20</v>
      </c>
      <c r="B5683">
        <v>108</v>
      </c>
      <c r="C5683">
        <v>54</v>
      </c>
    </row>
    <row r="5684" spans="1:3" x14ac:dyDescent="0.25">
      <c r="A5684" t="s">
        <v>20</v>
      </c>
      <c r="B5684">
        <v>108</v>
      </c>
      <c r="C5684">
        <v>55</v>
      </c>
    </row>
    <row r="5685" spans="1:3" x14ac:dyDescent="0.25">
      <c r="A5685" t="s">
        <v>20</v>
      </c>
      <c r="B5685">
        <v>108</v>
      </c>
      <c r="C5685">
        <v>56</v>
      </c>
    </row>
    <row r="5686" spans="1:3" x14ac:dyDescent="0.25">
      <c r="A5686" t="s">
        <v>20</v>
      </c>
      <c r="B5686">
        <v>108</v>
      </c>
      <c r="C5686">
        <v>57</v>
      </c>
    </row>
    <row r="5687" spans="1:3" x14ac:dyDescent="0.25">
      <c r="A5687" t="s">
        <v>20</v>
      </c>
      <c r="B5687">
        <v>108</v>
      </c>
      <c r="C5687">
        <v>58</v>
      </c>
    </row>
    <row r="5688" spans="1:3" x14ac:dyDescent="0.25">
      <c r="A5688" t="s">
        <v>20</v>
      </c>
      <c r="B5688">
        <v>108</v>
      </c>
      <c r="C5688">
        <v>59</v>
      </c>
    </row>
    <row r="5689" spans="1:3" x14ac:dyDescent="0.25">
      <c r="A5689" t="s">
        <v>20</v>
      </c>
      <c r="B5689">
        <v>108</v>
      </c>
      <c r="C5689">
        <v>60</v>
      </c>
    </row>
    <row r="5690" spans="1:3" x14ac:dyDescent="0.25">
      <c r="A5690" t="s">
        <v>20</v>
      </c>
      <c r="B5690">
        <v>108</v>
      </c>
      <c r="C5690">
        <v>61</v>
      </c>
    </row>
    <row r="5691" spans="1:3" x14ac:dyDescent="0.25">
      <c r="A5691" t="s">
        <v>20</v>
      </c>
      <c r="B5691">
        <v>108</v>
      </c>
      <c r="C5691">
        <v>62</v>
      </c>
    </row>
    <row r="5692" spans="1:3" x14ac:dyDescent="0.25">
      <c r="A5692" t="s">
        <v>20</v>
      </c>
      <c r="B5692">
        <v>108</v>
      </c>
      <c r="C5692">
        <v>63</v>
      </c>
    </row>
    <row r="5693" spans="1:3" x14ac:dyDescent="0.25">
      <c r="A5693" t="s">
        <v>20</v>
      </c>
      <c r="B5693">
        <v>108</v>
      </c>
      <c r="C5693">
        <v>64</v>
      </c>
    </row>
    <row r="5694" spans="1:3" x14ac:dyDescent="0.25">
      <c r="A5694" t="s">
        <v>20</v>
      </c>
      <c r="B5694">
        <v>108</v>
      </c>
      <c r="C5694">
        <v>65</v>
      </c>
    </row>
    <row r="5695" spans="1:3" x14ac:dyDescent="0.25">
      <c r="A5695" t="s">
        <v>20</v>
      </c>
      <c r="B5695">
        <v>108</v>
      </c>
      <c r="C5695">
        <v>66</v>
      </c>
    </row>
    <row r="5696" spans="1:3" x14ac:dyDescent="0.25">
      <c r="A5696" t="s">
        <v>20</v>
      </c>
      <c r="B5696">
        <v>108</v>
      </c>
      <c r="C5696">
        <v>67</v>
      </c>
    </row>
    <row r="5697" spans="1:3" x14ac:dyDescent="0.25">
      <c r="A5697" t="s">
        <v>20</v>
      </c>
      <c r="B5697">
        <v>108</v>
      </c>
      <c r="C5697">
        <v>68</v>
      </c>
    </row>
    <row r="5698" spans="1:3" x14ac:dyDescent="0.25">
      <c r="A5698" t="s">
        <v>20</v>
      </c>
      <c r="B5698">
        <v>108</v>
      </c>
      <c r="C5698">
        <v>69</v>
      </c>
    </row>
    <row r="5699" spans="1:3" x14ac:dyDescent="0.25">
      <c r="A5699" t="s">
        <v>20</v>
      </c>
      <c r="B5699">
        <v>108</v>
      </c>
      <c r="C5699">
        <v>70</v>
      </c>
    </row>
    <row r="5700" spans="1:3" x14ac:dyDescent="0.25">
      <c r="A5700" t="s">
        <v>20</v>
      </c>
      <c r="B5700">
        <v>108</v>
      </c>
      <c r="C5700">
        <v>71</v>
      </c>
    </row>
    <row r="5701" spans="1:3" x14ac:dyDescent="0.25">
      <c r="A5701" t="s">
        <v>20</v>
      </c>
      <c r="B5701">
        <v>108</v>
      </c>
      <c r="C5701">
        <v>72</v>
      </c>
    </row>
    <row r="5702" spans="1:3" x14ac:dyDescent="0.25">
      <c r="A5702" t="s">
        <v>20</v>
      </c>
      <c r="B5702">
        <v>108</v>
      </c>
      <c r="C5702">
        <v>73</v>
      </c>
    </row>
    <row r="5703" spans="1:3" x14ac:dyDescent="0.25">
      <c r="A5703" t="s">
        <v>20</v>
      </c>
      <c r="B5703">
        <v>108</v>
      </c>
      <c r="C5703">
        <v>74</v>
      </c>
    </row>
    <row r="5704" spans="1:3" x14ac:dyDescent="0.25">
      <c r="A5704" t="s">
        <v>20</v>
      </c>
      <c r="B5704">
        <v>108</v>
      </c>
      <c r="C5704">
        <v>75</v>
      </c>
    </row>
    <row r="5705" spans="1:3" x14ac:dyDescent="0.25">
      <c r="A5705" t="s">
        <v>20</v>
      </c>
      <c r="B5705">
        <v>108</v>
      </c>
      <c r="C5705">
        <v>76</v>
      </c>
    </row>
    <row r="5706" spans="1:3" x14ac:dyDescent="0.25">
      <c r="A5706" t="s">
        <v>20</v>
      </c>
      <c r="B5706">
        <v>108</v>
      </c>
      <c r="C5706">
        <v>77</v>
      </c>
    </row>
    <row r="5707" spans="1:3" x14ac:dyDescent="0.25">
      <c r="A5707" t="s">
        <v>20</v>
      </c>
      <c r="B5707">
        <v>108</v>
      </c>
      <c r="C5707">
        <v>78</v>
      </c>
    </row>
    <row r="5708" spans="1:3" x14ac:dyDescent="0.25">
      <c r="A5708" t="s">
        <v>20</v>
      </c>
      <c r="B5708">
        <v>108</v>
      </c>
      <c r="C5708">
        <v>79</v>
      </c>
    </row>
    <row r="5709" spans="1:3" x14ac:dyDescent="0.25">
      <c r="A5709" t="s">
        <v>20</v>
      </c>
      <c r="B5709">
        <v>108</v>
      </c>
      <c r="C5709">
        <v>80</v>
      </c>
    </row>
    <row r="5710" spans="1:3" x14ac:dyDescent="0.25">
      <c r="A5710" t="s">
        <v>20</v>
      </c>
      <c r="B5710">
        <v>108</v>
      </c>
      <c r="C5710">
        <v>81</v>
      </c>
    </row>
    <row r="5711" spans="1:3" x14ac:dyDescent="0.25">
      <c r="A5711" t="s">
        <v>20</v>
      </c>
      <c r="B5711">
        <v>108</v>
      </c>
      <c r="C5711">
        <v>82</v>
      </c>
    </row>
    <row r="5712" spans="1:3" x14ac:dyDescent="0.25">
      <c r="A5712" t="s">
        <v>20</v>
      </c>
      <c r="B5712">
        <v>108</v>
      </c>
      <c r="C5712">
        <v>83</v>
      </c>
    </row>
    <row r="5713" spans="1:3" x14ac:dyDescent="0.25">
      <c r="A5713" t="s">
        <v>20</v>
      </c>
      <c r="B5713">
        <v>108</v>
      </c>
      <c r="C5713">
        <v>84</v>
      </c>
    </row>
    <row r="5714" spans="1:3" x14ac:dyDescent="0.25">
      <c r="A5714" t="s">
        <v>20</v>
      </c>
      <c r="B5714">
        <v>113</v>
      </c>
      <c r="C5714">
        <v>1</v>
      </c>
    </row>
    <row r="5715" spans="1:3" x14ac:dyDescent="0.25">
      <c r="A5715" t="s">
        <v>20</v>
      </c>
      <c r="B5715">
        <v>113</v>
      </c>
      <c r="C5715">
        <v>2</v>
      </c>
    </row>
    <row r="5716" spans="1:3" x14ac:dyDescent="0.25">
      <c r="A5716" t="s">
        <v>20</v>
      </c>
      <c r="B5716">
        <v>113</v>
      </c>
      <c r="C5716">
        <v>3</v>
      </c>
    </row>
    <row r="5717" spans="1:3" x14ac:dyDescent="0.25">
      <c r="A5717" t="s">
        <v>20</v>
      </c>
      <c r="B5717">
        <v>113</v>
      </c>
      <c r="C5717">
        <v>4</v>
      </c>
    </row>
    <row r="5718" spans="1:3" x14ac:dyDescent="0.25">
      <c r="A5718" t="s">
        <v>20</v>
      </c>
      <c r="B5718">
        <v>113</v>
      </c>
      <c r="C5718">
        <v>5</v>
      </c>
    </row>
    <row r="5719" spans="1:3" x14ac:dyDescent="0.25">
      <c r="A5719" t="s">
        <v>20</v>
      </c>
      <c r="B5719">
        <v>113</v>
      </c>
      <c r="C5719">
        <v>6</v>
      </c>
    </row>
    <row r="5720" spans="1:3" x14ac:dyDescent="0.25">
      <c r="A5720" t="s">
        <v>20</v>
      </c>
      <c r="B5720">
        <v>113</v>
      </c>
      <c r="C5720">
        <v>7</v>
      </c>
    </row>
    <row r="5721" spans="1:3" x14ac:dyDescent="0.25">
      <c r="A5721" t="s">
        <v>20</v>
      </c>
      <c r="B5721">
        <v>113</v>
      </c>
      <c r="C5721">
        <v>8</v>
      </c>
    </row>
    <row r="5722" spans="1:3" x14ac:dyDescent="0.25">
      <c r="A5722" t="s">
        <v>20</v>
      </c>
      <c r="B5722">
        <v>113</v>
      </c>
      <c r="C5722">
        <v>9</v>
      </c>
    </row>
    <row r="5723" spans="1:3" x14ac:dyDescent="0.25">
      <c r="A5723" t="s">
        <v>20</v>
      </c>
      <c r="B5723">
        <v>113</v>
      </c>
      <c r="C5723">
        <v>10</v>
      </c>
    </row>
    <row r="5724" spans="1:3" x14ac:dyDescent="0.25">
      <c r="A5724" t="s">
        <v>20</v>
      </c>
      <c r="B5724">
        <v>113</v>
      </c>
      <c r="C5724">
        <v>11</v>
      </c>
    </row>
    <row r="5725" spans="1:3" x14ac:dyDescent="0.25">
      <c r="A5725" t="s">
        <v>20</v>
      </c>
      <c r="B5725">
        <v>113</v>
      </c>
      <c r="C5725">
        <v>12</v>
      </c>
    </row>
    <row r="5726" spans="1:3" x14ac:dyDescent="0.25">
      <c r="A5726" t="s">
        <v>20</v>
      </c>
      <c r="B5726">
        <v>113</v>
      </c>
      <c r="C5726">
        <v>13</v>
      </c>
    </row>
    <row r="5727" spans="1:3" x14ac:dyDescent="0.25">
      <c r="A5727" t="s">
        <v>20</v>
      </c>
      <c r="B5727">
        <v>113</v>
      </c>
      <c r="C5727">
        <v>14</v>
      </c>
    </row>
    <row r="5728" spans="1:3" x14ac:dyDescent="0.25">
      <c r="A5728" t="s">
        <v>20</v>
      </c>
      <c r="B5728">
        <v>113</v>
      </c>
      <c r="C5728">
        <v>15</v>
      </c>
    </row>
    <row r="5729" spans="1:3" x14ac:dyDescent="0.25">
      <c r="A5729" t="s">
        <v>20</v>
      </c>
      <c r="B5729">
        <v>113</v>
      </c>
      <c r="C5729">
        <v>16</v>
      </c>
    </row>
    <row r="5730" spans="1:3" x14ac:dyDescent="0.25">
      <c r="A5730" t="s">
        <v>20</v>
      </c>
      <c r="B5730">
        <v>113</v>
      </c>
      <c r="C5730">
        <v>17</v>
      </c>
    </row>
    <row r="5731" spans="1:3" x14ac:dyDescent="0.25">
      <c r="A5731" t="s">
        <v>20</v>
      </c>
      <c r="B5731">
        <v>113</v>
      </c>
      <c r="C5731">
        <v>18</v>
      </c>
    </row>
    <row r="5732" spans="1:3" x14ac:dyDescent="0.25">
      <c r="A5732" t="s">
        <v>20</v>
      </c>
      <c r="B5732">
        <v>113</v>
      </c>
      <c r="C5732">
        <v>19</v>
      </c>
    </row>
    <row r="5733" spans="1:3" x14ac:dyDescent="0.25">
      <c r="A5733" t="s">
        <v>20</v>
      </c>
      <c r="B5733">
        <v>113</v>
      </c>
      <c r="C5733">
        <v>20</v>
      </c>
    </row>
    <row r="5734" spans="1:3" x14ac:dyDescent="0.25">
      <c r="A5734" t="s">
        <v>20</v>
      </c>
      <c r="B5734">
        <v>113</v>
      </c>
      <c r="C5734">
        <v>21</v>
      </c>
    </row>
    <row r="5735" spans="1:3" x14ac:dyDescent="0.25">
      <c r="A5735" t="s">
        <v>20</v>
      </c>
      <c r="B5735">
        <v>113</v>
      </c>
      <c r="C5735">
        <v>22</v>
      </c>
    </row>
    <row r="5736" spans="1:3" x14ac:dyDescent="0.25">
      <c r="A5736" t="s">
        <v>20</v>
      </c>
      <c r="B5736">
        <v>113</v>
      </c>
      <c r="C5736">
        <v>23</v>
      </c>
    </row>
    <row r="5737" spans="1:3" x14ac:dyDescent="0.25">
      <c r="A5737" t="s">
        <v>20</v>
      </c>
      <c r="B5737">
        <v>113</v>
      </c>
      <c r="C5737">
        <v>24</v>
      </c>
    </row>
    <row r="5738" spans="1:3" x14ac:dyDescent="0.25">
      <c r="A5738" t="s">
        <v>20</v>
      </c>
      <c r="B5738">
        <v>113</v>
      </c>
      <c r="C5738">
        <v>25</v>
      </c>
    </row>
    <row r="5739" spans="1:3" x14ac:dyDescent="0.25">
      <c r="A5739" t="s">
        <v>20</v>
      </c>
      <c r="B5739">
        <v>113</v>
      </c>
      <c r="C5739">
        <v>26</v>
      </c>
    </row>
    <row r="5740" spans="1:3" x14ac:dyDescent="0.25">
      <c r="A5740" t="s">
        <v>20</v>
      </c>
      <c r="B5740">
        <v>113</v>
      </c>
      <c r="C5740">
        <v>27</v>
      </c>
    </row>
    <row r="5741" spans="1:3" x14ac:dyDescent="0.25">
      <c r="A5741" t="s">
        <v>20</v>
      </c>
      <c r="B5741">
        <v>113</v>
      </c>
      <c r="C5741">
        <v>28</v>
      </c>
    </row>
    <row r="5742" spans="1:3" x14ac:dyDescent="0.25">
      <c r="A5742" t="s">
        <v>20</v>
      </c>
      <c r="B5742">
        <v>113</v>
      </c>
      <c r="C5742">
        <v>29</v>
      </c>
    </row>
    <row r="5743" spans="1:3" x14ac:dyDescent="0.25">
      <c r="A5743" t="s">
        <v>20</v>
      </c>
      <c r="B5743">
        <v>113</v>
      </c>
      <c r="C5743">
        <v>30</v>
      </c>
    </row>
    <row r="5744" spans="1:3" x14ac:dyDescent="0.25">
      <c r="A5744" t="s">
        <v>20</v>
      </c>
      <c r="B5744">
        <v>113</v>
      </c>
      <c r="C5744">
        <v>31</v>
      </c>
    </row>
    <row r="5745" spans="1:3" x14ac:dyDescent="0.25">
      <c r="A5745" t="s">
        <v>20</v>
      </c>
      <c r="B5745">
        <v>113</v>
      </c>
      <c r="C5745">
        <v>32</v>
      </c>
    </row>
    <row r="5746" spans="1:3" x14ac:dyDescent="0.25">
      <c r="A5746" t="s">
        <v>20</v>
      </c>
      <c r="B5746">
        <v>113</v>
      </c>
      <c r="C5746">
        <v>33</v>
      </c>
    </row>
    <row r="5747" spans="1:3" x14ac:dyDescent="0.25">
      <c r="A5747" t="s">
        <v>20</v>
      </c>
      <c r="B5747">
        <v>113</v>
      </c>
      <c r="C5747">
        <v>34</v>
      </c>
    </row>
    <row r="5748" spans="1:3" x14ac:dyDescent="0.25">
      <c r="A5748" t="s">
        <v>20</v>
      </c>
      <c r="B5748">
        <v>113</v>
      </c>
      <c r="C5748">
        <v>35</v>
      </c>
    </row>
    <row r="5749" spans="1:3" x14ac:dyDescent="0.25">
      <c r="A5749" t="s">
        <v>20</v>
      </c>
      <c r="B5749">
        <v>113</v>
      </c>
      <c r="C5749">
        <v>36</v>
      </c>
    </row>
    <row r="5750" spans="1:3" x14ac:dyDescent="0.25">
      <c r="A5750" t="s">
        <v>20</v>
      </c>
      <c r="B5750">
        <v>113</v>
      </c>
      <c r="C5750">
        <v>37</v>
      </c>
    </row>
    <row r="5751" spans="1:3" x14ac:dyDescent="0.25">
      <c r="A5751" t="s">
        <v>20</v>
      </c>
      <c r="B5751">
        <v>113</v>
      </c>
      <c r="C5751">
        <v>38</v>
      </c>
    </row>
    <row r="5752" spans="1:3" x14ac:dyDescent="0.25">
      <c r="A5752" t="s">
        <v>20</v>
      </c>
      <c r="B5752">
        <v>113</v>
      </c>
      <c r="C5752">
        <v>39</v>
      </c>
    </row>
    <row r="5753" spans="1:3" x14ac:dyDescent="0.25">
      <c r="A5753" t="s">
        <v>20</v>
      </c>
      <c r="B5753">
        <v>113</v>
      </c>
      <c r="C5753">
        <v>40</v>
      </c>
    </row>
    <row r="5754" spans="1:3" x14ac:dyDescent="0.25">
      <c r="A5754" t="s">
        <v>20</v>
      </c>
      <c r="B5754">
        <v>113</v>
      </c>
      <c r="C5754">
        <v>41</v>
      </c>
    </row>
    <row r="5755" spans="1:3" x14ac:dyDescent="0.25">
      <c r="A5755" t="s">
        <v>20</v>
      </c>
      <c r="B5755">
        <v>113</v>
      </c>
      <c r="C5755">
        <v>42</v>
      </c>
    </row>
    <row r="5756" spans="1:3" x14ac:dyDescent="0.25">
      <c r="A5756" t="s">
        <v>20</v>
      </c>
      <c r="B5756">
        <v>113</v>
      </c>
      <c r="C5756">
        <v>43</v>
      </c>
    </row>
    <row r="5757" spans="1:3" x14ac:dyDescent="0.25">
      <c r="A5757" t="s">
        <v>20</v>
      </c>
      <c r="B5757">
        <v>113</v>
      </c>
      <c r="C5757">
        <v>44</v>
      </c>
    </row>
    <row r="5758" spans="1:3" x14ac:dyDescent="0.25">
      <c r="A5758" t="s">
        <v>20</v>
      </c>
      <c r="B5758">
        <v>113</v>
      </c>
      <c r="C5758">
        <v>45</v>
      </c>
    </row>
    <row r="5759" spans="1:3" x14ac:dyDescent="0.25">
      <c r="A5759" t="s">
        <v>20</v>
      </c>
      <c r="B5759">
        <v>113</v>
      </c>
      <c r="C5759">
        <v>46</v>
      </c>
    </row>
    <row r="5760" spans="1:3" x14ac:dyDescent="0.25">
      <c r="A5760" t="s">
        <v>20</v>
      </c>
      <c r="B5760">
        <v>113</v>
      </c>
      <c r="C5760">
        <v>47</v>
      </c>
    </row>
    <row r="5761" spans="1:3" x14ac:dyDescent="0.25">
      <c r="A5761" t="s">
        <v>20</v>
      </c>
      <c r="B5761">
        <v>113</v>
      </c>
      <c r="C5761">
        <v>48</v>
      </c>
    </row>
    <row r="5762" spans="1:3" x14ac:dyDescent="0.25">
      <c r="A5762" t="s">
        <v>20</v>
      </c>
      <c r="B5762">
        <v>113</v>
      </c>
      <c r="C5762">
        <v>49</v>
      </c>
    </row>
    <row r="5763" spans="1:3" x14ac:dyDescent="0.25">
      <c r="A5763" t="s">
        <v>20</v>
      </c>
      <c r="B5763">
        <v>113</v>
      </c>
      <c r="C5763">
        <v>50</v>
      </c>
    </row>
    <row r="5764" spans="1:3" x14ac:dyDescent="0.25">
      <c r="A5764" t="s">
        <v>20</v>
      </c>
      <c r="B5764">
        <v>113</v>
      </c>
      <c r="C5764">
        <v>51</v>
      </c>
    </row>
    <row r="5765" spans="1:3" x14ac:dyDescent="0.25">
      <c r="A5765" t="s">
        <v>20</v>
      </c>
      <c r="B5765">
        <v>113</v>
      </c>
      <c r="C5765">
        <v>52</v>
      </c>
    </row>
    <row r="5766" spans="1:3" x14ac:dyDescent="0.25">
      <c r="A5766" t="s">
        <v>20</v>
      </c>
      <c r="B5766">
        <v>113</v>
      </c>
      <c r="C5766">
        <v>53</v>
      </c>
    </row>
    <row r="5767" spans="1:3" x14ac:dyDescent="0.25">
      <c r="A5767" t="s">
        <v>20</v>
      </c>
      <c r="B5767">
        <v>113</v>
      </c>
      <c r="C5767">
        <v>54</v>
      </c>
    </row>
    <row r="5768" spans="1:3" x14ac:dyDescent="0.25">
      <c r="A5768" t="s">
        <v>20</v>
      </c>
      <c r="B5768">
        <v>113</v>
      </c>
      <c r="C5768">
        <v>55</v>
      </c>
    </row>
    <row r="5769" spans="1:3" x14ac:dyDescent="0.25">
      <c r="A5769" t="s">
        <v>20</v>
      </c>
      <c r="B5769">
        <v>113</v>
      </c>
      <c r="C5769">
        <v>56</v>
      </c>
    </row>
    <row r="5770" spans="1:3" x14ac:dyDescent="0.25">
      <c r="A5770" t="s">
        <v>20</v>
      </c>
      <c r="B5770">
        <v>113</v>
      </c>
      <c r="C5770">
        <v>57</v>
      </c>
    </row>
    <row r="5771" spans="1:3" x14ac:dyDescent="0.25">
      <c r="A5771" t="s">
        <v>20</v>
      </c>
      <c r="B5771">
        <v>113</v>
      </c>
      <c r="C5771">
        <v>58</v>
      </c>
    </row>
    <row r="5772" spans="1:3" x14ac:dyDescent="0.25">
      <c r="A5772" t="s">
        <v>20</v>
      </c>
      <c r="B5772">
        <v>113</v>
      </c>
      <c r="C5772">
        <v>59</v>
      </c>
    </row>
    <row r="5773" spans="1:3" x14ac:dyDescent="0.25">
      <c r="A5773" t="s">
        <v>20</v>
      </c>
      <c r="B5773">
        <v>113</v>
      </c>
      <c r="C5773">
        <v>60</v>
      </c>
    </row>
    <row r="5774" spans="1:3" x14ac:dyDescent="0.25">
      <c r="A5774" t="s">
        <v>20</v>
      </c>
      <c r="B5774">
        <v>113</v>
      </c>
      <c r="C5774">
        <v>61</v>
      </c>
    </row>
    <row r="5775" spans="1:3" x14ac:dyDescent="0.25">
      <c r="A5775" t="s">
        <v>20</v>
      </c>
      <c r="B5775">
        <v>113</v>
      </c>
      <c r="C5775">
        <v>62</v>
      </c>
    </row>
    <row r="5776" spans="1:3" x14ac:dyDescent="0.25">
      <c r="A5776" t="s">
        <v>20</v>
      </c>
      <c r="B5776">
        <v>113</v>
      </c>
      <c r="C5776">
        <v>63</v>
      </c>
    </row>
    <row r="5777" spans="1:3" x14ac:dyDescent="0.25">
      <c r="A5777" t="s">
        <v>20</v>
      </c>
      <c r="B5777">
        <v>113</v>
      </c>
      <c r="C5777">
        <v>64</v>
      </c>
    </row>
    <row r="5778" spans="1:3" x14ac:dyDescent="0.25">
      <c r="A5778" t="s">
        <v>20</v>
      </c>
      <c r="B5778">
        <v>113</v>
      </c>
      <c r="C5778">
        <v>65</v>
      </c>
    </row>
    <row r="5779" spans="1:3" x14ac:dyDescent="0.25">
      <c r="A5779" t="s">
        <v>20</v>
      </c>
      <c r="B5779">
        <v>113</v>
      </c>
      <c r="C5779">
        <v>66</v>
      </c>
    </row>
    <row r="5780" spans="1:3" x14ac:dyDescent="0.25">
      <c r="A5780" t="s">
        <v>20</v>
      </c>
      <c r="B5780">
        <v>113</v>
      </c>
      <c r="C5780">
        <v>67</v>
      </c>
    </row>
    <row r="5781" spans="1:3" x14ac:dyDescent="0.25">
      <c r="A5781" t="s">
        <v>20</v>
      </c>
      <c r="B5781">
        <v>113</v>
      </c>
      <c r="C5781">
        <v>68</v>
      </c>
    </row>
    <row r="5782" spans="1:3" x14ac:dyDescent="0.25">
      <c r="A5782" t="s">
        <v>20</v>
      </c>
      <c r="B5782">
        <v>113</v>
      </c>
      <c r="C5782">
        <v>69</v>
      </c>
    </row>
    <row r="5783" spans="1:3" x14ac:dyDescent="0.25">
      <c r="A5783" t="s">
        <v>20</v>
      </c>
      <c r="B5783">
        <v>113</v>
      </c>
      <c r="C5783">
        <v>70</v>
      </c>
    </row>
    <row r="5784" spans="1:3" x14ac:dyDescent="0.25">
      <c r="A5784" t="s">
        <v>20</v>
      </c>
      <c r="B5784">
        <v>113</v>
      </c>
      <c r="C5784">
        <v>71</v>
      </c>
    </row>
    <row r="5785" spans="1:3" x14ac:dyDescent="0.25">
      <c r="A5785" t="s">
        <v>20</v>
      </c>
      <c r="B5785">
        <v>113</v>
      </c>
      <c r="C5785">
        <v>72</v>
      </c>
    </row>
    <row r="5786" spans="1:3" x14ac:dyDescent="0.25">
      <c r="A5786" t="s">
        <v>20</v>
      </c>
      <c r="B5786">
        <v>113</v>
      </c>
      <c r="C5786">
        <v>73</v>
      </c>
    </row>
    <row r="5787" spans="1:3" x14ac:dyDescent="0.25">
      <c r="A5787" t="s">
        <v>20</v>
      </c>
      <c r="B5787">
        <v>113</v>
      </c>
      <c r="C5787">
        <v>74</v>
      </c>
    </row>
    <row r="5788" spans="1:3" x14ac:dyDescent="0.25">
      <c r="A5788" t="s">
        <v>20</v>
      </c>
      <c r="B5788">
        <v>113</v>
      </c>
      <c r="C5788">
        <v>75</v>
      </c>
    </row>
    <row r="5789" spans="1:3" x14ac:dyDescent="0.25">
      <c r="A5789" t="s">
        <v>20</v>
      </c>
      <c r="B5789">
        <v>113</v>
      </c>
      <c r="C5789">
        <v>76</v>
      </c>
    </row>
    <row r="5790" spans="1:3" x14ac:dyDescent="0.25">
      <c r="A5790" t="s">
        <v>20</v>
      </c>
      <c r="B5790">
        <v>113</v>
      </c>
      <c r="C5790">
        <v>77</v>
      </c>
    </row>
    <row r="5791" spans="1:3" x14ac:dyDescent="0.25">
      <c r="A5791" t="s">
        <v>20</v>
      </c>
      <c r="B5791">
        <v>113</v>
      </c>
      <c r="C5791">
        <v>78</v>
      </c>
    </row>
    <row r="5792" spans="1:3" x14ac:dyDescent="0.25">
      <c r="A5792" t="s">
        <v>20</v>
      </c>
      <c r="B5792">
        <v>113</v>
      </c>
      <c r="C5792">
        <v>79</v>
      </c>
    </row>
    <row r="5793" spans="1:3" x14ac:dyDescent="0.25">
      <c r="A5793" t="s">
        <v>20</v>
      </c>
      <c r="B5793">
        <v>113</v>
      </c>
      <c r="C5793">
        <v>80</v>
      </c>
    </row>
    <row r="5794" spans="1:3" x14ac:dyDescent="0.25">
      <c r="A5794" t="s">
        <v>20</v>
      </c>
      <c r="B5794">
        <v>113</v>
      </c>
      <c r="C5794">
        <v>81</v>
      </c>
    </row>
    <row r="5795" spans="1:3" x14ac:dyDescent="0.25">
      <c r="A5795" t="s">
        <v>20</v>
      </c>
      <c r="B5795">
        <v>113</v>
      </c>
      <c r="C5795">
        <v>82</v>
      </c>
    </row>
    <row r="5796" spans="1:3" x14ac:dyDescent="0.25">
      <c r="A5796" t="s">
        <v>20</v>
      </c>
      <c r="B5796">
        <v>113</v>
      </c>
      <c r="C5796">
        <v>83</v>
      </c>
    </row>
    <row r="5797" spans="1:3" x14ac:dyDescent="0.25">
      <c r="A5797" t="s">
        <v>20</v>
      </c>
      <c r="B5797">
        <v>113</v>
      </c>
      <c r="C5797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107</v>
      </c>
      <c r="B1" t="s">
        <v>108</v>
      </c>
      <c r="C1" t="s">
        <v>109</v>
      </c>
      <c r="D1" t="s">
        <v>110</v>
      </c>
    </row>
    <row r="2" spans="1:4" x14ac:dyDescent="0.25">
      <c r="A2" t="s">
        <v>111</v>
      </c>
    </row>
    <row r="3" spans="1:4" x14ac:dyDescent="0.25">
      <c r="A3" t="s">
        <v>112</v>
      </c>
    </row>
    <row r="4" spans="1:4" x14ac:dyDescent="0.25">
      <c r="A4" t="s">
        <v>113</v>
      </c>
    </row>
    <row r="5" spans="1:4" x14ac:dyDescent="0.25">
      <c r="A5" t="s">
        <v>114</v>
      </c>
    </row>
    <row r="6" spans="1:4" x14ac:dyDescent="0.25">
      <c r="A6" t="s">
        <v>115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1"/>
  <sheetViews>
    <sheetView tabSelected="1"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</row>
    <row r="2" spans="1:89" x14ac:dyDescent="0.25">
      <c r="A2" t="s">
        <v>20</v>
      </c>
      <c r="B2">
        <v>2</v>
      </c>
      <c r="E2">
        <v>1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I2">
        <v>1</v>
      </c>
      <c r="AL2">
        <v>1</v>
      </c>
      <c r="AO2">
        <v>1</v>
      </c>
      <c r="AR2">
        <v>1</v>
      </c>
      <c r="AX2">
        <v>1</v>
      </c>
      <c r="BA2">
        <v>1</v>
      </c>
      <c r="BD2">
        <v>1</v>
      </c>
      <c r="BG2">
        <v>1</v>
      </c>
      <c r="BN2">
        <v>1</v>
      </c>
      <c r="BP2">
        <v>1</v>
      </c>
      <c r="BS2">
        <v>1</v>
      </c>
      <c r="BY2">
        <v>1</v>
      </c>
      <c r="CB2">
        <v>1</v>
      </c>
      <c r="CK2">
        <f>SUM(C___MATRIX[[#This Row],[1]:[84]])</f>
        <v>21</v>
      </c>
    </row>
    <row r="3" spans="1:89" x14ac:dyDescent="0.25">
      <c r="A3" t="s">
        <v>20</v>
      </c>
      <c r="B3">
        <v>4</v>
      </c>
      <c r="F3">
        <v>1</v>
      </c>
      <c r="I3">
        <v>1</v>
      </c>
      <c r="R3">
        <v>1</v>
      </c>
      <c r="AD3">
        <v>1</v>
      </c>
      <c r="AV3">
        <v>1</v>
      </c>
      <c r="AY3">
        <v>1</v>
      </c>
      <c r="BE3">
        <v>1</v>
      </c>
      <c r="BH3">
        <v>1</v>
      </c>
      <c r="BQ3">
        <v>1</v>
      </c>
      <c r="BT3">
        <v>1</v>
      </c>
      <c r="BW3">
        <v>1</v>
      </c>
      <c r="CK3">
        <f>SUM(C___MATRIX[[#This Row],[1]:[84]])</f>
        <v>11</v>
      </c>
    </row>
    <row r="4" spans="1:89" x14ac:dyDescent="0.25">
      <c r="A4" t="s">
        <v>20</v>
      </c>
      <c r="B4">
        <v>5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I4">
        <v>1</v>
      </c>
      <c r="AL4">
        <v>1</v>
      </c>
      <c r="AX4">
        <v>1</v>
      </c>
      <c r="BA4">
        <v>1</v>
      </c>
      <c r="BD4">
        <v>1</v>
      </c>
      <c r="BG4">
        <v>1</v>
      </c>
      <c r="BS4">
        <v>1</v>
      </c>
      <c r="BV4">
        <v>1</v>
      </c>
      <c r="BY4">
        <v>1</v>
      </c>
      <c r="CB4">
        <v>1</v>
      </c>
      <c r="CK4">
        <f>SUM(C___MATRIX[[#This Row],[1]:[84]])</f>
        <v>18</v>
      </c>
    </row>
    <row r="5" spans="1:89" x14ac:dyDescent="0.25">
      <c r="A5" t="s">
        <v>20</v>
      </c>
      <c r="B5">
        <v>6</v>
      </c>
      <c r="F5">
        <v>1</v>
      </c>
      <c r="H5">
        <v>1</v>
      </c>
      <c r="K5">
        <v>1</v>
      </c>
      <c r="O5">
        <v>1</v>
      </c>
      <c r="U5">
        <v>1</v>
      </c>
      <c r="X5">
        <v>1</v>
      </c>
      <c r="AF5">
        <v>1</v>
      </c>
      <c r="AI5">
        <v>1</v>
      </c>
      <c r="AM5">
        <v>1</v>
      </c>
      <c r="AP5">
        <v>1</v>
      </c>
      <c r="AS5">
        <v>1</v>
      </c>
      <c r="AV5">
        <v>1</v>
      </c>
      <c r="AX5">
        <v>1</v>
      </c>
      <c r="BA5">
        <v>1</v>
      </c>
      <c r="BK5">
        <v>1</v>
      </c>
      <c r="BN5">
        <v>1</v>
      </c>
      <c r="BQ5">
        <v>1</v>
      </c>
      <c r="BT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23</v>
      </c>
    </row>
    <row r="6" spans="1:89" x14ac:dyDescent="0.25">
      <c r="A6" t="s">
        <v>20</v>
      </c>
      <c r="B6">
        <v>9</v>
      </c>
      <c r="C6">
        <v>28</v>
      </c>
      <c r="D6">
        <v>20</v>
      </c>
      <c r="F6">
        <v>1</v>
      </c>
      <c r="I6">
        <v>1</v>
      </c>
      <c r="O6">
        <v>1</v>
      </c>
      <c r="R6">
        <v>1</v>
      </c>
      <c r="T6">
        <v>1</v>
      </c>
      <c r="X6">
        <v>1</v>
      </c>
      <c r="AA6">
        <v>1</v>
      </c>
      <c r="AD6">
        <v>1</v>
      </c>
      <c r="AJ6">
        <v>1</v>
      </c>
      <c r="AV6">
        <v>1</v>
      </c>
      <c r="AY6">
        <v>1</v>
      </c>
      <c r="BC6">
        <v>1</v>
      </c>
      <c r="BE6">
        <v>1</v>
      </c>
      <c r="BI6">
        <v>1</v>
      </c>
      <c r="BJ6">
        <v>1</v>
      </c>
      <c r="BN6">
        <v>1</v>
      </c>
      <c r="BT6">
        <v>1</v>
      </c>
      <c r="BX6">
        <v>1</v>
      </c>
      <c r="BZ6">
        <v>1</v>
      </c>
      <c r="CC6">
        <v>1</v>
      </c>
      <c r="CG6">
        <v>1</v>
      </c>
      <c r="CH6">
        <v>1</v>
      </c>
      <c r="CK6">
        <f>SUM(C___MATRIX[[#This Row],[1]:[84]])</f>
        <v>22</v>
      </c>
    </row>
    <row r="7" spans="1:89" x14ac:dyDescent="0.25">
      <c r="A7" t="s">
        <v>20</v>
      </c>
      <c r="B7">
        <v>10</v>
      </c>
      <c r="L7">
        <v>1</v>
      </c>
      <c r="O7">
        <v>1</v>
      </c>
      <c r="R7">
        <v>1</v>
      </c>
      <c r="X7">
        <v>1</v>
      </c>
      <c r="AM7">
        <v>1</v>
      </c>
      <c r="AP7">
        <v>1</v>
      </c>
      <c r="AU7">
        <v>1</v>
      </c>
      <c r="BB7">
        <v>1</v>
      </c>
      <c r="BE7">
        <v>1</v>
      </c>
      <c r="BK7">
        <v>1</v>
      </c>
      <c r="BN7">
        <v>1</v>
      </c>
      <c r="BQ7">
        <v>1</v>
      </c>
      <c r="BW7">
        <v>1</v>
      </c>
      <c r="CC7">
        <v>1</v>
      </c>
      <c r="CF7">
        <v>1</v>
      </c>
      <c r="CK7">
        <f>SUM(C___MATRIX[[#This Row],[1]:[84]])</f>
        <v>15</v>
      </c>
    </row>
    <row r="8" spans="1:89" x14ac:dyDescent="0.25">
      <c r="A8" t="s">
        <v>20</v>
      </c>
      <c r="B8">
        <v>12</v>
      </c>
      <c r="F8">
        <v>1</v>
      </c>
      <c r="I8">
        <v>1</v>
      </c>
      <c r="L8">
        <v>1</v>
      </c>
      <c r="R8">
        <v>1</v>
      </c>
      <c r="U8">
        <v>1</v>
      </c>
      <c r="AA8">
        <v>1</v>
      </c>
      <c r="AG8">
        <v>1</v>
      </c>
      <c r="AM8">
        <v>1</v>
      </c>
      <c r="AO8">
        <v>1</v>
      </c>
      <c r="AR8">
        <v>1</v>
      </c>
      <c r="AV8">
        <v>1</v>
      </c>
      <c r="AY8">
        <v>1</v>
      </c>
      <c r="BB8">
        <v>1</v>
      </c>
      <c r="BH8">
        <v>1</v>
      </c>
      <c r="BK8">
        <v>1</v>
      </c>
      <c r="BN8">
        <v>1</v>
      </c>
      <c r="BQ8">
        <v>1</v>
      </c>
      <c r="CC8">
        <v>1</v>
      </c>
      <c r="CK8">
        <f>SUM(C___MATRIX[[#This Row],[1]:[84]])</f>
        <v>18</v>
      </c>
    </row>
    <row r="9" spans="1:89" x14ac:dyDescent="0.25">
      <c r="A9" t="s">
        <v>20</v>
      </c>
      <c r="B9">
        <v>13</v>
      </c>
      <c r="E9">
        <v>1</v>
      </c>
      <c r="H9">
        <v>1</v>
      </c>
      <c r="K9">
        <v>1</v>
      </c>
      <c r="N9">
        <v>1</v>
      </c>
      <c r="Z9">
        <v>1</v>
      </c>
      <c r="AF9">
        <v>1</v>
      </c>
      <c r="AI9">
        <v>1</v>
      </c>
      <c r="AL9">
        <v>1</v>
      </c>
      <c r="AO9">
        <v>1</v>
      </c>
      <c r="AU9">
        <v>1</v>
      </c>
      <c r="AX9">
        <v>1</v>
      </c>
      <c r="BA9">
        <v>1</v>
      </c>
      <c r="BD9">
        <v>1</v>
      </c>
      <c r="BG9">
        <v>1</v>
      </c>
      <c r="BN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19</v>
      </c>
    </row>
    <row r="10" spans="1:89" x14ac:dyDescent="0.25">
      <c r="A10" t="s">
        <v>20</v>
      </c>
      <c r="B10">
        <v>15</v>
      </c>
      <c r="G10">
        <v>1</v>
      </c>
      <c r="J10">
        <v>1</v>
      </c>
      <c r="M10">
        <v>1</v>
      </c>
      <c r="V10">
        <v>1</v>
      </c>
      <c r="Y10">
        <v>1</v>
      </c>
      <c r="AK10">
        <v>1</v>
      </c>
      <c r="AN10">
        <v>1</v>
      </c>
      <c r="AQ10">
        <v>1</v>
      </c>
      <c r="AT10">
        <v>1</v>
      </c>
      <c r="AZ10">
        <v>1</v>
      </c>
      <c r="BF10">
        <v>1</v>
      </c>
      <c r="BL10">
        <v>1</v>
      </c>
      <c r="BU10">
        <v>1</v>
      </c>
      <c r="BX10">
        <v>1</v>
      </c>
      <c r="CA10">
        <v>1</v>
      </c>
      <c r="CD10">
        <v>1</v>
      </c>
      <c r="CG10">
        <v>1</v>
      </c>
      <c r="CJ10">
        <v>1</v>
      </c>
      <c r="CK10">
        <f>SUM(C___MATRIX[[#This Row],[1]:[84]])</f>
        <v>18</v>
      </c>
    </row>
    <row r="11" spans="1:89" x14ac:dyDescent="0.25">
      <c r="A11" t="s">
        <v>20</v>
      </c>
      <c r="B11">
        <v>16</v>
      </c>
      <c r="C11">
        <v>16</v>
      </c>
      <c r="D11">
        <v>16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R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20</v>
      </c>
      <c r="B12">
        <v>17</v>
      </c>
      <c r="C12">
        <v>84</v>
      </c>
      <c r="D12">
        <v>7</v>
      </c>
      <c r="I12">
        <v>1</v>
      </c>
      <c r="AO12">
        <v>1</v>
      </c>
      <c r="AR12">
        <v>1</v>
      </c>
      <c r="AY12">
        <v>1</v>
      </c>
      <c r="BI12">
        <v>1</v>
      </c>
      <c r="CE12">
        <v>1</v>
      </c>
      <c r="CH12">
        <v>1</v>
      </c>
      <c r="CK12">
        <f>SUM(C___MATRIX[[#This Row],[1]:[84]])</f>
        <v>7</v>
      </c>
    </row>
    <row r="13" spans="1:89" x14ac:dyDescent="0.25">
      <c r="A13" t="s">
        <v>20</v>
      </c>
      <c r="B13">
        <v>19</v>
      </c>
      <c r="AC13">
        <v>1</v>
      </c>
      <c r="AF13">
        <v>1</v>
      </c>
      <c r="AI13">
        <v>1</v>
      </c>
      <c r="AL13">
        <v>1</v>
      </c>
      <c r="AO13">
        <v>1</v>
      </c>
      <c r="AR13">
        <v>1</v>
      </c>
      <c r="AX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19</v>
      </c>
    </row>
    <row r="14" spans="1:89" x14ac:dyDescent="0.25">
      <c r="A14" t="s">
        <v>20</v>
      </c>
      <c r="B14">
        <v>20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I14">
        <v>1</v>
      </c>
      <c r="AL14">
        <v>1</v>
      </c>
      <c r="AO14">
        <v>1</v>
      </c>
      <c r="AR14">
        <v>1</v>
      </c>
      <c r="AX14">
        <v>1</v>
      </c>
      <c r="BA14">
        <v>1</v>
      </c>
      <c r="BD14">
        <v>1</v>
      </c>
      <c r="BG14">
        <v>1</v>
      </c>
      <c r="BJ14">
        <v>1</v>
      </c>
      <c r="BM14">
        <v>1</v>
      </c>
      <c r="BS14">
        <v>1</v>
      </c>
      <c r="BV14">
        <v>1</v>
      </c>
      <c r="BY14">
        <v>1</v>
      </c>
      <c r="CB14">
        <v>1</v>
      </c>
      <c r="CH14">
        <v>1</v>
      </c>
      <c r="CK14">
        <f>SUM(C___MATRIX[[#This Row],[1]:[84]])</f>
        <v>24</v>
      </c>
    </row>
    <row r="15" spans="1:89" x14ac:dyDescent="0.25">
      <c r="A15" t="s">
        <v>20</v>
      </c>
      <c r="B15">
        <v>21</v>
      </c>
      <c r="C15">
        <v>84</v>
      </c>
      <c r="D15">
        <v>7</v>
      </c>
      <c r="E15">
        <v>1</v>
      </c>
      <c r="K15">
        <v>1</v>
      </c>
      <c r="AF15">
        <v>1</v>
      </c>
      <c r="AI15">
        <v>1</v>
      </c>
      <c r="AR15">
        <v>1</v>
      </c>
      <c r="BS15">
        <v>1</v>
      </c>
      <c r="BY15">
        <v>1</v>
      </c>
      <c r="CK15">
        <f>SUM(C___MATRIX[[#This Row],[1]:[84]])</f>
        <v>7</v>
      </c>
    </row>
    <row r="16" spans="1:89" x14ac:dyDescent="0.25">
      <c r="A16" t="s">
        <v>20</v>
      </c>
      <c r="B16">
        <v>22</v>
      </c>
      <c r="H16">
        <v>1</v>
      </c>
      <c r="K16">
        <v>1</v>
      </c>
      <c r="N16">
        <v>1</v>
      </c>
      <c r="AB16">
        <v>1</v>
      </c>
      <c r="AF16">
        <v>1</v>
      </c>
      <c r="AI16">
        <v>1</v>
      </c>
      <c r="AT16">
        <v>1</v>
      </c>
      <c r="AX16">
        <v>1</v>
      </c>
      <c r="BA16">
        <v>1</v>
      </c>
      <c r="BD16">
        <v>1</v>
      </c>
      <c r="BI16">
        <v>1</v>
      </c>
      <c r="BO16">
        <v>1</v>
      </c>
      <c r="BR16">
        <v>1</v>
      </c>
      <c r="BU16">
        <v>1</v>
      </c>
      <c r="BV16">
        <v>1</v>
      </c>
      <c r="BY16">
        <v>1</v>
      </c>
      <c r="CD16">
        <v>1</v>
      </c>
      <c r="CK16">
        <f>SUM(C___MATRIX[[#This Row],[1]:[84]])</f>
        <v>17</v>
      </c>
    </row>
    <row r="17" spans="1:89" x14ac:dyDescent="0.25">
      <c r="A17" t="s">
        <v>20</v>
      </c>
      <c r="B17">
        <v>24</v>
      </c>
      <c r="F17">
        <v>1</v>
      </c>
      <c r="L17">
        <v>1</v>
      </c>
      <c r="O17">
        <v>1</v>
      </c>
      <c r="R17">
        <v>1</v>
      </c>
      <c r="U17">
        <v>1</v>
      </c>
      <c r="AG17">
        <v>1</v>
      </c>
      <c r="AJ17">
        <v>1</v>
      </c>
      <c r="AM17">
        <v>1</v>
      </c>
      <c r="AV17">
        <v>1</v>
      </c>
      <c r="BB17">
        <v>1</v>
      </c>
      <c r="BH17">
        <v>1</v>
      </c>
      <c r="BK17">
        <v>1</v>
      </c>
      <c r="BN17">
        <v>1</v>
      </c>
      <c r="BZ17">
        <v>1</v>
      </c>
      <c r="CC17">
        <v>1</v>
      </c>
      <c r="CK17">
        <f>SUM(C___MATRIX[[#This Row],[1]:[84]])</f>
        <v>15</v>
      </c>
    </row>
    <row r="18" spans="1:89" x14ac:dyDescent="0.25">
      <c r="A18" t="s">
        <v>20</v>
      </c>
      <c r="B18">
        <v>25</v>
      </c>
      <c r="P18">
        <v>1</v>
      </c>
      <c r="S18">
        <v>1</v>
      </c>
      <c r="AB18">
        <v>1</v>
      </c>
      <c r="AE18">
        <v>1</v>
      </c>
      <c r="AH18">
        <v>1</v>
      </c>
      <c r="AK18">
        <v>1</v>
      </c>
      <c r="AW18">
        <v>1</v>
      </c>
      <c r="AZ18">
        <v>1</v>
      </c>
      <c r="BC18">
        <v>1</v>
      </c>
      <c r="BF18">
        <v>1</v>
      </c>
      <c r="BO18">
        <v>1</v>
      </c>
      <c r="BU18">
        <v>1</v>
      </c>
      <c r="CA18">
        <v>1</v>
      </c>
      <c r="CD18">
        <v>1</v>
      </c>
      <c r="CK18">
        <f>SUM(C___MATRIX[[#This Row],[1]:[84]])</f>
        <v>14</v>
      </c>
    </row>
    <row r="19" spans="1:89" x14ac:dyDescent="0.25">
      <c r="A19" t="s">
        <v>20</v>
      </c>
      <c r="B19">
        <v>26</v>
      </c>
      <c r="G19">
        <v>1</v>
      </c>
      <c r="J19">
        <v>1</v>
      </c>
      <c r="V19">
        <v>1</v>
      </c>
      <c r="Y19">
        <v>1</v>
      </c>
      <c r="AB19">
        <v>1</v>
      </c>
      <c r="AE19">
        <v>1</v>
      </c>
      <c r="AH19">
        <v>1</v>
      </c>
      <c r="AK19">
        <v>1</v>
      </c>
      <c r="AN19">
        <v>1</v>
      </c>
      <c r="AQ19">
        <v>1</v>
      </c>
      <c r="AT19">
        <v>1</v>
      </c>
      <c r="AZ19">
        <v>1</v>
      </c>
      <c r="BF19">
        <v>1</v>
      </c>
      <c r="BO19">
        <v>1</v>
      </c>
      <c r="BR19">
        <v>1</v>
      </c>
      <c r="CD19">
        <v>1</v>
      </c>
      <c r="CG19">
        <v>1</v>
      </c>
      <c r="CJ19">
        <v>1</v>
      </c>
      <c r="CK19">
        <f>SUM(C___MATRIX[[#This Row],[1]:[84]])</f>
        <v>18</v>
      </c>
    </row>
    <row r="20" spans="1:89" x14ac:dyDescent="0.25">
      <c r="A20" t="s">
        <v>20</v>
      </c>
      <c r="B20">
        <v>27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20</v>
      </c>
      <c r="B21">
        <v>28</v>
      </c>
      <c r="E21">
        <v>1</v>
      </c>
      <c r="K21">
        <v>1</v>
      </c>
      <c r="N21">
        <v>1</v>
      </c>
      <c r="Q21">
        <v>1</v>
      </c>
      <c r="Z21">
        <v>1</v>
      </c>
      <c r="AC21">
        <v>1</v>
      </c>
      <c r="AF21">
        <v>1</v>
      </c>
      <c r="AL21">
        <v>1</v>
      </c>
      <c r="AU21">
        <v>1</v>
      </c>
      <c r="BD21">
        <v>1</v>
      </c>
      <c r="BG21">
        <v>1</v>
      </c>
      <c r="BV21">
        <v>1</v>
      </c>
      <c r="BY21">
        <v>1</v>
      </c>
      <c r="CB21">
        <v>1</v>
      </c>
      <c r="CK21">
        <f>SUM(C___MATRIX[[#This Row],[1]:[84]])</f>
        <v>14</v>
      </c>
    </row>
    <row r="22" spans="1:89" x14ac:dyDescent="0.25">
      <c r="A22" t="s">
        <v>20</v>
      </c>
      <c r="B22">
        <v>29</v>
      </c>
      <c r="G22">
        <v>1</v>
      </c>
      <c r="J22">
        <v>1</v>
      </c>
      <c r="M22">
        <v>1</v>
      </c>
      <c r="S22">
        <v>1</v>
      </c>
      <c r="Y22">
        <v>1</v>
      </c>
      <c r="AE22">
        <v>1</v>
      </c>
      <c r="AQ22">
        <v>1</v>
      </c>
      <c r="AT22">
        <v>1</v>
      </c>
      <c r="AW22">
        <v>1</v>
      </c>
      <c r="BF22">
        <v>1</v>
      </c>
      <c r="BI22">
        <v>1</v>
      </c>
      <c r="BL22">
        <v>1</v>
      </c>
      <c r="CA22">
        <v>1</v>
      </c>
      <c r="CD22">
        <v>1</v>
      </c>
      <c r="CG22">
        <v>1</v>
      </c>
      <c r="CJ22">
        <v>1</v>
      </c>
      <c r="CK22">
        <f>SUM(C___MATRIX[[#This Row],[1]:[84]])</f>
        <v>16</v>
      </c>
    </row>
    <row r="23" spans="1:89" x14ac:dyDescent="0.25">
      <c r="A23" t="s">
        <v>20</v>
      </c>
      <c r="B23">
        <v>30</v>
      </c>
      <c r="C23">
        <v>21</v>
      </c>
      <c r="D23">
        <v>17</v>
      </c>
      <c r="F23">
        <v>1</v>
      </c>
      <c r="I23">
        <v>1</v>
      </c>
      <c r="O23">
        <v>1</v>
      </c>
      <c r="R23">
        <v>1</v>
      </c>
      <c r="T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BP23">
        <v>1</v>
      </c>
      <c r="CK23">
        <f>SUM(C___MATRIX[[#This Row],[1]:[84]])</f>
        <v>17</v>
      </c>
    </row>
    <row r="24" spans="1:89" x14ac:dyDescent="0.25">
      <c r="A24" t="s">
        <v>20</v>
      </c>
      <c r="B24">
        <v>31</v>
      </c>
      <c r="F24">
        <v>1</v>
      </c>
      <c r="I24">
        <v>1</v>
      </c>
      <c r="L24">
        <v>1</v>
      </c>
      <c r="O24">
        <v>1</v>
      </c>
      <c r="AD24">
        <v>1</v>
      </c>
      <c r="AJ24">
        <v>1</v>
      </c>
      <c r="AM24">
        <v>1</v>
      </c>
      <c r="AV24">
        <v>1</v>
      </c>
      <c r="AY24">
        <v>1</v>
      </c>
      <c r="BB24">
        <v>1</v>
      </c>
      <c r="BE24">
        <v>1</v>
      </c>
      <c r="BH24">
        <v>1</v>
      </c>
      <c r="BN24">
        <v>1</v>
      </c>
      <c r="BT24">
        <v>1</v>
      </c>
      <c r="BZ24">
        <v>1</v>
      </c>
      <c r="CC24">
        <v>1</v>
      </c>
      <c r="CK24">
        <f>SUM(C___MATRIX[[#This Row],[1]:[84]])</f>
        <v>16</v>
      </c>
    </row>
    <row r="25" spans="1:89" x14ac:dyDescent="0.25">
      <c r="A25" t="s">
        <v>20</v>
      </c>
      <c r="B25">
        <v>32</v>
      </c>
      <c r="C25">
        <v>74</v>
      </c>
      <c r="D25">
        <v>7</v>
      </c>
      <c r="Q25">
        <v>1</v>
      </c>
      <c r="AC25">
        <v>1</v>
      </c>
      <c r="AF25">
        <v>1</v>
      </c>
      <c r="BA25">
        <v>1</v>
      </c>
      <c r="BS25">
        <v>1</v>
      </c>
      <c r="BV25">
        <v>1</v>
      </c>
      <c r="BY25">
        <v>1</v>
      </c>
      <c r="CK25">
        <f>SUM(C___MATRIX[[#This Row],[1]:[84]])</f>
        <v>7</v>
      </c>
    </row>
    <row r="26" spans="1:89" x14ac:dyDescent="0.25">
      <c r="A26" t="s">
        <v>20</v>
      </c>
      <c r="B26">
        <v>36</v>
      </c>
      <c r="E26">
        <v>1</v>
      </c>
      <c r="H26">
        <v>1</v>
      </c>
      <c r="K26">
        <v>1</v>
      </c>
      <c r="N26">
        <v>1</v>
      </c>
      <c r="T26">
        <v>1</v>
      </c>
      <c r="Z26">
        <v>1</v>
      </c>
      <c r="AC26">
        <v>1</v>
      </c>
      <c r="AF26">
        <v>1</v>
      </c>
      <c r="AI26">
        <v>1</v>
      </c>
      <c r="AL26">
        <v>1</v>
      </c>
      <c r="AO26">
        <v>1</v>
      </c>
      <c r="AR26">
        <v>1</v>
      </c>
      <c r="AX26">
        <v>1</v>
      </c>
      <c r="BA26">
        <v>1</v>
      </c>
      <c r="BD26">
        <v>1</v>
      </c>
      <c r="BG26">
        <v>1</v>
      </c>
      <c r="BJ26">
        <v>1</v>
      </c>
      <c r="BS26">
        <v>1</v>
      </c>
      <c r="BV26">
        <v>1</v>
      </c>
      <c r="BY26">
        <v>1</v>
      </c>
      <c r="CB26">
        <v>1</v>
      </c>
      <c r="CE26">
        <v>1</v>
      </c>
      <c r="CK26">
        <f>SUM(C___MATRIX[[#This Row],[1]:[84]])</f>
        <v>22</v>
      </c>
    </row>
    <row r="27" spans="1:89" x14ac:dyDescent="0.25">
      <c r="A27" t="s">
        <v>20</v>
      </c>
      <c r="B27">
        <v>37</v>
      </c>
      <c r="E27">
        <v>1</v>
      </c>
      <c r="H27">
        <v>1</v>
      </c>
      <c r="K27">
        <v>1</v>
      </c>
      <c r="N27">
        <v>1</v>
      </c>
      <c r="Q27">
        <v>1</v>
      </c>
      <c r="Z27">
        <v>1</v>
      </c>
      <c r="AC27">
        <v>1</v>
      </c>
      <c r="AI27">
        <v>1</v>
      </c>
      <c r="AL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20</v>
      </c>
    </row>
    <row r="28" spans="1:89" x14ac:dyDescent="0.25">
      <c r="A28" t="s">
        <v>20</v>
      </c>
      <c r="B28">
        <v>38</v>
      </c>
      <c r="F28">
        <v>1</v>
      </c>
      <c r="R28">
        <v>1</v>
      </c>
      <c r="U28">
        <v>1</v>
      </c>
      <c r="AA28">
        <v>1</v>
      </c>
      <c r="AD28">
        <v>1</v>
      </c>
      <c r="AG28">
        <v>1</v>
      </c>
      <c r="AM28">
        <v>1</v>
      </c>
      <c r="AP28">
        <v>1</v>
      </c>
      <c r="AS28">
        <v>1</v>
      </c>
      <c r="BE28">
        <v>1</v>
      </c>
      <c r="BH28">
        <v>1</v>
      </c>
      <c r="BK28">
        <v>1</v>
      </c>
      <c r="BN28">
        <v>1</v>
      </c>
      <c r="CC28">
        <v>1</v>
      </c>
      <c r="CF28">
        <v>1</v>
      </c>
      <c r="CI28">
        <v>1</v>
      </c>
      <c r="CK28">
        <f>SUM(C___MATRIX[[#This Row],[1]:[84]])</f>
        <v>16</v>
      </c>
    </row>
    <row r="29" spans="1:89" x14ac:dyDescent="0.25">
      <c r="A29" t="s">
        <v>20</v>
      </c>
      <c r="B29">
        <v>40</v>
      </c>
      <c r="C29">
        <v>82</v>
      </c>
      <c r="D29">
        <v>5</v>
      </c>
      <c r="Q29">
        <v>1</v>
      </c>
      <c r="T29">
        <v>1</v>
      </c>
      <c r="AL29">
        <v>1</v>
      </c>
      <c r="BJ29">
        <v>1</v>
      </c>
      <c r="BM29">
        <v>1</v>
      </c>
      <c r="CE29">
        <v>1</v>
      </c>
      <c r="CK29">
        <f>SUM(C___MATRIX[[#This Row],[1]:[84]])</f>
        <v>6</v>
      </c>
    </row>
    <row r="30" spans="1:89" x14ac:dyDescent="0.25">
      <c r="A30" t="s">
        <v>20</v>
      </c>
      <c r="B30">
        <v>41</v>
      </c>
      <c r="CK30">
        <f>SUM(C___MATRIX[[#This Row],[1]:[84]])</f>
        <v>0</v>
      </c>
    </row>
    <row r="31" spans="1:89" x14ac:dyDescent="0.25">
      <c r="A31" t="s">
        <v>20</v>
      </c>
      <c r="B31">
        <v>42</v>
      </c>
      <c r="E31">
        <v>1</v>
      </c>
      <c r="N31">
        <v>1</v>
      </c>
      <c r="Q31">
        <v>1</v>
      </c>
      <c r="T31">
        <v>1</v>
      </c>
      <c r="Z31">
        <v>1</v>
      </c>
      <c r="AF31">
        <v>1</v>
      </c>
      <c r="AL31">
        <v>1</v>
      </c>
      <c r="AO31">
        <v>1</v>
      </c>
      <c r="AX31">
        <v>1</v>
      </c>
      <c r="BA31">
        <v>1</v>
      </c>
      <c r="BD31">
        <v>1</v>
      </c>
      <c r="BG31">
        <v>1</v>
      </c>
      <c r="BN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H31">
        <v>1</v>
      </c>
      <c r="CK31">
        <f>SUM(C___MATRIX[[#This Row],[1]:[84]])</f>
        <v>19</v>
      </c>
    </row>
    <row r="32" spans="1:89" x14ac:dyDescent="0.25">
      <c r="A32" t="s">
        <v>20</v>
      </c>
      <c r="B32">
        <v>43</v>
      </c>
      <c r="C32">
        <v>4</v>
      </c>
      <c r="D32">
        <v>4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20</v>
      </c>
      <c r="B33">
        <v>44</v>
      </c>
      <c r="Q33">
        <v>1</v>
      </c>
      <c r="T33">
        <v>1</v>
      </c>
      <c r="W33">
        <v>1</v>
      </c>
      <c r="Z33">
        <v>1</v>
      </c>
      <c r="AR33">
        <v>1</v>
      </c>
      <c r="BG33">
        <v>1</v>
      </c>
      <c r="BJ33">
        <v>1</v>
      </c>
      <c r="BM33">
        <v>1</v>
      </c>
      <c r="BP33">
        <v>1</v>
      </c>
      <c r="CK33">
        <f>SUM(C___MATRIX[[#This Row],[1]:[84]])</f>
        <v>9</v>
      </c>
    </row>
    <row r="34" spans="1:89" x14ac:dyDescent="0.25">
      <c r="A34" t="s">
        <v>20</v>
      </c>
      <c r="B34">
        <v>46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I34">
        <v>1</v>
      </c>
      <c r="AL34">
        <v>1</v>
      </c>
      <c r="AX34">
        <v>1</v>
      </c>
      <c r="BA34">
        <v>1</v>
      </c>
      <c r="BD34">
        <v>1</v>
      </c>
      <c r="BG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17</v>
      </c>
    </row>
    <row r="35" spans="1:89" x14ac:dyDescent="0.25">
      <c r="A35" t="s">
        <v>20</v>
      </c>
      <c r="B35">
        <v>49</v>
      </c>
      <c r="E35">
        <v>1</v>
      </c>
      <c r="N35">
        <v>1</v>
      </c>
      <c r="Z35">
        <v>1</v>
      </c>
      <c r="AC35">
        <v>1</v>
      </c>
      <c r="AF35">
        <v>1</v>
      </c>
      <c r="AI35">
        <v>1</v>
      </c>
      <c r="AU35">
        <v>1</v>
      </c>
      <c r="AX35">
        <v>1</v>
      </c>
      <c r="BA35">
        <v>1</v>
      </c>
      <c r="BD35">
        <v>1</v>
      </c>
      <c r="BS35">
        <v>1</v>
      </c>
      <c r="BV35">
        <v>1</v>
      </c>
      <c r="BY35">
        <v>1</v>
      </c>
      <c r="CK35">
        <f>SUM(C___MATRIX[[#This Row],[1]:[84]])</f>
        <v>13</v>
      </c>
    </row>
    <row r="36" spans="1:89" x14ac:dyDescent="0.25">
      <c r="A36" t="s">
        <v>20</v>
      </c>
      <c r="B36">
        <v>51</v>
      </c>
      <c r="P36">
        <v>1</v>
      </c>
      <c r="S36">
        <v>1</v>
      </c>
      <c r="V36">
        <v>1</v>
      </c>
      <c r="AK36">
        <v>1</v>
      </c>
      <c r="AN36">
        <v>1</v>
      </c>
      <c r="AQ36">
        <v>1</v>
      </c>
      <c r="AT36">
        <v>1</v>
      </c>
      <c r="BC36">
        <v>1</v>
      </c>
      <c r="BX36">
        <v>1</v>
      </c>
      <c r="CA36">
        <v>1</v>
      </c>
      <c r="CJ36">
        <v>1</v>
      </c>
      <c r="CK36">
        <f>SUM(C___MATRIX[[#This Row],[1]:[84]])</f>
        <v>11</v>
      </c>
    </row>
    <row r="37" spans="1:89" x14ac:dyDescent="0.25">
      <c r="A37" t="s">
        <v>20</v>
      </c>
      <c r="B37">
        <v>52</v>
      </c>
      <c r="G37">
        <v>1</v>
      </c>
      <c r="J37">
        <v>1</v>
      </c>
      <c r="P37">
        <v>1</v>
      </c>
      <c r="V37">
        <v>1</v>
      </c>
      <c r="Y37">
        <v>1</v>
      </c>
      <c r="AB37">
        <v>1</v>
      </c>
      <c r="AK37">
        <v>1</v>
      </c>
      <c r="AN37">
        <v>1</v>
      </c>
      <c r="AQ37">
        <v>1</v>
      </c>
      <c r="AT37">
        <v>1</v>
      </c>
      <c r="AW37">
        <v>1</v>
      </c>
      <c r="AZ37">
        <v>1</v>
      </c>
      <c r="BU37">
        <v>1</v>
      </c>
      <c r="BX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18</v>
      </c>
    </row>
    <row r="38" spans="1:89" x14ac:dyDescent="0.25">
      <c r="A38" t="s">
        <v>20</v>
      </c>
      <c r="B38">
        <v>54</v>
      </c>
      <c r="W38">
        <v>1</v>
      </c>
      <c r="Z38">
        <v>1</v>
      </c>
      <c r="AC38">
        <v>1</v>
      </c>
      <c r="AL38">
        <v>1</v>
      </c>
      <c r="AO38">
        <v>1</v>
      </c>
      <c r="AR38">
        <v>1</v>
      </c>
      <c r="AX38">
        <v>1</v>
      </c>
      <c r="BA38">
        <v>1</v>
      </c>
      <c r="BD38">
        <v>1</v>
      </c>
      <c r="BJ38">
        <v>1</v>
      </c>
      <c r="BM38">
        <v>1</v>
      </c>
      <c r="BS38">
        <v>1</v>
      </c>
      <c r="CE38">
        <v>1</v>
      </c>
      <c r="CH38">
        <v>1</v>
      </c>
      <c r="CK38">
        <f>SUM(C___MATRIX[[#This Row],[1]:[84]])</f>
        <v>14</v>
      </c>
    </row>
    <row r="39" spans="1:89" x14ac:dyDescent="0.25">
      <c r="A39" t="s">
        <v>20</v>
      </c>
      <c r="B39">
        <v>56</v>
      </c>
      <c r="E39">
        <v>1</v>
      </c>
      <c r="T39">
        <v>1</v>
      </c>
      <c r="W39">
        <v>1</v>
      </c>
      <c r="Z39">
        <v>1</v>
      </c>
      <c r="AC39">
        <v>1</v>
      </c>
      <c r="AL39">
        <v>1</v>
      </c>
      <c r="AO39">
        <v>1</v>
      </c>
      <c r="AR39">
        <v>1</v>
      </c>
      <c r="AU39">
        <v>1</v>
      </c>
      <c r="BG39">
        <v>1</v>
      </c>
      <c r="BJ39">
        <v>1</v>
      </c>
      <c r="BM39">
        <v>1</v>
      </c>
      <c r="BS39">
        <v>1</v>
      </c>
      <c r="CB39">
        <v>1</v>
      </c>
      <c r="CE39">
        <v>1</v>
      </c>
      <c r="CK39">
        <f>SUM(C___MATRIX[[#This Row],[1]:[84]])</f>
        <v>15</v>
      </c>
    </row>
    <row r="40" spans="1:89" x14ac:dyDescent="0.25">
      <c r="A40" t="s">
        <v>20</v>
      </c>
      <c r="B40">
        <v>59</v>
      </c>
      <c r="E40">
        <v>1</v>
      </c>
      <c r="N40">
        <v>1</v>
      </c>
      <c r="Q40">
        <v>1</v>
      </c>
      <c r="T40">
        <v>1</v>
      </c>
      <c r="W40">
        <v>1</v>
      </c>
      <c r="Z40">
        <v>1</v>
      </c>
      <c r="AP40">
        <v>1</v>
      </c>
      <c r="AS40">
        <v>1</v>
      </c>
      <c r="AU40">
        <v>1</v>
      </c>
      <c r="BD40">
        <v>1</v>
      </c>
      <c r="BG40">
        <v>1</v>
      </c>
      <c r="BJ40">
        <v>1</v>
      </c>
      <c r="BM40">
        <v>1</v>
      </c>
      <c r="BP40">
        <v>1</v>
      </c>
      <c r="BZ40">
        <v>1</v>
      </c>
      <c r="CF40">
        <v>1</v>
      </c>
      <c r="CI40">
        <v>1</v>
      </c>
      <c r="CK40">
        <f>SUM(C___MATRIX[[#This Row],[1]:[84]])</f>
        <v>17</v>
      </c>
    </row>
    <row r="41" spans="1:89" x14ac:dyDescent="0.25">
      <c r="A41" t="s">
        <v>20</v>
      </c>
      <c r="B41">
        <v>60</v>
      </c>
      <c r="CK41">
        <f>SUM(C___MATRIX[[#This Row],[1]:[84]])</f>
        <v>0</v>
      </c>
    </row>
    <row r="42" spans="1:89" x14ac:dyDescent="0.25">
      <c r="A42" t="s">
        <v>20</v>
      </c>
      <c r="B42">
        <v>63</v>
      </c>
      <c r="F42">
        <v>1</v>
      </c>
      <c r="I42">
        <v>1</v>
      </c>
      <c r="L42">
        <v>1</v>
      </c>
      <c r="O42">
        <v>1</v>
      </c>
      <c r="X42">
        <v>1</v>
      </c>
      <c r="AA42">
        <v>1</v>
      </c>
      <c r="AD42">
        <v>1</v>
      </c>
      <c r="AJ42">
        <v>1</v>
      </c>
      <c r="AS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20</v>
      </c>
      <c r="B43">
        <v>65</v>
      </c>
      <c r="F43">
        <v>1</v>
      </c>
      <c r="I43">
        <v>1</v>
      </c>
      <c r="L43">
        <v>1</v>
      </c>
      <c r="O43">
        <v>1</v>
      </c>
      <c r="Q43">
        <v>1</v>
      </c>
      <c r="T43">
        <v>1</v>
      </c>
      <c r="AA43">
        <v>1</v>
      </c>
      <c r="AG43">
        <v>1</v>
      </c>
      <c r="AJ43">
        <v>1</v>
      </c>
      <c r="AL43">
        <v>1</v>
      </c>
      <c r="AY43">
        <v>1</v>
      </c>
      <c r="BB43">
        <v>1</v>
      </c>
      <c r="BG43">
        <v>1</v>
      </c>
      <c r="BN43">
        <v>1</v>
      </c>
      <c r="BQ43">
        <v>1</v>
      </c>
      <c r="BW43">
        <v>1</v>
      </c>
      <c r="BZ43">
        <v>1</v>
      </c>
      <c r="CB43">
        <v>1</v>
      </c>
      <c r="CK43">
        <f>SUM(C___MATRIX[[#This Row],[1]:[84]])</f>
        <v>18</v>
      </c>
    </row>
    <row r="44" spans="1:89" x14ac:dyDescent="0.25">
      <c r="A44" t="s">
        <v>20</v>
      </c>
      <c r="B44">
        <v>66</v>
      </c>
      <c r="CK44">
        <f>SUM(C___MATRIX[[#This Row],[1]:[84]])</f>
        <v>0</v>
      </c>
    </row>
    <row r="45" spans="1:89" x14ac:dyDescent="0.25">
      <c r="A45" t="s">
        <v>20</v>
      </c>
      <c r="B45">
        <v>67</v>
      </c>
      <c r="I45">
        <v>1</v>
      </c>
      <c r="L45">
        <v>1</v>
      </c>
      <c r="O45">
        <v>1</v>
      </c>
      <c r="R45">
        <v>1</v>
      </c>
      <c r="T45">
        <v>1</v>
      </c>
      <c r="AG45">
        <v>1</v>
      </c>
      <c r="AJ45">
        <v>1</v>
      </c>
      <c r="AS45">
        <v>1</v>
      </c>
      <c r="BB45">
        <v>1</v>
      </c>
      <c r="BJ45">
        <v>1</v>
      </c>
      <c r="BM45">
        <v>1</v>
      </c>
      <c r="BT45">
        <v>1</v>
      </c>
      <c r="BW45">
        <v>1</v>
      </c>
      <c r="BZ45">
        <v>1</v>
      </c>
      <c r="CH45">
        <v>1</v>
      </c>
      <c r="CK45">
        <f>SUM(C___MATRIX[[#This Row],[1]:[84]])</f>
        <v>15</v>
      </c>
    </row>
    <row r="46" spans="1:89" x14ac:dyDescent="0.25">
      <c r="A46" t="s">
        <v>20</v>
      </c>
      <c r="B46">
        <v>68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Z46">
        <v>1</v>
      </c>
      <c r="AC46">
        <v>1</v>
      </c>
      <c r="AF46">
        <v>1</v>
      </c>
      <c r="AI46">
        <v>1</v>
      </c>
      <c r="AL46">
        <v>1</v>
      </c>
      <c r="AR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H46">
        <v>1</v>
      </c>
      <c r="CK46">
        <f>SUM(C___MATRIX[[#This Row],[1]:[84]])</f>
        <v>21</v>
      </c>
    </row>
    <row r="47" spans="1:89" x14ac:dyDescent="0.25">
      <c r="A47" t="s">
        <v>20</v>
      </c>
      <c r="B47">
        <v>69</v>
      </c>
      <c r="E47">
        <v>1</v>
      </c>
      <c r="H47">
        <v>1</v>
      </c>
      <c r="Q47">
        <v>1</v>
      </c>
      <c r="AU47">
        <v>1</v>
      </c>
      <c r="BG47">
        <v>1</v>
      </c>
      <c r="BM47">
        <v>1</v>
      </c>
      <c r="BP47">
        <v>1</v>
      </c>
      <c r="BS47">
        <v>1</v>
      </c>
      <c r="BY47">
        <v>1</v>
      </c>
      <c r="CB47">
        <v>1</v>
      </c>
      <c r="CE47">
        <v>1</v>
      </c>
      <c r="CK47">
        <f>SUM(C___MATRIX[[#This Row],[1]:[84]])</f>
        <v>11</v>
      </c>
    </row>
    <row r="48" spans="1:89" x14ac:dyDescent="0.25">
      <c r="A48" t="s">
        <v>20</v>
      </c>
      <c r="B48">
        <v>70</v>
      </c>
      <c r="C48">
        <v>84</v>
      </c>
      <c r="D48">
        <v>11</v>
      </c>
      <c r="K48">
        <v>1</v>
      </c>
      <c r="P48">
        <v>1</v>
      </c>
      <c r="T48">
        <v>1</v>
      </c>
      <c r="AH48">
        <v>1</v>
      </c>
      <c r="AO48">
        <v>1</v>
      </c>
      <c r="AR48">
        <v>1</v>
      </c>
      <c r="AU48">
        <v>1</v>
      </c>
      <c r="BJ48">
        <v>1</v>
      </c>
      <c r="BP48">
        <v>1</v>
      </c>
      <c r="BY48">
        <v>1</v>
      </c>
      <c r="CE48">
        <v>1</v>
      </c>
      <c r="CK48">
        <f>SUM(C___MATRIX[[#This Row],[1]:[84]])</f>
        <v>11</v>
      </c>
    </row>
    <row r="49" spans="1:89" x14ac:dyDescent="0.25">
      <c r="A49" t="s">
        <v>20</v>
      </c>
      <c r="B49">
        <v>71</v>
      </c>
      <c r="I49">
        <v>1</v>
      </c>
      <c r="O49">
        <v>1</v>
      </c>
      <c r="R49">
        <v>1</v>
      </c>
      <c r="U49">
        <v>1</v>
      </c>
      <c r="AA49">
        <v>1</v>
      </c>
      <c r="AD49">
        <v>1</v>
      </c>
      <c r="AG49">
        <v>1</v>
      </c>
      <c r="AJ49">
        <v>1</v>
      </c>
      <c r="AM49">
        <v>1</v>
      </c>
      <c r="AP49">
        <v>1</v>
      </c>
      <c r="AS49">
        <v>1</v>
      </c>
      <c r="AY49">
        <v>1</v>
      </c>
      <c r="BH49">
        <v>1</v>
      </c>
      <c r="BK49">
        <v>1</v>
      </c>
      <c r="BT49">
        <v>1</v>
      </c>
      <c r="BW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20</v>
      </c>
    </row>
    <row r="50" spans="1:89" x14ac:dyDescent="0.25">
      <c r="A50" t="s">
        <v>20</v>
      </c>
      <c r="B50">
        <v>72</v>
      </c>
      <c r="E50">
        <v>1</v>
      </c>
      <c r="H50">
        <v>1</v>
      </c>
      <c r="K50">
        <v>1</v>
      </c>
      <c r="N50">
        <v>1</v>
      </c>
      <c r="Q50">
        <v>1</v>
      </c>
      <c r="AC50">
        <v>1</v>
      </c>
      <c r="AF50">
        <v>1</v>
      </c>
      <c r="AI50">
        <v>1</v>
      </c>
      <c r="AL50">
        <v>1</v>
      </c>
      <c r="AO50">
        <v>1</v>
      </c>
      <c r="AR50">
        <v>1</v>
      </c>
      <c r="AU50">
        <v>1</v>
      </c>
      <c r="AX50">
        <v>1</v>
      </c>
      <c r="BA50">
        <v>1</v>
      </c>
      <c r="BD50">
        <v>1</v>
      </c>
      <c r="BG50">
        <v>1</v>
      </c>
      <c r="BS50">
        <v>1</v>
      </c>
      <c r="BV50">
        <v>1</v>
      </c>
      <c r="BY50">
        <v>1</v>
      </c>
      <c r="CB50">
        <v>1</v>
      </c>
      <c r="CE50">
        <v>1</v>
      </c>
      <c r="CK50">
        <f>SUM(C___MATRIX[[#This Row],[1]:[84]])</f>
        <v>21</v>
      </c>
    </row>
    <row r="51" spans="1:89" x14ac:dyDescent="0.25">
      <c r="A51" t="s">
        <v>20</v>
      </c>
      <c r="B51">
        <v>73</v>
      </c>
      <c r="C51">
        <v>81</v>
      </c>
      <c r="D51">
        <v>20</v>
      </c>
      <c r="E51">
        <v>1</v>
      </c>
      <c r="I51">
        <v>1</v>
      </c>
      <c r="L51">
        <v>1</v>
      </c>
      <c r="N51">
        <v>1</v>
      </c>
      <c r="Q51">
        <v>1</v>
      </c>
      <c r="W51">
        <v>1</v>
      </c>
      <c r="Z51">
        <v>1</v>
      </c>
      <c r="AC51">
        <v>1</v>
      </c>
      <c r="AF51">
        <v>1</v>
      </c>
      <c r="AJ51">
        <v>1</v>
      </c>
      <c r="AM51">
        <v>1</v>
      </c>
      <c r="AO51">
        <v>1</v>
      </c>
      <c r="AY51">
        <v>1</v>
      </c>
      <c r="BB51">
        <v>1</v>
      </c>
      <c r="BH51">
        <v>1</v>
      </c>
      <c r="BK51">
        <v>1</v>
      </c>
      <c r="BN51">
        <v>1</v>
      </c>
      <c r="BT51">
        <v>1</v>
      </c>
      <c r="BW51">
        <v>1</v>
      </c>
      <c r="BZ51">
        <v>1</v>
      </c>
      <c r="CB51">
        <v>1</v>
      </c>
      <c r="CE51">
        <v>1</v>
      </c>
      <c r="CK51">
        <f>SUM(C___MATRIX[[#This Row],[1]:[84]])</f>
        <v>22</v>
      </c>
    </row>
    <row r="52" spans="1:89" x14ac:dyDescent="0.25">
      <c r="A52" t="s">
        <v>20</v>
      </c>
      <c r="B52">
        <v>74</v>
      </c>
      <c r="H52">
        <v>1</v>
      </c>
      <c r="N52">
        <v>1</v>
      </c>
      <c r="W52">
        <v>1</v>
      </c>
      <c r="AI52">
        <v>1</v>
      </c>
      <c r="AR52">
        <v>1</v>
      </c>
      <c r="AX52">
        <v>1</v>
      </c>
      <c r="BM52">
        <v>1</v>
      </c>
      <c r="CK52">
        <f>SUM(C___MATRIX[[#This Row],[1]:[84]])</f>
        <v>7</v>
      </c>
    </row>
    <row r="53" spans="1:89" x14ac:dyDescent="0.25">
      <c r="A53" t="s">
        <v>20</v>
      </c>
      <c r="B53">
        <v>75</v>
      </c>
      <c r="R53">
        <v>1</v>
      </c>
      <c r="AM53">
        <v>1</v>
      </c>
      <c r="AP53">
        <v>1</v>
      </c>
      <c r="BK53">
        <v>1</v>
      </c>
      <c r="CC53">
        <v>1</v>
      </c>
      <c r="CF53">
        <v>1</v>
      </c>
      <c r="CK53">
        <f>SUM(C___MATRIX[[#This Row],[1]:[84]])</f>
        <v>6</v>
      </c>
    </row>
    <row r="54" spans="1:89" x14ac:dyDescent="0.25">
      <c r="A54" t="s">
        <v>20</v>
      </c>
      <c r="B54">
        <v>76</v>
      </c>
      <c r="I54">
        <v>1</v>
      </c>
      <c r="L54">
        <v>1</v>
      </c>
      <c r="O54">
        <v>1</v>
      </c>
      <c r="U54">
        <v>1</v>
      </c>
      <c r="W54">
        <v>1</v>
      </c>
      <c r="AA54">
        <v>1</v>
      </c>
      <c r="AG54">
        <v>1</v>
      </c>
      <c r="AJ54">
        <v>1</v>
      </c>
      <c r="AR54">
        <v>1</v>
      </c>
      <c r="AV54">
        <v>1</v>
      </c>
      <c r="AY54">
        <v>1</v>
      </c>
      <c r="BK54">
        <v>1</v>
      </c>
      <c r="BN54">
        <v>1</v>
      </c>
      <c r="BQ54">
        <v>1</v>
      </c>
      <c r="BT54">
        <v>1</v>
      </c>
      <c r="BW54">
        <v>1</v>
      </c>
      <c r="BZ54">
        <v>1</v>
      </c>
      <c r="CH54">
        <v>1</v>
      </c>
      <c r="CK54">
        <f>SUM(C___MATRIX[[#This Row],[1]:[84]])</f>
        <v>18</v>
      </c>
    </row>
    <row r="55" spans="1:89" x14ac:dyDescent="0.25">
      <c r="A55" t="s">
        <v>20</v>
      </c>
      <c r="B55">
        <v>78</v>
      </c>
      <c r="C55">
        <v>28</v>
      </c>
      <c r="D55">
        <v>11</v>
      </c>
      <c r="R55">
        <v>1</v>
      </c>
      <c r="U55">
        <v>1</v>
      </c>
      <c r="X55">
        <v>1</v>
      </c>
      <c r="AA55">
        <v>1</v>
      </c>
      <c r="AD55">
        <v>1</v>
      </c>
      <c r="AG55">
        <v>1</v>
      </c>
      <c r="AM55">
        <v>1</v>
      </c>
      <c r="AP55">
        <v>1</v>
      </c>
      <c r="AS55">
        <v>1</v>
      </c>
      <c r="BE55">
        <v>1</v>
      </c>
      <c r="BH55">
        <v>1</v>
      </c>
      <c r="BN55">
        <v>1</v>
      </c>
      <c r="BT55">
        <v>1</v>
      </c>
      <c r="BW55">
        <v>1</v>
      </c>
      <c r="CF55">
        <v>1</v>
      </c>
      <c r="CI55">
        <v>1</v>
      </c>
      <c r="CK55">
        <f>SUM(C___MATRIX[[#This Row],[1]:[84]])</f>
        <v>16</v>
      </c>
    </row>
    <row r="56" spans="1:89" x14ac:dyDescent="0.25">
      <c r="A56" t="s">
        <v>20</v>
      </c>
      <c r="B56">
        <v>79</v>
      </c>
      <c r="F56">
        <v>1</v>
      </c>
      <c r="I56">
        <v>1</v>
      </c>
      <c r="O56">
        <v>1</v>
      </c>
      <c r="U56">
        <v>1</v>
      </c>
      <c r="X56">
        <v>1</v>
      </c>
      <c r="AA56">
        <v>1</v>
      </c>
      <c r="AD56">
        <v>1</v>
      </c>
      <c r="AS56">
        <v>1</v>
      </c>
      <c r="AV56">
        <v>1</v>
      </c>
      <c r="AY56">
        <v>1</v>
      </c>
      <c r="BE56">
        <v>1</v>
      </c>
      <c r="BK56">
        <v>1</v>
      </c>
      <c r="BN56">
        <v>1</v>
      </c>
      <c r="BQ56">
        <v>1</v>
      </c>
      <c r="BT56">
        <v>1</v>
      </c>
      <c r="BW56">
        <v>1</v>
      </c>
      <c r="CI56">
        <v>1</v>
      </c>
      <c r="CK56">
        <f>SUM(C___MATRIX[[#This Row],[1]:[84]])</f>
        <v>17</v>
      </c>
    </row>
    <row r="57" spans="1:89" x14ac:dyDescent="0.25">
      <c r="A57" t="s">
        <v>20</v>
      </c>
      <c r="B57">
        <v>81</v>
      </c>
      <c r="E57">
        <v>1</v>
      </c>
      <c r="H57">
        <v>1</v>
      </c>
      <c r="L57">
        <v>1</v>
      </c>
      <c r="O57">
        <v>1</v>
      </c>
      <c r="R57">
        <v>1</v>
      </c>
      <c r="X57">
        <v>1</v>
      </c>
      <c r="Z57">
        <v>1</v>
      </c>
      <c r="AC57">
        <v>1</v>
      </c>
      <c r="AJ57">
        <v>1</v>
      </c>
      <c r="AM57">
        <v>1</v>
      </c>
      <c r="AP57">
        <v>1</v>
      </c>
      <c r="AS57">
        <v>1</v>
      </c>
      <c r="AU57">
        <v>1</v>
      </c>
      <c r="AX57">
        <v>1</v>
      </c>
      <c r="BE57">
        <v>1</v>
      </c>
      <c r="BH57">
        <v>1</v>
      </c>
      <c r="BK57">
        <v>1</v>
      </c>
      <c r="BN57">
        <v>1</v>
      </c>
      <c r="BP57">
        <v>1</v>
      </c>
      <c r="BS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24</v>
      </c>
    </row>
    <row r="58" spans="1:89" x14ac:dyDescent="0.25">
      <c r="A58" t="s">
        <v>20</v>
      </c>
      <c r="B58">
        <v>82</v>
      </c>
      <c r="C58">
        <v>84</v>
      </c>
      <c r="D58">
        <v>20</v>
      </c>
      <c r="F58">
        <v>1</v>
      </c>
      <c r="I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I58">
        <v>1</v>
      </c>
      <c r="AL58">
        <v>1</v>
      </c>
      <c r="AO58">
        <v>1</v>
      </c>
      <c r="AR58">
        <v>1</v>
      </c>
      <c r="AU58">
        <v>1</v>
      </c>
      <c r="AX58">
        <v>1</v>
      </c>
      <c r="BB58">
        <v>1</v>
      </c>
      <c r="BD58">
        <v>1</v>
      </c>
      <c r="BL58">
        <v>1</v>
      </c>
      <c r="BO58">
        <v>1</v>
      </c>
      <c r="BR58">
        <v>1</v>
      </c>
      <c r="BS58">
        <v>1</v>
      </c>
      <c r="BW58">
        <v>1</v>
      </c>
      <c r="BZ58">
        <v>1</v>
      </c>
      <c r="CC58">
        <v>1</v>
      </c>
      <c r="CF58">
        <v>1</v>
      </c>
      <c r="CH58">
        <v>1</v>
      </c>
      <c r="CK58">
        <f>SUM(C___MATRIX[[#This Row],[1]:[84]])</f>
        <v>26</v>
      </c>
    </row>
    <row r="59" spans="1:89" x14ac:dyDescent="0.25">
      <c r="A59" t="s">
        <v>20</v>
      </c>
      <c r="B59">
        <v>83</v>
      </c>
      <c r="E59">
        <v>1</v>
      </c>
      <c r="H59">
        <v>1</v>
      </c>
      <c r="K59">
        <v>1</v>
      </c>
      <c r="T59">
        <v>1</v>
      </c>
      <c r="W59">
        <v>1</v>
      </c>
      <c r="AF59">
        <v>1</v>
      </c>
      <c r="AR59">
        <v>1</v>
      </c>
      <c r="AU59">
        <v>1</v>
      </c>
      <c r="AX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BY59">
        <v>1</v>
      </c>
      <c r="CB59">
        <v>1</v>
      </c>
      <c r="CE59">
        <v>1</v>
      </c>
      <c r="CK59">
        <f>SUM(C___MATRIX[[#This Row],[1]:[84]])</f>
        <v>20</v>
      </c>
    </row>
    <row r="60" spans="1:89" x14ac:dyDescent="0.25">
      <c r="A60" t="s">
        <v>20</v>
      </c>
      <c r="B60">
        <v>84</v>
      </c>
      <c r="C60">
        <v>16</v>
      </c>
      <c r="D60">
        <v>16</v>
      </c>
      <c r="G60">
        <v>1</v>
      </c>
      <c r="J60">
        <v>1</v>
      </c>
      <c r="M60">
        <v>1</v>
      </c>
      <c r="N60">
        <v>1</v>
      </c>
      <c r="S60">
        <v>1</v>
      </c>
      <c r="V60">
        <v>1</v>
      </c>
      <c r="Y60">
        <v>1</v>
      </c>
      <c r="AB60">
        <v>1</v>
      </c>
      <c r="AE60">
        <v>1</v>
      </c>
      <c r="AI60">
        <v>1</v>
      </c>
      <c r="AL60">
        <v>1</v>
      </c>
      <c r="AO60">
        <v>1</v>
      </c>
      <c r="AR60">
        <v>1</v>
      </c>
      <c r="AW60">
        <v>1</v>
      </c>
      <c r="AZ60">
        <v>1</v>
      </c>
      <c r="BD60">
        <v>1</v>
      </c>
      <c r="BL60">
        <v>1</v>
      </c>
      <c r="BR60">
        <v>1</v>
      </c>
      <c r="BY60">
        <v>1</v>
      </c>
      <c r="CB60">
        <v>1</v>
      </c>
      <c r="CK60">
        <f>SUM(C___MATRIX[[#This Row],[1]:[84]])</f>
        <v>20</v>
      </c>
    </row>
    <row r="61" spans="1:89" x14ac:dyDescent="0.25">
      <c r="A61" t="s">
        <v>20</v>
      </c>
      <c r="B61">
        <v>86</v>
      </c>
      <c r="H61">
        <v>1</v>
      </c>
      <c r="K61">
        <v>1</v>
      </c>
      <c r="N61">
        <v>1</v>
      </c>
      <c r="W61">
        <v>1</v>
      </c>
      <c r="AC61">
        <v>1</v>
      </c>
      <c r="AF61">
        <v>1</v>
      </c>
      <c r="AI61">
        <v>1</v>
      </c>
      <c r="AX61">
        <v>1</v>
      </c>
      <c r="BA61">
        <v>1</v>
      </c>
      <c r="BD61">
        <v>1</v>
      </c>
      <c r="BP61">
        <v>1</v>
      </c>
      <c r="BS61">
        <v>1</v>
      </c>
      <c r="CK61">
        <f>SUM(C___MATRIX[[#This Row],[1]:[84]])</f>
        <v>12</v>
      </c>
    </row>
    <row r="62" spans="1:89" x14ac:dyDescent="0.25">
      <c r="A62" t="s">
        <v>20</v>
      </c>
      <c r="B62">
        <v>87</v>
      </c>
      <c r="F62">
        <v>1</v>
      </c>
      <c r="R62">
        <v>1</v>
      </c>
      <c r="U62">
        <v>1</v>
      </c>
      <c r="X62">
        <v>1</v>
      </c>
      <c r="AD62">
        <v>1</v>
      </c>
      <c r="AJ62">
        <v>1</v>
      </c>
      <c r="AS62">
        <v>1</v>
      </c>
      <c r="BE62">
        <v>1</v>
      </c>
      <c r="BN62">
        <v>1</v>
      </c>
      <c r="BQ62">
        <v>1</v>
      </c>
      <c r="CI62">
        <v>1</v>
      </c>
      <c r="CK62">
        <f>SUM(C___MATRIX[[#This Row],[1]:[84]])</f>
        <v>11</v>
      </c>
    </row>
    <row r="63" spans="1:89" x14ac:dyDescent="0.25">
      <c r="A63" t="s">
        <v>20</v>
      </c>
      <c r="B63">
        <v>88</v>
      </c>
      <c r="CK63">
        <f>SUM(C___MATRIX[[#This Row],[1]:[84]])</f>
        <v>0</v>
      </c>
    </row>
    <row r="64" spans="1:89" x14ac:dyDescent="0.25">
      <c r="A64" t="s">
        <v>20</v>
      </c>
      <c r="B64">
        <v>89</v>
      </c>
      <c r="E64">
        <v>1</v>
      </c>
      <c r="I64">
        <v>1</v>
      </c>
      <c r="K64">
        <v>1</v>
      </c>
      <c r="N64">
        <v>1</v>
      </c>
      <c r="X64">
        <v>1</v>
      </c>
      <c r="Z64">
        <v>1</v>
      </c>
      <c r="AC64">
        <v>1</v>
      </c>
      <c r="AG64">
        <v>1</v>
      </c>
      <c r="AL64">
        <v>1</v>
      </c>
      <c r="AO64">
        <v>1</v>
      </c>
      <c r="AR64">
        <v>1</v>
      </c>
      <c r="AV64">
        <v>1</v>
      </c>
      <c r="AX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S64">
        <v>1</v>
      </c>
      <c r="BY64">
        <v>1</v>
      </c>
      <c r="CB64">
        <v>1</v>
      </c>
      <c r="CE64">
        <v>1</v>
      </c>
      <c r="CK64">
        <f>SUM(C___MATRIX[[#This Row],[1]:[84]])</f>
        <v>22</v>
      </c>
    </row>
    <row r="65" spans="1:89" x14ac:dyDescent="0.25">
      <c r="A65" t="s">
        <v>20</v>
      </c>
      <c r="B65">
        <v>95</v>
      </c>
      <c r="CK65">
        <f>SUM(C___MATRIX[[#This Row],[1]:[84]])</f>
        <v>0</v>
      </c>
    </row>
    <row r="66" spans="1:89" x14ac:dyDescent="0.25">
      <c r="A66" t="s">
        <v>20</v>
      </c>
      <c r="B66">
        <v>99</v>
      </c>
      <c r="CK66">
        <f>SUM(C___MATRIX[[#This Row],[1]:[84]])</f>
        <v>0</v>
      </c>
    </row>
    <row r="67" spans="1:89" x14ac:dyDescent="0.25">
      <c r="A67" t="s">
        <v>20</v>
      </c>
      <c r="B67">
        <v>104</v>
      </c>
      <c r="CK67">
        <f>SUM(C___MATRIX[[#This Row],[1]:[84]])</f>
        <v>0</v>
      </c>
    </row>
    <row r="68" spans="1:89" x14ac:dyDescent="0.25">
      <c r="A68" t="s">
        <v>20</v>
      </c>
      <c r="B68">
        <v>106</v>
      </c>
      <c r="CK68">
        <f>SUM(C___MATRIX[[#This Row],[1]:[84]])</f>
        <v>0</v>
      </c>
    </row>
    <row r="69" spans="1:89" x14ac:dyDescent="0.25">
      <c r="A69" t="s">
        <v>20</v>
      </c>
      <c r="B69">
        <v>108</v>
      </c>
      <c r="CK69">
        <f>SUM(C___MATRIX[[#This Row],[1]:[84]])</f>
        <v>0</v>
      </c>
    </row>
    <row r="70" spans="1:89" x14ac:dyDescent="0.25">
      <c r="A70" t="s">
        <v>20</v>
      </c>
      <c r="B70">
        <v>113</v>
      </c>
      <c r="CK70">
        <f>SUM(C___MATRIX[[#This Row],[1]:[84]])</f>
        <v>0</v>
      </c>
    </row>
    <row r="71" spans="1:89" x14ac:dyDescent="0.25">
      <c r="E71">
        <f>SUBTOTAL(109,C___MATRIX[1])</f>
        <v>19</v>
      </c>
      <c r="F71">
        <f>SUBTOTAL(109,C___MATRIX[2])</f>
        <v>14</v>
      </c>
      <c r="G71">
        <f>SUBTOTAL(109,C___MATRIX[3])</f>
        <v>5</v>
      </c>
      <c r="H71">
        <f>SUBTOTAL(109,C___MATRIX[4])</f>
        <v>18</v>
      </c>
      <c r="I71">
        <f>SUBTOTAL(109,C___MATRIX[5])</f>
        <v>16</v>
      </c>
      <c r="J71">
        <f>SUBTOTAL(109,C___MATRIX[6])</f>
        <v>5</v>
      </c>
      <c r="K71">
        <f>SUBTOTAL(109,C___MATRIX[7])</f>
        <v>17</v>
      </c>
      <c r="L71">
        <f>SUBTOTAL(109,C___MATRIX[8])</f>
        <v>12</v>
      </c>
      <c r="M71">
        <f>SUBTOTAL(109,C___MATRIX[9])</f>
        <v>4</v>
      </c>
      <c r="N71">
        <f>SUBTOTAL(109,C___MATRIX[10])</f>
        <v>22</v>
      </c>
      <c r="O71">
        <f>SUBTOTAL(109,C___MATRIX[11])</f>
        <v>14</v>
      </c>
      <c r="P71">
        <f>SUBTOTAL(109,C___MATRIX[12])</f>
        <v>4</v>
      </c>
      <c r="Q71">
        <f>SUBTOTAL(109,C___MATRIX[13])</f>
        <v>19</v>
      </c>
      <c r="R71">
        <f>SUBTOTAL(109,C___MATRIX[14])</f>
        <v>13</v>
      </c>
      <c r="S71">
        <f>SUBTOTAL(109,C___MATRIX[15])</f>
        <v>4</v>
      </c>
      <c r="T71">
        <f>SUBTOTAL(109,C___MATRIX[16])</f>
        <v>16</v>
      </c>
      <c r="U71">
        <f>SUBTOTAL(109,C___MATRIX[17])</f>
        <v>11</v>
      </c>
      <c r="V71">
        <f>SUBTOTAL(109,C___MATRIX[18])</f>
        <v>5</v>
      </c>
      <c r="W71">
        <f>SUBTOTAL(109,C___MATRIX[19])</f>
        <v>11</v>
      </c>
      <c r="X71">
        <f>SUBTOTAL(109,C___MATRIX[20])</f>
        <v>12</v>
      </c>
      <c r="Y71">
        <f>SUBTOTAL(109,C___MATRIX[21])</f>
        <v>5</v>
      </c>
      <c r="Z71">
        <f>SUBTOTAL(109,C___MATRIX[22])</f>
        <v>19</v>
      </c>
      <c r="AA71">
        <f>SUBTOTAL(109,C___MATRIX[23])</f>
        <v>11</v>
      </c>
      <c r="AB71">
        <f>SUBTOTAL(109,C___MATRIX[24])</f>
        <v>5</v>
      </c>
      <c r="AC71">
        <f>SUBTOTAL(109,C___MATRIX[25])</f>
        <v>18</v>
      </c>
      <c r="AD71">
        <f>SUBTOTAL(109,C___MATRIX[26])</f>
        <v>11</v>
      </c>
      <c r="AE71">
        <f>SUBTOTAL(109,C___MATRIX[27])</f>
        <v>4</v>
      </c>
      <c r="AF71">
        <f>SUBTOTAL(109,C___MATRIX[28])</f>
        <v>19</v>
      </c>
      <c r="AG71">
        <f>SUBTOTAL(109,C___MATRIX[29])</f>
        <v>11</v>
      </c>
      <c r="AH71">
        <f>SUBTOTAL(109,C___MATRIX[30])</f>
        <v>4</v>
      </c>
      <c r="AI71">
        <f>SUBTOTAL(109,C___MATRIX[31])</f>
        <v>19</v>
      </c>
      <c r="AJ71">
        <f>SUBTOTAL(109,C___MATRIX[32])</f>
        <v>12</v>
      </c>
      <c r="AK71">
        <f>SUBTOTAL(109,C___MATRIX[33])</f>
        <v>5</v>
      </c>
      <c r="AL71">
        <f>SUBTOTAL(109,C___MATRIX[34])</f>
        <v>20</v>
      </c>
      <c r="AM71">
        <f>SUBTOTAL(109,C___MATRIX[35])</f>
        <v>12</v>
      </c>
      <c r="AN71">
        <f>SUBTOTAL(109,C___MATRIX[36])</f>
        <v>4</v>
      </c>
      <c r="AO71">
        <f>SUBTOTAL(109,C___MATRIX[37])</f>
        <v>17</v>
      </c>
      <c r="AP71">
        <f>SUBTOTAL(109,C___MATRIX[38])</f>
        <v>9</v>
      </c>
      <c r="AQ71">
        <f>SUBTOTAL(109,C___MATRIX[39])</f>
        <v>5</v>
      </c>
      <c r="AR71">
        <f>SUBTOTAL(109,C___MATRIX[40])</f>
        <v>20</v>
      </c>
      <c r="AS71">
        <f>SUBTOTAL(109,C___MATRIX[41])</f>
        <v>11</v>
      </c>
      <c r="AT71">
        <f>SUBTOTAL(109,C___MATRIX[42])</f>
        <v>6</v>
      </c>
      <c r="AU71">
        <f>SUBTOTAL(109,C___MATRIX[43])</f>
        <v>12</v>
      </c>
      <c r="AV71">
        <f>SUBTOTAL(109,C___MATRIX[44])</f>
        <v>11</v>
      </c>
      <c r="AW71">
        <f>SUBTOTAL(109,C___MATRIX[45])</f>
        <v>4</v>
      </c>
      <c r="AX71">
        <f>SUBTOTAL(109,C___MATRIX[46])</f>
        <v>22</v>
      </c>
      <c r="AY71">
        <f>SUBTOTAL(109,C___MATRIX[47])</f>
        <v>12</v>
      </c>
      <c r="AZ71">
        <f>SUBTOTAL(109,C___MATRIX[48])</f>
        <v>5</v>
      </c>
      <c r="BA71">
        <f>SUBTOTAL(109,C___MATRIX[49])</f>
        <v>19</v>
      </c>
      <c r="BB71">
        <f>SUBTOTAL(109,C___MATRIX[50])</f>
        <v>9</v>
      </c>
      <c r="BC71">
        <f>SUBTOTAL(109,C___MATRIX[51])</f>
        <v>4</v>
      </c>
      <c r="BD71">
        <f>SUBTOTAL(109,C___MATRIX[52])</f>
        <v>21</v>
      </c>
      <c r="BE71">
        <f>SUBTOTAL(109,C___MATRIX[53])</f>
        <v>11</v>
      </c>
      <c r="BF71">
        <f>SUBTOTAL(109,C___MATRIX[54])</f>
        <v>4</v>
      </c>
      <c r="BG71">
        <f>SUBTOTAL(109,C___MATRIX[55])</f>
        <v>20</v>
      </c>
      <c r="BH71">
        <f>SUBTOTAL(109,C___MATRIX[56])</f>
        <v>11</v>
      </c>
      <c r="BI71">
        <f>SUBTOTAL(109,C___MATRIX[57])</f>
        <v>4</v>
      </c>
      <c r="BJ71">
        <f>SUBTOTAL(109,C___MATRIX[58])</f>
        <v>16</v>
      </c>
      <c r="BK71">
        <f>SUBTOTAL(109,C___MATRIX[59])</f>
        <v>11</v>
      </c>
      <c r="BL71">
        <f>SUBTOTAL(109,C___MATRIX[60])</f>
        <v>4</v>
      </c>
      <c r="BM71">
        <f>SUBTOTAL(109,C___MATRIX[61])</f>
        <v>11</v>
      </c>
      <c r="BN71">
        <f>SUBTOTAL(109,C___MATRIX[62])</f>
        <v>23</v>
      </c>
      <c r="BO71">
        <f>SUBTOTAL(109,C___MATRIX[63])</f>
        <v>4</v>
      </c>
      <c r="BP71">
        <f>SUBTOTAL(109,C___MATRIX[64])</f>
        <v>12</v>
      </c>
      <c r="BQ71">
        <f>SUBTOTAL(109,C___MATRIX[65])</f>
        <v>11</v>
      </c>
      <c r="BR71">
        <f>SUBTOTAL(109,C___MATRIX[66])</f>
        <v>4</v>
      </c>
      <c r="BS71">
        <f>SUBTOTAL(109,C___MATRIX[67])</f>
        <v>23</v>
      </c>
      <c r="BT71">
        <f>SUBTOTAL(109,C___MATRIX[68])</f>
        <v>11</v>
      </c>
      <c r="BU71">
        <f>SUBTOTAL(109,C___MATRIX[69])</f>
        <v>4</v>
      </c>
      <c r="BV71">
        <f>SUBTOTAL(109,C___MATRIX[70])</f>
        <v>17</v>
      </c>
      <c r="BW71">
        <f>SUBTOTAL(109,C___MATRIX[71])</f>
        <v>11</v>
      </c>
      <c r="BX71">
        <f>SUBTOTAL(109,C___MATRIX[72])</f>
        <v>4</v>
      </c>
      <c r="BY71">
        <f>SUBTOTAL(109,C___MATRIX[73])</f>
        <v>22</v>
      </c>
      <c r="BZ71">
        <f>SUBTOTAL(109,C___MATRIX[74])</f>
        <v>12</v>
      </c>
      <c r="CA71">
        <f>SUBTOTAL(109,C___MATRIX[75])</f>
        <v>5</v>
      </c>
      <c r="CB71">
        <f>SUBTOTAL(109,C___MATRIX[76])</f>
        <v>20</v>
      </c>
      <c r="CC71">
        <f>SUBTOTAL(109,C___MATRIX[77])</f>
        <v>12</v>
      </c>
      <c r="CD71">
        <f>SUBTOTAL(109,C___MATRIX[78])</f>
        <v>6</v>
      </c>
      <c r="CE71">
        <f>SUBTOTAL(109,C___MATRIX[79])</f>
        <v>15</v>
      </c>
      <c r="CF71">
        <f>SUBTOTAL(109,C___MATRIX[80])</f>
        <v>10</v>
      </c>
      <c r="CG71">
        <f>SUBTOTAL(109,C___MATRIX[81])</f>
        <v>5</v>
      </c>
      <c r="CH71">
        <f>SUBTOTAL(109,C___MATRIX[82])</f>
        <v>11</v>
      </c>
      <c r="CI71">
        <f>SUBTOTAL(109,C___MATRIX[83])</f>
        <v>9</v>
      </c>
      <c r="CJ71">
        <f>SUBTOTAL(109,C___MATRIX[84])</f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797"/>
  <sheetViews>
    <sheetView topLeftCell="A352" workbookViewId="0">
      <selection activeCell="D2" sqref="D2:D579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hidden="1" x14ac:dyDescent="0.25">
      <c r="A2" t="s">
        <v>20</v>
      </c>
      <c r="B2">
        <v>2</v>
      </c>
      <c r="C2">
        <v>1</v>
      </c>
      <c r="D2">
        <v>1</v>
      </c>
    </row>
    <row r="3" spans="1:6" hidden="1" x14ac:dyDescent="0.25">
      <c r="A3" t="s">
        <v>20</v>
      </c>
      <c r="B3">
        <v>2</v>
      </c>
      <c r="C3">
        <v>2</v>
      </c>
    </row>
    <row r="4" spans="1:6" hidden="1" x14ac:dyDescent="0.25">
      <c r="A4" t="s">
        <v>20</v>
      </c>
      <c r="B4">
        <v>2</v>
      </c>
      <c r="C4">
        <v>3</v>
      </c>
    </row>
    <row r="5" spans="1:6" hidden="1" x14ac:dyDescent="0.25">
      <c r="A5" t="s">
        <v>20</v>
      </c>
      <c r="B5">
        <v>2</v>
      </c>
      <c r="C5">
        <v>4</v>
      </c>
      <c r="D5">
        <v>1</v>
      </c>
    </row>
    <row r="6" spans="1:6" hidden="1" x14ac:dyDescent="0.25">
      <c r="A6" t="s">
        <v>20</v>
      </c>
      <c r="B6">
        <v>2</v>
      </c>
      <c r="C6">
        <v>5</v>
      </c>
    </row>
    <row r="7" spans="1:6" hidden="1" x14ac:dyDescent="0.25">
      <c r="A7" t="s">
        <v>20</v>
      </c>
      <c r="B7">
        <v>2</v>
      </c>
      <c r="C7">
        <v>6</v>
      </c>
    </row>
    <row r="8" spans="1:6" hidden="1" x14ac:dyDescent="0.25">
      <c r="A8" t="s">
        <v>20</v>
      </c>
      <c r="B8">
        <v>2</v>
      </c>
      <c r="C8">
        <v>7</v>
      </c>
      <c r="D8">
        <v>1</v>
      </c>
    </row>
    <row r="9" spans="1:6" hidden="1" x14ac:dyDescent="0.25">
      <c r="A9" t="s">
        <v>20</v>
      </c>
      <c r="B9">
        <v>4</v>
      </c>
      <c r="C9">
        <v>11</v>
      </c>
    </row>
    <row r="10" spans="1:6" hidden="1" x14ac:dyDescent="0.25">
      <c r="A10" t="s">
        <v>20</v>
      </c>
      <c r="B10">
        <v>4</v>
      </c>
      <c r="C10">
        <v>74</v>
      </c>
    </row>
    <row r="11" spans="1:6" hidden="1" x14ac:dyDescent="0.25">
      <c r="A11" t="s">
        <v>20</v>
      </c>
      <c r="B11">
        <v>4</v>
      </c>
      <c r="C11">
        <v>77</v>
      </c>
    </row>
    <row r="12" spans="1:6" hidden="1" x14ac:dyDescent="0.25">
      <c r="A12" t="s">
        <v>20</v>
      </c>
      <c r="B12">
        <v>4</v>
      </c>
      <c r="C12">
        <v>8</v>
      </c>
    </row>
    <row r="13" spans="1:6" hidden="1" x14ac:dyDescent="0.25">
      <c r="A13" t="s">
        <v>20</v>
      </c>
      <c r="B13">
        <v>4</v>
      </c>
      <c r="C13">
        <v>83</v>
      </c>
    </row>
    <row r="14" spans="1:6" hidden="1" x14ac:dyDescent="0.25">
      <c r="A14" t="s">
        <v>20</v>
      </c>
      <c r="B14">
        <v>4</v>
      </c>
      <c r="C14">
        <v>41</v>
      </c>
    </row>
    <row r="15" spans="1:6" hidden="1" x14ac:dyDescent="0.25">
      <c r="A15" t="s">
        <v>20</v>
      </c>
      <c r="B15">
        <v>4</v>
      </c>
      <c r="C15">
        <v>50</v>
      </c>
    </row>
    <row r="16" spans="1:6" hidden="1" x14ac:dyDescent="0.25">
      <c r="A16" t="s">
        <v>20</v>
      </c>
      <c r="B16">
        <v>2</v>
      </c>
      <c r="C16">
        <v>8</v>
      </c>
    </row>
    <row r="17" spans="1:4" hidden="1" x14ac:dyDescent="0.25">
      <c r="A17" t="s">
        <v>20</v>
      </c>
      <c r="B17">
        <v>4</v>
      </c>
      <c r="C17">
        <v>35</v>
      </c>
    </row>
    <row r="18" spans="1:4" hidden="1" x14ac:dyDescent="0.25">
      <c r="A18" t="s">
        <v>20</v>
      </c>
      <c r="B18">
        <v>2</v>
      </c>
      <c r="C18">
        <v>9</v>
      </c>
    </row>
    <row r="19" spans="1:4" hidden="1" x14ac:dyDescent="0.25">
      <c r="A19" t="s">
        <v>20</v>
      </c>
      <c r="B19">
        <v>4</v>
      </c>
      <c r="C19">
        <v>62</v>
      </c>
    </row>
    <row r="20" spans="1:4" hidden="1" x14ac:dyDescent="0.25">
      <c r="A20" t="s">
        <v>20</v>
      </c>
      <c r="B20">
        <v>2</v>
      </c>
      <c r="C20">
        <v>10</v>
      </c>
      <c r="D20">
        <v>1</v>
      </c>
    </row>
    <row r="21" spans="1:4" hidden="1" x14ac:dyDescent="0.25">
      <c r="A21" t="s">
        <v>20</v>
      </c>
      <c r="B21">
        <v>4</v>
      </c>
      <c r="C21">
        <v>32</v>
      </c>
    </row>
    <row r="22" spans="1:4" hidden="1" x14ac:dyDescent="0.25">
      <c r="A22" t="s">
        <v>20</v>
      </c>
      <c r="B22">
        <v>2</v>
      </c>
      <c r="C22">
        <v>11</v>
      </c>
    </row>
    <row r="23" spans="1:4" hidden="1" x14ac:dyDescent="0.25">
      <c r="A23" t="s">
        <v>20</v>
      </c>
      <c r="B23">
        <v>2</v>
      </c>
      <c r="C23">
        <v>12</v>
      </c>
    </row>
    <row r="24" spans="1:4" hidden="1" x14ac:dyDescent="0.25">
      <c r="A24" t="s">
        <v>20</v>
      </c>
      <c r="B24">
        <v>2</v>
      </c>
      <c r="C24">
        <v>13</v>
      </c>
      <c r="D24">
        <v>1</v>
      </c>
    </row>
    <row r="25" spans="1:4" hidden="1" x14ac:dyDescent="0.25">
      <c r="A25" t="s">
        <v>20</v>
      </c>
      <c r="B25">
        <v>2</v>
      </c>
      <c r="C25">
        <v>14</v>
      </c>
    </row>
    <row r="26" spans="1:4" hidden="1" x14ac:dyDescent="0.25">
      <c r="A26" t="s">
        <v>20</v>
      </c>
      <c r="B26">
        <v>2</v>
      </c>
      <c r="C26">
        <v>15</v>
      </c>
    </row>
    <row r="27" spans="1:4" hidden="1" x14ac:dyDescent="0.25">
      <c r="A27" t="s">
        <v>20</v>
      </c>
      <c r="B27">
        <v>2</v>
      </c>
      <c r="C27">
        <v>16</v>
      </c>
    </row>
    <row r="28" spans="1:4" hidden="1" x14ac:dyDescent="0.25">
      <c r="A28" t="s">
        <v>20</v>
      </c>
      <c r="B28">
        <v>2</v>
      </c>
      <c r="C28">
        <v>17</v>
      </c>
    </row>
    <row r="29" spans="1:4" hidden="1" x14ac:dyDescent="0.25">
      <c r="A29" t="s">
        <v>20</v>
      </c>
      <c r="B29">
        <v>2</v>
      </c>
      <c r="C29">
        <v>18</v>
      </c>
    </row>
    <row r="30" spans="1:4" hidden="1" x14ac:dyDescent="0.25">
      <c r="A30" t="s">
        <v>20</v>
      </c>
      <c r="B30">
        <v>2</v>
      </c>
      <c r="C30">
        <v>19</v>
      </c>
    </row>
    <row r="31" spans="1:4" hidden="1" x14ac:dyDescent="0.25">
      <c r="A31" t="s">
        <v>20</v>
      </c>
      <c r="B31">
        <v>2</v>
      </c>
      <c r="C31">
        <v>20</v>
      </c>
    </row>
    <row r="32" spans="1:4" hidden="1" x14ac:dyDescent="0.25">
      <c r="A32" t="s">
        <v>20</v>
      </c>
      <c r="B32">
        <v>2</v>
      </c>
      <c r="C32">
        <v>21</v>
      </c>
    </row>
    <row r="33" spans="1:4" hidden="1" x14ac:dyDescent="0.25">
      <c r="A33" t="s">
        <v>20</v>
      </c>
      <c r="B33">
        <v>2</v>
      </c>
      <c r="C33">
        <v>22</v>
      </c>
      <c r="D33">
        <v>1</v>
      </c>
    </row>
    <row r="34" spans="1:4" hidden="1" x14ac:dyDescent="0.25">
      <c r="A34" t="s">
        <v>20</v>
      </c>
      <c r="B34">
        <v>2</v>
      </c>
      <c r="C34">
        <v>23</v>
      </c>
    </row>
    <row r="35" spans="1:4" hidden="1" x14ac:dyDescent="0.25">
      <c r="A35" t="s">
        <v>20</v>
      </c>
      <c r="B35">
        <v>2</v>
      </c>
      <c r="C35">
        <v>24</v>
      </c>
    </row>
    <row r="36" spans="1:4" hidden="1" x14ac:dyDescent="0.25">
      <c r="A36" t="s">
        <v>20</v>
      </c>
      <c r="B36">
        <v>2</v>
      </c>
      <c r="C36">
        <v>25</v>
      </c>
      <c r="D36">
        <v>1</v>
      </c>
    </row>
    <row r="37" spans="1:4" hidden="1" x14ac:dyDescent="0.25">
      <c r="A37" t="s">
        <v>20</v>
      </c>
      <c r="B37">
        <v>2</v>
      </c>
      <c r="C37">
        <v>26</v>
      </c>
    </row>
    <row r="38" spans="1:4" hidden="1" x14ac:dyDescent="0.25">
      <c r="A38" t="s">
        <v>20</v>
      </c>
      <c r="B38">
        <v>2</v>
      </c>
      <c r="C38">
        <v>27</v>
      </c>
    </row>
    <row r="39" spans="1:4" hidden="1" x14ac:dyDescent="0.25">
      <c r="A39" t="s">
        <v>20</v>
      </c>
      <c r="B39">
        <v>2</v>
      </c>
      <c r="C39">
        <v>28</v>
      </c>
      <c r="D39">
        <v>1</v>
      </c>
    </row>
    <row r="40" spans="1:4" hidden="1" x14ac:dyDescent="0.25">
      <c r="A40" t="s">
        <v>20</v>
      </c>
      <c r="B40">
        <v>2</v>
      </c>
      <c r="C40">
        <v>29</v>
      </c>
    </row>
    <row r="41" spans="1:4" hidden="1" x14ac:dyDescent="0.25">
      <c r="A41" t="s">
        <v>20</v>
      </c>
      <c r="B41">
        <v>2</v>
      </c>
      <c r="C41">
        <v>30</v>
      </c>
    </row>
    <row r="42" spans="1:4" hidden="1" x14ac:dyDescent="0.25">
      <c r="A42" t="s">
        <v>20</v>
      </c>
      <c r="B42">
        <v>2</v>
      </c>
      <c r="C42">
        <v>31</v>
      </c>
      <c r="D42">
        <v>1</v>
      </c>
    </row>
    <row r="43" spans="1:4" hidden="1" x14ac:dyDescent="0.25">
      <c r="A43" t="s">
        <v>20</v>
      </c>
      <c r="B43">
        <v>2</v>
      </c>
      <c r="C43">
        <v>32</v>
      </c>
    </row>
    <row r="44" spans="1:4" hidden="1" x14ac:dyDescent="0.25">
      <c r="A44" t="s">
        <v>20</v>
      </c>
      <c r="B44">
        <v>2</v>
      </c>
      <c r="C44">
        <v>33</v>
      </c>
    </row>
    <row r="45" spans="1:4" hidden="1" x14ac:dyDescent="0.25">
      <c r="A45" t="s">
        <v>20</v>
      </c>
      <c r="B45">
        <v>2</v>
      </c>
      <c r="C45">
        <v>34</v>
      </c>
      <c r="D45">
        <v>1</v>
      </c>
    </row>
    <row r="46" spans="1:4" hidden="1" x14ac:dyDescent="0.25">
      <c r="A46" t="s">
        <v>20</v>
      </c>
      <c r="B46">
        <v>2</v>
      </c>
      <c r="C46">
        <v>35</v>
      </c>
    </row>
    <row r="47" spans="1:4" hidden="1" x14ac:dyDescent="0.25">
      <c r="A47" t="s">
        <v>20</v>
      </c>
      <c r="B47">
        <v>4</v>
      </c>
      <c r="C47">
        <v>20</v>
      </c>
    </row>
    <row r="48" spans="1:4" hidden="1" x14ac:dyDescent="0.25">
      <c r="A48" t="s">
        <v>20</v>
      </c>
      <c r="B48">
        <v>2</v>
      </c>
      <c r="C48">
        <v>36</v>
      </c>
    </row>
    <row r="49" spans="1:4" hidden="1" x14ac:dyDescent="0.25">
      <c r="A49" t="s">
        <v>20</v>
      </c>
      <c r="B49">
        <v>2</v>
      </c>
      <c r="C49">
        <v>37</v>
      </c>
      <c r="D49">
        <v>1</v>
      </c>
    </row>
    <row r="50" spans="1:4" hidden="1" x14ac:dyDescent="0.25">
      <c r="A50" t="s">
        <v>20</v>
      </c>
      <c r="B50">
        <v>2</v>
      </c>
      <c r="C50">
        <v>38</v>
      </c>
    </row>
    <row r="51" spans="1:4" hidden="1" x14ac:dyDescent="0.25">
      <c r="A51" t="s">
        <v>20</v>
      </c>
      <c r="B51">
        <v>2</v>
      </c>
      <c r="C51">
        <v>39</v>
      </c>
    </row>
    <row r="52" spans="1:4" hidden="1" x14ac:dyDescent="0.25">
      <c r="A52" t="s">
        <v>20</v>
      </c>
      <c r="B52">
        <v>2</v>
      </c>
      <c r="C52">
        <v>40</v>
      </c>
      <c r="D52">
        <v>1</v>
      </c>
    </row>
    <row r="53" spans="1:4" hidden="1" x14ac:dyDescent="0.25">
      <c r="A53" t="s">
        <v>20</v>
      </c>
      <c r="B53">
        <v>2</v>
      </c>
      <c r="C53">
        <v>41</v>
      </c>
    </row>
    <row r="54" spans="1:4" hidden="1" x14ac:dyDescent="0.25">
      <c r="A54" t="s">
        <v>20</v>
      </c>
      <c r="B54">
        <v>2</v>
      </c>
      <c r="C54">
        <v>42</v>
      </c>
    </row>
    <row r="55" spans="1:4" hidden="1" x14ac:dyDescent="0.25">
      <c r="A55" t="s">
        <v>20</v>
      </c>
      <c r="B55">
        <v>2</v>
      </c>
      <c r="C55">
        <v>43</v>
      </c>
    </row>
    <row r="56" spans="1:4" hidden="1" x14ac:dyDescent="0.25">
      <c r="A56" t="s">
        <v>20</v>
      </c>
      <c r="B56">
        <v>2</v>
      </c>
      <c r="C56">
        <v>44</v>
      </c>
    </row>
    <row r="57" spans="1:4" hidden="1" x14ac:dyDescent="0.25">
      <c r="A57" t="s">
        <v>20</v>
      </c>
      <c r="B57">
        <v>2</v>
      </c>
      <c r="C57">
        <v>45</v>
      </c>
    </row>
    <row r="58" spans="1:4" hidden="1" x14ac:dyDescent="0.25">
      <c r="A58" t="s">
        <v>20</v>
      </c>
      <c r="B58">
        <v>2</v>
      </c>
      <c r="C58">
        <v>46</v>
      </c>
      <c r="D58">
        <v>1</v>
      </c>
    </row>
    <row r="59" spans="1:4" hidden="1" x14ac:dyDescent="0.25">
      <c r="A59" t="s">
        <v>20</v>
      </c>
      <c r="B59">
        <v>2</v>
      </c>
      <c r="C59">
        <v>47</v>
      </c>
    </row>
    <row r="60" spans="1:4" hidden="1" x14ac:dyDescent="0.25">
      <c r="A60" t="s">
        <v>20</v>
      </c>
      <c r="B60">
        <v>2</v>
      </c>
      <c r="C60">
        <v>48</v>
      </c>
    </row>
    <row r="61" spans="1:4" hidden="1" x14ac:dyDescent="0.25">
      <c r="A61" t="s">
        <v>20</v>
      </c>
      <c r="B61">
        <v>2</v>
      </c>
      <c r="C61">
        <v>49</v>
      </c>
      <c r="D61">
        <v>1</v>
      </c>
    </row>
    <row r="62" spans="1:4" hidden="1" x14ac:dyDescent="0.25">
      <c r="A62" t="s">
        <v>20</v>
      </c>
      <c r="B62">
        <v>2</v>
      </c>
      <c r="C62">
        <v>50</v>
      </c>
    </row>
    <row r="63" spans="1:4" hidden="1" x14ac:dyDescent="0.25">
      <c r="A63" t="s">
        <v>20</v>
      </c>
      <c r="B63">
        <v>2</v>
      </c>
      <c r="C63">
        <v>51</v>
      </c>
    </row>
    <row r="64" spans="1:4" hidden="1" x14ac:dyDescent="0.25">
      <c r="A64" t="s">
        <v>20</v>
      </c>
      <c r="B64">
        <v>2</v>
      </c>
      <c r="C64">
        <v>52</v>
      </c>
      <c r="D64">
        <v>1</v>
      </c>
    </row>
    <row r="65" spans="1:4" hidden="1" x14ac:dyDescent="0.25">
      <c r="A65" t="s">
        <v>20</v>
      </c>
      <c r="B65">
        <v>2</v>
      </c>
      <c r="C65">
        <v>53</v>
      </c>
    </row>
    <row r="66" spans="1:4" hidden="1" x14ac:dyDescent="0.25">
      <c r="A66" t="s">
        <v>20</v>
      </c>
      <c r="B66">
        <v>4</v>
      </c>
      <c r="C66">
        <v>29</v>
      </c>
    </row>
    <row r="67" spans="1:4" hidden="1" x14ac:dyDescent="0.25">
      <c r="A67" t="s">
        <v>20</v>
      </c>
      <c r="B67">
        <v>2</v>
      </c>
      <c r="C67">
        <v>54</v>
      </c>
    </row>
    <row r="68" spans="1:4" hidden="1" x14ac:dyDescent="0.25">
      <c r="A68" t="s">
        <v>20</v>
      </c>
      <c r="B68">
        <v>2</v>
      </c>
      <c r="C68">
        <v>55</v>
      </c>
      <c r="D68">
        <v>1</v>
      </c>
    </row>
    <row r="69" spans="1:4" hidden="1" x14ac:dyDescent="0.25">
      <c r="A69" t="s">
        <v>20</v>
      </c>
      <c r="B69">
        <v>2</v>
      </c>
      <c r="C69">
        <v>56</v>
      </c>
    </row>
    <row r="70" spans="1:4" hidden="1" x14ac:dyDescent="0.25">
      <c r="A70" t="s">
        <v>20</v>
      </c>
      <c r="B70">
        <v>2</v>
      </c>
      <c r="C70">
        <v>57</v>
      </c>
    </row>
    <row r="71" spans="1:4" hidden="1" x14ac:dyDescent="0.25">
      <c r="A71" t="s">
        <v>20</v>
      </c>
      <c r="B71">
        <v>2</v>
      </c>
      <c r="C71">
        <v>58</v>
      </c>
    </row>
    <row r="72" spans="1:4" hidden="1" x14ac:dyDescent="0.25">
      <c r="A72" t="s">
        <v>20</v>
      </c>
      <c r="B72">
        <v>2</v>
      </c>
      <c r="C72">
        <v>59</v>
      </c>
    </row>
    <row r="73" spans="1:4" hidden="1" x14ac:dyDescent="0.25">
      <c r="A73" t="s">
        <v>20</v>
      </c>
      <c r="B73">
        <v>2</v>
      </c>
      <c r="C73">
        <v>60</v>
      </c>
    </row>
    <row r="74" spans="1:4" hidden="1" x14ac:dyDescent="0.25">
      <c r="A74" t="s">
        <v>20</v>
      </c>
      <c r="B74">
        <v>2</v>
      </c>
      <c r="C74">
        <v>61</v>
      </c>
    </row>
    <row r="75" spans="1:4" hidden="1" x14ac:dyDescent="0.25">
      <c r="A75" t="s">
        <v>20</v>
      </c>
      <c r="B75">
        <v>2</v>
      </c>
      <c r="C75">
        <v>62</v>
      </c>
      <c r="D75">
        <v>1</v>
      </c>
    </row>
    <row r="76" spans="1:4" hidden="1" x14ac:dyDescent="0.25">
      <c r="A76" t="s">
        <v>20</v>
      </c>
      <c r="B76">
        <v>2</v>
      </c>
      <c r="C76">
        <v>63</v>
      </c>
    </row>
    <row r="77" spans="1:4" hidden="1" x14ac:dyDescent="0.25">
      <c r="A77" t="s">
        <v>20</v>
      </c>
      <c r="B77">
        <v>2</v>
      </c>
      <c r="C77">
        <v>64</v>
      </c>
      <c r="D77">
        <v>1</v>
      </c>
    </row>
    <row r="78" spans="1:4" hidden="1" x14ac:dyDescent="0.25">
      <c r="A78" t="s">
        <v>20</v>
      </c>
      <c r="B78">
        <v>2</v>
      </c>
      <c r="C78">
        <v>65</v>
      </c>
    </row>
    <row r="79" spans="1:4" hidden="1" x14ac:dyDescent="0.25">
      <c r="A79" t="s">
        <v>20</v>
      </c>
      <c r="B79">
        <v>2</v>
      </c>
      <c r="C79">
        <v>66</v>
      </c>
    </row>
    <row r="80" spans="1:4" hidden="1" x14ac:dyDescent="0.25">
      <c r="A80" t="s">
        <v>20</v>
      </c>
      <c r="B80">
        <v>2</v>
      </c>
      <c r="C80">
        <v>67</v>
      </c>
      <c r="D80">
        <v>1</v>
      </c>
    </row>
    <row r="81" spans="1:4" hidden="1" x14ac:dyDescent="0.25">
      <c r="A81" t="s">
        <v>20</v>
      </c>
      <c r="B81">
        <v>2</v>
      </c>
      <c r="C81">
        <v>68</v>
      </c>
    </row>
    <row r="82" spans="1:4" hidden="1" x14ac:dyDescent="0.25">
      <c r="A82" t="s">
        <v>20</v>
      </c>
      <c r="B82">
        <v>2</v>
      </c>
      <c r="C82">
        <v>69</v>
      </c>
    </row>
    <row r="83" spans="1:4" hidden="1" x14ac:dyDescent="0.25">
      <c r="A83" t="s">
        <v>20</v>
      </c>
      <c r="B83">
        <v>2</v>
      </c>
      <c r="C83">
        <v>70</v>
      </c>
    </row>
    <row r="84" spans="1:4" hidden="1" x14ac:dyDescent="0.25">
      <c r="A84" t="s">
        <v>20</v>
      </c>
      <c r="B84">
        <v>2</v>
      </c>
      <c r="C84">
        <v>71</v>
      </c>
    </row>
    <row r="85" spans="1:4" hidden="1" x14ac:dyDescent="0.25">
      <c r="A85" t="s">
        <v>20</v>
      </c>
      <c r="B85">
        <v>2</v>
      </c>
      <c r="C85">
        <v>72</v>
      </c>
    </row>
    <row r="86" spans="1:4" hidden="1" x14ac:dyDescent="0.25">
      <c r="A86" t="s">
        <v>20</v>
      </c>
      <c r="B86">
        <v>2</v>
      </c>
      <c r="C86">
        <v>73</v>
      </c>
      <c r="D86">
        <v>1</v>
      </c>
    </row>
    <row r="87" spans="1:4" hidden="1" x14ac:dyDescent="0.25">
      <c r="A87" t="s">
        <v>20</v>
      </c>
      <c r="B87">
        <v>2</v>
      </c>
      <c r="C87">
        <v>74</v>
      </c>
    </row>
    <row r="88" spans="1:4" hidden="1" x14ac:dyDescent="0.25">
      <c r="A88" t="s">
        <v>20</v>
      </c>
      <c r="B88">
        <v>2</v>
      </c>
      <c r="C88">
        <v>75</v>
      </c>
    </row>
    <row r="89" spans="1:4" hidden="1" x14ac:dyDescent="0.25">
      <c r="A89" t="s">
        <v>20</v>
      </c>
      <c r="B89">
        <v>2</v>
      </c>
      <c r="C89">
        <v>76</v>
      </c>
      <c r="D89">
        <v>1</v>
      </c>
    </row>
    <row r="90" spans="1:4" hidden="1" x14ac:dyDescent="0.25">
      <c r="A90" t="s">
        <v>20</v>
      </c>
      <c r="B90">
        <v>2</v>
      </c>
      <c r="C90">
        <v>77</v>
      </c>
    </row>
    <row r="91" spans="1:4" hidden="1" x14ac:dyDescent="0.25">
      <c r="A91" t="s">
        <v>20</v>
      </c>
      <c r="B91">
        <v>2</v>
      </c>
      <c r="C91">
        <v>78</v>
      </c>
    </row>
    <row r="92" spans="1:4" hidden="1" x14ac:dyDescent="0.25">
      <c r="A92" t="s">
        <v>20</v>
      </c>
      <c r="B92">
        <v>2</v>
      </c>
      <c r="C92">
        <v>79</v>
      </c>
    </row>
    <row r="93" spans="1:4" hidden="1" x14ac:dyDescent="0.25">
      <c r="A93" t="s">
        <v>20</v>
      </c>
      <c r="B93">
        <v>2</v>
      </c>
      <c r="C93">
        <v>80</v>
      </c>
    </row>
    <row r="94" spans="1:4" hidden="1" x14ac:dyDescent="0.25">
      <c r="A94" t="s">
        <v>20</v>
      </c>
      <c r="B94">
        <v>2</v>
      </c>
      <c r="C94">
        <v>81</v>
      </c>
    </row>
    <row r="95" spans="1:4" hidden="1" x14ac:dyDescent="0.25">
      <c r="A95" t="s">
        <v>20</v>
      </c>
      <c r="B95">
        <v>2</v>
      </c>
      <c r="C95">
        <v>82</v>
      </c>
    </row>
    <row r="96" spans="1:4" hidden="1" x14ac:dyDescent="0.25">
      <c r="A96" t="s">
        <v>20</v>
      </c>
      <c r="B96">
        <v>2</v>
      </c>
      <c r="C96">
        <v>83</v>
      </c>
    </row>
    <row r="97" spans="1:4" hidden="1" x14ac:dyDescent="0.25">
      <c r="A97" t="s">
        <v>20</v>
      </c>
      <c r="B97">
        <v>2</v>
      </c>
      <c r="C97">
        <v>84</v>
      </c>
    </row>
    <row r="98" spans="1:4" hidden="1" x14ac:dyDescent="0.25">
      <c r="A98" t="s">
        <v>20</v>
      </c>
      <c r="B98">
        <v>4</v>
      </c>
      <c r="C98">
        <v>1</v>
      </c>
    </row>
    <row r="99" spans="1:4" hidden="1" x14ac:dyDescent="0.25">
      <c r="A99" t="s">
        <v>20</v>
      </c>
      <c r="B99">
        <v>4</v>
      </c>
      <c r="C99">
        <v>2</v>
      </c>
      <c r="D99">
        <v>1</v>
      </c>
    </row>
    <row r="100" spans="1:4" hidden="1" x14ac:dyDescent="0.25">
      <c r="A100" t="s">
        <v>20</v>
      </c>
      <c r="B100">
        <v>4</v>
      </c>
      <c r="C100">
        <v>3</v>
      </c>
    </row>
    <row r="101" spans="1:4" hidden="1" x14ac:dyDescent="0.25">
      <c r="A101" t="s">
        <v>20</v>
      </c>
      <c r="B101">
        <v>4</v>
      </c>
      <c r="C101">
        <v>4</v>
      </c>
    </row>
    <row r="102" spans="1:4" hidden="1" x14ac:dyDescent="0.25">
      <c r="A102" t="s">
        <v>20</v>
      </c>
      <c r="B102">
        <v>4</v>
      </c>
      <c r="C102">
        <v>5</v>
      </c>
      <c r="D102">
        <v>1</v>
      </c>
    </row>
    <row r="103" spans="1:4" hidden="1" x14ac:dyDescent="0.25">
      <c r="A103" t="s">
        <v>20</v>
      </c>
      <c r="B103">
        <v>4</v>
      </c>
      <c r="C103">
        <v>6</v>
      </c>
    </row>
    <row r="104" spans="1:4" hidden="1" x14ac:dyDescent="0.25">
      <c r="A104" t="s">
        <v>20</v>
      </c>
      <c r="B104">
        <v>4</v>
      </c>
      <c r="C104">
        <v>7</v>
      </c>
    </row>
    <row r="105" spans="1:4" hidden="1" x14ac:dyDescent="0.25">
      <c r="A105" t="s">
        <v>20</v>
      </c>
      <c r="B105">
        <v>4</v>
      </c>
      <c r="C105">
        <v>9</v>
      </c>
    </row>
    <row r="106" spans="1:4" hidden="1" x14ac:dyDescent="0.25">
      <c r="A106" t="s">
        <v>20</v>
      </c>
      <c r="B106">
        <v>4</v>
      </c>
      <c r="C106">
        <v>10</v>
      </c>
    </row>
    <row r="107" spans="1:4" hidden="1" x14ac:dyDescent="0.25">
      <c r="A107" t="s">
        <v>20</v>
      </c>
      <c r="B107">
        <v>4</v>
      </c>
      <c r="C107">
        <v>12</v>
      </c>
    </row>
    <row r="108" spans="1:4" hidden="1" x14ac:dyDescent="0.25">
      <c r="A108" t="s">
        <v>20</v>
      </c>
      <c r="B108">
        <v>4</v>
      </c>
      <c r="C108">
        <v>13</v>
      </c>
    </row>
    <row r="109" spans="1:4" hidden="1" x14ac:dyDescent="0.25">
      <c r="A109" t="s">
        <v>20</v>
      </c>
      <c r="B109">
        <v>4</v>
      </c>
      <c r="C109">
        <v>14</v>
      </c>
      <c r="D109">
        <v>1</v>
      </c>
    </row>
    <row r="110" spans="1:4" hidden="1" x14ac:dyDescent="0.25">
      <c r="A110" t="s">
        <v>20</v>
      </c>
      <c r="B110">
        <v>4</v>
      </c>
      <c r="C110">
        <v>15</v>
      </c>
    </row>
    <row r="111" spans="1:4" hidden="1" x14ac:dyDescent="0.25">
      <c r="A111" t="s">
        <v>20</v>
      </c>
      <c r="B111">
        <v>4</v>
      </c>
      <c r="C111">
        <v>16</v>
      </c>
    </row>
    <row r="112" spans="1:4" hidden="1" x14ac:dyDescent="0.25">
      <c r="A112" t="s">
        <v>20</v>
      </c>
      <c r="B112">
        <v>4</v>
      </c>
      <c r="C112">
        <v>17</v>
      </c>
    </row>
    <row r="113" spans="1:4" hidden="1" x14ac:dyDescent="0.25">
      <c r="A113" t="s">
        <v>20</v>
      </c>
      <c r="B113">
        <v>4</v>
      </c>
      <c r="C113">
        <v>18</v>
      </c>
    </row>
    <row r="114" spans="1:4" hidden="1" x14ac:dyDescent="0.25">
      <c r="A114" t="s">
        <v>20</v>
      </c>
      <c r="B114">
        <v>4</v>
      </c>
      <c r="C114">
        <v>19</v>
      </c>
    </row>
    <row r="115" spans="1:4" hidden="1" x14ac:dyDescent="0.25">
      <c r="A115" t="s">
        <v>20</v>
      </c>
      <c r="B115">
        <v>4</v>
      </c>
      <c r="C115">
        <v>21</v>
      </c>
    </row>
    <row r="116" spans="1:4" hidden="1" x14ac:dyDescent="0.25">
      <c r="A116" t="s">
        <v>20</v>
      </c>
      <c r="B116">
        <v>4</v>
      </c>
      <c r="C116">
        <v>22</v>
      </c>
    </row>
    <row r="117" spans="1:4" hidden="1" x14ac:dyDescent="0.25">
      <c r="A117" t="s">
        <v>20</v>
      </c>
      <c r="B117">
        <v>4</v>
      </c>
      <c r="C117">
        <v>23</v>
      </c>
    </row>
    <row r="118" spans="1:4" hidden="1" x14ac:dyDescent="0.25">
      <c r="A118" t="s">
        <v>20</v>
      </c>
      <c r="B118">
        <v>4</v>
      </c>
      <c r="C118">
        <v>24</v>
      </c>
    </row>
    <row r="119" spans="1:4" hidden="1" x14ac:dyDescent="0.25">
      <c r="A119" t="s">
        <v>20</v>
      </c>
      <c r="B119">
        <v>4</v>
      </c>
      <c r="C119">
        <v>25</v>
      </c>
    </row>
    <row r="120" spans="1:4" hidden="1" x14ac:dyDescent="0.25">
      <c r="A120" t="s">
        <v>20</v>
      </c>
      <c r="B120">
        <v>4</v>
      </c>
      <c r="C120">
        <v>26</v>
      </c>
      <c r="D120">
        <v>1</v>
      </c>
    </row>
    <row r="121" spans="1:4" hidden="1" x14ac:dyDescent="0.25">
      <c r="A121" t="s">
        <v>20</v>
      </c>
      <c r="B121">
        <v>4</v>
      </c>
      <c r="C121">
        <v>27</v>
      </c>
    </row>
    <row r="122" spans="1:4" hidden="1" x14ac:dyDescent="0.25">
      <c r="A122" t="s">
        <v>20</v>
      </c>
      <c r="B122">
        <v>4</v>
      </c>
      <c r="C122">
        <v>28</v>
      </c>
    </row>
    <row r="123" spans="1:4" hidden="1" x14ac:dyDescent="0.25">
      <c r="A123" t="s">
        <v>20</v>
      </c>
      <c r="B123">
        <v>4</v>
      </c>
      <c r="C123">
        <v>30</v>
      </c>
    </row>
    <row r="124" spans="1:4" hidden="1" x14ac:dyDescent="0.25">
      <c r="A124" t="s">
        <v>20</v>
      </c>
      <c r="B124">
        <v>4</v>
      </c>
      <c r="C124">
        <v>31</v>
      </c>
    </row>
    <row r="125" spans="1:4" hidden="1" x14ac:dyDescent="0.25">
      <c r="A125" t="s">
        <v>20</v>
      </c>
      <c r="B125">
        <v>4</v>
      </c>
      <c r="C125">
        <v>33</v>
      </c>
    </row>
    <row r="126" spans="1:4" hidden="1" x14ac:dyDescent="0.25">
      <c r="A126" t="s">
        <v>20</v>
      </c>
      <c r="B126">
        <v>4</v>
      </c>
      <c r="C126">
        <v>34</v>
      </c>
    </row>
    <row r="127" spans="1:4" hidden="1" x14ac:dyDescent="0.25">
      <c r="A127" t="s">
        <v>20</v>
      </c>
      <c r="B127">
        <v>4</v>
      </c>
      <c r="C127">
        <v>36</v>
      </c>
    </row>
    <row r="128" spans="1:4" hidden="1" x14ac:dyDescent="0.25">
      <c r="A128" t="s">
        <v>20</v>
      </c>
      <c r="B128">
        <v>4</v>
      </c>
      <c r="C128">
        <v>37</v>
      </c>
    </row>
    <row r="129" spans="1:4" hidden="1" x14ac:dyDescent="0.25">
      <c r="A129" t="s">
        <v>20</v>
      </c>
      <c r="B129">
        <v>4</v>
      </c>
      <c r="C129">
        <v>38</v>
      </c>
    </row>
    <row r="130" spans="1:4" hidden="1" x14ac:dyDescent="0.25">
      <c r="A130" t="s">
        <v>20</v>
      </c>
      <c r="B130">
        <v>4</v>
      </c>
      <c r="C130">
        <v>39</v>
      </c>
    </row>
    <row r="131" spans="1:4" hidden="1" x14ac:dyDescent="0.25">
      <c r="A131" t="s">
        <v>20</v>
      </c>
      <c r="B131">
        <v>4</v>
      </c>
      <c r="C131">
        <v>40</v>
      </c>
    </row>
    <row r="132" spans="1:4" hidden="1" x14ac:dyDescent="0.25">
      <c r="A132" t="s">
        <v>20</v>
      </c>
      <c r="B132">
        <v>4</v>
      </c>
      <c r="C132">
        <v>42</v>
      </c>
    </row>
    <row r="133" spans="1:4" hidden="1" x14ac:dyDescent="0.25">
      <c r="A133" t="s">
        <v>20</v>
      </c>
      <c r="B133">
        <v>4</v>
      </c>
      <c r="C133">
        <v>43</v>
      </c>
    </row>
    <row r="134" spans="1:4" hidden="1" x14ac:dyDescent="0.25">
      <c r="A134" t="s">
        <v>20</v>
      </c>
      <c r="B134">
        <v>4</v>
      </c>
      <c r="C134">
        <v>44</v>
      </c>
      <c r="D134">
        <v>1</v>
      </c>
    </row>
    <row r="135" spans="1:4" hidden="1" x14ac:dyDescent="0.25">
      <c r="A135" t="s">
        <v>20</v>
      </c>
      <c r="B135">
        <v>4</v>
      </c>
      <c r="C135">
        <v>45</v>
      </c>
    </row>
    <row r="136" spans="1:4" hidden="1" x14ac:dyDescent="0.25">
      <c r="A136" t="s">
        <v>20</v>
      </c>
      <c r="B136">
        <v>4</v>
      </c>
      <c r="C136">
        <v>46</v>
      </c>
    </row>
    <row r="137" spans="1:4" hidden="1" x14ac:dyDescent="0.25">
      <c r="A137" t="s">
        <v>20</v>
      </c>
      <c r="B137">
        <v>4</v>
      </c>
      <c r="C137">
        <v>47</v>
      </c>
      <c r="D137">
        <v>1</v>
      </c>
    </row>
    <row r="138" spans="1:4" hidden="1" x14ac:dyDescent="0.25">
      <c r="A138" t="s">
        <v>20</v>
      </c>
      <c r="B138">
        <v>4</v>
      </c>
      <c r="C138">
        <v>48</v>
      </c>
    </row>
    <row r="139" spans="1:4" hidden="1" x14ac:dyDescent="0.25">
      <c r="A139" t="s">
        <v>20</v>
      </c>
      <c r="B139">
        <v>4</v>
      </c>
      <c r="C139">
        <v>49</v>
      </c>
    </row>
    <row r="140" spans="1:4" hidden="1" x14ac:dyDescent="0.25">
      <c r="A140" t="s">
        <v>20</v>
      </c>
      <c r="B140">
        <v>4</v>
      </c>
      <c r="C140">
        <v>51</v>
      </c>
    </row>
    <row r="141" spans="1:4" hidden="1" x14ac:dyDescent="0.25">
      <c r="A141" t="s">
        <v>20</v>
      </c>
      <c r="B141">
        <v>4</v>
      </c>
      <c r="C141">
        <v>52</v>
      </c>
    </row>
    <row r="142" spans="1:4" hidden="1" x14ac:dyDescent="0.25">
      <c r="A142" t="s">
        <v>20</v>
      </c>
      <c r="B142">
        <v>4</v>
      </c>
      <c r="C142">
        <v>53</v>
      </c>
      <c r="D142">
        <v>1</v>
      </c>
    </row>
    <row r="143" spans="1:4" hidden="1" x14ac:dyDescent="0.25">
      <c r="A143" t="s">
        <v>20</v>
      </c>
      <c r="B143">
        <v>4</v>
      </c>
      <c r="C143">
        <v>54</v>
      </c>
    </row>
    <row r="144" spans="1:4" hidden="1" x14ac:dyDescent="0.25">
      <c r="A144" t="s">
        <v>20</v>
      </c>
      <c r="B144">
        <v>4</v>
      </c>
      <c r="C144">
        <v>55</v>
      </c>
    </row>
    <row r="145" spans="1:4" hidden="1" x14ac:dyDescent="0.25">
      <c r="A145" t="s">
        <v>20</v>
      </c>
      <c r="B145">
        <v>4</v>
      </c>
      <c r="C145">
        <v>56</v>
      </c>
      <c r="D145">
        <v>1</v>
      </c>
    </row>
    <row r="146" spans="1:4" hidden="1" x14ac:dyDescent="0.25">
      <c r="A146" t="s">
        <v>20</v>
      </c>
      <c r="B146">
        <v>4</v>
      </c>
      <c r="C146">
        <v>57</v>
      </c>
    </row>
    <row r="147" spans="1:4" hidden="1" x14ac:dyDescent="0.25">
      <c r="A147" t="s">
        <v>20</v>
      </c>
      <c r="B147">
        <v>4</v>
      </c>
      <c r="C147">
        <v>58</v>
      </c>
    </row>
    <row r="148" spans="1:4" hidden="1" x14ac:dyDescent="0.25">
      <c r="A148" t="s">
        <v>20</v>
      </c>
      <c r="B148">
        <v>4</v>
      </c>
      <c r="C148">
        <v>59</v>
      </c>
    </row>
    <row r="149" spans="1:4" hidden="1" x14ac:dyDescent="0.25">
      <c r="A149" t="s">
        <v>20</v>
      </c>
      <c r="B149">
        <v>4</v>
      </c>
      <c r="C149">
        <v>60</v>
      </c>
    </row>
    <row r="150" spans="1:4" hidden="1" x14ac:dyDescent="0.25">
      <c r="A150" t="s">
        <v>20</v>
      </c>
      <c r="B150">
        <v>4</v>
      </c>
      <c r="C150">
        <v>61</v>
      </c>
    </row>
    <row r="151" spans="1:4" hidden="1" x14ac:dyDescent="0.25">
      <c r="A151" t="s">
        <v>20</v>
      </c>
      <c r="B151">
        <v>4</v>
      </c>
      <c r="C151">
        <v>63</v>
      </c>
    </row>
    <row r="152" spans="1:4" hidden="1" x14ac:dyDescent="0.25">
      <c r="A152" t="s">
        <v>20</v>
      </c>
      <c r="B152">
        <v>4</v>
      </c>
      <c r="C152">
        <v>64</v>
      </c>
    </row>
    <row r="153" spans="1:4" hidden="1" x14ac:dyDescent="0.25">
      <c r="A153" t="s">
        <v>20</v>
      </c>
      <c r="B153">
        <v>4</v>
      </c>
      <c r="C153">
        <v>65</v>
      </c>
      <c r="D153">
        <v>1</v>
      </c>
    </row>
    <row r="154" spans="1:4" hidden="1" x14ac:dyDescent="0.25">
      <c r="A154" t="s">
        <v>20</v>
      </c>
      <c r="B154">
        <v>4</v>
      </c>
      <c r="C154">
        <v>66</v>
      </c>
    </row>
    <row r="155" spans="1:4" hidden="1" x14ac:dyDescent="0.25">
      <c r="A155" t="s">
        <v>20</v>
      </c>
      <c r="B155">
        <v>4</v>
      </c>
      <c r="C155">
        <v>67</v>
      </c>
    </row>
    <row r="156" spans="1:4" hidden="1" x14ac:dyDescent="0.25">
      <c r="A156" t="s">
        <v>20</v>
      </c>
      <c r="B156">
        <v>4</v>
      </c>
      <c r="C156">
        <v>68</v>
      </c>
      <c r="D156">
        <v>1</v>
      </c>
    </row>
    <row r="157" spans="1:4" hidden="1" x14ac:dyDescent="0.25">
      <c r="A157" t="s">
        <v>20</v>
      </c>
      <c r="B157">
        <v>4</v>
      </c>
      <c r="C157">
        <v>69</v>
      </c>
    </row>
    <row r="158" spans="1:4" hidden="1" x14ac:dyDescent="0.25">
      <c r="A158" t="s">
        <v>20</v>
      </c>
      <c r="B158">
        <v>4</v>
      </c>
      <c r="C158">
        <v>70</v>
      </c>
    </row>
    <row r="159" spans="1:4" hidden="1" x14ac:dyDescent="0.25">
      <c r="A159" t="s">
        <v>20</v>
      </c>
      <c r="B159">
        <v>4</v>
      </c>
      <c r="C159">
        <v>71</v>
      </c>
      <c r="D159">
        <v>1</v>
      </c>
    </row>
    <row r="160" spans="1:4" hidden="1" x14ac:dyDescent="0.25">
      <c r="A160" t="s">
        <v>20</v>
      </c>
      <c r="B160">
        <v>4</v>
      </c>
      <c r="C160">
        <v>72</v>
      </c>
    </row>
    <row r="161" spans="1:4" hidden="1" x14ac:dyDescent="0.25">
      <c r="A161" t="s">
        <v>20</v>
      </c>
      <c r="B161">
        <v>4</v>
      </c>
      <c r="C161">
        <v>73</v>
      </c>
    </row>
    <row r="162" spans="1:4" hidden="1" x14ac:dyDescent="0.25">
      <c r="A162" t="s">
        <v>20</v>
      </c>
      <c r="B162">
        <v>4</v>
      </c>
      <c r="C162">
        <v>75</v>
      </c>
    </row>
    <row r="163" spans="1:4" hidden="1" x14ac:dyDescent="0.25">
      <c r="A163" t="s">
        <v>20</v>
      </c>
      <c r="B163">
        <v>4</v>
      </c>
      <c r="C163">
        <v>76</v>
      </c>
    </row>
    <row r="164" spans="1:4" hidden="1" x14ac:dyDescent="0.25">
      <c r="A164" t="s">
        <v>20</v>
      </c>
      <c r="B164">
        <v>4</v>
      </c>
      <c r="C164">
        <v>78</v>
      </c>
    </row>
    <row r="165" spans="1:4" hidden="1" x14ac:dyDescent="0.25">
      <c r="A165" t="s">
        <v>20</v>
      </c>
      <c r="B165">
        <v>4</v>
      </c>
      <c r="C165">
        <v>79</v>
      </c>
    </row>
    <row r="166" spans="1:4" hidden="1" x14ac:dyDescent="0.25">
      <c r="A166" t="s">
        <v>20</v>
      </c>
      <c r="B166">
        <v>4</v>
      </c>
      <c r="C166">
        <v>80</v>
      </c>
    </row>
    <row r="167" spans="1:4" hidden="1" x14ac:dyDescent="0.25">
      <c r="A167" t="s">
        <v>20</v>
      </c>
      <c r="B167">
        <v>4</v>
      </c>
      <c r="C167">
        <v>81</v>
      </c>
    </row>
    <row r="168" spans="1:4" hidden="1" x14ac:dyDescent="0.25">
      <c r="A168" t="s">
        <v>20</v>
      </c>
      <c r="B168">
        <v>4</v>
      </c>
      <c r="C168">
        <v>82</v>
      </c>
    </row>
    <row r="169" spans="1:4" hidden="1" x14ac:dyDescent="0.25">
      <c r="A169" t="s">
        <v>20</v>
      </c>
      <c r="B169">
        <v>4</v>
      </c>
      <c r="C169">
        <v>84</v>
      </c>
    </row>
    <row r="170" spans="1:4" hidden="1" x14ac:dyDescent="0.25">
      <c r="A170" t="s">
        <v>20</v>
      </c>
      <c r="B170">
        <v>5</v>
      </c>
      <c r="C170">
        <v>1</v>
      </c>
      <c r="D170">
        <v>1</v>
      </c>
    </row>
    <row r="171" spans="1:4" hidden="1" x14ac:dyDescent="0.25">
      <c r="A171" t="s">
        <v>20</v>
      </c>
      <c r="B171">
        <v>5</v>
      </c>
      <c r="C171">
        <v>2</v>
      </c>
    </row>
    <row r="172" spans="1:4" hidden="1" x14ac:dyDescent="0.25">
      <c r="A172" t="s">
        <v>20</v>
      </c>
      <c r="B172">
        <v>5</v>
      </c>
      <c r="C172">
        <v>3</v>
      </c>
    </row>
    <row r="173" spans="1:4" hidden="1" x14ac:dyDescent="0.25">
      <c r="A173" t="s">
        <v>20</v>
      </c>
      <c r="B173">
        <v>5</v>
      </c>
      <c r="C173">
        <v>4</v>
      </c>
      <c r="D173">
        <v>1</v>
      </c>
    </row>
    <row r="174" spans="1:4" hidden="1" x14ac:dyDescent="0.25">
      <c r="A174" t="s">
        <v>20</v>
      </c>
      <c r="B174">
        <v>5</v>
      </c>
      <c r="C174">
        <v>5</v>
      </c>
    </row>
    <row r="175" spans="1:4" hidden="1" x14ac:dyDescent="0.25">
      <c r="A175" t="s">
        <v>20</v>
      </c>
      <c r="B175">
        <v>5</v>
      </c>
      <c r="C175">
        <v>6</v>
      </c>
    </row>
    <row r="176" spans="1:4" hidden="1" x14ac:dyDescent="0.25">
      <c r="A176" t="s">
        <v>20</v>
      </c>
      <c r="B176">
        <v>5</v>
      </c>
      <c r="C176">
        <v>7</v>
      </c>
      <c r="D176">
        <v>1</v>
      </c>
    </row>
    <row r="177" spans="1:4" hidden="1" x14ac:dyDescent="0.25">
      <c r="A177" t="s">
        <v>20</v>
      </c>
      <c r="B177">
        <v>5</v>
      </c>
      <c r="C177">
        <v>8</v>
      </c>
    </row>
    <row r="178" spans="1:4" hidden="1" x14ac:dyDescent="0.25">
      <c r="A178" t="s">
        <v>20</v>
      </c>
      <c r="B178">
        <v>5</v>
      </c>
      <c r="C178">
        <v>9</v>
      </c>
    </row>
    <row r="179" spans="1:4" hidden="1" x14ac:dyDescent="0.25">
      <c r="A179" t="s">
        <v>20</v>
      </c>
      <c r="B179">
        <v>5</v>
      </c>
      <c r="C179">
        <v>10</v>
      </c>
      <c r="D179">
        <v>1</v>
      </c>
    </row>
    <row r="180" spans="1:4" hidden="1" x14ac:dyDescent="0.25">
      <c r="A180" t="s">
        <v>20</v>
      </c>
      <c r="B180">
        <v>5</v>
      </c>
      <c r="C180">
        <v>11</v>
      </c>
    </row>
    <row r="181" spans="1:4" hidden="1" x14ac:dyDescent="0.25">
      <c r="A181" t="s">
        <v>20</v>
      </c>
      <c r="B181">
        <v>5</v>
      </c>
      <c r="C181">
        <v>12</v>
      </c>
    </row>
    <row r="182" spans="1:4" hidden="1" x14ac:dyDescent="0.25">
      <c r="A182" t="s">
        <v>20</v>
      </c>
      <c r="B182">
        <v>5</v>
      </c>
      <c r="C182">
        <v>13</v>
      </c>
      <c r="D182">
        <v>1</v>
      </c>
    </row>
    <row r="183" spans="1:4" hidden="1" x14ac:dyDescent="0.25">
      <c r="A183" t="s">
        <v>20</v>
      </c>
      <c r="B183">
        <v>5</v>
      </c>
      <c r="C183">
        <v>14</v>
      </c>
    </row>
    <row r="184" spans="1:4" hidden="1" x14ac:dyDescent="0.25">
      <c r="A184" t="s">
        <v>20</v>
      </c>
      <c r="B184">
        <v>5</v>
      </c>
      <c r="C184">
        <v>15</v>
      </c>
    </row>
    <row r="185" spans="1:4" hidden="1" x14ac:dyDescent="0.25">
      <c r="A185" t="s">
        <v>20</v>
      </c>
      <c r="B185">
        <v>5</v>
      </c>
      <c r="C185">
        <v>16</v>
      </c>
    </row>
    <row r="186" spans="1:4" hidden="1" x14ac:dyDescent="0.25">
      <c r="A186" t="s">
        <v>20</v>
      </c>
      <c r="B186">
        <v>5</v>
      </c>
      <c r="C186">
        <v>17</v>
      </c>
    </row>
    <row r="187" spans="1:4" hidden="1" x14ac:dyDescent="0.25">
      <c r="A187" t="s">
        <v>20</v>
      </c>
      <c r="B187">
        <v>5</v>
      </c>
      <c r="C187">
        <v>18</v>
      </c>
    </row>
    <row r="188" spans="1:4" hidden="1" x14ac:dyDescent="0.25">
      <c r="A188" t="s">
        <v>20</v>
      </c>
      <c r="B188">
        <v>5</v>
      </c>
      <c r="C188">
        <v>19</v>
      </c>
    </row>
    <row r="189" spans="1:4" hidden="1" x14ac:dyDescent="0.25">
      <c r="A189" t="s">
        <v>20</v>
      </c>
      <c r="B189">
        <v>5</v>
      </c>
      <c r="C189">
        <v>20</v>
      </c>
    </row>
    <row r="190" spans="1:4" hidden="1" x14ac:dyDescent="0.25">
      <c r="A190" t="s">
        <v>20</v>
      </c>
      <c r="B190">
        <v>5</v>
      </c>
      <c r="C190">
        <v>21</v>
      </c>
    </row>
    <row r="191" spans="1:4" hidden="1" x14ac:dyDescent="0.25">
      <c r="A191" t="s">
        <v>20</v>
      </c>
      <c r="B191">
        <v>5</v>
      </c>
      <c r="C191">
        <v>22</v>
      </c>
      <c r="D191">
        <v>1</v>
      </c>
    </row>
    <row r="192" spans="1:4" hidden="1" x14ac:dyDescent="0.25">
      <c r="A192" t="s">
        <v>20</v>
      </c>
      <c r="B192">
        <v>5</v>
      </c>
      <c r="C192">
        <v>23</v>
      </c>
    </row>
    <row r="193" spans="1:4" hidden="1" x14ac:dyDescent="0.25">
      <c r="A193" t="s">
        <v>20</v>
      </c>
      <c r="B193">
        <v>5</v>
      </c>
      <c r="C193">
        <v>24</v>
      </c>
    </row>
    <row r="194" spans="1:4" hidden="1" x14ac:dyDescent="0.25">
      <c r="A194" t="s">
        <v>20</v>
      </c>
      <c r="B194">
        <v>5</v>
      </c>
      <c r="C194">
        <v>25</v>
      </c>
      <c r="D194">
        <v>1</v>
      </c>
    </row>
    <row r="195" spans="1:4" hidden="1" x14ac:dyDescent="0.25">
      <c r="A195" t="s">
        <v>20</v>
      </c>
      <c r="B195">
        <v>5</v>
      </c>
      <c r="C195">
        <v>26</v>
      </c>
    </row>
    <row r="196" spans="1:4" hidden="1" x14ac:dyDescent="0.25">
      <c r="A196" t="s">
        <v>20</v>
      </c>
      <c r="B196">
        <v>5</v>
      </c>
      <c r="C196">
        <v>27</v>
      </c>
    </row>
    <row r="197" spans="1:4" hidden="1" x14ac:dyDescent="0.25">
      <c r="A197" t="s">
        <v>20</v>
      </c>
      <c r="B197">
        <v>5</v>
      </c>
      <c r="C197">
        <v>28</v>
      </c>
      <c r="D197">
        <v>1</v>
      </c>
    </row>
    <row r="198" spans="1:4" hidden="1" x14ac:dyDescent="0.25">
      <c r="A198" t="s">
        <v>20</v>
      </c>
      <c r="B198">
        <v>5</v>
      </c>
      <c r="C198">
        <v>29</v>
      </c>
    </row>
    <row r="199" spans="1:4" hidden="1" x14ac:dyDescent="0.25">
      <c r="A199" t="s">
        <v>20</v>
      </c>
      <c r="B199">
        <v>5</v>
      </c>
      <c r="C199">
        <v>30</v>
      </c>
    </row>
    <row r="200" spans="1:4" hidden="1" x14ac:dyDescent="0.25">
      <c r="A200" t="s">
        <v>20</v>
      </c>
      <c r="B200">
        <v>5</v>
      </c>
      <c r="C200">
        <v>31</v>
      </c>
      <c r="D200">
        <v>1</v>
      </c>
    </row>
    <row r="201" spans="1:4" hidden="1" x14ac:dyDescent="0.25">
      <c r="A201" t="s">
        <v>20</v>
      </c>
      <c r="B201">
        <v>5</v>
      </c>
      <c r="C201">
        <v>32</v>
      </c>
    </row>
    <row r="202" spans="1:4" hidden="1" x14ac:dyDescent="0.25">
      <c r="A202" t="s">
        <v>20</v>
      </c>
      <c r="B202">
        <v>5</v>
      </c>
      <c r="C202">
        <v>33</v>
      </c>
    </row>
    <row r="203" spans="1:4" hidden="1" x14ac:dyDescent="0.25">
      <c r="A203" t="s">
        <v>20</v>
      </c>
      <c r="B203">
        <v>5</v>
      </c>
      <c r="C203">
        <v>34</v>
      </c>
      <c r="D203">
        <v>1</v>
      </c>
    </row>
    <row r="204" spans="1:4" hidden="1" x14ac:dyDescent="0.25">
      <c r="A204" t="s">
        <v>20</v>
      </c>
      <c r="B204">
        <v>5</v>
      </c>
      <c r="C204">
        <v>35</v>
      </c>
    </row>
    <row r="205" spans="1:4" hidden="1" x14ac:dyDescent="0.25">
      <c r="A205" t="s">
        <v>20</v>
      </c>
      <c r="B205">
        <v>5</v>
      </c>
      <c r="C205">
        <v>36</v>
      </c>
    </row>
    <row r="206" spans="1:4" hidden="1" x14ac:dyDescent="0.25">
      <c r="A206" t="s">
        <v>20</v>
      </c>
      <c r="B206">
        <v>5</v>
      </c>
      <c r="C206">
        <v>37</v>
      </c>
    </row>
    <row r="207" spans="1:4" hidden="1" x14ac:dyDescent="0.25">
      <c r="A207" t="s">
        <v>20</v>
      </c>
      <c r="B207">
        <v>5</v>
      </c>
      <c r="C207">
        <v>38</v>
      </c>
    </row>
    <row r="208" spans="1:4" hidden="1" x14ac:dyDescent="0.25">
      <c r="A208" t="s">
        <v>20</v>
      </c>
      <c r="B208">
        <v>5</v>
      </c>
      <c r="C208">
        <v>39</v>
      </c>
    </row>
    <row r="209" spans="1:4" hidden="1" x14ac:dyDescent="0.25">
      <c r="A209" t="s">
        <v>20</v>
      </c>
      <c r="B209">
        <v>5</v>
      </c>
      <c r="C209">
        <v>40</v>
      </c>
    </row>
    <row r="210" spans="1:4" hidden="1" x14ac:dyDescent="0.25">
      <c r="A210" t="s">
        <v>20</v>
      </c>
      <c r="B210">
        <v>5</v>
      </c>
      <c r="C210">
        <v>41</v>
      </c>
    </row>
    <row r="211" spans="1:4" hidden="1" x14ac:dyDescent="0.25">
      <c r="A211" t="s">
        <v>20</v>
      </c>
      <c r="B211">
        <v>5</v>
      </c>
      <c r="C211">
        <v>42</v>
      </c>
    </row>
    <row r="212" spans="1:4" hidden="1" x14ac:dyDescent="0.25">
      <c r="A212" t="s">
        <v>20</v>
      </c>
      <c r="B212">
        <v>5</v>
      </c>
      <c r="C212">
        <v>43</v>
      </c>
    </row>
    <row r="213" spans="1:4" hidden="1" x14ac:dyDescent="0.25">
      <c r="A213" t="s">
        <v>20</v>
      </c>
      <c r="B213">
        <v>5</v>
      </c>
      <c r="C213">
        <v>44</v>
      </c>
    </row>
    <row r="214" spans="1:4" hidden="1" x14ac:dyDescent="0.25">
      <c r="A214" t="s">
        <v>20</v>
      </c>
      <c r="B214">
        <v>5</v>
      </c>
      <c r="C214">
        <v>45</v>
      </c>
    </row>
    <row r="215" spans="1:4" hidden="1" x14ac:dyDescent="0.25">
      <c r="A215" t="s">
        <v>20</v>
      </c>
      <c r="B215">
        <v>5</v>
      </c>
      <c r="C215">
        <v>46</v>
      </c>
      <c r="D215">
        <v>1</v>
      </c>
    </row>
    <row r="216" spans="1:4" hidden="1" x14ac:dyDescent="0.25">
      <c r="A216" t="s">
        <v>20</v>
      </c>
      <c r="B216">
        <v>5</v>
      </c>
      <c r="C216">
        <v>47</v>
      </c>
    </row>
    <row r="217" spans="1:4" hidden="1" x14ac:dyDescent="0.25">
      <c r="A217" t="s">
        <v>20</v>
      </c>
      <c r="B217">
        <v>5</v>
      </c>
      <c r="C217">
        <v>48</v>
      </c>
    </row>
    <row r="218" spans="1:4" hidden="1" x14ac:dyDescent="0.25">
      <c r="A218" t="s">
        <v>20</v>
      </c>
      <c r="B218">
        <v>5</v>
      </c>
      <c r="C218">
        <v>49</v>
      </c>
      <c r="D218">
        <v>1</v>
      </c>
    </row>
    <row r="219" spans="1:4" hidden="1" x14ac:dyDescent="0.25">
      <c r="A219" t="s">
        <v>20</v>
      </c>
      <c r="B219">
        <v>5</v>
      </c>
      <c r="C219">
        <v>50</v>
      </c>
    </row>
    <row r="220" spans="1:4" hidden="1" x14ac:dyDescent="0.25">
      <c r="A220" t="s">
        <v>20</v>
      </c>
      <c r="B220">
        <v>5</v>
      </c>
      <c r="C220">
        <v>51</v>
      </c>
    </row>
    <row r="221" spans="1:4" hidden="1" x14ac:dyDescent="0.25">
      <c r="A221" t="s">
        <v>20</v>
      </c>
      <c r="B221">
        <v>5</v>
      </c>
      <c r="C221">
        <v>52</v>
      </c>
      <c r="D221">
        <v>1</v>
      </c>
    </row>
    <row r="222" spans="1:4" hidden="1" x14ac:dyDescent="0.25">
      <c r="A222" t="s">
        <v>20</v>
      </c>
      <c r="B222">
        <v>5</v>
      </c>
      <c r="C222">
        <v>53</v>
      </c>
    </row>
    <row r="223" spans="1:4" hidden="1" x14ac:dyDescent="0.25">
      <c r="A223" t="s">
        <v>20</v>
      </c>
      <c r="B223">
        <v>5</v>
      </c>
      <c r="C223">
        <v>54</v>
      </c>
    </row>
    <row r="224" spans="1:4" hidden="1" x14ac:dyDescent="0.25">
      <c r="A224" t="s">
        <v>20</v>
      </c>
      <c r="B224">
        <v>5</v>
      </c>
      <c r="C224">
        <v>55</v>
      </c>
      <c r="D224">
        <v>1</v>
      </c>
    </row>
    <row r="225" spans="1:4" hidden="1" x14ac:dyDescent="0.25">
      <c r="A225" t="s">
        <v>20</v>
      </c>
      <c r="B225">
        <v>5</v>
      </c>
      <c r="C225">
        <v>56</v>
      </c>
    </row>
    <row r="226" spans="1:4" hidden="1" x14ac:dyDescent="0.25">
      <c r="A226" t="s">
        <v>20</v>
      </c>
      <c r="B226">
        <v>5</v>
      </c>
      <c r="C226">
        <v>57</v>
      </c>
    </row>
    <row r="227" spans="1:4" hidden="1" x14ac:dyDescent="0.25">
      <c r="A227" t="s">
        <v>20</v>
      </c>
      <c r="B227">
        <v>5</v>
      </c>
      <c r="C227">
        <v>58</v>
      </c>
    </row>
    <row r="228" spans="1:4" hidden="1" x14ac:dyDescent="0.25">
      <c r="A228" t="s">
        <v>20</v>
      </c>
      <c r="B228">
        <v>5</v>
      </c>
      <c r="C228">
        <v>59</v>
      </c>
    </row>
    <row r="229" spans="1:4" hidden="1" x14ac:dyDescent="0.25">
      <c r="A229" t="s">
        <v>20</v>
      </c>
      <c r="B229">
        <v>5</v>
      </c>
      <c r="C229">
        <v>60</v>
      </c>
    </row>
    <row r="230" spans="1:4" hidden="1" x14ac:dyDescent="0.25">
      <c r="A230" t="s">
        <v>20</v>
      </c>
      <c r="B230">
        <v>5</v>
      </c>
      <c r="C230">
        <v>61</v>
      </c>
    </row>
    <row r="231" spans="1:4" hidden="1" x14ac:dyDescent="0.25">
      <c r="A231" t="s">
        <v>20</v>
      </c>
      <c r="B231">
        <v>5</v>
      </c>
      <c r="C231">
        <v>62</v>
      </c>
    </row>
    <row r="232" spans="1:4" hidden="1" x14ac:dyDescent="0.25">
      <c r="A232" t="s">
        <v>20</v>
      </c>
      <c r="B232">
        <v>5</v>
      </c>
      <c r="C232">
        <v>63</v>
      </c>
    </row>
    <row r="233" spans="1:4" hidden="1" x14ac:dyDescent="0.25">
      <c r="A233" t="s">
        <v>20</v>
      </c>
      <c r="B233">
        <v>5</v>
      </c>
      <c r="C233">
        <v>64</v>
      </c>
    </row>
    <row r="234" spans="1:4" hidden="1" x14ac:dyDescent="0.25">
      <c r="A234" t="s">
        <v>20</v>
      </c>
      <c r="B234">
        <v>5</v>
      </c>
      <c r="C234">
        <v>65</v>
      </c>
    </row>
    <row r="235" spans="1:4" hidden="1" x14ac:dyDescent="0.25">
      <c r="A235" t="s">
        <v>20</v>
      </c>
      <c r="B235">
        <v>5</v>
      </c>
      <c r="C235">
        <v>66</v>
      </c>
    </row>
    <row r="236" spans="1:4" hidden="1" x14ac:dyDescent="0.25">
      <c r="A236" t="s">
        <v>20</v>
      </c>
      <c r="B236">
        <v>5</v>
      </c>
      <c r="C236">
        <v>67</v>
      </c>
      <c r="D236">
        <v>1</v>
      </c>
    </row>
    <row r="237" spans="1:4" hidden="1" x14ac:dyDescent="0.25">
      <c r="A237" t="s">
        <v>20</v>
      </c>
      <c r="B237">
        <v>5</v>
      </c>
      <c r="C237">
        <v>68</v>
      </c>
    </row>
    <row r="238" spans="1:4" hidden="1" x14ac:dyDescent="0.25">
      <c r="A238" t="s">
        <v>20</v>
      </c>
      <c r="B238">
        <v>5</v>
      </c>
      <c r="C238">
        <v>69</v>
      </c>
    </row>
    <row r="239" spans="1:4" hidden="1" x14ac:dyDescent="0.25">
      <c r="A239" t="s">
        <v>20</v>
      </c>
      <c r="B239">
        <v>5</v>
      </c>
      <c r="C239">
        <v>70</v>
      </c>
      <c r="D239">
        <v>1</v>
      </c>
    </row>
    <row r="240" spans="1:4" hidden="1" x14ac:dyDescent="0.25">
      <c r="A240" t="s">
        <v>20</v>
      </c>
      <c r="B240">
        <v>5</v>
      </c>
      <c r="C240">
        <v>71</v>
      </c>
    </row>
    <row r="241" spans="1:4" hidden="1" x14ac:dyDescent="0.25">
      <c r="A241" t="s">
        <v>20</v>
      </c>
      <c r="B241">
        <v>5</v>
      </c>
      <c r="C241">
        <v>72</v>
      </c>
    </row>
    <row r="242" spans="1:4" hidden="1" x14ac:dyDescent="0.25">
      <c r="A242" t="s">
        <v>20</v>
      </c>
      <c r="B242">
        <v>5</v>
      </c>
      <c r="C242">
        <v>73</v>
      </c>
      <c r="D242">
        <v>1</v>
      </c>
    </row>
    <row r="243" spans="1:4" hidden="1" x14ac:dyDescent="0.25">
      <c r="A243" t="s">
        <v>20</v>
      </c>
      <c r="B243">
        <v>5</v>
      </c>
      <c r="C243">
        <v>74</v>
      </c>
    </row>
    <row r="244" spans="1:4" hidden="1" x14ac:dyDescent="0.25">
      <c r="A244" t="s">
        <v>20</v>
      </c>
      <c r="B244">
        <v>5</v>
      </c>
      <c r="C244">
        <v>75</v>
      </c>
    </row>
    <row r="245" spans="1:4" hidden="1" x14ac:dyDescent="0.25">
      <c r="A245" t="s">
        <v>20</v>
      </c>
      <c r="B245">
        <v>5</v>
      </c>
      <c r="C245">
        <v>76</v>
      </c>
      <c r="D245">
        <v>1</v>
      </c>
    </row>
    <row r="246" spans="1:4" hidden="1" x14ac:dyDescent="0.25">
      <c r="A246" t="s">
        <v>20</v>
      </c>
      <c r="B246">
        <v>5</v>
      </c>
      <c r="C246">
        <v>77</v>
      </c>
    </row>
    <row r="247" spans="1:4" hidden="1" x14ac:dyDescent="0.25">
      <c r="A247" t="s">
        <v>20</v>
      </c>
      <c r="B247">
        <v>5</v>
      </c>
      <c r="C247">
        <v>78</v>
      </c>
    </row>
    <row r="248" spans="1:4" hidden="1" x14ac:dyDescent="0.25">
      <c r="A248" t="s">
        <v>20</v>
      </c>
      <c r="B248">
        <v>5</v>
      </c>
      <c r="C248">
        <v>79</v>
      </c>
    </row>
    <row r="249" spans="1:4" hidden="1" x14ac:dyDescent="0.25">
      <c r="A249" t="s">
        <v>20</v>
      </c>
      <c r="B249">
        <v>5</v>
      </c>
      <c r="C249">
        <v>80</v>
      </c>
    </row>
    <row r="250" spans="1:4" hidden="1" x14ac:dyDescent="0.25">
      <c r="A250" t="s">
        <v>20</v>
      </c>
      <c r="B250">
        <v>5</v>
      </c>
      <c r="C250">
        <v>81</v>
      </c>
    </row>
    <row r="251" spans="1:4" hidden="1" x14ac:dyDescent="0.25">
      <c r="A251" t="s">
        <v>20</v>
      </c>
      <c r="B251">
        <v>5</v>
      </c>
      <c r="C251">
        <v>82</v>
      </c>
    </row>
    <row r="252" spans="1:4" hidden="1" x14ac:dyDescent="0.25">
      <c r="A252" t="s">
        <v>20</v>
      </c>
      <c r="B252">
        <v>5</v>
      </c>
      <c r="C252">
        <v>83</v>
      </c>
    </row>
    <row r="253" spans="1:4" hidden="1" x14ac:dyDescent="0.25">
      <c r="A253" t="s">
        <v>20</v>
      </c>
      <c r="B253">
        <v>5</v>
      </c>
      <c r="C253">
        <v>84</v>
      </c>
    </row>
    <row r="254" spans="1:4" hidden="1" x14ac:dyDescent="0.25">
      <c r="A254" t="s">
        <v>20</v>
      </c>
      <c r="B254">
        <v>6</v>
      </c>
      <c r="C254">
        <v>1</v>
      </c>
    </row>
    <row r="255" spans="1:4" hidden="1" x14ac:dyDescent="0.25">
      <c r="A255" t="s">
        <v>20</v>
      </c>
      <c r="B255">
        <v>6</v>
      </c>
      <c r="C255">
        <v>2</v>
      </c>
      <c r="D255">
        <v>1</v>
      </c>
    </row>
    <row r="256" spans="1:4" hidden="1" x14ac:dyDescent="0.25">
      <c r="A256" t="s">
        <v>20</v>
      </c>
      <c r="B256">
        <v>6</v>
      </c>
      <c r="C256">
        <v>3</v>
      </c>
    </row>
    <row r="257" spans="1:4" hidden="1" x14ac:dyDescent="0.25">
      <c r="A257" t="s">
        <v>20</v>
      </c>
      <c r="B257">
        <v>6</v>
      </c>
      <c r="C257">
        <v>4</v>
      </c>
      <c r="D257">
        <v>1</v>
      </c>
    </row>
    <row r="258" spans="1:4" hidden="1" x14ac:dyDescent="0.25">
      <c r="A258" t="s">
        <v>20</v>
      </c>
      <c r="B258">
        <v>6</v>
      </c>
      <c r="C258">
        <v>5</v>
      </c>
    </row>
    <row r="259" spans="1:4" hidden="1" x14ac:dyDescent="0.25">
      <c r="A259" t="s">
        <v>20</v>
      </c>
      <c r="B259">
        <v>6</v>
      </c>
      <c r="C259">
        <v>6</v>
      </c>
    </row>
    <row r="260" spans="1:4" hidden="1" x14ac:dyDescent="0.25">
      <c r="A260" t="s">
        <v>20</v>
      </c>
      <c r="B260">
        <v>6</v>
      </c>
      <c r="C260">
        <v>7</v>
      </c>
      <c r="D260">
        <v>1</v>
      </c>
    </row>
    <row r="261" spans="1:4" hidden="1" x14ac:dyDescent="0.25">
      <c r="A261" t="s">
        <v>20</v>
      </c>
      <c r="B261">
        <v>6</v>
      </c>
      <c r="C261">
        <v>8</v>
      </c>
    </row>
    <row r="262" spans="1:4" hidden="1" x14ac:dyDescent="0.25">
      <c r="A262" t="s">
        <v>20</v>
      </c>
      <c r="B262">
        <v>6</v>
      </c>
      <c r="C262">
        <v>9</v>
      </c>
    </row>
    <row r="263" spans="1:4" hidden="1" x14ac:dyDescent="0.25">
      <c r="A263" t="s">
        <v>20</v>
      </c>
      <c r="B263">
        <v>6</v>
      </c>
      <c r="C263">
        <v>10</v>
      </c>
    </row>
    <row r="264" spans="1:4" hidden="1" x14ac:dyDescent="0.25">
      <c r="A264" t="s">
        <v>20</v>
      </c>
      <c r="B264">
        <v>6</v>
      </c>
      <c r="C264">
        <v>11</v>
      </c>
      <c r="D264">
        <v>1</v>
      </c>
    </row>
    <row r="265" spans="1:4" hidden="1" x14ac:dyDescent="0.25">
      <c r="A265" t="s">
        <v>20</v>
      </c>
      <c r="B265">
        <v>6</v>
      </c>
      <c r="C265">
        <v>12</v>
      </c>
    </row>
    <row r="266" spans="1:4" hidden="1" x14ac:dyDescent="0.25">
      <c r="A266" t="s">
        <v>20</v>
      </c>
      <c r="B266">
        <v>6</v>
      </c>
      <c r="C266">
        <v>13</v>
      </c>
    </row>
    <row r="267" spans="1:4" hidden="1" x14ac:dyDescent="0.25">
      <c r="A267" t="s">
        <v>20</v>
      </c>
      <c r="B267">
        <v>6</v>
      </c>
      <c r="C267">
        <v>14</v>
      </c>
    </row>
    <row r="268" spans="1:4" hidden="1" x14ac:dyDescent="0.25">
      <c r="A268" t="s">
        <v>20</v>
      </c>
      <c r="B268">
        <v>6</v>
      </c>
      <c r="C268">
        <v>15</v>
      </c>
    </row>
    <row r="269" spans="1:4" hidden="1" x14ac:dyDescent="0.25">
      <c r="A269" t="s">
        <v>20</v>
      </c>
      <c r="B269">
        <v>6</v>
      </c>
      <c r="C269">
        <v>16</v>
      </c>
    </row>
    <row r="270" spans="1:4" hidden="1" x14ac:dyDescent="0.25">
      <c r="A270" t="s">
        <v>20</v>
      </c>
      <c r="B270">
        <v>6</v>
      </c>
      <c r="C270">
        <v>17</v>
      </c>
      <c r="D270">
        <v>1</v>
      </c>
    </row>
    <row r="271" spans="1:4" hidden="1" x14ac:dyDescent="0.25">
      <c r="A271" t="s">
        <v>20</v>
      </c>
      <c r="B271">
        <v>6</v>
      </c>
      <c r="C271">
        <v>18</v>
      </c>
    </row>
    <row r="272" spans="1:4" hidden="1" x14ac:dyDescent="0.25">
      <c r="A272" t="s">
        <v>20</v>
      </c>
      <c r="B272">
        <v>6</v>
      </c>
      <c r="C272">
        <v>19</v>
      </c>
    </row>
    <row r="273" spans="1:4" hidden="1" x14ac:dyDescent="0.25">
      <c r="A273" t="s">
        <v>20</v>
      </c>
      <c r="B273">
        <v>6</v>
      </c>
      <c r="C273">
        <v>20</v>
      </c>
      <c r="D273">
        <v>1</v>
      </c>
    </row>
    <row r="274" spans="1:4" hidden="1" x14ac:dyDescent="0.25">
      <c r="A274" t="s">
        <v>20</v>
      </c>
      <c r="B274">
        <v>6</v>
      </c>
      <c r="C274">
        <v>21</v>
      </c>
    </row>
    <row r="275" spans="1:4" hidden="1" x14ac:dyDescent="0.25">
      <c r="A275" t="s">
        <v>20</v>
      </c>
      <c r="B275">
        <v>6</v>
      </c>
      <c r="C275">
        <v>22</v>
      </c>
    </row>
    <row r="276" spans="1:4" hidden="1" x14ac:dyDescent="0.25">
      <c r="A276" t="s">
        <v>20</v>
      </c>
      <c r="B276">
        <v>6</v>
      </c>
      <c r="C276">
        <v>23</v>
      </c>
    </row>
    <row r="277" spans="1:4" hidden="1" x14ac:dyDescent="0.25">
      <c r="A277" t="s">
        <v>20</v>
      </c>
      <c r="B277">
        <v>6</v>
      </c>
      <c r="C277">
        <v>24</v>
      </c>
    </row>
    <row r="278" spans="1:4" hidden="1" x14ac:dyDescent="0.25">
      <c r="A278" t="s">
        <v>20</v>
      </c>
      <c r="B278">
        <v>6</v>
      </c>
      <c r="C278">
        <v>25</v>
      </c>
    </row>
    <row r="279" spans="1:4" hidden="1" x14ac:dyDescent="0.25">
      <c r="A279" t="s">
        <v>20</v>
      </c>
      <c r="B279">
        <v>6</v>
      </c>
      <c r="C279">
        <v>26</v>
      </c>
    </row>
    <row r="280" spans="1:4" hidden="1" x14ac:dyDescent="0.25">
      <c r="A280" t="s">
        <v>20</v>
      </c>
      <c r="B280">
        <v>6</v>
      </c>
      <c r="C280">
        <v>27</v>
      </c>
    </row>
    <row r="281" spans="1:4" hidden="1" x14ac:dyDescent="0.25">
      <c r="A281" t="s">
        <v>20</v>
      </c>
      <c r="B281">
        <v>6</v>
      </c>
      <c r="C281">
        <v>28</v>
      </c>
      <c r="D281">
        <v>1</v>
      </c>
    </row>
    <row r="282" spans="1:4" hidden="1" x14ac:dyDescent="0.25">
      <c r="A282" t="s">
        <v>20</v>
      </c>
      <c r="B282">
        <v>6</v>
      </c>
      <c r="C282">
        <v>29</v>
      </c>
    </row>
    <row r="283" spans="1:4" hidden="1" x14ac:dyDescent="0.25">
      <c r="A283" t="s">
        <v>20</v>
      </c>
      <c r="B283">
        <v>6</v>
      </c>
      <c r="C283">
        <v>30</v>
      </c>
    </row>
    <row r="284" spans="1:4" hidden="1" x14ac:dyDescent="0.25">
      <c r="A284" t="s">
        <v>20</v>
      </c>
      <c r="B284">
        <v>6</v>
      </c>
      <c r="C284">
        <v>31</v>
      </c>
      <c r="D284">
        <v>1</v>
      </c>
    </row>
    <row r="285" spans="1:4" hidden="1" x14ac:dyDescent="0.25">
      <c r="A285" t="s">
        <v>20</v>
      </c>
      <c r="B285">
        <v>6</v>
      </c>
      <c r="C285">
        <v>32</v>
      </c>
    </row>
    <row r="286" spans="1:4" hidden="1" x14ac:dyDescent="0.25">
      <c r="A286" t="s">
        <v>20</v>
      </c>
      <c r="B286">
        <v>6</v>
      </c>
      <c r="C286">
        <v>33</v>
      </c>
    </row>
    <row r="287" spans="1:4" hidden="1" x14ac:dyDescent="0.25">
      <c r="A287" t="s">
        <v>20</v>
      </c>
      <c r="B287">
        <v>6</v>
      </c>
      <c r="C287">
        <v>34</v>
      </c>
    </row>
    <row r="288" spans="1:4" hidden="1" x14ac:dyDescent="0.25">
      <c r="A288" t="s">
        <v>20</v>
      </c>
      <c r="B288">
        <v>6</v>
      </c>
      <c r="C288">
        <v>35</v>
      </c>
      <c r="D288">
        <v>1</v>
      </c>
    </row>
    <row r="289" spans="1:4" hidden="1" x14ac:dyDescent="0.25">
      <c r="A289" t="s">
        <v>20</v>
      </c>
      <c r="B289">
        <v>6</v>
      </c>
      <c r="C289">
        <v>36</v>
      </c>
    </row>
    <row r="290" spans="1:4" hidden="1" x14ac:dyDescent="0.25">
      <c r="A290" t="s">
        <v>20</v>
      </c>
      <c r="B290">
        <v>6</v>
      </c>
      <c r="C290">
        <v>37</v>
      </c>
    </row>
    <row r="291" spans="1:4" hidden="1" x14ac:dyDescent="0.25">
      <c r="A291" t="s">
        <v>20</v>
      </c>
      <c r="B291">
        <v>6</v>
      </c>
      <c r="C291">
        <v>38</v>
      </c>
      <c r="D291">
        <v>1</v>
      </c>
    </row>
    <row r="292" spans="1:4" hidden="1" x14ac:dyDescent="0.25">
      <c r="A292" t="s">
        <v>20</v>
      </c>
      <c r="B292">
        <v>6</v>
      </c>
      <c r="C292">
        <v>39</v>
      </c>
    </row>
    <row r="293" spans="1:4" hidden="1" x14ac:dyDescent="0.25">
      <c r="A293" t="s">
        <v>20</v>
      </c>
      <c r="B293">
        <v>6</v>
      </c>
      <c r="C293">
        <v>40</v>
      </c>
    </row>
    <row r="294" spans="1:4" hidden="1" x14ac:dyDescent="0.25">
      <c r="A294" t="s">
        <v>20</v>
      </c>
      <c r="B294">
        <v>6</v>
      </c>
      <c r="C294">
        <v>41</v>
      </c>
      <c r="D294">
        <v>1</v>
      </c>
    </row>
    <row r="295" spans="1:4" hidden="1" x14ac:dyDescent="0.25">
      <c r="A295" t="s">
        <v>20</v>
      </c>
      <c r="B295">
        <v>6</v>
      </c>
      <c r="C295">
        <v>42</v>
      </c>
    </row>
    <row r="296" spans="1:4" hidden="1" x14ac:dyDescent="0.25">
      <c r="A296" t="s">
        <v>20</v>
      </c>
      <c r="B296">
        <v>6</v>
      </c>
      <c r="C296">
        <v>43</v>
      </c>
    </row>
    <row r="297" spans="1:4" hidden="1" x14ac:dyDescent="0.25">
      <c r="A297" t="s">
        <v>20</v>
      </c>
      <c r="B297">
        <v>6</v>
      </c>
      <c r="C297">
        <v>44</v>
      </c>
      <c r="D297">
        <v>1</v>
      </c>
    </row>
    <row r="298" spans="1:4" hidden="1" x14ac:dyDescent="0.25">
      <c r="A298" t="s">
        <v>20</v>
      </c>
      <c r="B298">
        <v>6</v>
      </c>
      <c r="C298">
        <v>45</v>
      </c>
    </row>
    <row r="299" spans="1:4" hidden="1" x14ac:dyDescent="0.25">
      <c r="A299" t="s">
        <v>20</v>
      </c>
      <c r="B299">
        <v>6</v>
      </c>
      <c r="C299">
        <v>46</v>
      </c>
      <c r="D299">
        <v>1</v>
      </c>
    </row>
    <row r="300" spans="1:4" hidden="1" x14ac:dyDescent="0.25">
      <c r="A300" t="s">
        <v>20</v>
      </c>
      <c r="B300">
        <v>6</v>
      </c>
      <c r="C300">
        <v>47</v>
      </c>
    </row>
    <row r="301" spans="1:4" hidden="1" x14ac:dyDescent="0.25">
      <c r="A301" t="s">
        <v>20</v>
      </c>
      <c r="B301">
        <v>6</v>
      </c>
      <c r="C301">
        <v>48</v>
      </c>
    </row>
    <row r="302" spans="1:4" hidden="1" x14ac:dyDescent="0.25">
      <c r="A302" t="s">
        <v>20</v>
      </c>
      <c r="B302">
        <v>6</v>
      </c>
      <c r="C302">
        <v>49</v>
      </c>
      <c r="D302">
        <v>1</v>
      </c>
    </row>
    <row r="303" spans="1:4" hidden="1" x14ac:dyDescent="0.25">
      <c r="A303" t="s">
        <v>20</v>
      </c>
      <c r="B303">
        <v>6</v>
      </c>
      <c r="C303">
        <v>50</v>
      </c>
    </row>
    <row r="304" spans="1:4" hidden="1" x14ac:dyDescent="0.25">
      <c r="A304" t="s">
        <v>20</v>
      </c>
      <c r="B304">
        <v>6</v>
      </c>
      <c r="C304">
        <v>51</v>
      </c>
    </row>
    <row r="305" spans="1:4" hidden="1" x14ac:dyDescent="0.25">
      <c r="A305" t="s">
        <v>20</v>
      </c>
      <c r="B305">
        <v>6</v>
      </c>
      <c r="C305">
        <v>52</v>
      </c>
    </row>
    <row r="306" spans="1:4" hidden="1" x14ac:dyDescent="0.25">
      <c r="A306" t="s">
        <v>20</v>
      </c>
      <c r="B306">
        <v>6</v>
      </c>
      <c r="C306">
        <v>53</v>
      </c>
    </row>
    <row r="307" spans="1:4" hidden="1" x14ac:dyDescent="0.25">
      <c r="A307" t="s">
        <v>20</v>
      </c>
      <c r="B307">
        <v>6</v>
      </c>
      <c r="C307">
        <v>54</v>
      </c>
    </row>
    <row r="308" spans="1:4" hidden="1" x14ac:dyDescent="0.25">
      <c r="A308" t="s">
        <v>20</v>
      </c>
      <c r="B308">
        <v>6</v>
      </c>
      <c r="C308">
        <v>55</v>
      </c>
    </row>
    <row r="309" spans="1:4" hidden="1" x14ac:dyDescent="0.25">
      <c r="A309" t="s">
        <v>20</v>
      </c>
      <c r="B309">
        <v>6</v>
      </c>
      <c r="C309">
        <v>56</v>
      </c>
    </row>
    <row r="310" spans="1:4" hidden="1" x14ac:dyDescent="0.25">
      <c r="A310" t="s">
        <v>20</v>
      </c>
      <c r="B310">
        <v>6</v>
      </c>
      <c r="C310">
        <v>57</v>
      </c>
    </row>
    <row r="311" spans="1:4" hidden="1" x14ac:dyDescent="0.25">
      <c r="A311" t="s">
        <v>20</v>
      </c>
      <c r="B311">
        <v>6</v>
      </c>
      <c r="C311">
        <v>58</v>
      </c>
    </row>
    <row r="312" spans="1:4" hidden="1" x14ac:dyDescent="0.25">
      <c r="A312" t="s">
        <v>20</v>
      </c>
      <c r="B312">
        <v>6</v>
      </c>
      <c r="C312">
        <v>59</v>
      </c>
      <c r="D312">
        <v>1</v>
      </c>
    </row>
    <row r="313" spans="1:4" hidden="1" x14ac:dyDescent="0.25">
      <c r="A313" t="s">
        <v>20</v>
      </c>
      <c r="B313">
        <v>6</v>
      </c>
      <c r="C313">
        <v>60</v>
      </c>
    </row>
    <row r="314" spans="1:4" hidden="1" x14ac:dyDescent="0.25">
      <c r="A314" t="s">
        <v>20</v>
      </c>
      <c r="B314">
        <v>6</v>
      </c>
      <c r="C314">
        <v>61</v>
      </c>
    </row>
    <row r="315" spans="1:4" hidden="1" x14ac:dyDescent="0.25">
      <c r="A315" t="s">
        <v>20</v>
      </c>
      <c r="B315">
        <v>6</v>
      </c>
      <c r="C315">
        <v>62</v>
      </c>
      <c r="D315">
        <v>1</v>
      </c>
    </row>
    <row r="316" spans="1:4" hidden="1" x14ac:dyDescent="0.25">
      <c r="A316" t="s">
        <v>20</v>
      </c>
      <c r="B316">
        <v>6</v>
      </c>
      <c r="C316">
        <v>63</v>
      </c>
    </row>
    <row r="317" spans="1:4" hidden="1" x14ac:dyDescent="0.25">
      <c r="A317" t="s">
        <v>20</v>
      </c>
      <c r="B317">
        <v>6</v>
      </c>
      <c r="C317">
        <v>64</v>
      </c>
    </row>
    <row r="318" spans="1:4" hidden="1" x14ac:dyDescent="0.25">
      <c r="A318" t="s">
        <v>20</v>
      </c>
      <c r="B318">
        <v>6</v>
      </c>
      <c r="C318">
        <v>65</v>
      </c>
      <c r="D318">
        <v>1</v>
      </c>
    </row>
    <row r="319" spans="1:4" hidden="1" x14ac:dyDescent="0.25">
      <c r="A319" t="s">
        <v>20</v>
      </c>
      <c r="B319">
        <v>6</v>
      </c>
      <c r="C319">
        <v>66</v>
      </c>
    </row>
    <row r="320" spans="1:4" hidden="1" x14ac:dyDescent="0.25">
      <c r="A320" t="s">
        <v>20</v>
      </c>
      <c r="B320">
        <v>6</v>
      </c>
      <c r="C320">
        <v>67</v>
      </c>
    </row>
    <row r="321" spans="1:4" hidden="1" x14ac:dyDescent="0.25">
      <c r="A321" t="s">
        <v>20</v>
      </c>
      <c r="B321">
        <v>6</v>
      </c>
      <c r="C321">
        <v>68</v>
      </c>
      <c r="D321">
        <v>1</v>
      </c>
    </row>
    <row r="322" spans="1:4" hidden="1" x14ac:dyDescent="0.25">
      <c r="A322" t="s">
        <v>20</v>
      </c>
      <c r="B322">
        <v>6</v>
      </c>
      <c r="C322">
        <v>69</v>
      </c>
    </row>
    <row r="323" spans="1:4" hidden="1" x14ac:dyDescent="0.25">
      <c r="A323" t="s">
        <v>20</v>
      </c>
      <c r="B323">
        <v>6</v>
      </c>
      <c r="C323">
        <v>70</v>
      </c>
      <c r="D323">
        <v>1</v>
      </c>
    </row>
    <row r="324" spans="1:4" hidden="1" x14ac:dyDescent="0.25">
      <c r="A324" t="s">
        <v>20</v>
      </c>
      <c r="B324">
        <v>6</v>
      </c>
      <c r="C324">
        <v>71</v>
      </c>
    </row>
    <row r="325" spans="1:4" hidden="1" x14ac:dyDescent="0.25">
      <c r="A325" t="s">
        <v>20</v>
      </c>
      <c r="B325">
        <v>6</v>
      </c>
      <c r="C325">
        <v>72</v>
      </c>
    </row>
    <row r="326" spans="1:4" hidden="1" x14ac:dyDescent="0.25">
      <c r="A326" t="s">
        <v>20</v>
      </c>
      <c r="B326">
        <v>6</v>
      </c>
      <c r="C326">
        <v>73</v>
      </c>
      <c r="D326">
        <v>1</v>
      </c>
    </row>
    <row r="327" spans="1:4" hidden="1" x14ac:dyDescent="0.25">
      <c r="A327" t="s">
        <v>20</v>
      </c>
      <c r="B327">
        <v>6</v>
      </c>
      <c r="C327">
        <v>74</v>
      </c>
    </row>
    <row r="328" spans="1:4" hidden="1" x14ac:dyDescent="0.25">
      <c r="A328" t="s">
        <v>20</v>
      </c>
      <c r="B328">
        <v>6</v>
      </c>
      <c r="C328">
        <v>75</v>
      </c>
    </row>
    <row r="329" spans="1:4" hidden="1" x14ac:dyDescent="0.25">
      <c r="A329" t="s">
        <v>20</v>
      </c>
      <c r="B329">
        <v>6</v>
      </c>
      <c r="C329">
        <v>76</v>
      </c>
    </row>
    <row r="330" spans="1:4" hidden="1" x14ac:dyDescent="0.25">
      <c r="A330" t="s">
        <v>20</v>
      </c>
      <c r="B330">
        <v>6</v>
      </c>
      <c r="C330">
        <v>77</v>
      </c>
      <c r="D330">
        <v>1</v>
      </c>
    </row>
    <row r="331" spans="1:4" hidden="1" x14ac:dyDescent="0.25">
      <c r="A331" t="s">
        <v>20</v>
      </c>
      <c r="B331">
        <v>6</v>
      </c>
      <c r="C331">
        <v>78</v>
      </c>
    </row>
    <row r="332" spans="1:4" hidden="1" x14ac:dyDescent="0.25">
      <c r="A332" t="s">
        <v>20</v>
      </c>
      <c r="B332">
        <v>6</v>
      </c>
      <c r="C332">
        <v>79</v>
      </c>
    </row>
    <row r="333" spans="1:4" hidden="1" x14ac:dyDescent="0.25">
      <c r="A333" t="s">
        <v>20</v>
      </c>
      <c r="B333">
        <v>6</v>
      </c>
      <c r="C333">
        <v>80</v>
      </c>
      <c r="D333">
        <v>1</v>
      </c>
    </row>
    <row r="334" spans="1:4" hidden="1" x14ac:dyDescent="0.25">
      <c r="A334" t="s">
        <v>20</v>
      </c>
      <c r="B334">
        <v>6</v>
      </c>
      <c r="C334">
        <v>81</v>
      </c>
    </row>
    <row r="335" spans="1:4" hidden="1" x14ac:dyDescent="0.25">
      <c r="A335" t="s">
        <v>20</v>
      </c>
      <c r="B335">
        <v>6</v>
      </c>
      <c r="C335">
        <v>82</v>
      </c>
    </row>
    <row r="336" spans="1:4" hidden="1" x14ac:dyDescent="0.25">
      <c r="A336" t="s">
        <v>20</v>
      </c>
      <c r="B336">
        <v>6</v>
      </c>
      <c r="C336">
        <v>83</v>
      </c>
      <c r="D336">
        <v>1</v>
      </c>
    </row>
    <row r="337" spans="1:6" hidden="1" x14ac:dyDescent="0.25">
      <c r="A337" t="s">
        <v>20</v>
      </c>
      <c r="B337">
        <v>6</v>
      </c>
      <c r="C337">
        <v>84</v>
      </c>
    </row>
    <row r="338" spans="1:6" x14ac:dyDescent="0.25">
      <c r="A338" t="s">
        <v>20</v>
      </c>
      <c r="B338">
        <v>9</v>
      </c>
      <c r="C338">
        <v>1</v>
      </c>
      <c r="E338">
        <v>28</v>
      </c>
      <c r="F338">
        <v>20</v>
      </c>
    </row>
    <row r="339" spans="1:6" x14ac:dyDescent="0.25">
      <c r="A339" t="s">
        <v>20</v>
      </c>
      <c r="B339">
        <v>9</v>
      </c>
      <c r="C339">
        <v>2</v>
      </c>
      <c r="D339">
        <v>1</v>
      </c>
      <c r="E339">
        <v>28</v>
      </c>
      <c r="F339">
        <v>20</v>
      </c>
    </row>
    <row r="340" spans="1:6" x14ac:dyDescent="0.25">
      <c r="A340" t="s">
        <v>20</v>
      </c>
      <c r="B340">
        <v>9</v>
      </c>
      <c r="C340">
        <v>3</v>
      </c>
      <c r="E340">
        <v>28</v>
      </c>
      <c r="F340">
        <v>20</v>
      </c>
    </row>
    <row r="341" spans="1:6" x14ac:dyDescent="0.25">
      <c r="A341" t="s">
        <v>20</v>
      </c>
      <c r="B341">
        <v>9</v>
      </c>
      <c r="C341">
        <v>4</v>
      </c>
      <c r="E341">
        <v>28</v>
      </c>
      <c r="F341">
        <v>20</v>
      </c>
    </row>
    <row r="342" spans="1:6" x14ac:dyDescent="0.25">
      <c r="A342" t="s">
        <v>20</v>
      </c>
      <c r="B342">
        <v>9</v>
      </c>
      <c r="C342">
        <v>5</v>
      </c>
      <c r="D342">
        <v>1</v>
      </c>
      <c r="E342">
        <v>28</v>
      </c>
      <c r="F342">
        <v>20</v>
      </c>
    </row>
    <row r="343" spans="1:6" x14ac:dyDescent="0.25">
      <c r="A343" t="s">
        <v>20</v>
      </c>
      <c r="B343">
        <v>9</v>
      </c>
      <c r="C343">
        <v>6</v>
      </c>
      <c r="E343">
        <v>28</v>
      </c>
      <c r="F343">
        <v>20</v>
      </c>
    </row>
    <row r="344" spans="1:6" x14ac:dyDescent="0.25">
      <c r="A344" t="s">
        <v>20</v>
      </c>
      <c r="B344">
        <v>9</v>
      </c>
      <c r="C344">
        <v>7</v>
      </c>
      <c r="E344">
        <v>28</v>
      </c>
      <c r="F344">
        <v>20</v>
      </c>
    </row>
    <row r="345" spans="1:6" x14ac:dyDescent="0.25">
      <c r="A345" t="s">
        <v>20</v>
      </c>
      <c r="B345">
        <v>9</v>
      </c>
      <c r="C345">
        <v>8</v>
      </c>
      <c r="E345">
        <v>28</v>
      </c>
      <c r="F345">
        <v>20</v>
      </c>
    </row>
    <row r="346" spans="1:6" x14ac:dyDescent="0.25">
      <c r="A346" t="s">
        <v>20</v>
      </c>
      <c r="B346">
        <v>9</v>
      </c>
      <c r="C346">
        <v>9</v>
      </c>
      <c r="E346">
        <v>28</v>
      </c>
      <c r="F346">
        <v>20</v>
      </c>
    </row>
    <row r="347" spans="1:6" x14ac:dyDescent="0.25">
      <c r="A347" t="s">
        <v>20</v>
      </c>
      <c r="B347">
        <v>9</v>
      </c>
      <c r="C347">
        <v>10</v>
      </c>
      <c r="E347">
        <v>28</v>
      </c>
      <c r="F347">
        <v>20</v>
      </c>
    </row>
    <row r="348" spans="1:6" x14ac:dyDescent="0.25">
      <c r="A348" t="s">
        <v>20</v>
      </c>
      <c r="B348">
        <v>9</v>
      </c>
      <c r="C348">
        <v>11</v>
      </c>
      <c r="D348">
        <v>1</v>
      </c>
      <c r="E348">
        <v>28</v>
      </c>
      <c r="F348">
        <v>20</v>
      </c>
    </row>
    <row r="349" spans="1:6" x14ac:dyDescent="0.25">
      <c r="A349" t="s">
        <v>20</v>
      </c>
      <c r="B349">
        <v>9</v>
      </c>
      <c r="C349">
        <v>12</v>
      </c>
      <c r="E349">
        <v>28</v>
      </c>
      <c r="F349">
        <v>20</v>
      </c>
    </row>
    <row r="350" spans="1:6" x14ac:dyDescent="0.25">
      <c r="A350" t="s">
        <v>20</v>
      </c>
      <c r="B350">
        <v>9</v>
      </c>
      <c r="C350">
        <v>13</v>
      </c>
      <c r="E350">
        <v>28</v>
      </c>
      <c r="F350">
        <v>20</v>
      </c>
    </row>
    <row r="351" spans="1:6" x14ac:dyDescent="0.25">
      <c r="A351" t="s">
        <v>20</v>
      </c>
      <c r="B351">
        <v>9</v>
      </c>
      <c r="C351">
        <v>14</v>
      </c>
      <c r="D351">
        <v>1</v>
      </c>
      <c r="E351">
        <v>28</v>
      </c>
      <c r="F351">
        <v>20</v>
      </c>
    </row>
    <row r="352" spans="1:6" x14ac:dyDescent="0.25">
      <c r="A352" t="s">
        <v>20</v>
      </c>
      <c r="B352">
        <v>9</v>
      </c>
      <c r="C352">
        <v>15</v>
      </c>
      <c r="E352">
        <v>28</v>
      </c>
      <c r="F352">
        <v>20</v>
      </c>
    </row>
    <row r="353" spans="1:6" x14ac:dyDescent="0.25">
      <c r="A353" t="s">
        <v>20</v>
      </c>
      <c r="B353">
        <v>9</v>
      </c>
      <c r="C353">
        <v>16</v>
      </c>
      <c r="D353">
        <v>1</v>
      </c>
      <c r="E353">
        <v>28</v>
      </c>
      <c r="F353">
        <v>20</v>
      </c>
    </row>
    <row r="354" spans="1:6" x14ac:dyDescent="0.25">
      <c r="A354" t="s">
        <v>20</v>
      </c>
      <c r="B354">
        <v>9</v>
      </c>
      <c r="C354">
        <v>17</v>
      </c>
      <c r="E354">
        <v>28</v>
      </c>
      <c r="F354">
        <v>20</v>
      </c>
    </row>
    <row r="355" spans="1:6" x14ac:dyDescent="0.25">
      <c r="A355" t="s">
        <v>20</v>
      </c>
      <c r="B355">
        <v>9</v>
      </c>
      <c r="C355">
        <v>18</v>
      </c>
      <c r="E355">
        <v>28</v>
      </c>
      <c r="F355">
        <v>20</v>
      </c>
    </row>
    <row r="356" spans="1:6" x14ac:dyDescent="0.25">
      <c r="A356" t="s">
        <v>20</v>
      </c>
      <c r="B356">
        <v>9</v>
      </c>
      <c r="C356">
        <v>19</v>
      </c>
      <c r="E356">
        <v>28</v>
      </c>
      <c r="F356">
        <v>20</v>
      </c>
    </row>
    <row r="357" spans="1:6" x14ac:dyDescent="0.25">
      <c r="A357" t="s">
        <v>20</v>
      </c>
      <c r="B357">
        <v>9</v>
      </c>
      <c r="C357">
        <v>20</v>
      </c>
      <c r="D357">
        <v>1</v>
      </c>
      <c r="E357">
        <v>28</v>
      </c>
      <c r="F357">
        <v>20</v>
      </c>
    </row>
    <row r="358" spans="1:6" x14ac:dyDescent="0.25">
      <c r="A358" t="s">
        <v>20</v>
      </c>
      <c r="B358">
        <v>9</v>
      </c>
      <c r="C358">
        <v>21</v>
      </c>
      <c r="E358">
        <v>28</v>
      </c>
      <c r="F358">
        <v>20</v>
      </c>
    </row>
    <row r="359" spans="1:6" x14ac:dyDescent="0.25">
      <c r="A359" t="s">
        <v>20</v>
      </c>
      <c r="B359">
        <v>9</v>
      </c>
      <c r="C359">
        <v>22</v>
      </c>
      <c r="E359">
        <v>28</v>
      </c>
      <c r="F359">
        <v>20</v>
      </c>
    </row>
    <row r="360" spans="1:6" x14ac:dyDescent="0.25">
      <c r="A360" t="s">
        <v>20</v>
      </c>
      <c r="B360">
        <v>9</v>
      </c>
      <c r="C360">
        <v>23</v>
      </c>
      <c r="D360">
        <v>1</v>
      </c>
      <c r="E360">
        <v>28</v>
      </c>
      <c r="F360">
        <v>20</v>
      </c>
    </row>
    <row r="361" spans="1:6" x14ac:dyDescent="0.25">
      <c r="A361" t="s">
        <v>20</v>
      </c>
      <c r="B361">
        <v>9</v>
      </c>
      <c r="C361">
        <v>24</v>
      </c>
      <c r="E361">
        <v>28</v>
      </c>
      <c r="F361">
        <v>20</v>
      </c>
    </row>
    <row r="362" spans="1:6" x14ac:dyDescent="0.25">
      <c r="A362" t="s">
        <v>20</v>
      </c>
      <c r="B362">
        <v>9</v>
      </c>
      <c r="C362">
        <v>25</v>
      </c>
      <c r="E362">
        <v>28</v>
      </c>
      <c r="F362">
        <v>20</v>
      </c>
    </row>
    <row r="363" spans="1:6" x14ac:dyDescent="0.25">
      <c r="A363" t="s">
        <v>20</v>
      </c>
      <c r="B363">
        <v>9</v>
      </c>
      <c r="C363">
        <v>26</v>
      </c>
      <c r="D363">
        <v>1</v>
      </c>
      <c r="E363">
        <v>28</v>
      </c>
      <c r="F363">
        <v>20</v>
      </c>
    </row>
    <row r="364" spans="1:6" x14ac:dyDescent="0.25">
      <c r="A364" t="s">
        <v>20</v>
      </c>
      <c r="B364">
        <v>9</v>
      </c>
      <c r="C364">
        <v>27</v>
      </c>
      <c r="E364">
        <v>28</v>
      </c>
      <c r="F364">
        <v>20</v>
      </c>
    </row>
    <row r="365" spans="1:6" x14ac:dyDescent="0.25">
      <c r="A365" t="s">
        <v>20</v>
      </c>
      <c r="B365">
        <v>9</v>
      </c>
      <c r="C365">
        <v>28</v>
      </c>
      <c r="E365">
        <v>28</v>
      </c>
      <c r="F365">
        <v>20</v>
      </c>
    </row>
    <row r="366" spans="1:6" x14ac:dyDescent="0.25">
      <c r="A366" t="s">
        <v>20</v>
      </c>
      <c r="B366">
        <v>9</v>
      </c>
      <c r="C366">
        <v>29</v>
      </c>
      <c r="E366">
        <v>28</v>
      </c>
      <c r="F366">
        <v>20</v>
      </c>
    </row>
    <row r="367" spans="1:6" x14ac:dyDescent="0.25">
      <c r="A367" t="s">
        <v>20</v>
      </c>
      <c r="B367">
        <v>9</v>
      </c>
      <c r="C367">
        <v>30</v>
      </c>
      <c r="E367">
        <v>28</v>
      </c>
      <c r="F367">
        <v>20</v>
      </c>
    </row>
    <row r="368" spans="1:6" x14ac:dyDescent="0.25">
      <c r="A368" t="s">
        <v>20</v>
      </c>
      <c r="B368">
        <v>9</v>
      </c>
      <c r="C368">
        <v>31</v>
      </c>
      <c r="E368">
        <v>28</v>
      </c>
      <c r="F368">
        <v>20</v>
      </c>
    </row>
    <row r="369" spans="1:6" x14ac:dyDescent="0.25">
      <c r="A369" t="s">
        <v>20</v>
      </c>
      <c r="B369">
        <v>9</v>
      </c>
      <c r="C369">
        <v>32</v>
      </c>
      <c r="D369">
        <v>1</v>
      </c>
      <c r="E369">
        <v>28</v>
      </c>
      <c r="F369">
        <v>20</v>
      </c>
    </row>
    <row r="370" spans="1:6" x14ac:dyDescent="0.25">
      <c r="A370" t="s">
        <v>20</v>
      </c>
      <c r="B370">
        <v>9</v>
      </c>
      <c r="C370">
        <v>33</v>
      </c>
      <c r="E370">
        <v>28</v>
      </c>
      <c r="F370">
        <v>20</v>
      </c>
    </row>
    <row r="371" spans="1:6" x14ac:dyDescent="0.25">
      <c r="A371" t="s">
        <v>20</v>
      </c>
      <c r="B371">
        <v>9</v>
      </c>
      <c r="C371">
        <v>34</v>
      </c>
      <c r="E371">
        <v>28</v>
      </c>
      <c r="F371">
        <v>20</v>
      </c>
    </row>
    <row r="372" spans="1:6" x14ac:dyDescent="0.25">
      <c r="A372" t="s">
        <v>20</v>
      </c>
      <c r="B372">
        <v>9</v>
      </c>
      <c r="C372">
        <v>35</v>
      </c>
      <c r="E372">
        <v>28</v>
      </c>
      <c r="F372">
        <v>20</v>
      </c>
    </row>
    <row r="373" spans="1:6" x14ac:dyDescent="0.25">
      <c r="A373" t="s">
        <v>20</v>
      </c>
      <c r="B373">
        <v>9</v>
      </c>
      <c r="C373">
        <v>36</v>
      </c>
      <c r="E373">
        <v>28</v>
      </c>
      <c r="F373">
        <v>20</v>
      </c>
    </row>
    <row r="374" spans="1:6" x14ac:dyDescent="0.25">
      <c r="A374" t="s">
        <v>20</v>
      </c>
      <c r="B374">
        <v>9</v>
      </c>
      <c r="C374">
        <v>37</v>
      </c>
      <c r="E374">
        <v>28</v>
      </c>
      <c r="F374">
        <v>20</v>
      </c>
    </row>
    <row r="375" spans="1:6" x14ac:dyDescent="0.25">
      <c r="A375" t="s">
        <v>20</v>
      </c>
      <c r="B375">
        <v>9</v>
      </c>
      <c r="C375">
        <v>38</v>
      </c>
      <c r="E375">
        <v>28</v>
      </c>
      <c r="F375">
        <v>20</v>
      </c>
    </row>
    <row r="376" spans="1:6" x14ac:dyDescent="0.25">
      <c r="A376" t="s">
        <v>20</v>
      </c>
      <c r="B376">
        <v>9</v>
      </c>
      <c r="C376">
        <v>39</v>
      </c>
      <c r="E376">
        <v>28</v>
      </c>
      <c r="F376">
        <v>20</v>
      </c>
    </row>
    <row r="377" spans="1:6" x14ac:dyDescent="0.25">
      <c r="A377" t="s">
        <v>20</v>
      </c>
      <c r="B377">
        <v>9</v>
      </c>
      <c r="C377">
        <v>40</v>
      </c>
      <c r="E377">
        <v>28</v>
      </c>
      <c r="F377">
        <v>20</v>
      </c>
    </row>
    <row r="378" spans="1:6" x14ac:dyDescent="0.25">
      <c r="A378" t="s">
        <v>20</v>
      </c>
      <c r="B378">
        <v>9</v>
      </c>
      <c r="C378">
        <v>41</v>
      </c>
      <c r="E378">
        <v>28</v>
      </c>
      <c r="F378">
        <v>20</v>
      </c>
    </row>
    <row r="379" spans="1:6" x14ac:dyDescent="0.25">
      <c r="A379" t="s">
        <v>20</v>
      </c>
      <c r="B379">
        <v>9</v>
      </c>
      <c r="C379">
        <v>42</v>
      </c>
      <c r="E379">
        <v>28</v>
      </c>
      <c r="F379">
        <v>20</v>
      </c>
    </row>
    <row r="380" spans="1:6" x14ac:dyDescent="0.25">
      <c r="A380" t="s">
        <v>20</v>
      </c>
      <c r="B380">
        <v>9</v>
      </c>
      <c r="C380">
        <v>43</v>
      </c>
      <c r="E380">
        <v>28</v>
      </c>
      <c r="F380">
        <v>20</v>
      </c>
    </row>
    <row r="381" spans="1:6" x14ac:dyDescent="0.25">
      <c r="A381" t="s">
        <v>20</v>
      </c>
      <c r="B381">
        <v>9</v>
      </c>
      <c r="C381">
        <v>44</v>
      </c>
      <c r="D381">
        <v>1</v>
      </c>
      <c r="E381">
        <v>28</v>
      </c>
      <c r="F381">
        <v>20</v>
      </c>
    </row>
    <row r="382" spans="1:6" x14ac:dyDescent="0.25">
      <c r="A382" t="s">
        <v>20</v>
      </c>
      <c r="B382">
        <v>9</v>
      </c>
      <c r="C382">
        <v>45</v>
      </c>
      <c r="E382">
        <v>28</v>
      </c>
      <c r="F382">
        <v>20</v>
      </c>
    </row>
    <row r="383" spans="1:6" x14ac:dyDescent="0.25">
      <c r="A383" t="s">
        <v>20</v>
      </c>
      <c r="B383">
        <v>9</v>
      </c>
      <c r="C383">
        <v>46</v>
      </c>
      <c r="E383">
        <v>28</v>
      </c>
      <c r="F383">
        <v>20</v>
      </c>
    </row>
    <row r="384" spans="1:6" x14ac:dyDescent="0.25">
      <c r="A384" t="s">
        <v>20</v>
      </c>
      <c r="B384">
        <v>9</v>
      </c>
      <c r="C384">
        <v>47</v>
      </c>
      <c r="D384">
        <v>1</v>
      </c>
      <c r="E384">
        <v>28</v>
      </c>
      <c r="F384">
        <v>20</v>
      </c>
    </row>
    <row r="385" spans="1:6" x14ac:dyDescent="0.25">
      <c r="A385" t="s">
        <v>20</v>
      </c>
      <c r="B385">
        <v>9</v>
      </c>
      <c r="C385">
        <v>48</v>
      </c>
      <c r="E385">
        <v>28</v>
      </c>
      <c r="F385">
        <v>20</v>
      </c>
    </row>
    <row r="386" spans="1:6" x14ac:dyDescent="0.25">
      <c r="A386" t="s">
        <v>20</v>
      </c>
      <c r="B386">
        <v>9</v>
      </c>
      <c r="C386">
        <v>49</v>
      </c>
      <c r="E386">
        <v>28</v>
      </c>
      <c r="F386">
        <v>20</v>
      </c>
    </row>
    <row r="387" spans="1:6" x14ac:dyDescent="0.25">
      <c r="A387" t="s">
        <v>20</v>
      </c>
      <c r="B387">
        <v>9</v>
      </c>
      <c r="C387">
        <v>50</v>
      </c>
      <c r="E387">
        <v>28</v>
      </c>
      <c r="F387">
        <v>20</v>
      </c>
    </row>
    <row r="388" spans="1:6" x14ac:dyDescent="0.25">
      <c r="A388" t="s">
        <v>20</v>
      </c>
      <c r="B388">
        <v>9</v>
      </c>
      <c r="C388">
        <v>51</v>
      </c>
      <c r="D388">
        <v>1</v>
      </c>
      <c r="E388">
        <v>28</v>
      </c>
      <c r="F388">
        <v>20</v>
      </c>
    </row>
    <row r="389" spans="1:6" x14ac:dyDescent="0.25">
      <c r="A389" t="s">
        <v>20</v>
      </c>
      <c r="B389">
        <v>9</v>
      </c>
      <c r="C389">
        <v>52</v>
      </c>
      <c r="E389">
        <v>28</v>
      </c>
      <c r="F389">
        <v>20</v>
      </c>
    </row>
    <row r="390" spans="1:6" x14ac:dyDescent="0.25">
      <c r="A390" t="s">
        <v>20</v>
      </c>
      <c r="B390">
        <v>9</v>
      </c>
      <c r="C390">
        <v>53</v>
      </c>
      <c r="D390">
        <v>1</v>
      </c>
      <c r="E390">
        <v>28</v>
      </c>
      <c r="F390">
        <v>20</v>
      </c>
    </row>
    <row r="391" spans="1:6" x14ac:dyDescent="0.25">
      <c r="A391" t="s">
        <v>20</v>
      </c>
      <c r="B391">
        <v>9</v>
      </c>
      <c r="C391">
        <v>54</v>
      </c>
      <c r="E391">
        <v>28</v>
      </c>
      <c r="F391">
        <v>20</v>
      </c>
    </row>
    <row r="392" spans="1:6" x14ac:dyDescent="0.25">
      <c r="A392" t="s">
        <v>20</v>
      </c>
      <c r="B392">
        <v>9</v>
      </c>
      <c r="C392">
        <v>55</v>
      </c>
      <c r="E392">
        <v>28</v>
      </c>
      <c r="F392">
        <v>20</v>
      </c>
    </row>
    <row r="393" spans="1:6" x14ac:dyDescent="0.25">
      <c r="A393" t="s">
        <v>20</v>
      </c>
      <c r="B393">
        <v>9</v>
      </c>
      <c r="C393">
        <v>56</v>
      </c>
      <c r="E393">
        <v>28</v>
      </c>
      <c r="F393">
        <v>20</v>
      </c>
    </row>
    <row r="394" spans="1:6" x14ac:dyDescent="0.25">
      <c r="A394" t="s">
        <v>20</v>
      </c>
      <c r="B394">
        <v>9</v>
      </c>
      <c r="C394">
        <v>57</v>
      </c>
      <c r="D394">
        <v>1</v>
      </c>
      <c r="E394">
        <v>28</v>
      </c>
      <c r="F394">
        <v>20</v>
      </c>
    </row>
    <row r="395" spans="1:6" x14ac:dyDescent="0.25">
      <c r="A395" t="s">
        <v>20</v>
      </c>
      <c r="B395">
        <v>9</v>
      </c>
      <c r="C395">
        <v>58</v>
      </c>
      <c r="D395">
        <v>1</v>
      </c>
      <c r="E395">
        <v>28</v>
      </c>
      <c r="F395">
        <v>20</v>
      </c>
    </row>
    <row r="396" spans="1:6" x14ac:dyDescent="0.25">
      <c r="A396" t="s">
        <v>20</v>
      </c>
      <c r="B396">
        <v>9</v>
      </c>
      <c r="C396">
        <v>59</v>
      </c>
      <c r="E396">
        <v>28</v>
      </c>
      <c r="F396">
        <v>20</v>
      </c>
    </row>
    <row r="397" spans="1:6" x14ac:dyDescent="0.25">
      <c r="A397" t="s">
        <v>20</v>
      </c>
      <c r="B397">
        <v>9</v>
      </c>
      <c r="C397">
        <v>60</v>
      </c>
      <c r="E397">
        <v>28</v>
      </c>
      <c r="F397">
        <v>20</v>
      </c>
    </row>
    <row r="398" spans="1:6" x14ac:dyDescent="0.25">
      <c r="A398" t="s">
        <v>20</v>
      </c>
      <c r="B398">
        <v>9</v>
      </c>
      <c r="C398">
        <v>61</v>
      </c>
      <c r="E398">
        <v>28</v>
      </c>
      <c r="F398">
        <v>20</v>
      </c>
    </row>
    <row r="399" spans="1:6" x14ac:dyDescent="0.25">
      <c r="A399" t="s">
        <v>20</v>
      </c>
      <c r="B399">
        <v>9</v>
      </c>
      <c r="C399">
        <v>62</v>
      </c>
      <c r="D399">
        <v>1</v>
      </c>
      <c r="E399">
        <v>28</v>
      </c>
      <c r="F399">
        <v>20</v>
      </c>
    </row>
    <row r="400" spans="1:6" x14ac:dyDescent="0.25">
      <c r="A400" t="s">
        <v>20</v>
      </c>
      <c r="B400">
        <v>9</v>
      </c>
      <c r="C400">
        <v>63</v>
      </c>
      <c r="E400">
        <v>28</v>
      </c>
      <c r="F400">
        <v>20</v>
      </c>
    </row>
    <row r="401" spans="1:6" x14ac:dyDescent="0.25">
      <c r="A401" t="s">
        <v>20</v>
      </c>
      <c r="B401">
        <v>9</v>
      </c>
      <c r="C401">
        <v>64</v>
      </c>
      <c r="E401">
        <v>28</v>
      </c>
      <c r="F401">
        <v>20</v>
      </c>
    </row>
    <row r="402" spans="1:6" x14ac:dyDescent="0.25">
      <c r="A402" t="s">
        <v>20</v>
      </c>
      <c r="B402">
        <v>9</v>
      </c>
      <c r="C402">
        <v>65</v>
      </c>
      <c r="E402">
        <v>28</v>
      </c>
      <c r="F402">
        <v>20</v>
      </c>
    </row>
    <row r="403" spans="1:6" x14ac:dyDescent="0.25">
      <c r="A403" t="s">
        <v>20</v>
      </c>
      <c r="B403">
        <v>9</v>
      </c>
      <c r="C403">
        <v>66</v>
      </c>
      <c r="E403">
        <v>28</v>
      </c>
      <c r="F403">
        <v>20</v>
      </c>
    </row>
    <row r="404" spans="1:6" x14ac:dyDescent="0.25">
      <c r="A404" t="s">
        <v>20</v>
      </c>
      <c r="B404">
        <v>9</v>
      </c>
      <c r="C404">
        <v>67</v>
      </c>
      <c r="E404">
        <v>28</v>
      </c>
      <c r="F404">
        <v>20</v>
      </c>
    </row>
    <row r="405" spans="1:6" x14ac:dyDescent="0.25">
      <c r="A405" t="s">
        <v>20</v>
      </c>
      <c r="B405">
        <v>9</v>
      </c>
      <c r="C405">
        <v>68</v>
      </c>
      <c r="D405">
        <v>1</v>
      </c>
      <c r="E405">
        <v>28</v>
      </c>
      <c r="F405">
        <v>20</v>
      </c>
    </row>
    <row r="406" spans="1:6" x14ac:dyDescent="0.25">
      <c r="A406" t="s">
        <v>20</v>
      </c>
      <c r="B406">
        <v>9</v>
      </c>
      <c r="C406">
        <v>69</v>
      </c>
      <c r="E406">
        <v>28</v>
      </c>
      <c r="F406">
        <v>20</v>
      </c>
    </row>
    <row r="407" spans="1:6" x14ac:dyDescent="0.25">
      <c r="A407" t="s">
        <v>20</v>
      </c>
      <c r="B407">
        <v>9</v>
      </c>
      <c r="C407">
        <v>70</v>
      </c>
      <c r="E407">
        <v>28</v>
      </c>
      <c r="F407">
        <v>20</v>
      </c>
    </row>
    <row r="408" spans="1:6" x14ac:dyDescent="0.25">
      <c r="A408" t="s">
        <v>20</v>
      </c>
      <c r="B408">
        <v>9</v>
      </c>
      <c r="C408">
        <v>71</v>
      </c>
      <c r="E408">
        <v>28</v>
      </c>
      <c r="F408">
        <v>20</v>
      </c>
    </row>
    <row r="409" spans="1:6" x14ac:dyDescent="0.25">
      <c r="A409" t="s">
        <v>20</v>
      </c>
      <c r="B409">
        <v>9</v>
      </c>
      <c r="C409">
        <v>72</v>
      </c>
      <c r="D409">
        <v>1</v>
      </c>
      <c r="E409">
        <v>28</v>
      </c>
      <c r="F409">
        <v>20</v>
      </c>
    </row>
    <row r="410" spans="1:6" x14ac:dyDescent="0.25">
      <c r="A410" t="s">
        <v>20</v>
      </c>
      <c r="B410">
        <v>9</v>
      </c>
      <c r="C410">
        <v>73</v>
      </c>
      <c r="E410">
        <v>28</v>
      </c>
      <c r="F410">
        <v>20</v>
      </c>
    </row>
    <row r="411" spans="1:6" x14ac:dyDescent="0.25">
      <c r="A411" t="s">
        <v>20</v>
      </c>
      <c r="B411">
        <v>9</v>
      </c>
      <c r="C411">
        <v>74</v>
      </c>
      <c r="D411">
        <v>1</v>
      </c>
      <c r="E411">
        <v>28</v>
      </c>
      <c r="F411">
        <v>20</v>
      </c>
    </row>
    <row r="412" spans="1:6" x14ac:dyDescent="0.25">
      <c r="A412" t="s">
        <v>20</v>
      </c>
      <c r="B412">
        <v>9</v>
      </c>
      <c r="C412">
        <v>75</v>
      </c>
      <c r="E412">
        <v>28</v>
      </c>
      <c r="F412">
        <v>20</v>
      </c>
    </row>
    <row r="413" spans="1:6" x14ac:dyDescent="0.25">
      <c r="A413" t="s">
        <v>20</v>
      </c>
      <c r="B413">
        <v>9</v>
      </c>
      <c r="C413">
        <v>76</v>
      </c>
      <c r="E413">
        <v>28</v>
      </c>
      <c r="F413">
        <v>20</v>
      </c>
    </row>
    <row r="414" spans="1:6" x14ac:dyDescent="0.25">
      <c r="A414" t="s">
        <v>20</v>
      </c>
      <c r="B414">
        <v>9</v>
      </c>
      <c r="C414">
        <v>77</v>
      </c>
      <c r="D414">
        <v>1</v>
      </c>
      <c r="E414">
        <v>28</v>
      </c>
      <c r="F414">
        <v>20</v>
      </c>
    </row>
    <row r="415" spans="1:6" x14ac:dyDescent="0.25">
      <c r="A415" t="s">
        <v>20</v>
      </c>
      <c r="B415">
        <v>9</v>
      </c>
      <c r="C415">
        <v>78</v>
      </c>
      <c r="E415">
        <v>28</v>
      </c>
      <c r="F415">
        <v>20</v>
      </c>
    </row>
    <row r="416" spans="1:6" x14ac:dyDescent="0.25">
      <c r="A416" t="s">
        <v>20</v>
      </c>
      <c r="B416">
        <v>9</v>
      </c>
      <c r="C416">
        <v>79</v>
      </c>
      <c r="E416">
        <v>28</v>
      </c>
      <c r="F416">
        <v>20</v>
      </c>
    </row>
    <row r="417" spans="1:6" x14ac:dyDescent="0.25">
      <c r="A417" t="s">
        <v>20</v>
      </c>
      <c r="B417">
        <v>9</v>
      </c>
      <c r="C417">
        <v>80</v>
      </c>
      <c r="E417">
        <v>28</v>
      </c>
      <c r="F417">
        <v>20</v>
      </c>
    </row>
    <row r="418" spans="1:6" x14ac:dyDescent="0.25">
      <c r="A418" t="s">
        <v>20</v>
      </c>
      <c r="B418">
        <v>9</v>
      </c>
      <c r="C418">
        <v>81</v>
      </c>
      <c r="D418">
        <v>1</v>
      </c>
      <c r="E418">
        <v>28</v>
      </c>
      <c r="F418">
        <v>20</v>
      </c>
    </row>
    <row r="419" spans="1:6" x14ac:dyDescent="0.25">
      <c r="A419" t="s">
        <v>20</v>
      </c>
      <c r="B419">
        <v>9</v>
      </c>
      <c r="C419">
        <v>82</v>
      </c>
      <c r="D419">
        <v>1</v>
      </c>
      <c r="E419">
        <v>28</v>
      </c>
      <c r="F419">
        <v>20</v>
      </c>
    </row>
    <row r="420" spans="1:6" x14ac:dyDescent="0.25">
      <c r="A420" t="s">
        <v>20</v>
      </c>
      <c r="B420">
        <v>9</v>
      </c>
      <c r="C420">
        <v>83</v>
      </c>
      <c r="E420">
        <v>28</v>
      </c>
      <c r="F420">
        <v>20</v>
      </c>
    </row>
    <row r="421" spans="1:6" x14ac:dyDescent="0.25">
      <c r="A421" t="s">
        <v>20</v>
      </c>
      <c r="B421">
        <v>9</v>
      </c>
      <c r="C421">
        <v>84</v>
      </c>
      <c r="E421">
        <v>28</v>
      </c>
      <c r="F421">
        <v>20</v>
      </c>
    </row>
    <row r="422" spans="1:6" hidden="1" x14ac:dyDescent="0.25">
      <c r="A422" t="s">
        <v>20</v>
      </c>
      <c r="B422">
        <v>10</v>
      </c>
      <c r="C422">
        <v>1</v>
      </c>
    </row>
    <row r="423" spans="1:6" hidden="1" x14ac:dyDescent="0.25">
      <c r="A423" t="s">
        <v>20</v>
      </c>
      <c r="B423">
        <v>10</v>
      </c>
      <c r="C423">
        <v>2</v>
      </c>
    </row>
    <row r="424" spans="1:6" hidden="1" x14ac:dyDescent="0.25">
      <c r="A424" t="s">
        <v>20</v>
      </c>
      <c r="B424">
        <v>10</v>
      </c>
      <c r="C424">
        <v>3</v>
      </c>
    </row>
    <row r="425" spans="1:6" hidden="1" x14ac:dyDescent="0.25">
      <c r="A425" t="s">
        <v>20</v>
      </c>
      <c r="B425">
        <v>10</v>
      </c>
      <c r="C425">
        <v>4</v>
      </c>
    </row>
    <row r="426" spans="1:6" hidden="1" x14ac:dyDescent="0.25">
      <c r="A426" t="s">
        <v>20</v>
      </c>
      <c r="B426">
        <v>10</v>
      </c>
      <c r="C426">
        <v>5</v>
      </c>
    </row>
    <row r="427" spans="1:6" hidden="1" x14ac:dyDescent="0.25">
      <c r="A427" t="s">
        <v>20</v>
      </c>
      <c r="B427">
        <v>10</v>
      </c>
      <c r="C427">
        <v>6</v>
      </c>
    </row>
    <row r="428" spans="1:6" hidden="1" x14ac:dyDescent="0.25">
      <c r="A428" t="s">
        <v>20</v>
      </c>
      <c r="B428">
        <v>10</v>
      </c>
      <c r="C428">
        <v>7</v>
      </c>
    </row>
    <row r="429" spans="1:6" hidden="1" x14ac:dyDescent="0.25">
      <c r="A429" t="s">
        <v>20</v>
      </c>
      <c r="B429">
        <v>10</v>
      </c>
      <c r="C429">
        <v>8</v>
      </c>
      <c r="D429">
        <v>1</v>
      </c>
    </row>
    <row r="430" spans="1:6" hidden="1" x14ac:dyDescent="0.25">
      <c r="A430" t="s">
        <v>20</v>
      </c>
      <c r="B430">
        <v>10</v>
      </c>
      <c r="C430">
        <v>9</v>
      </c>
    </row>
    <row r="431" spans="1:6" hidden="1" x14ac:dyDescent="0.25">
      <c r="A431" t="s">
        <v>20</v>
      </c>
      <c r="B431">
        <v>10</v>
      </c>
      <c r="C431">
        <v>10</v>
      </c>
    </row>
    <row r="432" spans="1:6" hidden="1" x14ac:dyDescent="0.25">
      <c r="A432" t="s">
        <v>20</v>
      </c>
      <c r="B432">
        <v>10</v>
      </c>
      <c r="C432">
        <v>11</v>
      </c>
      <c r="D432">
        <v>1</v>
      </c>
    </row>
    <row r="433" spans="1:4" hidden="1" x14ac:dyDescent="0.25">
      <c r="A433" t="s">
        <v>20</v>
      </c>
      <c r="B433">
        <v>10</v>
      </c>
      <c r="C433">
        <v>12</v>
      </c>
    </row>
    <row r="434" spans="1:4" hidden="1" x14ac:dyDescent="0.25">
      <c r="A434" t="s">
        <v>20</v>
      </c>
      <c r="B434">
        <v>10</v>
      </c>
      <c r="C434">
        <v>13</v>
      </c>
    </row>
    <row r="435" spans="1:4" hidden="1" x14ac:dyDescent="0.25">
      <c r="A435" t="s">
        <v>20</v>
      </c>
      <c r="B435">
        <v>10</v>
      </c>
      <c r="C435">
        <v>14</v>
      </c>
      <c r="D435">
        <v>1</v>
      </c>
    </row>
    <row r="436" spans="1:4" hidden="1" x14ac:dyDescent="0.25">
      <c r="A436" t="s">
        <v>20</v>
      </c>
      <c r="B436">
        <v>10</v>
      </c>
      <c r="C436">
        <v>15</v>
      </c>
    </row>
    <row r="437" spans="1:4" hidden="1" x14ac:dyDescent="0.25">
      <c r="A437" t="s">
        <v>20</v>
      </c>
      <c r="B437">
        <v>10</v>
      </c>
      <c r="C437">
        <v>16</v>
      </c>
    </row>
    <row r="438" spans="1:4" hidden="1" x14ac:dyDescent="0.25">
      <c r="A438" t="s">
        <v>20</v>
      </c>
      <c r="B438">
        <v>10</v>
      </c>
      <c r="C438">
        <v>17</v>
      </c>
    </row>
    <row r="439" spans="1:4" hidden="1" x14ac:dyDescent="0.25">
      <c r="A439" t="s">
        <v>20</v>
      </c>
      <c r="B439">
        <v>10</v>
      </c>
      <c r="C439">
        <v>18</v>
      </c>
    </row>
    <row r="440" spans="1:4" hidden="1" x14ac:dyDescent="0.25">
      <c r="A440" t="s">
        <v>20</v>
      </c>
      <c r="B440">
        <v>10</v>
      </c>
      <c r="C440">
        <v>19</v>
      </c>
    </row>
    <row r="441" spans="1:4" hidden="1" x14ac:dyDescent="0.25">
      <c r="A441" t="s">
        <v>20</v>
      </c>
      <c r="B441">
        <v>10</v>
      </c>
      <c r="C441">
        <v>20</v>
      </c>
      <c r="D441">
        <v>1</v>
      </c>
    </row>
    <row r="442" spans="1:4" hidden="1" x14ac:dyDescent="0.25">
      <c r="A442" t="s">
        <v>20</v>
      </c>
      <c r="B442">
        <v>10</v>
      </c>
      <c r="C442">
        <v>21</v>
      </c>
    </row>
    <row r="443" spans="1:4" hidden="1" x14ac:dyDescent="0.25">
      <c r="A443" t="s">
        <v>20</v>
      </c>
      <c r="B443">
        <v>10</v>
      </c>
      <c r="C443">
        <v>22</v>
      </c>
    </row>
    <row r="444" spans="1:4" hidden="1" x14ac:dyDescent="0.25">
      <c r="A444" t="s">
        <v>20</v>
      </c>
      <c r="B444">
        <v>10</v>
      </c>
      <c r="C444">
        <v>23</v>
      </c>
    </row>
    <row r="445" spans="1:4" hidden="1" x14ac:dyDescent="0.25">
      <c r="A445" t="s">
        <v>20</v>
      </c>
      <c r="B445">
        <v>10</v>
      </c>
      <c r="C445">
        <v>24</v>
      </c>
    </row>
    <row r="446" spans="1:4" hidden="1" x14ac:dyDescent="0.25">
      <c r="A446" t="s">
        <v>20</v>
      </c>
      <c r="B446">
        <v>10</v>
      </c>
      <c r="C446">
        <v>25</v>
      </c>
    </row>
    <row r="447" spans="1:4" hidden="1" x14ac:dyDescent="0.25">
      <c r="A447" t="s">
        <v>20</v>
      </c>
      <c r="B447">
        <v>10</v>
      </c>
      <c r="C447">
        <v>26</v>
      </c>
    </row>
    <row r="448" spans="1:4" hidden="1" x14ac:dyDescent="0.25">
      <c r="A448" t="s">
        <v>20</v>
      </c>
      <c r="B448">
        <v>10</v>
      </c>
      <c r="C448">
        <v>27</v>
      </c>
    </row>
    <row r="449" spans="1:4" hidden="1" x14ac:dyDescent="0.25">
      <c r="A449" t="s">
        <v>20</v>
      </c>
      <c r="B449">
        <v>10</v>
      </c>
      <c r="C449">
        <v>28</v>
      </c>
    </row>
    <row r="450" spans="1:4" hidden="1" x14ac:dyDescent="0.25">
      <c r="A450" t="s">
        <v>20</v>
      </c>
      <c r="B450">
        <v>10</v>
      </c>
      <c r="C450">
        <v>29</v>
      </c>
    </row>
    <row r="451" spans="1:4" hidden="1" x14ac:dyDescent="0.25">
      <c r="A451" t="s">
        <v>20</v>
      </c>
      <c r="B451">
        <v>10</v>
      </c>
      <c r="C451">
        <v>30</v>
      </c>
    </row>
    <row r="452" spans="1:4" hidden="1" x14ac:dyDescent="0.25">
      <c r="A452" t="s">
        <v>20</v>
      </c>
      <c r="B452">
        <v>10</v>
      </c>
      <c r="C452">
        <v>31</v>
      </c>
    </row>
    <row r="453" spans="1:4" hidden="1" x14ac:dyDescent="0.25">
      <c r="A453" t="s">
        <v>20</v>
      </c>
      <c r="B453">
        <v>10</v>
      </c>
      <c r="C453">
        <v>32</v>
      </c>
    </row>
    <row r="454" spans="1:4" hidden="1" x14ac:dyDescent="0.25">
      <c r="A454" t="s">
        <v>20</v>
      </c>
      <c r="B454">
        <v>10</v>
      </c>
      <c r="C454">
        <v>33</v>
      </c>
    </row>
    <row r="455" spans="1:4" hidden="1" x14ac:dyDescent="0.25">
      <c r="A455" t="s">
        <v>20</v>
      </c>
      <c r="B455">
        <v>10</v>
      </c>
      <c r="C455">
        <v>34</v>
      </c>
    </row>
    <row r="456" spans="1:4" hidden="1" x14ac:dyDescent="0.25">
      <c r="A456" t="s">
        <v>20</v>
      </c>
      <c r="B456">
        <v>10</v>
      </c>
      <c r="C456">
        <v>35</v>
      </c>
      <c r="D456">
        <v>1</v>
      </c>
    </row>
    <row r="457" spans="1:4" hidden="1" x14ac:dyDescent="0.25">
      <c r="A457" t="s">
        <v>20</v>
      </c>
      <c r="B457">
        <v>10</v>
      </c>
      <c r="C457">
        <v>36</v>
      </c>
    </row>
    <row r="458" spans="1:4" hidden="1" x14ac:dyDescent="0.25">
      <c r="A458" t="s">
        <v>20</v>
      </c>
      <c r="B458">
        <v>10</v>
      </c>
      <c r="C458">
        <v>37</v>
      </c>
    </row>
    <row r="459" spans="1:4" hidden="1" x14ac:dyDescent="0.25">
      <c r="A459" t="s">
        <v>20</v>
      </c>
      <c r="B459">
        <v>10</v>
      </c>
      <c r="C459">
        <v>38</v>
      </c>
      <c r="D459">
        <v>1</v>
      </c>
    </row>
    <row r="460" spans="1:4" hidden="1" x14ac:dyDescent="0.25">
      <c r="A460" t="s">
        <v>20</v>
      </c>
      <c r="B460">
        <v>10</v>
      </c>
      <c r="C460">
        <v>39</v>
      </c>
    </row>
    <row r="461" spans="1:4" hidden="1" x14ac:dyDescent="0.25">
      <c r="A461" t="s">
        <v>20</v>
      </c>
      <c r="B461">
        <v>10</v>
      </c>
      <c r="C461">
        <v>40</v>
      </c>
    </row>
    <row r="462" spans="1:4" hidden="1" x14ac:dyDescent="0.25">
      <c r="A462" t="s">
        <v>20</v>
      </c>
      <c r="B462">
        <v>10</v>
      </c>
      <c r="C462">
        <v>41</v>
      </c>
    </row>
    <row r="463" spans="1:4" hidden="1" x14ac:dyDescent="0.25">
      <c r="A463" t="s">
        <v>20</v>
      </c>
      <c r="B463">
        <v>10</v>
      </c>
      <c r="C463">
        <v>42</v>
      </c>
    </row>
    <row r="464" spans="1:4" hidden="1" x14ac:dyDescent="0.25">
      <c r="A464" t="s">
        <v>20</v>
      </c>
      <c r="B464">
        <v>10</v>
      </c>
      <c r="C464">
        <v>43</v>
      </c>
      <c r="D464">
        <v>1</v>
      </c>
    </row>
    <row r="465" spans="1:4" hidden="1" x14ac:dyDescent="0.25">
      <c r="A465" t="s">
        <v>20</v>
      </c>
      <c r="B465">
        <v>10</v>
      </c>
      <c r="C465">
        <v>44</v>
      </c>
    </row>
    <row r="466" spans="1:4" hidden="1" x14ac:dyDescent="0.25">
      <c r="A466" t="s">
        <v>20</v>
      </c>
      <c r="B466">
        <v>10</v>
      </c>
      <c r="C466">
        <v>45</v>
      </c>
    </row>
    <row r="467" spans="1:4" hidden="1" x14ac:dyDescent="0.25">
      <c r="A467" t="s">
        <v>20</v>
      </c>
      <c r="B467">
        <v>10</v>
      </c>
      <c r="C467">
        <v>46</v>
      </c>
    </row>
    <row r="468" spans="1:4" hidden="1" x14ac:dyDescent="0.25">
      <c r="A468" t="s">
        <v>20</v>
      </c>
      <c r="B468">
        <v>10</v>
      </c>
      <c r="C468">
        <v>47</v>
      </c>
    </row>
    <row r="469" spans="1:4" hidden="1" x14ac:dyDescent="0.25">
      <c r="A469" t="s">
        <v>20</v>
      </c>
      <c r="B469">
        <v>10</v>
      </c>
      <c r="C469">
        <v>48</v>
      </c>
    </row>
    <row r="470" spans="1:4" hidden="1" x14ac:dyDescent="0.25">
      <c r="A470" t="s">
        <v>20</v>
      </c>
      <c r="B470">
        <v>10</v>
      </c>
      <c r="C470">
        <v>49</v>
      </c>
    </row>
    <row r="471" spans="1:4" hidden="1" x14ac:dyDescent="0.25">
      <c r="A471" t="s">
        <v>20</v>
      </c>
      <c r="B471">
        <v>10</v>
      </c>
      <c r="C471">
        <v>50</v>
      </c>
      <c r="D471">
        <v>1</v>
      </c>
    </row>
    <row r="472" spans="1:4" hidden="1" x14ac:dyDescent="0.25">
      <c r="A472" t="s">
        <v>20</v>
      </c>
      <c r="B472">
        <v>10</v>
      </c>
      <c r="C472">
        <v>51</v>
      </c>
    </row>
    <row r="473" spans="1:4" hidden="1" x14ac:dyDescent="0.25">
      <c r="A473" t="s">
        <v>20</v>
      </c>
      <c r="B473">
        <v>10</v>
      </c>
      <c r="C473">
        <v>52</v>
      </c>
    </row>
    <row r="474" spans="1:4" hidden="1" x14ac:dyDescent="0.25">
      <c r="A474" t="s">
        <v>20</v>
      </c>
      <c r="B474">
        <v>10</v>
      </c>
      <c r="C474">
        <v>53</v>
      </c>
      <c r="D474">
        <v>1</v>
      </c>
    </row>
    <row r="475" spans="1:4" hidden="1" x14ac:dyDescent="0.25">
      <c r="A475" t="s">
        <v>20</v>
      </c>
      <c r="B475">
        <v>10</v>
      </c>
      <c r="C475">
        <v>54</v>
      </c>
    </row>
    <row r="476" spans="1:4" hidden="1" x14ac:dyDescent="0.25">
      <c r="A476" t="s">
        <v>20</v>
      </c>
      <c r="B476">
        <v>10</v>
      </c>
      <c r="C476">
        <v>55</v>
      </c>
    </row>
    <row r="477" spans="1:4" hidden="1" x14ac:dyDescent="0.25">
      <c r="A477" t="s">
        <v>20</v>
      </c>
      <c r="B477">
        <v>10</v>
      </c>
      <c r="C477">
        <v>56</v>
      </c>
    </row>
    <row r="478" spans="1:4" hidden="1" x14ac:dyDescent="0.25">
      <c r="A478" t="s">
        <v>20</v>
      </c>
      <c r="B478">
        <v>10</v>
      </c>
      <c r="C478">
        <v>57</v>
      </c>
    </row>
    <row r="479" spans="1:4" hidden="1" x14ac:dyDescent="0.25">
      <c r="A479" t="s">
        <v>20</v>
      </c>
      <c r="B479">
        <v>10</v>
      </c>
      <c r="C479">
        <v>58</v>
      </c>
    </row>
    <row r="480" spans="1:4" hidden="1" x14ac:dyDescent="0.25">
      <c r="A480" t="s">
        <v>20</v>
      </c>
      <c r="B480">
        <v>10</v>
      </c>
      <c r="C480">
        <v>59</v>
      </c>
      <c r="D480">
        <v>1</v>
      </c>
    </row>
    <row r="481" spans="1:4" hidden="1" x14ac:dyDescent="0.25">
      <c r="A481" t="s">
        <v>20</v>
      </c>
      <c r="B481">
        <v>10</v>
      </c>
      <c r="C481">
        <v>60</v>
      </c>
    </row>
    <row r="482" spans="1:4" hidden="1" x14ac:dyDescent="0.25">
      <c r="A482" t="s">
        <v>20</v>
      </c>
      <c r="B482">
        <v>10</v>
      </c>
      <c r="C482">
        <v>61</v>
      </c>
    </row>
    <row r="483" spans="1:4" hidden="1" x14ac:dyDescent="0.25">
      <c r="A483" t="s">
        <v>20</v>
      </c>
      <c r="B483">
        <v>10</v>
      </c>
      <c r="C483">
        <v>62</v>
      </c>
      <c r="D483">
        <v>1</v>
      </c>
    </row>
    <row r="484" spans="1:4" hidden="1" x14ac:dyDescent="0.25">
      <c r="A484" t="s">
        <v>20</v>
      </c>
      <c r="B484">
        <v>10</v>
      </c>
      <c r="C484">
        <v>63</v>
      </c>
    </row>
    <row r="485" spans="1:4" hidden="1" x14ac:dyDescent="0.25">
      <c r="A485" t="s">
        <v>20</v>
      </c>
      <c r="B485">
        <v>10</v>
      </c>
      <c r="C485">
        <v>64</v>
      </c>
    </row>
    <row r="486" spans="1:4" hidden="1" x14ac:dyDescent="0.25">
      <c r="A486" t="s">
        <v>20</v>
      </c>
      <c r="B486">
        <v>10</v>
      </c>
      <c r="C486">
        <v>65</v>
      </c>
      <c r="D486">
        <v>1</v>
      </c>
    </row>
    <row r="487" spans="1:4" hidden="1" x14ac:dyDescent="0.25">
      <c r="A487" t="s">
        <v>20</v>
      </c>
      <c r="B487">
        <v>10</v>
      </c>
      <c r="C487">
        <v>66</v>
      </c>
    </row>
    <row r="488" spans="1:4" hidden="1" x14ac:dyDescent="0.25">
      <c r="A488" t="s">
        <v>20</v>
      </c>
      <c r="B488">
        <v>10</v>
      </c>
      <c r="C488">
        <v>67</v>
      </c>
    </row>
    <row r="489" spans="1:4" hidden="1" x14ac:dyDescent="0.25">
      <c r="A489" t="s">
        <v>20</v>
      </c>
      <c r="B489">
        <v>10</v>
      </c>
      <c r="C489">
        <v>68</v>
      </c>
    </row>
    <row r="490" spans="1:4" hidden="1" x14ac:dyDescent="0.25">
      <c r="A490" t="s">
        <v>20</v>
      </c>
      <c r="B490">
        <v>10</v>
      </c>
      <c r="C490">
        <v>69</v>
      </c>
    </row>
    <row r="491" spans="1:4" hidden="1" x14ac:dyDescent="0.25">
      <c r="A491" t="s">
        <v>20</v>
      </c>
      <c r="B491">
        <v>10</v>
      </c>
      <c r="C491">
        <v>70</v>
      </c>
    </row>
    <row r="492" spans="1:4" hidden="1" x14ac:dyDescent="0.25">
      <c r="A492" t="s">
        <v>20</v>
      </c>
      <c r="B492">
        <v>10</v>
      </c>
      <c r="C492">
        <v>71</v>
      </c>
      <c r="D492">
        <v>1</v>
      </c>
    </row>
    <row r="493" spans="1:4" hidden="1" x14ac:dyDescent="0.25">
      <c r="A493" t="s">
        <v>20</v>
      </c>
      <c r="B493">
        <v>10</v>
      </c>
      <c r="C493">
        <v>72</v>
      </c>
    </row>
    <row r="494" spans="1:4" hidden="1" x14ac:dyDescent="0.25">
      <c r="A494" t="s">
        <v>20</v>
      </c>
      <c r="B494">
        <v>10</v>
      </c>
      <c r="C494">
        <v>73</v>
      </c>
    </row>
    <row r="495" spans="1:4" hidden="1" x14ac:dyDescent="0.25">
      <c r="A495" t="s">
        <v>20</v>
      </c>
      <c r="B495">
        <v>10</v>
      </c>
      <c r="C495">
        <v>74</v>
      </c>
    </row>
    <row r="496" spans="1:4" hidden="1" x14ac:dyDescent="0.25">
      <c r="A496" t="s">
        <v>20</v>
      </c>
      <c r="B496">
        <v>10</v>
      </c>
      <c r="C496">
        <v>75</v>
      </c>
    </row>
    <row r="497" spans="1:4" hidden="1" x14ac:dyDescent="0.25">
      <c r="A497" t="s">
        <v>20</v>
      </c>
      <c r="B497">
        <v>10</v>
      </c>
      <c r="C497">
        <v>76</v>
      </c>
    </row>
    <row r="498" spans="1:4" hidden="1" x14ac:dyDescent="0.25">
      <c r="A498" t="s">
        <v>20</v>
      </c>
      <c r="B498">
        <v>10</v>
      </c>
      <c r="C498">
        <v>77</v>
      </c>
      <c r="D498">
        <v>1</v>
      </c>
    </row>
    <row r="499" spans="1:4" hidden="1" x14ac:dyDescent="0.25">
      <c r="A499" t="s">
        <v>20</v>
      </c>
      <c r="B499">
        <v>10</v>
      </c>
      <c r="C499">
        <v>78</v>
      </c>
    </row>
    <row r="500" spans="1:4" hidden="1" x14ac:dyDescent="0.25">
      <c r="A500" t="s">
        <v>20</v>
      </c>
      <c r="B500">
        <v>10</v>
      </c>
      <c r="C500">
        <v>79</v>
      </c>
    </row>
    <row r="501" spans="1:4" hidden="1" x14ac:dyDescent="0.25">
      <c r="A501" t="s">
        <v>20</v>
      </c>
      <c r="B501">
        <v>10</v>
      </c>
      <c r="C501">
        <v>80</v>
      </c>
      <c r="D501">
        <v>1</v>
      </c>
    </row>
    <row r="502" spans="1:4" hidden="1" x14ac:dyDescent="0.25">
      <c r="A502" t="s">
        <v>20</v>
      </c>
      <c r="B502">
        <v>10</v>
      </c>
      <c r="C502">
        <v>81</v>
      </c>
    </row>
    <row r="503" spans="1:4" hidden="1" x14ac:dyDescent="0.25">
      <c r="A503" t="s">
        <v>20</v>
      </c>
      <c r="B503">
        <v>10</v>
      </c>
      <c r="C503">
        <v>82</v>
      </c>
    </row>
    <row r="504" spans="1:4" hidden="1" x14ac:dyDescent="0.25">
      <c r="A504" t="s">
        <v>20</v>
      </c>
      <c r="B504">
        <v>10</v>
      </c>
      <c r="C504">
        <v>83</v>
      </c>
    </row>
    <row r="505" spans="1:4" hidden="1" x14ac:dyDescent="0.25">
      <c r="A505" t="s">
        <v>20</v>
      </c>
      <c r="B505">
        <v>10</v>
      </c>
      <c r="C505">
        <v>84</v>
      </c>
    </row>
    <row r="506" spans="1:4" hidden="1" x14ac:dyDescent="0.25">
      <c r="A506" t="s">
        <v>20</v>
      </c>
      <c r="B506">
        <v>12</v>
      </c>
      <c r="C506">
        <v>1</v>
      </c>
    </row>
    <row r="507" spans="1:4" hidden="1" x14ac:dyDescent="0.25">
      <c r="A507" t="s">
        <v>20</v>
      </c>
      <c r="B507">
        <v>12</v>
      </c>
      <c r="C507">
        <v>2</v>
      </c>
      <c r="D507">
        <v>1</v>
      </c>
    </row>
    <row r="508" spans="1:4" hidden="1" x14ac:dyDescent="0.25">
      <c r="A508" t="s">
        <v>20</v>
      </c>
      <c r="B508">
        <v>12</v>
      </c>
      <c r="C508">
        <v>3</v>
      </c>
    </row>
    <row r="509" spans="1:4" hidden="1" x14ac:dyDescent="0.25">
      <c r="A509" t="s">
        <v>20</v>
      </c>
      <c r="B509">
        <v>12</v>
      </c>
      <c r="C509">
        <v>4</v>
      </c>
    </row>
    <row r="510" spans="1:4" hidden="1" x14ac:dyDescent="0.25">
      <c r="A510" t="s">
        <v>20</v>
      </c>
      <c r="B510">
        <v>12</v>
      </c>
      <c r="C510">
        <v>5</v>
      </c>
      <c r="D510">
        <v>1</v>
      </c>
    </row>
    <row r="511" spans="1:4" hidden="1" x14ac:dyDescent="0.25">
      <c r="A511" t="s">
        <v>20</v>
      </c>
      <c r="B511">
        <v>12</v>
      </c>
      <c r="C511">
        <v>6</v>
      </c>
    </row>
    <row r="512" spans="1:4" hidden="1" x14ac:dyDescent="0.25">
      <c r="A512" t="s">
        <v>20</v>
      </c>
      <c r="B512">
        <v>12</v>
      </c>
      <c r="C512">
        <v>7</v>
      </c>
    </row>
    <row r="513" spans="1:4" hidden="1" x14ac:dyDescent="0.25">
      <c r="A513" t="s">
        <v>20</v>
      </c>
      <c r="B513">
        <v>12</v>
      </c>
      <c r="C513">
        <v>8</v>
      </c>
      <c r="D513">
        <v>1</v>
      </c>
    </row>
    <row r="514" spans="1:4" hidden="1" x14ac:dyDescent="0.25">
      <c r="A514" t="s">
        <v>20</v>
      </c>
      <c r="B514">
        <v>12</v>
      </c>
      <c r="C514">
        <v>9</v>
      </c>
    </row>
    <row r="515" spans="1:4" hidden="1" x14ac:dyDescent="0.25">
      <c r="A515" t="s">
        <v>20</v>
      </c>
      <c r="B515">
        <v>12</v>
      </c>
      <c r="C515">
        <v>10</v>
      </c>
    </row>
    <row r="516" spans="1:4" hidden="1" x14ac:dyDescent="0.25">
      <c r="A516" t="s">
        <v>20</v>
      </c>
      <c r="B516">
        <v>12</v>
      </c>
      <c r="C516">
        <v>11</v>
      </c>
    </row>
    <row r="517" spans="1:4" hidden="1" x14ac:dyDescent="0.25">
      <c r="A517" t="s">
        <v>20</v>
      </c>
      <c r="B517">
        <v>12</v>
      </c>
      <c r="C517">
        <v>12</v>
      </c>
    </row>
    <row r="518" spans="1:4" hidden="1" x14ac:dyDescent="0.25">
      <c r="A518" t="s">
        <v>20</v>
      </c>
      <c r="B518">
        <v>12</v>
      </c>
      <c r="C518">
        <v>13</v>
      </c>
    </row>
    <row r="519" spans="1:4" hidden="1" x14ac:dyDescent="0.25">
      <c r="A519" t="s">
        <v>20</v>
      </c>
      <c r="B519">
        <v>12</v>
      </c>
      <c r="C519">
        <v>14</v>
      </c>
      <c r="D519">
        <v>1</v>
      </c>
    </row>
    <row r="520" spans="1:4" hidden="1" x14ac:dyDescent="0.25">
      <c r="A520" t="s">
        <v>20</v>
      </c>
      <c r="B520">
        <v>12</v>
      </c>
      <c r="C520">
        <v>15</v>
      </c>
    </row>
    <row r="521" spans="1:4" hidden="1" x14ac:dyDescent="0.25">
      <c r="A521" t="s">
        <v>20</v>
      </c>
      <c r="B521">
        <v>12</v>
      </c>
      <c r="C521">
        <v>16</v>
      </c>
    </row>
    <row r="522" spans="1:4" hidden="1" x14ac:dyDescent="0.25">
      <c r="A522" t="s">
        <v>20</v>
      </c>
      <c r="B522">
        <v>12</v>
      </c>
      <c r="C522">
        <v>17</v>
      </c>
      <c r="D522">
        <v>1</v>
      </c>
    </row>
    <row r="523" spans="1:4" hidden="1" x14ac:dyDescent="0.25">
      <c r="A523" t="s">
        <v>20</v>
      </c>
      <c r="B523">
        <v>12</v>
      </c>
      <c r="C523">
        <v>18</v>
      </c>
    </row>
    <row r="524" spans="1:4" hidden="1" x14ac:dyDescent="0.25">
      <c r="A524" t="s">
        <v>20</v>
      </c>
      <c r="B524">
        <v>12</v>
      </c>
      <c r="C524">
        <v>19</v>
      </c>
    </row>
    <row r="525" spans="1:4" hidden="1" x14ac:dyDescent="0.25">
      <c r="A525" t="s">
        <v>20</v>
      </c>
      <c r="B525">
        <v>12</v>
      </c>
      <c r="C525">
        <v>20</v>
      </c>
    </row>
    <row r="526" spans="1:4" hidden="1" x14ac:dyDescent="0.25">
      <c r="A526" t="s">
        <v>20</v>
      </c>
      <c r="B526">
        <v>12</v>
      </c>
      <c r="C526">
        <v>21</v>
      </c>
    </row>
    <row r="527" spans="1:4" hidden="1" x14ac:dyDescent="0.25">
      <c r="A527" t="s">
        <v>20</v>
      </c>
      <c r="B527">
        <v>12</v>
      </c>
      <c r="C527">
        <v>22</v>
      </c>
    </row>
    <row r="528" spans="1:4" hidden="1" x14ac:dyDescent="0.25">
      <c r="A528" t="s">
        <v>20</v>
      </c>
      <c r="B528">
        <v>12</v>
      </c>
      <c r="C528">
        <v>23</v>
      </c>
      <c r="D528">
        <v>1</v>
      </c>
    </row>
    <row r="529" spans="1:4" hidden="1" x14ac:dyDescent="0.25">
      <c r="A529" t="s">
        <v>20</v>
      </c>
      <c r="B529">
        <v>12</v>
      </c>
      <c r="C529">
        <v>24</v>
      </c>
    </row>
    <row r="530" spans="1:4" hidden="1" x14ac:dyDescent="0.25">
      <c r="A530" t="s">
        <v>20</v>
      </c>
      <c r="B530">
        <v>12</v>
      </c>
      <c r="C530">
        <v>25</v>
      </c>
    </row>
    <row r="531" spans="1:4" hidden="1" x14ac:dyDescent="0.25">
      <c r="A531" t="s">
        <v>20</v>
      </c>
      <c r="B531">
        <v>12</v>
      </c>
      <c r="C531">
        <v>26</v>
      </c>
    </row>
    <row r="532" spans="1:4" hidden="1" x14ac:dyDescent="0.25">
      <c r="A532" t="s">
        <v>20</v>
      </c>
      <c r="B532">
        <v>12</v>
      </c>
      <c r="C532">
        <v>27</v>
      </c>
    </row>
    <row r="533" spans="1:4" hidden="1" x14ac:dyDescent="0.25">
      <c r="A533" t="s">
        <v>20</v>
      </c>
      <c r="B533">
        <v>12</v>
      </c>
      <c r="C533">
        <v>28</v>
      </c>
    </row>
    <row r="534" spans="1:4" hidden="1" x14ac:dyDescent="0.25">
      <c r="A534" t="s">
        <v>20</v>
      </c>
      <c r="B534">
        <v>12</v>
      </c>
      <c r="C534">
        <v>29</v>
      </c>
      <c r="D534">
        <v>1</v>
      </c>
    </row>
    <row r="535" spans="1:4" hidden="1" x14ac:dyDescent="0.25">
      <c r="A535" t="s">
        <v>20</v>
      </c>
      <c r="B535">
        <v>12</v>
      </c>
      <c r="C535">
        <v>30</v>
      </c>
    </row>
    <row r="536" spans="1:4" hidden="1" x14ac:dyDescent="0.25">
      <c r="A536" t="s">
        <v>20</v>
      </c>
      <c r="B536">
        <v>12</v>
      </c>
      <c r="C536">
        <v>31</v>
      </c>
    </row>
    <row r="537" spans="1:4" hidden="1" x14ac:dyDescent="0.25">
      <c r="A537" t="s">
        <v>20</v>
      </c>
      <c r="B537">
        <v>12</v>
      </c>
      <c r="C537">
        <v>32</v>
      </c>
    </row>
    <row r="538" spans="1:4" hidden="1" x14ac:dyDescent="0.25">
      <c r="A538" t="s">
        <v>20</v>
      </c>
      <c r="B538">
        <v>12</v>
      </c>
      <c r="C538">
        <v>33</v>
      </c>
    </row>
    <row r="539" spans="1:4" hidden="1" x14ac:dyDescent="0.25">
      <c r="A539" t="s">
        <v>20</v>
      </c>
      <c r="B539">
        <v>12</v>
      </c>
      <c r="C539">
        <v>34</v>
      </c>
    </row>
    <row r="540" spans="1:4" hidden="1" x14ac:dyDescent="0.25">
      <c r="A540" t="s">
        <v>20</v>
      </c>
      <c r="B540">
        <v>12</v>
      </c>
      <c r="C540">
        <v>35</v>
      </c>
      <c r="D540">
        <v>1</v>
      </c>
    </row>
    <row r="541" spans="1:4" hidden="1" x14ac:dyDescent="0.25">
      <c r="A541" t="s">
        <v>20</v>
      </c>
      <c r="B541">
        <v>12</v>
      </c>
      <c r="C541">
        <v>36</v>
      </c>
    </row>
    <row r="542" spans="1:4" hidden="1" x14ac:dyDescent="0.25">
      <c r="A542" t="s">
        <v>20</v>
      </c>
      <c r="B542">
        <v>12</v>
      </c>
      <c r="C542">
        <v>37</v>
      </c>
      <c r="D542">
        <v>1</v>
      </c>
    </row>
    <row r="543" spans="1:4" hidden="1" x14ac:dyDescent="0.25">
      <c r="A543" t="s">
        <v>20</v>
      </c>
      <c r="B543">
        <v>12</v>
      </c>
      <c r="C543">
        <v>38</v>
      </c>
    </row>
    <row r="544" spans="1:4" hidden="1" x14ac:dyDescent="0.25">
      <c r="A544" t="s">
        <v>20</v>
      </c>
      <c r="B544">
        <v>12</v>
      </c>
      <c r="C544">
        <v>39</v>
      </c>
    </row>
    <row r="545" spans="1:4" hidden="1" x14ac:dyDescent="0.25">
      <c r="A545" t="s">
        <v>20</v>
      </c>
      <c r="B545">
        <v>12</v>
      </c>
      <c r="C545">
        <v>40</v>
      </c>
      <c r="D545">
        <v>1</v>
      </c>
    </row>
    <row r="546" spans="1:4" hidden="1" x14ac:dyDescent="0.25">
      <c r="A546" t="s">
        <v>20</v>
      </c>
      <c r="B546">
        <v>12</v>
      </c>
      <c r="C546">
        <v>41</v>
      </c>
    </row>
    <row r="547" spans="1:4" hidden="1" x14ac:dyDescent="0.25">
      <c r="A547" t="s">
        <v>20</v>
      </c>
      <c r="B547">
        <v>12</v>
      </c>
      <c r="C547">
        <v>42</v>
      </c>
    </row>
    <row r="548" spans="1:4" hidden="1" x14ac:dyDescent="0.25">
      <c r="A548" t="s">
        <v>20</v>
      </c>
      <c r="B548">
        <v>12</v>
      </c>
      <c r="C548">
        <v>43</v>
      </c>
    </row>
    <row r="549" spans="1:4" hidden="1" x14ac:dyDescent="0.25">
      <c r="A549" t="s">
        <v>20</v>
      </c>
      <c r="B549">
        <v>12</v>
      </c>
      <c r="C549">
        <v>44</v>
      </c>
      <c r="D549">
        <v>1</v>
      </c>
    </row>
    <row r="550" spans="1:4" hidden="1" x14ac:dyDescent="0.25">
      <c r="A550" t="s">
        <v>20</v>
      </c>
      <c r="B550">
        <v>12</v>
      </c>
      <c r="C550">
        <v>45</v>
      </c>
    </row>
    <row r="551" spans="1:4" hidden="1" x14ac:dyDescent="0.25">
      <c r="A551" t="s">
        <v>20</v>
      </c>
      <c r="B551">
        <v>12</v>
      </c>
      <c r="C551">
        <v>46</v>
      </c>
    </row>
    <row r="552" spans="1:4" hidden="1" x14ac:dyDescent="0.25">
      <c r="A552" t="s">
        <v>20</v>
      </c>
      <c r="B552">
        <v>12</v>
      </c>
      <c r="C552">
        <v>47</v>
      </c>
      <c r="D552">
        <v>1</v>
      </c>
    </row>
    <row r="553" spans="1:4" hidden="1" x14ac:dyDescent="0.25">
      <c r="A553" t="s">
        <v>20</v>
      </c>
      <c r="B553">
        <v>12</v>
      </c>
      <c r="C553">
        <v>48</v>
      </c>
    </row>
    <row r="554" spans="1:4" hidden="1" x14ac:dyDescent="0.25">
      <c r="A554" t="s">
        <v>20</v>
      </c>
      <c r="B554">
        <v>12</v>
      </c>
      <c r="C554">
        <v>49</v>
      </c>
    </row>
    <row r="555" spans="1:4" hidden="1" x14ac:dyDescent="0.25">
      <c r="A555" t="s">
        <v>20</v>
      </c>
      <c r="B555">
        <v>12</v>
      </c>
      <c r="C555">
        <v>50</v>
      </c>
      <c r="D555">
        <v>1</v>
      </c>
    </row>
    <row r="556" spans="1:4" hidden="1" x14ac:dyDescent="0.25">
      <c r="A556" t="s">
        <v>20</v>
      </c>
      <c r="B556">
        <v>12</v>
      </c>
      <c r="C556">
        <v>51</v>
      </c>
    </row>
    <row r="557" spans="1:4" hidden="1" x14ac:dyDescent="0.25">
      <c r="A557" t="s">
        <v>20</v>
      </c>
      <c r="B557">
        <v>12</v>
      </c>
      <c r="C557">
        <v>52</v>
      </c>
    </row>
    <row r="558" spans="1:4" hidden="1" x14ac:dyDescent="0.25">
      <c r="A558" t="s">
        <v>20</v>
      </c>
      <c r="B558">
        <v>12</v>
      </c>
      <c r="C558">
        <v>53</v>
      </c>
    </row>
    <row r="559" spans="1:4" hidden="1" x14ac:dyDescent="0.25">
      <c r="A559" t="s">
        <v>20</v>
      </c>
      <c r="B559">
        <v>12</v>
      </c>
      <c r="C559">
        <v>54</v>
      </c>
    </row>
    <row r="560" spans="1:4" hidden="1" x14ac:dyDescent="0.25">
      <c r="A560" t="s">
        <v>20</v>
      </c>
      <c r="B560">
        <v>12</v>
      </c>
      <c r="C560">
        <v>55</v>
      </c>
    </row>
    <row r="561" spans="1:4" hidden="1" x14ac:dyDescent="0.25">
      <c r="A561" t="s">
        <v>20</v>
      </c>
      <c r="B561">
        <v>12</v>
      </c>
      <c r="C561">
        <v>56</v>
      </c>
      <c r="D561">
        <v>1</v>
      </c>
    </row>
    <row r="562" spans="1:4" hidden="1" x14ac:dyDescent="0.25">
      <c r="A562" t="s">
        <v>20</v>
      </c>
      <c r="B562">
        <v>12</v>
      </c>
      <c r="C562">
        <v>57</v>
      </c>
    </row>
    <row r="563" spans="1:4" hidden="1" x14ac:dyDescent="0.25">
      <c r="A563" t="s">
        <v>20</v>
      </c>
      <c r="B563">
        <v>12</v>
      </c>
      <c r="C563">
        <v>58</v>
      </c>
    </row>
    <row r="564" spans="1:4" hidden="1" x14ac:dyDescent="0.25">
      <c r="A564" t="s">
        <v>20</v>
      </c>
      <c r="B564">
        <v>12</v>
      </c>
      <c r="C564">
        <v>59</v>
      </c>
      <c r="D564">
        <v>1</v>
      </c>
    </row>
    <row r="565" spans="1:4" hidden="1" x14ac:dyDescent="0.25">
      <c r="A565" t="s">
        <v>20</v>
      </c>
      <c r="B565">
        <v>12</v>
      </c>
      <c r="C565">
        <v>60</v>
      </c>
    </row>
    <row r="566" spans="1:4" hidden="1" x14ac:dyDescent="0.25">
      <c r="A566" t="s">
        <v>20</v>
      </c>
      <c r="B566">
        <v>12</v>
      </c>
      <c r="C566">
        <v>61</v>
      </c>
    </row>
    <row r="567" spans="1:4" hidden="1" x14ac:dyDescent="0.25">
      <c r="A567" t="s">
        <v>20</v>
      </c>
      <c r="B567">
        <v>12</v>
      </c>
      <c r="C567">
        <v>62</v>
      </c>
      <c r="D567">
        <v>1</v>
      </c>
    </row>
    <row r="568" spans="1:4" hidden="1" x14ac:dyDescent="0.25">
      <c r="A568" t="s">
        <v>20</v>
      </c>
      <c r="B568">
        <v>12</v>
      </c>
      <c r="C568">
        <v>63</v>
      </c>
    </row>
    <row r="569" spans="1:4" hidden="1" x14ac:dyDescent="0.25">
      <c r="A569" t="s">
        <v>20</v>
      </c>
      <c r="B569">
        <v>12</v>
      </c>
      <c r="C569">
        <v>64</v>
      </c>
    </row>
    <row r="570" spans="1:4" hidden="1" x14ac:dyDescent="0.25">
      <c r="A570" t="s">
        <v>20</v>
      </c>
      <c r="B570">
        <v>12</v>
      </c>
      <c r="C570">
        <v>65</v>
      </c>
      <c r="D570">
        <v>1</v>
      </c>
    </row>
    <row r="571" spans="1:4" hidden="1" x14ac:dyDescent="0.25">
      <c r="A571" t="s">
        <v>20</v>
      </c>
      <c r="B571">
        <v>12</v>
      </c>
      <c r="C571">
        <v>66</v>
      </c>
    </row>
    <row r="572" spans="1:4" hidden="1" x14ac:dyDescent="0.25">
      <c r="A572" t="s">
        <v>20</v>
      </c>
      <c r="B572">
        <v>12</v>
      </c>
      <c r="C572">
        <v>67</v>
      </c>
    </row>
    <row r="573" spans="1:4" hidden="1" x14ac:dyDescent="0.25">
      <c r="A573" t="s">
        <v>20</v>
      </c>
      <c r="B573">
        <v>12</v>
      </c>
      <c r="C573">
        <v>68</v>
      </c>
    </row>
    <row r="574" spans="1:4" hidden="1" x14ac:dyDescent="0.25">
      <c r="A574" t="s">
        <v>20</v>
      </c>
      <c r="B574">
        <v>12</v>
      </c>
      <c r="C574">
        <v>69</v>
      </c>
    </row>
    <row r="575" spans="1:4" hidden="1" x14ac:dyDescent="0.25">
      <c r="A575" t="s">
        <v>20</v>
      </c>
      <c r="B575">
        <v>12</v>
      </c>
      <c r="C575">
        <v>70</v>
      </c>
    </row>
    <row r="576" spans="1:4" hidden="1" x14ac:dyDescent="0.25">
      <c r="A576" t="s">
        <v>20</v>
      </c>
      <c r="B576">
        <v>12</v>
      </c>
      <c r="C576">
        <v>71</v>
      </c>
    </row>
    <row r="577" spans="1:4" hidden="1" x14ac:dyDescent="0.25">
      <c r="A577" t="s">
        <v>20</v>
      </c>
      <c r="B577">
        <v>12</v>
      </c>
      <c r="C577">
        <v>72</v>
      </c>
    </row>
    <row r="578" spans="1:4" hidden="1" x14ac:dyDescent="0.25">
      <c r="A578" t="s">
        <v>20</v>
      </c>
      <c r="B578">
        <v>12</v>
      </c>
      <c r="C578">
        <v>73</v>
      </c>
    </row>
    <row r="579" spans="1:4" hidden="1" x14ac:dyDescent="0.25">
      <c r="A579" t="s">
        <v>20</v>
      </c>
      <c r="B579">
        <v>12</v>
      </c>
      <c r="C579">
        <v>74</v>
      </c>
    </row>
    <row r="580" spans="1:4" hidden="1" x14ac:dyDescent="0.25">
      <c r="A580" t="s">
        <v>20</v>
      </c>
      <c r="B580">
        <v>12</v>
      </c>
      <c r="C580">
        <v>75</v>
      </c>
    </row>
    <row r="581" spans="1:4" hidden="1" x14ac:dyDescent="0.25">
      <c r="A581" t="s">
        <v>20</v>
      </c>
      <c r="B581">
        <v>12</v>
      </c>
      <c r="C581">
        <v>76</v>
      </c>
    </row>
    <row r="582" spans="1:4" hidden="1" x14ac:dyDescent="0.25">
      <c r="A582" t="s">
        <v>20</v>
      </c>
      <c r="B582">
        <v>12</v>
      </c>
      <c r="C582">
        <v>77</v>
      </c>
      <c r="D582">
        <v>1</v>
      </c>
    </row>
    <row r="583" spans="1:4" hidden="1" x14ac:dyDescent="0.25">
      <c r="A583" t="s">
        <v>20</v>
      </c>
      <c r="B583">
        <v>12</v>
      </c>
      <c r="C583">
        <v>78</v>
      </c>
    </row>
    <row r="584" spans="1:4" hidden="1" x14ac:dyDescent="0.25">
      <c r="A584" t="s">
        <v>20</v>
      </c>
      <c r="B584">
        <v>12</v>
      </c>
      <c r="C584">
        <v>79</v>
      </c>
    </row>
    <row r="585" spans="1:4" hidden="1" x14ac:dyDescent="0.25">
      <c r="A585" t="s">
        <v>20</v>
      </c>
      <c r="B585">
        <v>12</v>
      </c>
      <c r="C585">
        <v>80</v>
      </c>
    </row>
    <row r="586" spans="1:4" hidden="1" x14ac:dyDescent="0.25">
      <c r="A586" t="s">
        <v>20</v>
      </c>
      <c r="B586">
        <v>12</v>
      </c>
      <c r="C586">
        <v>81</v>
      </c>
    </row>
    <row r="587" spans="1:4" hidden="1" x14ac:dyDescent="0.25">
      <c r="A587" t="s">
        <v>20</v>
      </c>
      <c r="B587">
        <v>12</v>
      </c>
      <c r="C587">
        <v>82</v>
      </c>
    </row>
    <row r="588" spans="1:4" hidden="1" x14ac:dyDescent="0.25">
      <c r="A588" t="s">
        <v>20</v>
      </c>
      <c r="B588">
        <v>12</v>
      </c>
      <c r="C588">
        <v>83</v>
      </c>
    </row>
    <row r="589" spans="1:4" hidden="1" x14ac:dyDescent="0.25">
      <c r="A589" t="s">
        <v>20</v>
      </c>
      <c r="B589">
        <v>12</v>
      </c>
      <c r="C589">
        <v>84</v>
      </c>
    </row>
    <row r="590" spans="1:4" hidden="1" x14ac:dyDescent="0.25">
      <c r="A590" t="s">
        <v>20</v>
      </c>
      <c r="B590">
        <v>13</v>
      </c>
      <c r="C590">
        <v>1</v>
      </c>
      <c r="D590">
        <v>1</v>
      </c>
    </row>
    <row r="591" spans="1:4" hidden="1" x14ac:dyDescent="0.25">
      <c r="A591" t="s">
        <v>20</v>
      </c>
      <c r="B591">
        <v>13</v>
      </c>
      <c r="C591">
        <v>2</v>
      </c>
    </row>
    <row r="592" spans="1:4" hidden="1" x14ac:dyDescent="0.25">
      <c r="A592" t="s">
        <v>20</v>
      </c>
      <c r="B592">
        <v>13</v>
      </c>
      <c r="C592">
        <v>3</v>
      </c>
    </row>
    <row r="593" spans="1:4" hidden="1" x14ac:dyDescent="0.25">
      <c r="A593" t="s">
        <v>20</v>
      </c>
      <c r="B593">
        <v>13</v>
      </c>
      <c r="C593">
        <v>4</v>
      </c>
      <c r="D593">
        <v>1</v>
      </c>
    </row>
    <row r="594" spans="1:4" hidden="1" x14ac:dyDescent="0.25">
      <c r="A594" t="s">
        <v>20</v>
      </c>
      <c r="B594">
        <v>13</v>
      </c>
      <c r="C594">
        <v>5</v>
      </c>
    </row>
    <row r="595" spans="1:4" hidden="1" x14ac:dyDescent="0.25">
      <c r="A595" t="s">
        <v>20</v>
      </c>
      <c r="B595">
        <v>13</v>
      </c>
      <c r="C595">
        <v>6</v>
      </c>
    </row>
    <row r="596" spans="1:4" hidden="1" x14ac:dyDescent="0.25">
      <c r="A596" t="s">
        <v>20</v>
      </c>
      <c r="B596">
        <v>13</v>
      </c>
      <c r="C596">
        <v>7</v>
      </c>
      <c r="D596">
        <v>1</v>
      </c>
    </row>
    <row r="597" spans="1:4" hidden="1" x14ac:dyDescent="0.25">
      <c r="A597" t="s">
        <v>20</v>
      </c>
      <c r="B597">
        <v>13</v>
      </c>
      <c r="C597">
        <v>8</v>
      </c>
    </row>
    <row r="598" spans="1:4" hidden="1" x14ac:dyDescent="0.25">
      <c r="A598" t="s">
        <v>20</v>
      </c>
      <c r="B598">
        <v>13</v>
      </c>
      <c r="C598">
        <v>9</v>
      </c>
    </row>
    <row r="599" spans="1:4" hidden="1" x14ac:dyDescent="0.25">
      <c r="A599" t="s">
        <v>20</v>
      </c>
      <c r="B599">
        <v>13</v>
      </c>
      <c r="C599">
        <v>10</v>
      </c>
      <c r="D599">
        <v>1</v>
      </c>
    </row>
    <row r="600" spans="1:4" hidden="1" x14ac:dyDescent="0.25">
      <c r="A600" t="s">
        <v>20</v>
      </c>
      <c r="B600">
        <v>13</v>
      </c>
      <c r="C600">
        <v>11</v>
      </c>
    </row>
    <row r="601" spans="1:4" hidden="1" x14ac:dyDescent="0.25">
      <c r="A601" t="s">
        <v>20</v>
      </c>
      <c r="B601">
        <v>13</v>
      </c>
      <c r="C601">
        <v>12</v>
      </c>
    </row>
    <row r="602" spans="1:4" hidden="1" x14ac:dyDescent="0.25">
      <c r="A602" t="s">
        <v>20</v>
      </c>
      <c r="B602">
        <v>13</v>
      </c>
      <c r="C602">
        <v>13</v>
      </c>
    </row>
    <row r="603" spans="1:4" hidden="1" x14ac:dyDescent="0.25">
      <c r="A603" t="s">
        <v>20</v>
      </c>
      <c r="B603">
        <v>13</v>
      </c>
      <c r="C603">
        <v>14</v>
      </c>
    </row>
    <row r="604" spans="1:4" hidden="1" x14ac:dyDescent="0.25">
      <c r="A604" t="s">
        <v>20</v>
      </c>
      <c r="B604">
        <v>13</v>
      </c>
      <c r="C604">
        <v>15</v>
      </c>
    </row>
    <row r="605" spans="1:4" hidden="1" x14ac:dyDescent="0.25">
      <c r="A605" t="s">
        <v>20</v>
      </c>
      <c r="B605">
        <v>13</v>
      </c>
      <c r="C605">
        <v>16</v>
      </c>
    </row>
    <row r="606" spans="1:4" hidden="1" x14ac:dyDescent="0.25">
      <c r="A606" t="s">
        <v>20</v>
      </c>
      <c r="B606">
        <v>13</v>
      </c>
      <c r="C606">
        <v>17</v>
      </c>
    </row>
    <row r="607" spans="1:4" hidden="1" x14ac:dyDescent="0.25">
      <c r="A607" t="s">
        <v>20</v>
      </c>
      <c r="B607">
        <v>13</v>
      </c>
      <c r="C607">
        <v>18</v>
      </c>
    </row>
    <row r="608" spans="1:4" hidden="1" x14ac:dyDescent="0.25">
      <c r="A608" t="s">
        <v>20</v>
      </c>
      <c r="B608">
        <v>13</v>
      </c>
      <c r="C608">
        <v>19</v>
      </c>
    </row>
    <row r="609" spans="1:4" hidden="1" x14ac:dyDescent="0.25">
      <c r="A609" t="s">
        <v>20</v>
      </c>
      <c r="B609">
        <v>13</v>
      </c>
      <c r="C609">
        <v>20</v>
      </c>
    </row>
    <row r="610" spans="1:4" hidden="1" x14ac:dyDescent="0.25">
      <c r="A610" t="s">
        <v>20</v>
      </c>
      <c r="B610">
        <v>13</v>
      </c>
      <c r="C610">
        <v>21</v>
      </c>
    </row>
    <row r="611" spans="1:4" hidden="1" x14ac:dyDescent="0.25">
      <c r="A611" t="s">
        <v>20</v>
      </c>
      <c r="B611">
        <v>13</v>
      </c>
      <c r="C611">
        <v>22</v>
      </c>
      <c r="D611">
        <v>1</v>
      </c>
    </row>
    <row r="612" spans="1:4" hidden="1" x14ac:dyDescent="0.25">
      <c r="A612" t="s">
        <v>20</v>
      </c>
      <c r="B612">
        <v>13</v>
      </c>
      <c r="C612">
        <v>23</v>
      </c>
    </row>
    <row r="613" spans="1:4" hidden="1" x14ac:dyDescent="0.25">
      <c r="A613" t="s">
        <v>20</v>
      </c>
      <c r="B613">
        <v>13</v>
      </c>
      <c r="C613">
        <v>24</v>
      </c>
    </row>
    <row r="614" spans="1:4" hidden="1" x14ac:dyDescent="0.25">
      <c r="A614" t="s">
        <v>20</v>
      </c>
      <c r="B614">
        <v>13</v>
      </c>
      <c r="C614">
        <v>25</v>
      </c>
    </row>
    <row r="615" spans="1:4" hidden="1" x14ac:dyDescent="0.25">
      <c r="A615" t="s">
        <v>20</v>
      </c>
      <c r="B615">
        <v>13</v>
      </c>
      <c r="C615">
        <v>26</v>
      </c>
    </row>
    <row r="616" spans="1:4" hidden="1" x14ac:dyDescent="0.25">
      <c r="A616" t="s">
        <v>20</v>
      </c>
      <c r="B616">
        <v>13</v>
      </c>
      <c r="C616">
        <v>27</v>
      </c>
    </row>
    <row r="617" spans="1:4" hidden="1" x14ac:dyDescent="0.25">
      <c r="A617" t="s">
        <v>20</v>
      </c>
      <c r="B617">
        <v>13</v>
      </c>
      <c r="C617">
        <v>28</v>
      </c>
      <c r="D617">
        <v>1</v>
      </c>
    </row>
    <row r="618" spans="1:4" hidden="1" x14ac:dyDescent="0.25">
      <c r="A618" t="s">
        <v>20</v>
      </c>
      <c r="B618">
        <v>13</v>
      </c>
      <c r="C618">
        <v>29</v>
      </c>
    </row>
    <row r="619" spans="1:4" hidden="1" x14ac:dyDescent="0.25">
      <c r="A619" t="s">
        <v>20</v>
      </c>
      <c r="B619">
        <v>13</v>
      </c>
      <c r="C619">
        <v>30</v>
      </c>
    </row>
    <row r="620" spans="1:4" hidden="1" x14ac:dyDescent="0.25">
      <c r="A620" t="s">
        <v>20</v>
      </c>
      <c r="B620">
        <v>13</v>
      </c>
      <c r="C620">
        <v>31</v>
      </c>
      <c r="D620">
        <v>1</v>
      </c>
    </row>
    <row r="621" spans="1:4" hidden="1" x14ac:dyDescent="0.25">
      <c r="A621" t="s">
        <v>20</v>
      </c>
      <c r="B621">
        <v>13</v>
      </c>
      <c r="C621">
        <v>32</v>
      </c>
    </row>
    <row r="622" spans="1:4" hidden="1" x14ac:dyDescent="0.25">
      <c r="A622" t="s">
        <v>20</v>
      </c>
      <c r="B622">
        <v>13</v>
      </c>
      <c r="C622">
        <v>33</v>
      </c>
    </row>
    <row r="623" spans="1:4" hidden="1" x14ac:dyDescent="0.25">
      <c r="A623" t="s">
        <v>20</v>
      </c>
      <c r="B623">
        <v>13</v>
      </c>
      <c r="C623">
        <v>34</v>
      </c>
      <c r="D623">
        <v>1</v>
      </c>
    </row>
    <row r="624" spans="1:4" hidden="1" x14ac:dyDescent="0.25">
      <c r="A624" t="s">
        <v>20</v>
      </c>
      <c r="B624">
        <v>13</v>
      </c>
      <c r="C624">
        <v>35</v>
      </c>
    </row>
    <row r="625" spans="1:4" hidden="1" x14ac:dyDescent="0.25">
      <c r="A625" t="s">
        <v>20</v>
      </c>
      <c r="B625">
        <v>13</v>
      </c>
      <c r="C625">
        <v>36</v>
      </c>
    </row>
    <row r="626" spans="1:4" hidden="1" x14ac:dyDescent="0.25">
      <c r="A626" t="s">
        <v>20</v>
      </c>
      <c r="B626">
        <v>13</v>
      </c>
      <c r="C626">
        <v>37</v>
      </c>
      <c r="D626">
        <v>1</v>
      </c>
    </row>
    <row r="627" spans="1:4" hidden="1" x14ac:dyDescent="0.25">
      <c r="A627" t="s">
        <v>20</v>
      </c>
      <c r="B627">
        <v>13</v>
      </c>
      <c r="C627">
        <v>38</v>
      </c>
    </row>
    <row r="628" spans="1:4" hidden="1" x14ac:dyDescent="0.25">
      <c r="A628" t="s">
        <v>20</v>
      </c>
      <c r="B628">
        <v>13</v>
      </c>
      <c r="C628">
        <v>39</v>
      </c>
    </row>
    <row r="629" spans="1:4" hidden="1" x14ac:dyDescent="0.25">
      <c r="A629" t="s">
        <v>20</v>
      </c>
      <c r="B629">
        <v>13</v>
      </c>
      <c r="C629">
        <v>40</v>
      </c>
    </row>
    <row r="630" spans="1:4" hidden="1" x14ac:dyDescent="0.25">
      <c r="A630" t="s">
        <v>20</v>
      </c>
      <c r="B630">
        <v>13</v>
      </c>
      <c r="C630">
        <v>41</v>
      </c>
    </row>
    <row r="631" spans="1:4" hidden="1" x14ac:dyDescent="0.25">
      <c r="A631" t="s">
        <v>20</v>
      </c>
      <c r="B631">
        <v>13</v>
      </c>
      <c r="C631">
        <v>42</v>
      </c>
    </row>
    <row r="632" spans="1:4" hidden="1" x14ac:dyDescent="0.25">
      <c r="A632" t="s">
        <v>20</v>
      </c>
      <c r="B632">
        <v>13</v>
      </c>
      <c r="C632">
        <v>43</v>
      </c>
      <c r="D632">
        <v>1</v>
      </c>
    </row>
    <row r="633" spans="1:4" hidden="1" x14ac:dyDescent="0.25">
      <c r="A633" t="s">
        <v>20</v>
      </c>
      <c r="B633">
        <v>13</v>
      </c>
      <c r="C633">
        <v>44</v>
      </c>
    </row>
    <row r="634" spans="1:4" hidden="1" x14ac:dyDescent="0.25">
      <c r="A634" t="s">
        <v>20</v>
      </c>
      <c r="B634">
        <v>13</v>
      </c>
      <c r="C634">
        <v>45</v>
      </c>
    </row>
    <row r="635" spans="1:4" hidden="1" x14ac:dyDescent="0.25">
      <c r="A635" t="s">
        <v>20</v>
      </c>
      <c r="B635">
        <v>13</v>
      </c>
      <c r="C635">
        <v>46</v>
      </c>
      <c r="D635">
        <v>1</v>
      </c>
    </row>
    <row r="636" spans="1:4" hidden="1" x14ac:dyDescent="0.25">
      <c r="A636" t="s">
        <v>20</v>
      </c>
      <c r="B636">
        <v>13</v>
      </c>
      <c r="C636">
        <v>47</v>
      </c>
    </row>
    <row r="637" spans="1:4" hidden="1" x14ac:dyDescent="0.25">
      <c r="A637" t="s">
        <v>20</v>
      </c>
      <c r="B637">
        <v>13</v>
      </c>
      <c r="C637">
        <v>48</v>
      </c>
    </row>
    <row r="638" spans="1:4" hidden="1" x14ac:dyDescent="0.25">
      <c r="A638" t="s">
        <v>20</v>
      </c>
      <c r="B638">
        <v>13</v>
      </c>
      <c r="C638">
        <v>49</v>
      </c>
      <c r="D638">
        <v>1</v>
      </c>
    </row>
    <row r="639" spans="1:4" hidden="1" x14ac:dyDescent="0.25">
      <c r="A639" t="s">
        <v>20</v>
      </c>
      <c r="B639">
        <v>13</v>
      </c>
      <c r="C639">
        <v>50</v>
      </c>
    </row>
    <row r="640" spans="1:4" hidden="1" x14ac:dyDescent="0.25">
      <c r="A640" t="s">
        <v>20</v>
      </c>
      <c r="B640">
        <v>13</v>
      </c>
      <c r="C640">
        <v>51</v>
      </c>
    </row>
    <row r="641" spans="1:4" hidden="1" x14ac:dyDescent="0.25">
      <c r="A641" t="s">
        <v>20</v>
      </c>
      <c r="B641">
        <v>13</v>
      </c>
      <c r="C641">
        <v>52</v>
      </c>
      <c r="D641">
        <v>1</v>
      </c>
    </row>
    <row r="642" spans="1:4" hidden="1" x14ac:dyDescent="0.25">
      <c r="A642" t="s">
        <v>20</v>
      </c>
      <c r="B642">
        <v>13</v>
      </c>
      <c r="C642">
        <v>53</v>
      </c>
    </row>
    <row r="643" spans="1:4" hidden="1" x14ac:dyDescent="0.25">
      <c r="A643" t="s">
        <v>20</v>
      </c>
      <c r="B643">
        <v>13</v>
      </c>
      <c r="C643">
        <v>54</v>
      </c>
    </row>
    <row r="644" spans="1:4" hidden="1" x14ac:dyDescent="0.25">
      <c r="A644" t="s">
        <v>20</v>
      </c>
      <c r="B644">
        <v>13</v>
      </c>
      <c r="C644">
        <v>55</v>
      </c>
      <c r="D644">
        <v>1</v>
      </c>
    </row>
    <row r="645" spans="1:4" hidden="1" x14ac:dyDescent="0.25">
      <c r="A645" t="s">
        <v>20</v>
      </c>
      <c r="B645">
        <v>13</v>
      </c>
      <c r="C645">
        <v>56</v>
      </c>
    </row>
    <row r="646" spans="1:4" hidden="1" x14ac:dyDescent="0.25">
      <c r="A646" t="s">
        <v>20</v>
      </c>
      <c r="B646">
        <v>13</v>
      </c>
      <c r="C646">
        <v>57</v>
      </c>
    </row>
    <row r="647" spans="1:4" hidden="1" x14ac:dyDescent="0.25">
      <c r="A647" t="s">
        <v>20</v>
      </c>
      <c r="B647">
        <v>13</v>
      </c>
      <c r="C647">
        <v>58</v>
      </c>
    </row>
    <row r="648" spans="1:4" hidden="1" x14ac:dyDescent="0.25">
      <c r="A648" t="s">
        <v>20</v>
      </c>
      <c r="B648">
        <v>13</v>
      </c>
      <c r="C648">
        <v>59</v>
      </c>
    </row>
    <row r="649" spans="1:4" hidden="1" x14ac:dyDescent="0.25">
      <c r="A649" t="s">
        <v>20</v>
      </c>
      <c r="B649">
        <v>13</v>
      </c>
      <c r="C649">
        <v>60</v>
      </c>
    </row>
    <row r="650" spans="1:4" hidden="1" x14ac:dyDescent="0.25">
      <c r="A650" t="s">
        <v>20</v>
      </c>
      <c r="B650">
        <v>13</v>
      </c>
      <c r="C650">
        <v>61</v>
      </c>
    </row>
    <row r="651" spans="1:4" hidden="1" x14ac:dyDescent="0.25">
      <c r="A651" t="s">
        <v>20</v>
      </c>
      <c r="B651">
        <v>13</v>
      </c>
      <c r="C651">
        <v>62</v>
      </c>
      <c r="D651">
        <v>1</v>
      </c>
    </row>
    <row r="652" spans="1:4" hidden="1" x14ac:dyDescent="0.25">
      <c r="A652" t="s">
        <v>20</v>
      </c>
      <c r="B652">
        <v>13</v>
      </c>
      <c r="C652">
        <v>63</v>
      </c>
    </row>
    <row r="653" spans="1:4" hidden="1" x14ac:dyDescent="0.25">
      <c r="A653" t="s">
        <v>20</v>
      </c>
      <c r="B653">
        <v>13</v>
      </c>
      <c r="C653">
        <v>64</v>
      </c>
    </row>
    <row r="654" spans="1:4" hidden="1" x14ac:dyDescent="0.25">
      <c r="A654" t="s">
        <v>20</v>
      </c>
      <c r="B654">
        <v>13</v>
      </c>
      <c r="C654">
        <v>65</v>
      </c>
    </row>
    <row r="655" spans="1:4" hidden="1" x14ac:dyDescent="0.25">
      <c r="A655" t="s">
        <v>20</v>
      </c>
      <c r="B655">
        <v>13</v>
      </c>
      <c r="C655">
        <v>66</v>
      </c>
    </row>
    <row r="656" spans="1:4" hidden="1" x14ac:dyDescent="0.25">
      <c r="A656" t="s">
        <v>20</v>
      </c>
      <c r="B656">
        <v>13</v>
      </c>
      <c r="C656">
        <v>67</v>
      </c>
      <c r="D656">
        <v>1</v>
      </c>
    </row>
    <row r="657" spans="1:4" hidden="1" x14ac:dyDescent="0.25">
      <c r="A657" t="s">
        <v>20</v>
      </c>
      <c r="B657">
        <v>13</v>
      </c>
      <c r="C657">
        <v>68</v>
      </c>
    </row>
    <row r="658" spans="1:4" hidden="1" x14ac:dyDescent="0.25">
      <c r="A658" t="s">
        <v>20</v>
      </c>
      <c r="B658">
        <v>13</v>
      </c>
      <c r="C658">
        <v>69</v>
      </c>
    </row>
    <row r="659" spans="1:4" hidden="1" x14ac:dyDescent="0.25">
      <c r="A659" t="s">
        <v>20</v>
      </c>
      <c r="B659">
        <v>13</v>
      </c>
      <c r="C659">
        <v>70</v>
      </c>
      <c r="D659">
        <v>1</v>
      </c>
    </row>
    <row r="660" spans="1:4" hidden="1" x14ac:dyDescent="0.25">
      <c r="A660" t="s">
        <v>20</v>
      </c>
      <c r="B660">
        <v>13</v>
      </c>
      <c r="C660">
        <v>71</v>
      </c>
    </row>
    <row r="661" spans="1:4" hidden="1" x14ac:dyDescent="0.25">
      <c r="A661" t="s">
        <v>20</v>
      </c>
      <c r="B661">
        <v>13</v>
      </c>
      <c r="C661">
        <v>72</v>
      </c>
    </row>
    <row r="662" spans="1:4" hidden="1" x14ac:dyDescent="0.25">
      <c r="A662" t="s">
        <v>20</v>
      </c>
      <c r="B662">
        <v>13</v>
      </c>
      <c r="C662">
        <v>73</v>
      </c>
      <c r="D662">
        <v>1</v>
      </c>
    </row>
    <row r="663" spans="1:4" hidden="1" x14ac:dyDescent="0.25">
      <c r="A663" t="s">
        <v>20</v>
      </c>
      <c r="B663">
        <v>13</v>
      </c>
      <c r="C663">
        <v>74</v>
      </c>
    </row>
    <row r="664" spans="1:4" hidden="1" x14ac:dyDescent="0.25">
      <c r="A664" t="s">
        <v>20</v>
      </c>
      <c r="B664">
        <v>13</v>
      </c>
      <c r="C664">
        <v>75</v>
      </c>
    </row>
    <row r="665" spans="1:4" hidden="1" x14ac:dyDescent="0.25">
      <c r="A665" t="s">
        <v>20</v>
      </c>
      <c r="B665">
        <v>13</v>
      </c>
      <c r="C665">
        <v>76</v>
      </c>
      <c r="D665">
        <v>1</v>
      </c>
    </row>
    <row r="666" spans="1:4" hidden="1" x14ac:dyDescent="0.25">
      <c r="A666" t="s">
        <v>20</v>
      </c>
      <c r="B666">
        <v>13</v>
      </c>
      <c r="C666">
        <v>77</v>
      </c>
    </row>
    <row r="667" spans="1:4" hidden="1" x14ac:dyDescent="0.25">
      <c r="A667" t="s">
        <v>20</v>
      </c>
      <c r="B667">
        <v>13</v>
      </c>
      <c r="C667">
        <v>78</v>
      </c>
    </row>
    <row r="668" spans="1:4" hidden="1" x14ac:dyDescent="0.25">
      <c r="A668" t="s">
        <v>20</v>
      </c>
      <c r="B668">
        <v>13</v>
      </c>
      <c r="C668">
        <v>79</v>
      </c>
    </row>
    <row r="669" spans="1:4" hidden="1" x14ac:dyDescent="0.25">
      <c r="A669" t="s">
        <v>20</v>
      </c>
      <c r="B669">
        <v>13</v>
      </c>
      <c r="C669">
        <v>80</v>
      </c>
    </row>
    <row r="670" spans="1:4" hidden="1" x14ac:dyDescent="0.25">
      <c r="A670" t="s">
        <v>20</v>
      </c>
      <c r="B670">
        <v>13</v>
      </c>
      <c r="C670">
        <v>81</v>
      </c>
    </row>
    <row r="671" spans="1:4" hidden="1" x14ac:dyDescent="0.25">
      <c r="A671" t="s">
        <v>20</v>
      </c>
      <c r="B671">
        <v>13</v>
      </c>
      <c r="C671">
        <v>82</v>
      </c>
    </row>
    <row r="672" spans="1:4" hidden="1" x14ac:dyDescent="0.25">
      <c r="A672" t="s">
        <v>20</v>
      </c>
      <c r="B672">
        <v>13</v>
      </c>
      <c r="C672">
        <v>83</v>
      </c>
    </row>
    <row r="673" spans="1:4" hidden="1" x14ac:dyDescent="0.25">
      <c r="A673" t="s">
        <v>20</v>
      </c>
      <c r="B673">
        <v>13</v>
      </c>
      <c r="C673">
        <v>84</v>
      </c>
    </row>
    <row r="674" spans="1:4" hidden="1" x14ac:dyDescent="0.25">
      <c r="A674" t="s">
        <v>20</v>
      </c>
      <c r="B674">
        <v>15</v>
      </c>
      <c r="C674">
        <v>1</v>
      </c>
    </row>
    <row r="675" spans="1:4" hidden="1" x14ac:dyDescent="0.25">
      <c r="A675" t="s">
        <v>20</v>
      </c>
      <c r="B675">
        <v>15</v>
      </c>
      <c r="C675">
        <v>2</v>
      </c>
    </row>
    <row r="676" spans="1:4" hidden="1" x14ac:dyDescent="0.25">
      <c r="A676" t="s">
        <v>20</v>
      </c>
      <c r="B676">
        <v>15</v>
      </c>
      <c r="C676">
        <v>3</v>
      </c>
      <c r="D676">
        <v>1</v>
      </c>
    </row>
    <row r="677" spans="1:4" hidden="1" x14ac:dyDescent="0.25">
      <c r="A677" t="s">
        <v>20</v>
      </c>
      <c r="B677">
        <v>15</v>
      </c>
      <c r="C677">
        <v>4</v>
      </c>
    </row>
    <row r="678" spans="1:4" hidden="1" x14ac:dyDescent="0.25">
      <c r="A678" t="s">
        <v>20</v>
      </c>
      <c r="B678">
        <v>15</v>
      </c>
      <c r="C678">
        <v>5</v>
      </c>
    </row>
    <row r="679" spans="1:4" hidden="1" x14ac:dyDescent="0.25">
      <c r="A679" t="s">
        <v>20</v>
      </c>
      <c r="B679">
        <v>15</v>
      </c>
      <c r="C679">
        <v>6</v>
      </c>
      <c r="D679">
        <v>1</v>
      </c>
    </row>
    <row r="680" spans="1:4" hidden="1" x14ac:dyDescent="0.25">
      <c r="A680" t="s">
        <v>20</v>
      </c>
      <c r="B680">
        <v>15</v>
      </c>
      <c r="C680">
        <v>7</v>
      </c>
    </row>
    <row r="681" spans="1:4" hidden="1" x14ac:dyDescent="0.25">
      <c r="A681" t="s">
        <v>20</v>
      </c>
      <c r="B681">
        <v>15</v>
      </c>
      <c r="C681">
        <v>8</v>
      </c>
    </row>
    <row r="682" spans="1:4" hidden="1" x14ac:dyDescent="0.25">
      <c r="A682" t="s">
        <v>20</v>
      </c>
      <c r="B682">
        <v>15</v>
      </c>
      <c r="C682">
        <v>9</v>
      </c>
      <c r="D682">
        <v>1</v>
      </c>
    </row>
    <row r="683" spans="1:4" hidden="1" x14ac:dyDescent="0.25">
      <c r="A683" t="s">
        <v>20</v>
      </c>
      <c r="B683">
        <v>15</v>
      </c>
      <c r="C683">
        <v>10</v>
      </c>
    </row>
    <row r="684" spans="1:4" hidden="1" x14ac:dyDescent="0.25">
      <c r="A684" t="s">
        <v>20</v>
      </c>
      <c r="B684">
        <v>15</v>
      </c>
      <c r="C684">
        <v>11</v>
      </c>
    </row>
    <row r="685" spans="1:4" hidden="1" x14ac:dyDescent="0.25">
      <c r="A685" t="s">
        <v>20</v>
      </c>
      <c r="B685">
        <v>15</v>
      </c>
      <c r="C685">
        <v>12</v>
      </c>
    </row>
    <row r="686" spans="1:4" hidden="1" x14ac:dyDescent="0.25">
      <c r="A686" t="s">
        <v>20</v>
      </c>
      <c r="B686">
        <v>15</v>
      </c>
      <c r="C686">
        <v>13</v>
      </c>
    </row>
    <row r="687" spans="1:4" hidden="1" x14ac:dyDescent="0.25">
      <c r="A687" t="s">
        <v>20</v>
      </c>
      <c r="B687">
        <v>15</v>
      </c>
      <c r="C687">
        <v>14</v>
      </c>
    </row>
    <row r="688" spans="1:4" hidden="1" x14ac:dyDescent="0.25">
      <c r="A688" t="s">
        <v>20</v>
      </c>
      <c r="B688">
        <v>15</v>
      </c>
      <c r="C688">
        <v>15</v>
      </c>
    </row>
    <row r="689" spans="1:4" hidden="1" x14ac:dyDescent="0.25">
      <c r="A689" t="s">
        <v>20</v>
      </c>
      <c r="B689">
        <v>15</v>
      </c>
      <c r="C689">
        <v>16</v>
      </c>
    </row>
    <row r="690" spans="1:4" hidden="1" x14ac:dyDescent="0.25">
      <c r="A690" t="s">
        <v>20</v>
      </c>
      <c r="B690">
        <v>15</v>
      </c>
      <c r="C690">
        <v>17</v>
      </c>
    </row>
    <row r="691" spans="1:4" hidden="1" x14ac:dyDescent="0.25">
      <c r="A691" t="s">
        <v>20</v>
      </c>
      <c r="B691">
        <v>15</v>
      </c>
      <c r="C691">
        <v>18</v>
      </c>
      <c r="D691">
        <v>1</v>
      </c>
    </row>
    <row r="692" spans="1:4" hidden="1" x14ac:dyDescent="0.25">
      <c r="A692" t="s">
        <v>20</v>
      </c>
      <c r="B692">
        <v>15</v>
      </c>
      <c r="C692">
        <v>19</v>
      </c>
    </row>
    <row r="693" spans="1:4" hidden="1" x14ac:dyDescent="0.25">
      <c r="A693" t="s">
        <v>20</v>
      </c>
      <c r="B693">
        <v>15</v>
      </c>
      <c r="C693">
        <v>20</v>
      </c>
    </row>
    <row r="694" spans="1:4" hidden="1" x14ac:dyDescent="0.25">
      <c r="A694" t="s">
        <v>20</v>
      </c>
      <c r="B694">
        <v>15</v>
      </c>
      <c r="C694">
        <v>21</v>
      </c>
      <c r="D694">
        <v>1</v>
      </c>
    </row>
    <row r="695" spans="1:4" hidden="1" x14ac:dyDescent="0.25">
      <c r="A695" t="s">
        <v>20</v>
      </c>
      <c r="B695">
        <v>15</v>
      </c>
      <c r="C695">
        <v>22</v>
      </c>
    </row>
    <row r="696" spans="1:4" hidden="1" x14ac:dyDescent="0.25">
      <c r="A696" t="s">
        <v>20</v>
      </c>
      <c r="B696">
        <v>15</v>
      </c>
      <c r="C696">
        <v>23</v>
      </c>
    </row>
    <row r="697" spans="1:4" hidden="1" x14ac:dyDescent="0.25">
      <c r="A697" t="s">
        <v>20</v>
      </c>
      <c r="B697">
        <v>15</v>
      </c>
      <c r="C697">
        <v>24</v>
      </c>
    </row>
    <row r="698" spans="1:4" hidden="1" x14ac:dyDescent="0.25">
      <c r="A698" t="s">
        <v>20</v>
      </c>
      <c r="B698">
        <v>15</v>
      </c>
      <c r="C698">
        <v>25</v>
      </c>
    </row>
    <row r="699" spans="1:4" hidden="1" x14ac:dyDescent="0.25">
      <c r="A699" t="s">
        <v>20</v>
      </c>
      <c r="B699">
        <v>15</v>
      </c>
      <c r="C699">
        <v>26</v>
      </c>
    </row>
    <row r="700" spans="1:4" hidden="1" x14ac:dyDescent="0.25">
      <c r="A700" t="s">
        <v>20</v>
      </c>
      <c r="B700">
        <v>15</v>
      </c>
      <c r="C700">
        <v>27</v>
      </c>
    </row>
    <row r="701" spans="1:4" hidden="1" x14ac:dyDescent="0.25">
      <c r="A701" t="s">
        <v>20</v>
      </c>
      <c r="B701">
        <v>15</v>
      </c>
      <c r="C701">
        <v>28</v>
      </c>
    </row>
    <row r="702" spans="1:4" hidden="1" x14ac:dyDescent="0.25">
      <c r="A702" t="s">
        <v>20</v>
      </c>
      <c r="B702">
        <v>15</v>
      </c>
      <c r="C702">
        <v>29</v>
      </c>
    </row>
    <row r="703" spans="1:4" hidden="1" x14ac:dyDescent="0.25">
      <c r="A703" t="s">
        <v>20</v>
      </c>
      <c r="B703">
        <v>15</v>
      </c>
      <c r="C703">
        <v>30</v>
      </c>
    </row>
    <row r="704" spans="1:4" hidden="1" x14ac:dyDescent="0.25">
      <c r="A704" t="s">
        <v>20</v>
      </c>
      <c r="B704">
        <v>15</v>
      </c>
      <c r="C704">
        <v>31</v>
      </c>
    </row>
    <row r="705" spans="1:4" hidden="1" x14ac:dyDescent="0.25">
      <c r="A705" t="s">
        <v>20</v>
      </c>
      <c r="B705">
        <v>15</v>
      </c>
      <c r="C705">
        <v>32</v>
      </c>
    </row>
    <row r="706" spans="1:4" hidden="1" x14ac:dyDescent="0.25">
      <c r="A706" t="s">
        <v>20</v>
      </c>
      <c r="B706">
        <v>15</v>
      </c>
      <c r="C706">
        <v>33</v>
      </c>
      <c r="D706">
        <v>1</v>
      </c>
    </row>
    <row r="707" spans="1:4" hidden="1" x14ac:dyDescent="0.25">
      <c r="A707" t="s">
        <v>20</v>
      </c>
      <c r="B707">
        <v>15</v>
      </c>
      <c r="C707">
        <v>34</v>
      </c>
    </row>
    <row r="708" spans="1:4" hidden="1" x14ac:dyDescent="0.25">
      <c r="A708" t="s">
        <v>20</v>
      </c>
      <c r="B708">
        <v>15</v>
      </c>
      <c r="C708">
        <v>35</v>
      </c>
    </row>
    <row r="709" spans="1:4" hidden="1" x14ac:dyDescent="0.25">
      <c r="A709" t="s">
        <v>20</v>
      </c>
      <c r="B709">
        <v>15</v>
      </c>
      <c r="C709">
        <v>36</v>
      </c>
      <c r="D709">
        <v>1</v>
      </c>
    </row>
    <row r="710" spans="1:4" hidden="1" x14ac:dyDescent="0.25">
      <c r="A710" t="s">
        <v>20</v>
      </c>
      <c r="B710">
        <v>15</v>
      </c>
      <c r="C710">
        <v>37</v>
      </c>
    </row>
    <row r="711" spans="1:4" hidden="1" x14ac:dyDescent="0.25">
      <c r="A711" t="s">
        <v>20</v>
      </c>
      <c r="B711">
        <v>15</v>
      </c>
      <c r="C711">
        <v>38</v>
      </c>
    </row>
    <row r="712" spans="1:4" hidden="1" x14ac:dyDescent="0.25">
      <c r="A712" t="s">
        <v>20</v>
      </c>
      <c r="B712">
        <v>15</v>
      </c>
      <c r="C712">
        <v>39</v>
      </c>
      <c r="D712">
        <v>1</v>
      </c>
    </row>
    <row r="713" spans="1:4" hidden="1" x14ac:dyDescent="0.25">
      <c r="A713" t="s">
        <v>20</v>
      </c>
      <c r="B713">
        <v>15</v>
      </c>
      <c r="C713">
        <v>40</v>
      </c>
    </row>
    <row r="714" spans="1:4" hidden="1" x14ac:dyDescent="0.25">
      <c r="A714" t="s">
        <v>20</v>
      </c>
      <c r="B714">
        <v>15</v>
      </c>
      <c r="C714">
        <v>41</v>
      </c>
    </row>
    <row r="715" spans="1:4" hidden="1" x14ac:dyDescent="0.25">
      <c r="A715" t="s">
        <v>20</v>
      </c>
      <c r="B715">
        <v>15</v>
      </c>
      <c r="C715">
        <v>42</v>
      </c>
      <c r="D715">
        <v>1</v>
      </c>
    </row>
    <row r="716" spans="1:4" hidden="1" x14ac:dyDescent="0.25">
      <c r="A716" t="s">
        <v>20</v>
      </c>
      <c r="B716">
        <v>15</v>
      </c>
      <c r="C716">
        <v>43</v>
      </c>
    </row>
    <row r="717" spans="1:4" hidden="1" x14ac:dyDescent="0.25">
      <c r="A717" t="s">
        <v>20</v>
      </c>
      <c r="B717">
        <v>15</v>
      </c>
      <c r="C717">
        <v>44</v>
      </c>
    </row>
    <row r="718" spans="1:4" hidden="1" x14ac:dyDescent="0.25">
      <c r="A718" t="s">
        <v>20</v>
      </c>
      <c r="B718">
        <v>15</v>
      </c>
      <c r="C718">
        <v>45</v>
      </c>
    </row>
    <row r="719" spans="1:4" hidden="1" x14ac:dyDescent="0.25">
      <c r="A719" t="s">
        <v>20</v>
      </c>
      <c r="B719">
        <v>15</v>
      </c>
      <c r="C719">
        <v>46</v>
      </c>
    </row>
    <row r="720" spans="1:4" hidden="1" x14ac:dyDescent="0.25">
      <c r="A720" t="s">
        <v>20</v>
      </c>
      <c r="B720">
        <v>15</v>
      </c>
      <c r="C720">
        <v>47</v>
      </c>
    </row>
    <row r="721" spans="1:4" hidden="1" x14ac:dyDescent="0.25">
      <c r="A721" t="s">
        <v>20</v>
      </c>
      <c r="B721">
        <v>15</v>
      </c>
      <c r="C721">
        <v>48</v>
      </c>
      <c r="D721">
        <v>1</v>
      </c>
    </row>
    <row r="722" spans="1:4" hidden="1" x14ac:dyDescent="0.25">
      <c r="A722" t="s">
        <v>20</v>
      </c>
      <c r="B722">
        <v>15</v>
      </c>
      <c r="C722">
        <v>49</v>
      </c>
    </row>
    <row r="723" spans="1:4" hidden="1" x14ac:dyDescent="0.25">
      <c r="A723" t="s">
        <v>20</v>
      </c>
      <c r="B723">
        <v>15</v>
      </c>
      <c r="C723">
        <v>50</v>
      </c>
    </row>
    <row r="724" spans="1:4" hidden="1" x14ac:dyDescent="0.25">
      <c r="A724" t="s">
        <v>20</v>
      </c>
      <c r="B724">
        <v>15</v>
      </c>
      <c r="C724">
        <v>51</v>
      </c>
    </row>
    <row r="725" spans="1:4" hidden="1" x14ac:dyDescent="0.25">
      <c r="A725" t="s">
        <v>20</v>
      </c>
      <c r="B725">
        <v>15</v>
      </c>
      <c r="C725">
        <v>52</v>
      </c>
    </row>
    <row r="726" spans="1:4" hidden="1" x14ac:dyDescent="0.25">
      <c r="A726" t="s">
        <v>20</v>
      </c>
      <c r="B726">
        <v>15</v>
      </c>
      <c r="C726">
        <v>53</v>
      </c>
    </row>
    <row r="727" spans="1:4" hidden="1" x14ac:dyDescent="0.25">
      <c r="A727" t="s">
        <v>20</v>
      </c>
      <c r="B727">
        <v>15</v>
      </c>
      <c r="C727">
        <v>54</v>
      </c>
      <c r="D727">
        <v>1</v>
      </c>
    </row>
    <row r="728" spans="1:4" hidden="1" x14ac:dyDescent="0.25">
      <c r="A728" t="s">
        <v>20</v>
      </c>
      <c r="B728">
        <v>15</v>
      </c>
      <c r="C728">
        <v>55</v>
      </c>
    </row>
    <row r="729" spans="1:4" hidden="1" x14ac:dyDescent="0.25">
      <c r="A729" t="s">
        <v>20</v>
      </c>
      <c r="B729">
        <v>15</v>
      </c>
      <c r="C729">
        <v>56</v>
      </c>
    </row>
    <row r="730" spans="1:4" hidden="1" x14ac:dyDescent="0.25">
      <c r="A730" t="s">
        <v>20</v>
      </c>
      <c r="B730">
        <v>15</v>
      </c>
      <c r="C730">
        <v>57</v>
      </c>
    </row>
    <row r="731" spans="1:4" hidden="1" x14ac:dyDescent="0.25">
      <c r="A731" t="s">
        <v>20</v>
      </c>
      <c r="B731">
        <v>15</v>
      </c>
      <c r="C731">
        <v>58</v>
      </c>
    </row>
    <row r="732" spans="1:4" hidden="1" x14ac:dyDescent="0.25">
      <c r="A732" t="s">
        <v>20</v>
      </c>
      <c r="B732">
        <v>15</v>
      </c>
      <c r="C732">
        <v>59</v>
      </c>
    </row>
    <row r="733" spans="1:4" hidden="1" x14ac:dyDescent="0.25">
      <c r="A733" t="s">
        <v>20</v>
      </c>
      <c r="B733">
        <v>15</v>
      </c>
      <c r="C733">
        <v>60</v>
      </c>
      <c r="D733">
        <v>1</v>
      </c>
    </row>
    <row r="734" spans="1:4" hidden="1" x14ac:dyDescent="0.25">
      <c r="A734" t="s">
        <v>20</v>
      </c>
      <c r="B734">
        <v>15</v>
      </c>
      <c r="C734">
        <v>61</v>
      </c>
    </row>
    <row r="735" spans="1:4" hidden="1" x14ac:dyDescent="0.25">
      <c r="A735" t="s">
        <v>20</v>
      </c>
      <c r="B735">
        <v>15</v>
      </c>
      <c r="C735">
        <v>62</v>
      </c>
    </row>
    <row r="736" spans="1:4" hidden="1" x14ac:dyDescent="0.25">
      <c r="A736" t="s">
        <v>20</v>
      </c>
      <c r="B736">
        <v>15</v>
      </c>
      <c r="C736">
        <v>63</v>
      </c>
    </row>
    <row r="737" spans="1:4" hidden="1" x14ac:dyDescent="0.25">
      <c r="A737" t="s">
        <v>20</v>
      </c>
      <c r="B737">
        <v>15</v>
      </c>
      <c r="C737">
        <v>64</v>
      </c>
    </row>
    <row r="738" spans="1:4" hidden="1" x14ac:dyDescent="0.25">
      <c r="A738" t="s">
        <v>20</v>
      </c>
      <c r="B738">
        <v>15</v>
      </c>
      <c r="C738">
        <v>65</v>
      </c>
    </row>
    <row r="739" spans="1:4" hidden="1" x14ac:dyDescent="0.25">
      <c r="A739" t="s">
        <v>20</v>
      </c>
      <c r="B739">
        <v>15</v>
      </c>
      <c r="C739">
        <v>66</v>
      </c>
    </row>
    <row r="740" spans="1:4" hidden="1" x14ac:dyDescent="0.25">
      <c r="A740" t="s">
        <v>20</v>
      </c>
      <c r="B740">
        <v>15</v>
      </c>
      <c r="C740">
        <v>67</v>
      </c>
    </row>
    <row r="741" spans="1:4" hidden="1" x14ac:dyDescent="0.25">
      <c r="A741" t="s">
        <v>20</v>
      </c>
      <c r="B741">
        <v>15</v>
      </c>
      <c r="C741">
        <v>68</v>
      </c>
    </row>
    <row r="742" spans="1:4" hidden="1" x14ac:dyDescent="0.25">
      <c r="A742" t="s">
        <v>20</v>
      </c>
      <c r="B742">
        <v>15</v>
      </c>
      <c r="C742">
        <v>69</v>
      </c>
      <c r="D742">
        <v>1</v>
      </c>
    </row>
    <row r="743" spans="1:4" hidden="1" x14ac:dyDescent="0.25">
      <c r="A743" t="s">
        <v>20</v>
      </c>
      <c r="B743">
        <v>15</v>
      </c>
      <c r="C743">
        <v>70</v>
      </c>
    </row>
    <row r="744" spans="1:4" hidden="1" x14ac:dyDescent="0.25">
      <c r="A744" t="s">
        <v>20</v>
      </c>
      <c r="B744">
        <v>15</v>
      </c>
      <c r="C744">
        <v>71</v>
      </c>
    </row>
    <row r="745" spans="1:4" hidden="1" x14ac:dyDescent="0.25">
      <c r="A745" t="s">
        <v>20</v>
      </c>
      <c r="B745">
        <v>15</v>
      </c>
      <c r="C745">
        <v>72</v>
      </c>
      <c r="D745">
        <v>1</v>
      </c>
    </row>
    <row r="746" spans="1:4" hidden="1" x14ac:dyDescent="0.25">
      <c r="A746" t="s">
        <v>20</v>
      </c>
      <c r="B746">
        <v>15</v>
      </c>
      <c r="C746">
        <v>73</v>
      </c>
    </row>
    <row r="747" spans="1:4" hidden="1" x14ac:dyDescent="0.25">
      <c r="A747" t="s">
        <v>20</v>
      </c>
      <c r="B747">
        <v>15</v>
      </c>
      <c r="C747">
        <v>74</v>
      </c>
    </row>
    <row r="748" spans="1:4" hidden="1" x14ac:dyDescent="0.25">
      <c r="A748" t="s">
        <v>20</v>
      </c>
      <c r="B748">
        <v>15</v>
      </c>
      <c r="C748">
        <v>75</v>
      </c>
      <c r="D748">
        <v>1</v>
      </c>
    </row>
    <row r="749" spans="1:4" hidden="1" x14ac:dyDescent="0.25">
      <c r="A749" t="s">
        <v>20</v>
      </c>
      <c r="B749">
        <v>15</v>
      </c>
      <c r="C749">
        <v>76</v>
      </c>
    </row>
    <row r="750" spans="1:4" hidden="1" x14ac:dyDescent="0.25">
      <c r="A750" t="s">
        <v>20</v>
      </c>
      <c r="B750">
        <v>15</v>
      </c>
      <c r="C750">
        <v>77</v>
      </c>
    </row>
    <row r="751" spans="1:4" hidden="1" x14ac:dyDescent="0.25">
      <c r="A751" t="s">
        <v>20</v>
      </c>
      <c r="B751">
        <v>15</v>
      </c>
      <c r="C751">
        <v>78</v>
      </c>
      <c r="D751">
        <v>1</v>
      </c>
    </row>
    <row r="752" spans="1:4" hidden="1" x14ac:dyDescent="0.25">
      <c r="A752" t="s">
        <v>20</v>
      </c>
      <c r="B752">
        <v>15</v>
      </c>
      <c r="C752">
        <v>79</v>
      </c>
    </row>
    <row r="753" spans="1:6" hidden="1" x14ac:dyDescent="0.25">
      <c r="A753" t="s">
        <v>20</v>
      </c>
      <c r="B753">
        <v>15</v>
      </c>
      <c r="C753">
        <v>80</v>
      </c>
    </row>
    <row r="754" spans="1:6" hidden="1" x14ac:dyDescent="0.25">
      <c r="A754" t="s">
        <v>20</v>
      </c>
      <c r="B754">
        <v>15</v>
      </c>
      <c r="C754">
        <v>81</v>
      </c>
      <c r="D754">
        <v>1</v>
      </c>
    </row>
    <row r="755" spans="1:6" hidden="1" x14ac:dyDescent="0.25">
      <c r="A755" t="s">
        <v>20</v>
      </c>
      <c r="B755">
        <v>15</v>
      </c>
      <c r="C755">
        <v>82</v>
      </c>
    </row>
    <row r="756" spans="1:6" hidden="1" x14ac:dyDescent="0.25">
      <c r="A756" t="s">
        <v>20</v>
      </c>
      <c r="B756">
        <v>15</v>
      </c>
      <c r="C756">
        <v>83</v>
      </c>
    </row>
    <row r="757" spans="1:6" hidden="1" x14ac:dyDescent="0.25">
      <c r="A757" t="s">
        <v>20</v>
      </c>
      <c r="B757">
        <v>15</v>
      </c>
      <c r="C757">
        <v>84</v>
      </c>
      <c r="D757">
        <v>1</v>
      </c>
    </row>
    <row r="758" spans="1:6" hidden="1" x14ac:dyDescent="0.25">
      <c r="A758" t="s">
        <v>20</v>
      </c>
      <c r="B758">
        <v>16</v>
      </c>
      <c r="C758">
        <v>1</v>
      </c>
      <c r="E758">
        <v>16</v>
      </c>
      <c r="F758">
        <v>16</v>
      </c>
    </row>
    <row r="759" spans="1:6" hidden="1" x14ac:dyDescent="0.25">
      <c r="A759" t="s">
        <v>20</v>
      </c>
      <c r="B759">
        <v>16</v>
      </c>
      <c r="C759">
        <v>2</v>
      </c>
      <c r="E759">
        <v>16</v>
      </c>
      <c r="F759">
        <v>16</v>
      </c>
    </row>
    <row r="760" spans="1:6" hidden="1" x14ac:dyDescent="0.25">
      <c r="A760" t="s">
        <v>20</v>
      </c>
      <c r="B760">
        <v>16</v>
      </c>
      <c r="C760">
        <v>3</v>
      </c>
      <c r="E760">
        <v>16</v>
      </c>
      <c r="F760">
        <v>16</v>
      </c>
    </row>
    <row r="761" spans="1:6" hidden="1" x14ac:dyDescent="0.25">
      <c r="A761" t="s">
        <v>20</v>
      </c>
      <c r="B761">
        <v>16</v>
      </c>
      <c r="C761">
        <v>4</v>
      </c>
      <c r="D761">
        <v>1</v>
      </c>
      <c r="E761">
        <v>16</v>
      </c>
      <c r="F761">
        <v>16</v>
      </c>
    </row>
    <row r="762" spans="1:6" hidden="1" x14ac:dyDescent="0.25">
      <c r="A762" t="s">
        <v>20</v>
      </c>
      <c r="B762">
        <v>16</v>
      </c>
      <c r="C762">
        <v>5</v>
      </c>
      <c r="E762">
        <v>16</v>
      </c>
      <c r="F762">
        <v>16</v>
      </c>
    </row>
    <row r="763" spans="1:6" hidden="1" x14ac:dyDescent="0.25">
      <c r="A763" t="s">
        <v>20</v>
      </c>
      <c r="B763">
        <v>16</v>
      </c>
      <c r="C763">
        <v>6</v>
      </c>
      <c r="E763">
        <v>16</v>
      </c>
      <c r="F763">
        <v>16</v>
      </c>
    </row>
    <row r="764" spans="1:6" hidden="1" x14ac:dyDescent="0.25">
      <c r="A764" t="s">
        <v>20</v>
      </c>
      <c r="B764">
        <v>16</v>
      </c>
      <c r="C764">
        <v>7</v>
      </c>
      <c r="E764">
        <v>16</v>
      </c>
      <c r="F764">
        <v>16</v>
      </c>
    </row>
    <row r="765" spans="1:6" hidden="1" x14ac:dyDescent="0.25">
      <c r="A765" t="s">
        <v>20</v>
      </c>
      <c r="B765">
        <v>16</v>
      </c>
      <c r="C765">
        <v>8</v>
      </c>
      <c r="E765">
        <v>16</v>
      </c>
      <c r="F765">
        <v>16</v>
      </c>
    </row>
    <row r="766" spans="1:6" hidden="1" x14ac:dyDescent="0.25">
      <c r="A766" t="s">
        <v>20</v>
      </c>
      <c r="B766">
        <v>16</v>
      </c>
      <c r="C766">
        <v>9</v>
      </c>
      <c r="D766">
        <v>1</v>
      </c>
      <c r="E766">
        <v>16</v>
      </c>
      <c r="F766">
        <v>16</v>
      </c>
    </row>
    <row r="767" spans="1:6" hidden="1" x14ac:dyDescent="0.25">
      <c r="A767" t="s">
        <v>20</v>
      </c>
      <c r="B767">
        <v>16</v>
      </c>
      <c r="C767">
        <v>10</v>
      </c>
      <c r="D767">
        <v>1</v>
      </c>
      <c r="E767">
        <v>16</v>
      </c>
      <c r="F767">
        <v>16</v>
      </c>
    </row>
    <row r="768" spans="1:6" hidden="1" x14ac:dyDescent="0.25">
      <c r="A768" t="s">
        <v>20</v>
      </c>
      <c r="B768">
        <v>16</v>
      </c>
      <c r="C768">
        <v>11</v>
      </c>
      <c r="E768">
        <v>16</v>
      </c>
      <c r="F768">
        <v>16</v>
      </c>
    </row>
    <row r="769" spans="1:6" hidden="1" x14ac:dyDescent="0.25">
      <c r="A769" t="s">
        <v>20</v>
      </c>
      <c r="B769">
        <v>16</v>
      </c>
      <c r="C769">
        <v>12</v>
      </c>
      <c r="E769">
        <v>16</v>
      </c>
      <c r="F769">
        <v>16</v>
      </c>
    </row>
    <row r="770" spans="1:6" hidden="1" x14ac:dyDescent="0.25">
      <c r="A770" t="s">
        <v>20</v>
      </c>
      <c r="B770">
        <v>16</v>
      </c>
      <c r="C770">
        <v>13</v>
      </c>
      <c r="D770">
        <v>1</v>
      </c>
      <c r="E770">
        <v>16</v>
      </c>
      <c r="F770">
        <v>16</v>
      </c>
    </row>
    <row r="771" spans="1:6" hidden="1" x14ac:dyDescent="0.25">
      <c r="A771" t="s">
        <v>20</v>
      </c>
      <c r="B771">
        <v>16</v>
      </c>
      <c r="C771">
        <v>14</v>
      </c>
      <c r="E771">
        <v>16</v>
      </c>
      <c r="F771">
        <v>16</v>
      </c>
    </row>
    <row r="772" spans="1:6" hidden="1" x14ac:dyDescent="0.25">
      <c r="A772" t="s">
        <v>20</v>
      </c>
      <c r="B772">
        <v>16</v>
      </c>
      <c r="C772">
        <v>15</v>
      </c>
      <c r="E772">
        <v>16</v>
      </c>
      <c r="F772">
        <v>16</v>
      </c>
    </row>
    <row r="773" spans="1:6" hidden="1" x14ac:dyDescent="0.25">
      <c r="A773" t="s">
        <v>20</v>
      </c>
      <c r="B773">
        <v>16</v>
      </c>
      <c r="C773">
        <v>16</v>
      </c>
      <c r="D773">
        <v>1</v>
      </c>
      <c r="E773">
        <v>16</v>
      </c>
      <c r="F773">
        <v>16</v>
      </c>
    </row>
    <row r="774" spans="1:6" hidden="1" x14ac:dyDescent="0.25">
      <c r="A774" t="s">
        <v>20</v>
      </c>
      <c r="B774">
        <v>16</v>
      </c>
      <c r="C774">
        <v>17</v>
      </c>
      <c r="E774">
        <v>16</v>
      </c>
      <c r="F774">
        <v>16</v>
      </c>
    </row>
    <row r="775" spans="1:6" hidden="1" x14ac:dyDescent="0.25">
      <c r="A775" t="s">
        <v>20</v>
      </c>
      <c r="B775">
        <v>16</v>
      </c>
      <c r="C775">
        <v>18</v>
      </c>
      <c r="E775">
        <v>16</v>
      </c>
      <c r="F775">
        <v>16</v>
      </c>
    </row>
    <row r="776" spans="1:6" hidden="1" x14ac:dyDescent="0.25">
      <c r="A776" t="s">
        <v>20</v>
      </c>
      <c r="B776">
        <v>16</v>
      </c>
      <c r="C776">
        <v>19</v>
      </c>
      <c r="E776">
        <v>16</v>
      </c>
      <c r="F776">
        <v>16</v>
      </c>
    </row>
    <row r="777" spans="1:6" hidden="1" x14ac:dyDescent="0.25">
      <c r="A777" t="s">
        <v>20</v>
      </c>
      <c r="B777">
        <v>16</v>
      </c>
      <c r="C777">
        <v>20</v>
      </c>
      <c r="D777">
        <v>1</v>
      </c>
      <c r="E777">
        <v>16</v>
      </c>
      <c r="F777">
        <v>16</v>
      </c>
    </row>
    <row r="778" spans="1:6" hidden="1" x14ac:dyDescent="0.25">
      <c r="A778" t="s">
        <v>20</v>
      </c>
      <c r="B778">
        <v>16</v>
      </c>
      <c r="C778">
        <v>21</v>
      </c>
      <c r="E778">
        <v>16</v>
      </c>
      <c r="F778">
        <v>16</v>
      </c>
    </row>
    <row r="779" spans="1:6" hidden="1" x14ac:dyDescent="0.25">
      <c r="A779" t="s">
        <v>20</v>
      </c>
      <c r="B779">
        <v>16</v>
      </c>
      <c r="C779">
        <v>22</v>
      </c>
      <c r="E779">
        <v>16</v>
      </c>
      <c r="F779">
        <v>16</v>
      </c>
    </row>
    <row r="780" spans="1:6" hidden="1" x14ac:dyDescent="0.25">
      <c r="A780" t="s">
        <v>20</v>
      </c>
      <c r="B780">
        <v>16</v>
      </c>
      <c r="C780">
        <v>23</v>
      </c>
      <c r="E780">
        <v>16</v>
      </c>
      <c r="F780">
        <v>16</v>
      </c>
    </row>
    <row r="781" spans="1:6" hidden="1" x14ac:dyDescent="0.25">
      <c r="A781" t="s">
        <v>20</v>
      </c>
      <c r="B781">
        <v>16</v>
      </c>
      <c r="C781">
        <v>24</v>
      </c>
      <c r="E781">
        <v>16</v>
      </c>
      <c r="F781">
        <v>16</v>
      </c>
    </row>
    <row r="782" spans="1:6" hidden="1" x14ac:dyDescent="0.25">
      <c r="A782" t="s">
        <v>20</v>
      </c>
      <c r="B782">
        <v>16</v>
      </c>
      <c r="C782">
        <v>25</v>
      </c>
      <c r="D782">
        <v>1</v>
      </c>
      <c r="E782">
        <v>16</v>
      </c>
      <c r="F782">
        <v>16</v>
      </c>
    </row>
    <row r="783" spans="1:6" hidden="1" x14ac:dyDescent="0.25">
      <c r="A783" t="s">
        <v>20</v>
      </c>
      <c r="B783">
        <v>16</v>
      </c>
      <c r="C783">
        <v>26</v>
      </c>
      <c r="E783">
        <v>16</v>
      </c>
      <c r="F783">
        <v>16</v>
      </c>
    </row>
    <row r="784" spans="1:6" hidden="1" x14ac:dyDescent="0.25">
      <c r="A784" t="s">
        <v>20</v>
      </c>
      <c r="B784">
        <v>16</v>
      </c>
      <c r="C784">
        <v>27</v>
      </c>
      <c r="E784">
        <v>16</v>
      </c>
      <c r="F784">
        <v>16</v>
      </c>
    </row>
    <row r="785" spans="1:6" hidden="1" x14ac:dyDescent="0.25">
      <c r="A785" t="s">
        <v>20</v>
      </c>
      <c r="B785">
        <v>16</v>
      </c>
      <c r="C785">
        <v>28</v>
      </c>
      <c r="E785">
        <v>16</v>
      </c>
      <c r="F785">
        <v>16</v>
      </c>
    </row>
    <row r="786" spans="1:6" hidden="1" x14ac:dyDescent="0.25">
      <c r="A786" t="s">
        <v>20</v>
      </c>
      <c r="B786">
        <v>16</v>
      </c>
      <c r="C786">
        <v>29</v>
      </c>
      <c r="E786">
        <v>16</v>
      </c>
      <c r="F786">
        <v>16</v>
      </c>
    </row>
    <row r="787" spans="1:6" hidden="1" x14ac:dyDescent="0.25">
      <c r="A787" t="s">
        <v>20</v>
      </c>
      <c r="B787">
        <v>16</v>
      </c>
      <c r="C787">
        <v>30</v>
      </c>
      <c r="D787">
        <v>1</v>
      </c>
      <c r="E787">
        <v>16</v>
      </c>
      <c r="F787">
        <v>16</v>
      </c>
    </row>
    <row r="788" spans="1:6" hidden="1" x14ac:dyDescent="0.25">
      <c r="A788" t="s">
        <v>20</v>
      </c>
      <c r="B788">
        <v>16</v>
      </c>
      <c r="C788">
        <v>31</v>
      </c>
      <c r="D788">
        <v>1</v>
      </c>
      <c r="E788">
        <v>16</v>
      </c>
      <c r="F788">
        <v>16</v>
      </c>
    </row>
    <row r="789" spans="1:6" hidden="1" x14ac:dyDescent="0.25">
      <c r="A789" t="s">
        <v>20</v>
      </c>
      <c r="B789">
        <v>16</v>
      </c>
      <c r="C789">
        <v>32</v>
      </c>
      <c r="E789">
        <v>16</v>
      </c>
      <c r="F789">
        <v>16</v>
      </c>
    </row>
    <row r="790" spans="1:6" hidden="1" x14ac:dyDescent="0.25">
      <c r="A790" t="s">
        <v>20</v>
      </c>
      <c r="B790">
        <v>16</v>
      </c>
      <c r="C790">
        <v>33</v>
      </c>
      <c r="E790">
        <v>16</v>
      </c>
      <c r="F790">
        <v>16</v>
      </c>
    </row>
    <row r="791" spans="1:6" hidden="1" x14ac:dyDescent="0.25">
      <c r="A791" t="s">
        <v>20</v>
      </c>
      <c r="B791">
        <v>16</v>
      </c>
      <c r="C791">
        <v>34</v>
      </c>
      <c r="D791">
        <v>1</v>
      </c>
      <c r="E791">
        <v>16</v>
      </c>
      <c r="F791">
        <v>16</v>
      </c>
    </row>
    <row r="792" spans="1:6" hidden="1" x14ac:dyDescent="0.25">
      <c r="A792" t="s">
        <v>20</v>
      </c>
      <c r="B792">
        <v>16</v>
      </c>
      <c r="C792">
        <v>35</v>
      </c>
      <c r="E792">
        <v>16</v>
      </c>
      <c r="F792">
        <v>16</v>
      </c>
    </row>
    <row r="793" spans="1:6" hidden="1" x14ac:dyDescent="0.25">
      <c r="A793" t="s">
        <v>20</v>
      </c>
      <c r="B793">
        <v>16</v>
      </c>
      <c r="C793">
        <v>36</v>
      </c>
      <c r="E793">
        <v>16</v>
      </c>
      <c r="F793">
        <v>16</v>
      </c>
    </row>
    <row r="794" spans="1:6" hidden="1" x14ac:dyDescent="0.25">
      <c r="A794" t="s">
        <v>20</v>
      </c>
      <c r="B794">
        <v>16</v>
      </c>
      <c r="C794">
        <v>37</v>
      </c>
      <c r="D794">
        <v>1</v>
      </c>
      <c r="E794">
        <v>16</v>
      </c>
      <c r="F794">
        <v>16</v>
      </c>
    </row>
    <row r="795" spans="1:6" hidden="1" x14ac:dyDescent="0.25">
      <c r="A795" t="s">
        <v>20</v>
      </c>
      <c r="B795">
        <v>16</v>
      </c>
      <c r="C795">
        <v>38</v>
      </c>
      <c r="E795">
        <v>16</v>
      </c>
      <c r="F795">
        <v>16</v>
      </c>
    </row>
    <row r="796" spans="1:6" hidden="1" x14ac:dyDescent="0.25">
      <c r="A796" t="s">
        <v>20</v>
      </c>
      <c r="B796">
        <v>16</v>
      </c>
      <c r="C796">
        <v>39</v>
      </c>
      <c r="E796">
        <v>16</v>
      </c>
      <c r="F796">
        <v>16</v>
      </c>
    </row>
    <row r="797" spans="1:6" hidden="1" x14ac:dyDescent="0.25">
      <c r="A797" t="s">
        <v>20</v>
      </c>
      <c r="B797">
        <v>16</v>
      </c>
      <c r="C797">
        <v>40</v>
      </c>
      <c r="D797">
        <v>1</v>
      </c>
      <c r="E797">
        <v>16</v>
      </c>
      <c r="F797">
        <v>16</v>
      </c>
    </row>
    <row r="798" spans="1:6" hidden="1" x14ac:dyDescent="0.25">
      <c r="A798" t="s">
        <v>20</v>
      </c>
      <c r="B798">
        <v>16</v>
      </c>
      <c r="C798">
        <v>41</v>
      </c>
      <c r="E798">
        <v>16</v>
      </c>
      <c r="F798">
        <v>16</v>
      </c>
    </row>
    <row r="799" spans="1:6" hidden="1" x14ac:dyDescent="0.25">
      <c r="A799" t="s">
        <v>20</v>
      </c>
      <c r="B799">
        <v>16</v>
      </c>
      <c r="C799">
        <v>42</v>
      </c>
      <c r="E799">
        <v>16</v>
      </c>
      <c r="F799">
        <v>16</v>
      </c>
    </row>
    <row r="800" spans="1:6" hidden="1" x14ac:dyDescent="0.25">
      <c r="A800" t="s">
        <v>20</v>
      </c>
      <c r="B800">
        <v>16</v>
      </c>
      <c r="C800">
        <v>43</v>
      </c>
      <c r="E800">
        <v>16</v>
      </c>
      <c r="F800">
        <v>16</v>
      </c>
    </row>
    <row r="801" spans="1:6" hidden="1" x14ac:dyDescent="0.25">
      <c r="A801" t="s">
        <v>20</v>
      </c>
      <c r="B801">
        <v>16</v>
      </c>
      <c r="C801">
        <v>44</v>
      </c>
      <c r="E801">
        <v>16</v>
      </c>
      <c r="F801">
        <v>16</v>
      </c>
    </row>
    <row r="802" spans="1:6" hidden="1" x14ac:dyDescent="0.25">
      <c r="A802" t="s">
        <v>20</v>
      </c>
      <c r="B802">
        <v>16</v>
      </c>
      <c r="C802">
        <v>45</v>
      </c>
      <c r="E802">
        <v>16</v>
      </c>
      <c r="F802">
        <v>16</v>
      </c>
    </row>
    <row r="803" spans="1:6" hidden="1" x14ac:dyDescent="0.25">
      <c r="A803" t="s">
        <v>20</v>
      </c>
      <c r="B803">
        <v>16</v>
      </c>
      <c r="C803">
        <v>46</v>
      </c>
      <c r="D803">
        <v>1</v>
      </c>
      <c r="E803">
        <v>16</v>
      </c>
      <c r="F803">
        <v>16</v>
      </c>
    </row>
    <row r="804" spans="1:6" hidden="1" x14ac:dyDescent="0.25">
      <c r="A804" t="s">
        <v>20</v>
      </c>
      <c r="B804">
        <v>16</v>
      </c>
      <c r="C804">
        <v>47</v>
      </c>
      <c r="E804">
        <v>16</v>
      </c>
      <c r="F804">
        <v>16</v>
      </c>
    </row>
    <row r="805" spans="1:6" hidden="1" x14ac:dyDescent="0.25">
      <c r="A805" t="s">
        <v>20</v>
      </c>
      <c r="B805">
        <v>16</v>
      </c>
      <c r="C805">
        <v>48</v>
      </c>
      <c r="E805">
        <v>16</v>
      </c>
      <c r="F805">
        <v>16</v>
      </c>
    </row>
    <row r="806" spans="1:6" hidden="1" x14ac:dyDescent="0.25">
      <c r="A806" t="s">
        <v>20</v>
      </c>
      <c r="B806">
        <v>16</v>
      </c>
      <c r="C806">
        <v>49</v>
      </c>
      <c r="E806">
        <v>16</v>
      </c>
      <c r="F806">
        <v>16</v>
      </c>
    </row>
    <row r="807" spans="1:6" hidden="1" x14ac:dyDescent="0.25">
      <c r="A807" t="s">
        <v>20</v>
      </c>
      <c r="B807">
        <v>16</v>
      </c>
      <c r="C807">
        <v>50</v>
      </c>
      <c r="E807">
        <v>16</v>
      </c>
      <c r="F807">
        <v>16</v>
      </c>
    </row>
    <row r="808" spans="1:6" hidden="1" x14ac:dyDescent="0.25">
      <c r="A808" t="s">
        <v>20</v>
      </c>
      <c r="B808">
        <v>16</v>
      </c>
      <c r="C808">
        <v>51</v>
      </c>
      <c r="D808">
        <v>1</v>
      </c>
      <c r="E808">
        <v>16</v>
      </c>
      <c r="F808">
        <v>16</v>
      </c>
    </row>
    <row r="809" spans="1:6" hidden="1" x14ac:dyDescent="0.25">
      <c r="A809" t="s">
        <v>20</v>
      </c>
      <c r="B809">
        <v>16</v>
      </c>
      <c r="C809">
        <v>52</v>
      </c>
      <c r="D809">
        <v>1</v>
      </c>
      <c r="E809">
        <v>16</v>
      </c>
      <c r="F809">
        <v>16</v>
      </c>
    </row>
    <row r="810" spans="1:6" hidden="1" x14ac:dyDescent="0.25">
      <c r="A810" t="s">
        <v>20</v>
      </c>
      <c r="B810">
        <v>16</v>
      </c>
      <c r="C810">
        <v>53</v>
      </c>
      <c r="E810">
        <v>16</v>
      </c>
      <c r="F810">
        <v>16</v>
      </c>
    </row>
    <row r="811" spans="1:6" hidden="1" x14ac:dyDescent="0.25">
      <c r="A811" t="s">
        <v>20</v>
      </c>
      <c r="B811">
        <v>16</v>
      </c>
      <c r="C811">
        <v>54</v>
      </c>
      <c r="E811">
        <v>16</v>
      </c>
      <c r="F811">
        <v>16</v>
      </c>
    </row>
    <row r="812" spans="1:6" hidden="1" x14ac:dyDescent="0.25">
      <c r="A812" t="s">
        <v>20</v>
      </c>
      <c r="B812">
        <v>16</v>
      </c>
      <c r="C812">
        <v>55</v>
      </c>
      <c r="D812">
        <v>1</v>
      </c>
      <c r="E812">
        <v>16</v>
      </c>
      <c r="F812">
        <v>16</v>
      </c>
    </row>
    <row r="813" spans="1:6" hidden="1" x14ac:dyDescent="0.25">
      <c r="A813" t="s">
        <v>20</v>
      </c>
      <c r="B813">
        <v>16</v>
      </c>
      <c r="C813">
        <v>56</v>
      </c>
      <c r="E813">
        <v>16</v>
      </c>
      <c r="F813">
        <v>16</v>
      </c>
    </row>
    <row r="814" spans="1:6" hidden="1" x14ac:dyDescent="0.25">
      <c r="A814" t="s">
        <v>20</v>
      </c>
      <c r="B814">
        <v>16</v>
      </c>
      <c r="C814">
        <v>57</v>
      </c>
      <c r="E814">
        <v>16</v>
      </c>
      <c r="F814">
        <v>16</v>
      </c>
    </row>
    <row r="815" spans="1:6" hidden="1" x14ac:dyDescent="0.25">
      <c r="A815" t="s">
        <v>20</v>
      </c>
      <c r="B815">
        <v>16</v>
      </c>
      <c r="C815">
        <v>58</v>
      </c>
      <c r="D815">
        <v>1</v>
      </c>
      <c r="E815">
        <v>16</v>
      </c>
      <c r="F815">
        <v>16</v>
      </c>
    </row>
    <row r="816" spans="1:6" hidden="1" x14ac:dyDescent="0.25">
      <c r="A816" t="s">
        <v>20</v>
      </c>
      <c r="B816">
        <v>16</v>
      </c>
      <c r="C816">
        <v>59</v>
      </c>
      <c r="E816">
        <v>16</v>
      </c>
      <c r="F816">
        <v>16</v>
      </c>
    </row>
    <row r="817" spans="1:6" hidden="1" x14ac:dyDescent="0.25">
      <c r="A817" t="s">
        <v>20</v>
      </c>
      <c r="B817">
        <v>16</v>
      </c>
      <c r="C817">
        <v>60</v>
      </c>
      <c r="E817">
        <v>16</v>
      </c>
      <c r="F817">
        <v>16</v>
      </c>
    </row>
    <row r="818" spans="1:6" hidden="1" x14ac:dyDescent="0.25">
      <c r="A818" t="s">
        <v>20</v>
      </c>
      <c r="B818">
        <v>16</v>
      </c>
      <c r="C818">
        <v>61</v>
      </c>
      <c r="E818">
        <v>16</v>
      </c>
      <c r="F818">
        <v>16</v>
      </c>
    </row>
    <row r="819" spans="1:6" hidden="1" x14ac:dyDescent="0.25">
      <c r="A819" t="s">
        <v>20</v>
      </c>
      <c r="B819">
        <v>16</v>
      </c>
      <c r="C819">
        <v>62</v>
      </c>
      <c r="D819">
        <v>1</v>
      </c>
      <c r="E819">
        <v>16</v>
      </c>
      <c r="F819">
        <v>16</v>
      </c>
    </row>
    <row r="820" spans="1:6" hidden="1" x14ac:dyDescent="0.25">
      <c r="A820" t="s">
        <v>20</v>
      </c>
      <c r="B820">
        <v>16</v>
      </c>
      <c r="C820">
        <v>63</v>
      </c>
      <c r="E820">
        <v>16</v>
      </c>
      <c r="F820">
        <v>16</v>
      </c>
    </row>
    <row r="821" spans="1:6" hidden="1" x14ac:dyDescent="0.25">
      <c r="A821" t="s">
        <v>20</v>
      </c>
      <c r="B821">
        <v>16</v>
      </c>
      <c r="C821">
        <v>64</v>
      </c>
      <c r="D821">
        <v>1</v>
      </c>
      <c r="E821">
        <v>16</v>
      </c>
      <c r="F821">
        <v>16</v>
      </c>
    </row>
    <row r="822" spans="1:6" hidden="1" x14ac:dyDescent="0.25">
      <c r="A822" t="s">
        <v>20</v>
      </c>
      <c r="B822">
        <v>16</v>
      </c>
      <c r="C822">
        <v>65</v>
      </c>
      <c r="E822">
        <v>16</v>
      </c>
      <c r="F822">
        <v>16</v>
      </c>
    </row>
    <row r="823" spans="1:6" hidden="1" x14ac:dyDescent="0.25">
      <c r="A823" t="s">
        <v>20</v>
      </c>
      <c r="B823">
        <v>16</v>
      </c>
      <c r="C823">
        <v>66</v>
      </c>
      <c r="E823">
        <v>16</v>
      </c>
      <c r="F823">
        <v>16</v>
      </c>
    </row>
    <row r="824" spans="1:6" hidden="1" x14ac:dyDescent="0.25">
      <c r="A824" t="s">
        <v>20</v>
      </c>
      <c r="B824">
        <v>16</v>
      </c>
      <c r="C824">
        <v>67</v>
      </c>
      <c r="E824">
        <v>16</v>
      </c>
      <c r="F824">
        <v>16</v>
      </c>
    </row>
    <row r="825" spans="1:6" hidden="1" x14ac:dyDescent="0.25">
      <c r="A825" t="s">
        <v>20</v>
      </c>
      <c r="B825">
        <v>16</v>
      </c>
      <c r="C825">
        <v>68</v>
      </c>
      <c r="E825">
        <v>16</v>
      </c>
      <c r="F825">
        <v>16</v>
      </c>
    </row>
    <row r="826" spans="1:6" hidden="1" x14ac:dyDescent="0.25">
      <c r="A826" t="s">
        <v>20</v>
      </c>
      <c r="B826">
        <v>16</v>
      </c>
      <c r="C826">
        <v>69</v>
      </c>
      <c r="E826">
        <v>16</v>
      </c>
      <c r="F826">
        <v>16</v>
      </c>
    </row>
    <row r="827" spans="1:6" hidden="1" x14ac:dyDescent="0.25">
      <c r="A827" t="s">
        <v>20</v>
      </c>
      <c r="B827">
        <v>16</v>
      </c>
      <c r="C827">
        <v>70</v>
      </c>
      <c r="E827">
        <v>16</v>
      </c>
      <c r="F827">
        <v>16</v>
      </c>
    </row>
    <row r="828" spans="1:6" hidden="1" x14ac:dyDescent="0.25">
      <c r="A828" t="s">
        <v>20</v>
      </c>
      <c r="B828">
        <v>16</v>
      </c>
      <c r="C828">
        <v>71</v>
      </c>
      <c r="E828">
        <v>16</v>
      </c>
      <c r="F828">
        <v>16</v>
      </c>
    </row>
    <row r="829" spans="1:6" hidden="1" x14ac:dyDescent="0.25">
      <c r="A829" t="s">
        <v>20</v>
      </c>
      <c r="B829">
        <v>16</v>
      </c>
      <c r="C829">
        <v>72</v>
      </c>
      <c r="E829">
        <v>16</v>
      </c>
      <c r="F829">
        <v>16</v>
      </c>
    </row>
    <row r="830" spans="1:6" hidden="1" x14ac:dyDescent="0.25">
      <c r="A830" t="s">
        <v>20</v>
      </c>
      <c r="B830">
        <v>16</v>
      </c>
      <c r="C830">
        <v>73</v>
      </c>
      <c r="E830">
        <v>16</v>
      </c>
      <c r="F830">
        <v>16</v>
      </c>
    </row>
    <row r="831" spans="1:6" hidden="1" x14ac:dyDescent="0.25">
      <c r="A831" t="s">
        <v>20</v>
      </c>
      <c r="B831">
        <v>16</v>
      </c>
      <c r="C831">
        <v>74</v>
      </c>
      <c r="E831">
        <v>16</v>
      </c>
      <c r="F831">
        <v>16</v>
      </c>
    </row>
    <row r="832" spans="1:6" hidden="1" x14ac:dyDescent="0.25">
      <c r="A832" t="s">
        <v>20</v>
      </c>
      <c r="B832">
        <v>16</v>
      </c>
      <c r="C832">
        <v>75</v>
      </c>
      <c r="E832">
        <v>16</v>
      </c>
      <c r="F832">
        <v>16</v>
      </c>
    </row>
    <row r="833" spans="1:6" hidden="1" x14ac:dyDescent="0.25">
      <c r="A833" t="s">
        <v>20</v>
      </c>
      <c r="B833">
        <v>16</v>
      </c>
      <c r="C833">
        <v>76</v>
      </c>
      <c r="E833">
        <v>16</v>
      </c>
      <c r="F833">
        <v>16</v>
      </c>
    </row>
    <row r="834" spans="1:6" hidden="1" x14ac:dyDescent="0.25">
      <c r="A834" t="s">
        <v>20</v>
      </c>
      <c r="B834">
        <v>16</v>
      </c>
      <c r="C834">
        <v>77</v>
      </c>
      <c r="E834">
        <v>16</v>
      </c>
      <c r="F834">
        <v>16</v>
      </c>
    </row>
    <row r="835" spans="1:6" hidden="1" x14ac:dyDescent="0.25">
      <c r="A835" t="s">
        <v>20</v>
      </c>
      <c r="B835">
        <v>16</v>
      </c>
      <c r="C835">
        <v>78</v>
      </c>
      <c r="E835">
        <v>16</v>
      </c>
      <c r="F835">
        <v>16</v>
      </c>
    </row>
    <row r="836" spans="1:6" hidden="1" x14ac:dyDescent="0.25">
      <c r="A836" t="s">
        <v>20</v>
      </c>
      <c r="B836">
        <v>16</v>
      </c>
      <c r="C836">
        <v>79</v>
      </c>
      <c r="E836">
        <v>16</v>
      </c>
      <c r="F836">
        <v>16</v>
      </c>
    </row>
    <row r="837" spans="1:6" hidden="1" x14ac:dyDescent="0.25">
      <c r="A837" t="s">
        <v>20</v>
      </c>
      <c r="B837">
        <v>16</v>
      </c>
      <c r="C837">
        <v>80</v>
      </c>
      <c r="E837">
        <v>16</v>
      </c>
      <c r="F837">
        <v>16</v>
      </c>
    </row>
    <row r="838" spans="1:6" hidden="1" x14ac:dyDescent="0.25">
      <c r="A838" t="s">
        <v>20</v>
      </c>
      <c r="B838">
        <v>16</v>
      </c>
      <c r="C838">
        <v>81</v>
      </c>
      <c r="E838">
        <v>16</v>
      </c>
      <c r="F838">
        <v>16</v>
      </c>
    </row>
    <row r="839" spans="1:6" hidden="1" x14ac:dyDescent="0.25">
      <c r="A839" t="s">
        <v>20</v>
      </c>
      <c r="B839">
        <v>16</v>
      </c>
      <c r="C839">
        <v>82</v>
      </c>
      <c r="E839">
        <v>16</v>
      </c>
      <c r="F839">
        <v>16</v>
      </c>
    </row>
    <row r="840" spans="1:6" hidden="1" x14ac:dyDescent="0.25">
      <c r="A840" t="s">
        <v>20</v>
      </c>
      <c r="B840">
        <v>16</v>
      </c>
      <c r="C840">
        <v>83</v>
      </c>
      <c r="E840">
        <v>16</v>
      </c>
      <c r="F840">
        <v>16</v>
      </c>
    </row>
    <row r="841" spans="1:6" hidden="1" x14ac:dyDescent="0.25">
      <c r="A841" t="s">
        <v>20</v>
      </c>
      <c r="B841">
        <v>16</v>
      </c>
      <c r="C841">
        <v>84</v>
      </c>
      <c r="E841">
        <v>16</v>
      </c>
      <c r="F841">
        <v>16</v>
      </c>
    </row>
    <row r="842" spans="1:6" hidden="1" x14ac:dyDescent="0.25">
      <c r="A842" t="s">
        <v>20</v>
      </c>
      <c r="B842">
        <v>17</v>
      </c>
      <c r="C842">
        <v>1</v>
      </c>
      <c r="E842">
        <v>84</v>
      </c>
      <c r="F842">
        <v>7</v>
      </c>
    </row>
    <row r="843" spans="1:6" hidden="1" x14ac:dyDescent="0.25">
      <c r="A843" t="s">
        <v>20</v>
      </c>
      <c r="B843">
        <v>17</v>
      </c>
      <c r="C843">
        <v>2</v>
      </c>
      <c r="E843">
        <v>84</v>
      </c>
      <c r="F843">
        <v>7</v>
      </c>
    </row>
    <row r="844" spans="1:6" hidden="1" x14ac:dyDescent="0.25">
      <c r="A844" t="s">
        <v>20</v>
      </c>
      <c r="B844">
        <v>17</v>
      </c>
      <c r="C844">
        <v>3</v>
      </c>
      <c r="E844">
        <v>84</v>
      </c>
      <c r="F844">
        <v>7</v>
      </c>
    </row>
    <row r="845" spans="1:6" hidden="1" x14ac:dyDescent="0.25">
      <c r="A845" t="s">
        <v>20</v>
      </c>
      <c r="B845">
        <v>17</v>
      </c>
      <c r="C845">
        <v>4</v>
      </c>
      <c r="E845">
        <v>84</v>
      </c>
      <c r="F845">
        <v>7</v>
      </c>
    </row>
    <row r="846" spans="1:6" hidden="1" x14ac:dyDescent="0.25">
      <c r="A846" t="s">
        <v>20</v>
      </c>
      <c r="B846">
        <v>17</v>
      </c>
      <c r="C846">
        <v>5</v>
      </c>
      <c r="D846">
        <v>1</v>
      </c>
      <c r="E846">
        <v>84</v>
      </c>
      <c r="F846">
        <v>7</v>
      </c>
    </row>
    <row r="847" spans="1:6" hidden="1" x14ac:dyDescent="0.25">
      <c r="A847" t="s">
        <v>20</v>
      </c>
      <c r="B847">
        <v>17</v>
      </c>
      <c r="C847">
        <v>6</v>
      </c>
      <c r="E847">
        <v>84</v>
      </c>
      <c r="F847">
        <v>7</v>
      </c>
    </row>
    <row r="848" spans="1:6" hidden="1" x14ac:dyDescent="0.25">
      <c r="A848" t="s">
        <v>20</v>
      </c>
      <c r="B848">
        <v>17</v>
      </c>
      <c r="C848">
        <v>7</v>
      </c>
      <c r="E848">
        <v>84</v>
      </c>
      <c r="F848">
        <v>7</v>
      </c>
    </row>
    <row r="849" spans="1:6" hidden="1" x14ac:dyDescent="0.25">
      <c r="A849" t="s">
        <v>20</v>
      </c>
      <c r="B849">
        <v>17</v>
      </c>
      <c r="C849">
        <v>8</v>
      </c>
      <c r="E849">
        <v>84</v>
      </c>
      <c r="F849">
        <v>7</v>
      </c>
    </row>
    <row r="850" spans="1:6" hidden="1" x14ac:dyDescent="0.25">
      <c r="A850" t="s">
        <v>20</v>
      </c>
      <c r="B850">
        <v>17</v>
      </c>
      <c r="C850">
        <v>9</v>
      </c>
      <c r="E850">
        <v>84</v>
      </c>
      <c r="F850">
        <v>7</v>
      </c>
    </row>
    <row r="851" spans="1:6" hidden="1" x14ac:dyDescent="0.25">
      <c r="A851" t="s">
        <v>20</v>
      </c>
      <c r="B851">
        <v>17</v>
      </c>
      <c r="C851">
        <v>10</v>
      </c>
      <c r="E851">
        <v>84</v>
      </c>
      <c r="F851">
        <v>7</v>
      </c>
    </row>
    <row r="852" spans="1:6" hidden="1" x14ac:dyDescent="0.25">
      <c r="A852" t="s">
        <v>20</v>
      </c>
      <c r="B852">
        <v>17</v>
      </c>
      <c r="C852">
        <v>11</v>
      </c>
      <c r="E852">
        <v>84</v>
      </c>
      <c r="F852">
        <v>7</v>
      </c>
    </row>
    <row r="853" spans="1:6" hidden="1" x14ac:dyDescent="0.25">
      <c r="A853" t="s">
        <v>20</v>
      </c>
      <c r="B853">
        <v>17</v>
      </c>
      <c r="C853">
        <v>12</v>
      </c>
      <c r="E853">
        <v>84</v>
      </c>
      <c r="F853">
        <v>7</v>
      </c>
    </row>
    <row r="854" spans="1:6" hidden="1" x14ac:dyDescent="0.25">
      <c r="A854" t="s">
        <v>20</v>
      </c>
      <c r="B854">
        <v>17</v>
      </c>
      <c r="C854">
        <v>13</v>
      </c>
      <c r="E854">
        <v>84</v>
      </c>
      <c r="F854">
        <v>7</v>
      </c>
    </row>
    <row r="855" spans="1:6" hidden="1" x14ac:dyDescent="0.25">
      <c r="A855" t="s">
        <v>20</v>
      </c>
      <c r="B855">
        <v>17</v>
      </c>
      <c r="C855">
        <v>14</v>
      </c>
      <c r="E855">
        <v>84</v>
      </c>
      <c r="F855">
        <v>7</v>
      </c>
    </row>
    <row r="856" spans="1:6" hidden="1" x14ac:dyDescent="0.25">
      <c r="A856" t="s">
        <v>20</v>
      </c>
      <c r="B856">
        <v>17</v>
      </c>
      <c r="C856">
        <v>15</v>
      </c>
      <c r="E856">
        <v>84</v>
      </c>
      <c r="F856">
        <v>7</v>
      </c>
    </row>
    <row r="857" spans="1:6" hidden="1" x14ac:dyDescent="0.25">
      <c r="A857" t="s">
        <v>20</v>
      </c>
      <c r="B857">
        <v>17</v>
      </c>
      <c r="C857">
        <v>16</v>
      </c>
      <c r="E857">
        <v>84</v>
      </c>
      <c r="F857">
        <v>7</v>
      </c>
    </row>
    <row r="858" spans="1:6" hidden="1" x14ac:dyDescent="0.25">
      <c r="A858" t="s">
        <v>20</v>
      </c>
      <c r="B858">
        <v>17</v>
      </c>
      <c r="C858">
        <v>17</v>
      </c>
      <c r="E858">
        <v>84</v>
      </c>
      <c r="F858">
        <v>7</v>
      </c>
    </row>
    <row r="859" spans="1:6" hidden="1" x14ac:dyDescent="0.25">
      <c r="A859" t="s">
        <v>20</v>
      </c>
      <c r="B859">
        <v>17</v>
      </c>
      <c r="C859">
        <v>18</v>
      </c>
      <c r="E859">
        <v>84</v>
      </c>
      <c r="F859">
        <v>7</v>
      </c>
    </row>
    <row r="860" spans="1:6" hidden="1" x14ac:dyDescent="0.25">
      <c r="A860" t="s">
        <v>20</v>
      </c>
      <c r="B860">
        <v>17</v>
      </c>
      <c r="C860">
        <v>19</v>
      </c>
      <c r="E860">
        <v>84</v>
      </c>
      <c r="F860">
        <v>7</v>
      </c>
    </row>
    <row r="861" spans="1:6" hidden="1" x14ac:dyDescent="0.25">
      <c r="A861" t="s">
        <v>20</v>
      </c>
      <c r="B861">
        <v>17</v>
      </c>
      <c r="C861">
        <v>20</v>
      </c>
      <c r="E861">
        <v>84</v>
      </c>
      <c r="F861">
        <v>7</v>
      </c>
    </row>
    <row r="862" spans="1:6" hidden="1" x14ac:dyDescent="0.25">
      <c r="A862" t="s">
        <v>20</v>
      </c>
      <c r="B862">
        <v>17</v>
      </c>
      <c r="C862">
        <v>21</v>
      </c>
      <c r="E862">
        <v>84</v>
      </c>
      <c r="F862">
        <v>7</v>
      </c>
    </row>
    <row r="863" spans="1:6" hidden="1" x14ac:dyDescent="0.25">
      <c r="A863" t="s">
        <v>20</v>
      </c>
      <c r="B863">
        <v>17</v>
      </c>
      <c r="C863">
        <v>22</v>
      </c>
      <c r="E863">
        <v>84</v>
      </c>
      <c r="F863">
        <v>7</v>
      </c>
    </row>
    <row r="864" spans="1:6" hidden="1" x14ac:dyDescent="0.25">
      <c r="A864" t="s">
        <v>20</v>
      </c>
      <c r="B864">
        <v>17</v>
      </c>
      <c r="C864">
        <v>23</v>
      </c>
      <c r="E864">
        <v>84</v>
      </c>
      <c r="F864">
        <v>7</v>
      </c>
    </row>
    <row r="865" spans="1:6" hidden="1" x14ac:dyDescent="0.25">
      <c r="A865" t="s">
        <v>20</v>
      </c>
      <c r="B865">
        <v>17</v>
      </c>
      <c r="C865">
        <v>24</v>
      </c>
      <c r="E865">
        <v>84</v>
      </c>
      <c r="F865">
        <v>7</v>
      </c>
    </row>
    <row r="866" spans="1:6" hidden="1" x14ac:dyDescent="0.25">
      <c r="A866" t="s">
        <v>20</v>
      </c>
      <c r="B866">
        <v>17</v>
      </c>
      <c r="C866">
        <v>25</v>
      </c>
      <c r="E866">
        <v>84</v>
      </c>
      <c r="F866">
        <v>7</v>
      </c>
    </row>
    <row r="867" spans="1:6" hidden="1" x14ac:dyDescent="0.25">
      <c r="A867" t="s">
        <v>20</v>
      </c>
      <c r="B867">
        <v>17</v>
      </c>
      <c r="C867">
        <v>26</v>
      </c>
      <c r="E867">
        <v>84</v>
      </c>
      <c r="F867">
        <v>7</v>
      </c>
    </row>
    <row r="868" spans="1:6" hidden="1" x14ac:dyDescent="0.25">
      <c r="A868" t="s">
        <v>20</v>
      </c>
      <c r="B868">
        <v>17</v>
      </c>
      <c r="C868">
        <v>27</v>
      </c>
      <c r="E868">
        <v>84</v>
      </c>
      <c r="F868">
        <v>7</v>
      </c>
    </row>
    <row r="869" spans="1:6" hidden="1" x14ac:dyDescent="0.25">
      <c r="A869" t="s">
        <v>20</v>
      </c>
      <c r="B869">
        <v>17</v>
      </c>
      <c r="C869">
        <v>28</v>
      </c>
      <c r="E869">
        <v>84</v>
      </c>
      <c r="F869">
        <v>7</v>
      </c>
    </row>
    <row r="870" spans="1:6" hidden="1" x14ac:dyDescent="0.25">
      <c r="A870" t="s">
        <v>20</v>
      </c>
      <c r="B870">
        <v>17</v>
      </c>
      <c r="C870">
        <v>29</v>
      </c>
      <c r="E870">
        <v>84</v>
      </c>
      <c r="F870">
        <v>7</v>
      </c>
    </row>
    <row r="871" spans="1:6" hidden="1" x14ac:dyDescent="0.25">
      <c r="A871" t="s">
        <v>20</v>
      </c>
      <c r="B871">
        <v>17</v>
      </c>
      <c r="C871">
        <v>30</v>
      </c>
      <c r="E871">
        <v>84</v>
      </c>
      <c r="F871">
        <v>7</v>
      </c>
    </row>
    <row r="872" spans="1:6" hidden="1" x14ac:dyDescent="0.25">
      <c r="A872" t="s">
        <v>20</v>
      </c>
      <c r="B872">
        <v>17</v>
      </c>
      <c r="C872">
        <v>31</v>
      </c>
      <c r="E872">
        <v>84</v>
      </c>
      <c r="F872">
        <v>7</v>
      </c>
    </row>
    <row r="873" spans="1:6" hidden="1" x14ac:dyDescent="0.25">
      <c r="A873" t="s">
        <v>20</v>
      </c>
      <c r="B873">
        <v>17</v>
      </c>
      <c r="C873">
        <v>32</v>
      </c>
      <c r="E873">
        <v>84</v>
      </c>
      <c r="F873">
        <v>7</v>
      </c>
    </row>
    <row r="874" spans="1:6" hidden="1" x14ac:dyDescent="0.25">
      <c r="A874" t="s">
        <v>20</v>
      </c>
      <c r="B874">
        <v>17</v>
      </c>
      <c r="C874">
        <v>33</v>
      </c>
      <c r="E874">
        <v>84</v>
      </c>
      <c r="F874">
        <v>7</v>
      </c>
    </row>
    <row r="875" spans="1:6" hidden="1" x14ac:dyDescent="0.25">
      <c r="A875" t="s">
        <v>20</v>
      </c>
      <c r="B875">
        <v>17</v>
      </c>
      <c r="C875">
        <v>34</v>
      </c>
      <c r="E875">
        <v>84</v>
      </c>
      <c r="F875">
        <v>7</v>
      </c>
    </row>
    <row r="876" spans="1:6" hidden="1" x14ac:dyDescent="0.25">
      <c r="A876" t="s">
        <v>20</v>
      </c>
      <c r="B876">
        <v>17</v>
      </c>
      <c r="C876">
        <v>35</v>
      </c>
      <c r="E876">
        <v>84</v>
      </c>
      <c r="F876">
        <v>7</v>
      </c>
    </row>
    <row r="877" spans="1:6" hidden="1" x14ac:dyDescent="0.25">
      <c r="A877" t="s">
        <v>20</v>
      </c>
      <c r="B877">
        <v>17</v>
      </c>
      <c r="C877">
        <v>36</v>
      </c>
      <c r="E877">
        <v>84</v>
      </c>
      <c r="F877">
        <v>7</v>
      </c>
    </row>
    <row r="878" spans="1:6" hidden="1" x14ac:dyDescent="0.25">
      <c r="A878" t="s">
        <v>20</v>
      </c>
      <c r="B878">
        <v>17</v>
      </c>
      <c r="C878">
        <v>37</v>
      </c>
      <c r="D878">
        <v>1</v>
      </c>
      <c r="E878">
        <v>84</v>
      </c>
      <c r="F878">
        <v>7</v>
      </c>
    </row>
    <row r="879" spans="1:6" hidden="1" x14ac:dyDescent="0.25">
      <c r="A879" t="s">
        <v>20</v>
      </c>
      <c r="B879">
        <v>17</v>
      </c>
      <c r="C879">
        <v>38</v>
      </c>
      <c r="E879">
        <v>84</v>
      </c>
      <c r="F879">
        <v>7</v>
      </c>
    </row>
    <row r="880" spans="1:6" hidden="1" x14ac:dyDescent="0.25">
      <c r="A880" t="s">
        <v>20</v>
      </c>
      <c r="B880">
        <v>17</v>
      </c>
      <c r="C880">
        <v>39</v>
      </c>
      <c r="E880">
        <v>84</v>
      </c>
      <c r="F880">
        <v>7</v>
      </c>
    </row>
    <row r="881" spans="1:6" hidden="1" x14ac:dyDescent="0.25">
      <c r="A881" t="s">
        <v>20</v>
      </c>
      <c r="B881">
        <v>17</v>
      </c>
      <c r="C881">
        <v>40</v>
      </c>
      <c r="D881">
        <v>1</v>
      </c>
      <c r="E881">
        <v>84</v>
      </c>
      <c r="F881">
        <v>7</v>
      </c>
    </row>
    <row r="882" spans="1:6" hidden="1" x14ac:dyDescent="0.25">
      <c r="A882" t="s">
        <v>20</v>
      </c>
      <c r="B882">
        <v>17</v>
      </c>
      <c r="C882">
        <v>41</v>
      </c>
      <c r="E882">
        <v>84</v>
      </c>
      <c r="F882">
        <v>7</v>
      </c>
    </row>
    <row r="883" spans="1:6" hidden="1" x14ac:dyDescent="0.25">
      <c r="A883" t="s">
        <v>20</v>
      </c>
      <c r="B883">
        <v>17</v>
      </c>
      <c r="C883">
        <v>42</v>
      </c>
      <c r="E883">
        <v>84</v>
      </c>
      <c r="F883">
        <v>7</v>
      </c>
    </row>
    <row r="884" spans="1:6" hidden="1" x14ac:dyDescent="0.25">
      <c r="A884" t="s">
        <v>20</v>
      </c>
      <c r="B884">
        <v>17</v>
      </c>
      <c r="C884">
        <v>43</v>
      </c>
      <c r="E884">
        <v>84</v>
      </c>
      <c r="F884">
        <v>7</v>
      </c>
    </row>
    <row r="885" spans="1:6" hidden="1" x14ac:dyDescent="0.25">
      <c r="A885" t="s">
        <v>20</v>
      </c>
      <c r="B885">
        <v>17</v>
      </c>
      <c r="C885">
        <v>44</v>
      </c>
      <c r="E885">
        <v>84</v>
      </c>
      <c r="F885">
        <v>7</v>
      </c>
    </row>
    <row r="886" spans="1:6" hidden="1" x14ac:dyDescent="0.25">
      <c r="A886" t="s">
        <v>20</v>
      </c>
      <c r="B886">
        <v>17</v>
      </c>
      <c r="C886">
        <v>45</v>
      </c>
      <c r="E886">
        <v>84</v>
      </c>
      <c r="F886">
        <v>7</v>
      </c>
    </row>
    <row r="887" spans="1:6" hidden="1" x14ac:dyDescent="0.25">
      <c r="A887" t="s">
        <v>20</v>
      </c>
      <c r="B887">
        <v>17</v>
      </c>
      <c r="C887">
        <v>46</v>
      </c>
      <c r="E887">
        <v>84</v>
      </c>
      <c r="F887">
        <v>7</v>
      </c>
    </row>
    <row r="888" spans="1:6" hidden="1" x14ac:dyDescent="0.25">
      <c r="A888" t="s">
        <v>20</v>
      </c>
      <c r="B888">
        <v>17</v>
      </c>
      <c r="C888">
        <v>47</v>
      </c>
      <c r="D888">
        <v>1</v>
      </c>
      <c r="E888">
        <v>84</v>
      </c>
      <c r="F888">
        <v>7</v>
      </c>
    </row>
    <row r="889" spans="1:6" hidden="1" x14ac:dyDescent="0.25">
      <c r="A889" t="s">
        <v>20</v>
      </c>
      <c r="B889">
        <v>17</v>
      </c>
      <c r="C889">
        <v>48</v>
      </c>
      <c r="E889">
        <v>84</v>
      </c>
      <c r="F889">
        <v>7</v>
      </c>
    </row>
    <row r="890" spans="1:6" hidden="1" x14ac:dyDescent="0.25">
      <c r="A890" t="s">
        <v>20</v>
      </c>
      <c r="B890">
        <v>17</v>
      </c>
      <c r="C890">
        <v>49</v>
      </c>
      <c r="E890">
        <v>84</v>
      </c>
      <c r="F890">
        <v>7</v>
      </c>
    </row>
    <row r="891" spans="1:6" hidden="1" x14ac:dyDescent="0.25">
      <c r="A891" t="s">
        <v>20</v>
      </c>
      <c r="B891">
        <v>17</v>
      </c>
      <c r="C891">
        <v>50</v>
      </c>
      <c r="E891">
        <v>84</v>
      </c>
      <c r="F891">
        <v>7</v>
      </c>
    </row>
    <row r="892" spans="1:6" hidden="1" x14ac:dyDescent="0.25">
      <c r="A892" t="s">
        <v>20</v>
      </c>
      <c r="B892">
        <v>17</v>
      </c>
      <c r="C892">
        <v>51</v>
      </c>
      <c r="E892">
        <v>84</v>
      </c>
      <c r="F892">
        <v>7</v>
      </c>
    </row>
    <row r="893" spans="1:6" hidden="1" x14ac:dyDescent="0.25">
      <c r="A893" t="s">
        <v>20</v>
      </c>
      <c r="B893">
        <v>17</v>
      </c>
      <c r="C893">
        <v>52</v>
      </c>
      <c r="E893">
        <v>84</v>
      </c>
      <c r="F893">
        <v>7</v>
      </c>
    </row>
    <row r="894" spans="1:6" hidden="1" x14ac:dyDescent="0.25">
      <c r="A894" t="s">
        <v>20</v>
      </c>
      <c r="B894">
        <v>17</v>
      </c>
      <c r="C894">
        <v>53</v>
      </c>
      <c r="E894">
        <v>84</v>
      </c>
      <c r="F894">
        <v>7</v>
      </c>
    </row>
    <row r="895" spans="1:6" hidden="1" x14ac:dyDescent="0.25">
      <c r="A895" t="s">
        <v>20</v>
      </c>
      <c r="B895">
        <v>17</v>
      </c>
      <c r="C895">
        <v>54</v>
      </c>
      <c r="E895">
        <v>84</v>
      </c>
      <c r="F895">
        <v>7</v>
      </c>
    </row>
    <row r="896" spans="1:6" hidden="1" x14ac:dyDescent="0.25">
      <c r="A896" t="s">
        <v>20</v>
      </c>
      <c r="B896">
        <v>17</v>
      </c>
      <c r="C896">
        <v>55</v>
      </c>
      <c r="E896">
        <v>84</v>
      </c>
      <c r="F896">
        <v>7</v>
      </c>
    </row>
    <row r="897" spans="1:6" hidden="1" x14ac:dyDescent="0.25">
      <c r="A897" t="s">
        <v>20</v>
      </c>
      <c r="B897">
        <v>17</v>
      </c>
      <c r="C897">
        <v>56</v>
      </c>
      <c r="E897">
        <v>84</v>
      </c>
      <c r="F897">
        <v>7</v>
      </c>
    </row>
    <row r="898" spans="1:6" hidden="1" x14ac:dyDescent="0.25">
      <c r="A898" t="s">
        <v>20</v>
      </c>
      <c r="B898">
        <v>17</v>
      </c>
      <c r="C898">
        <v>57</v>
      </c>
      <c r="D898">
        <v>1</v>
      </c>
      <c r="E898">
        <v>84</v>
      </c>
      <c r="F898">
        <v>7</v>
      </c>
    </row>
    <row r="899" spans="1:6" hidden="1" x14ac:dyDescent="0.25">
      <c r="A899" t="s">
        <v>20</v>
      </c>
      <c r="B899">
        <v>17</v>
      </c>
      <c r="C899">
        <v>58</v>
      </c>
      <c r="E899">
        <v>84</v>
      </c>
      <c r="F899">
        <v>7</v>
      </c>
    </row>
    <row r="900" spans="1:6" hidden="1" x14ac:dyDescent="0.25">
      <c r="A900" t="s">
        <v>20</v>
      </c>
      <c r="B900">
        <v>17</v>
      </c>
      <c r="C900">
        <v>59</v>
      </c>
      <c r="E900">
        <v>84</v>
      </c>
      <c r="F900">
        <v>7</v>
      </c>
    </row>
    <row r="901" spans="1:6" hidden="1" x14ac:dyDescent="0.25">
      <c r="A901" t="s">
        <v>20</v>
      </c>
      <c r="B901">
        <v>17</v>
      </c>
      <c r="C901">
        <v>60</v>
      </c>
      <c r="E901">
        <v>84</v>
      </c>
      <c r="F901">
        <v>7</v>
      </c>
    </row>
    <row r="902" spans="1:6" hidden="1" x14ac:dyDescent="0.25">
      <c r="A902" t="s">
        <v>20</v>
      </c>
      <c r="B902">
        <v>17</v>
      </c>
      <c r="C902">
        <v>61</v>
      </c>
      <c r="E902">
        <v>84</v>
      </c>
      <c r="F902">
        <v>7</v>
      </c>
    </row>
    <row r="903" spans="1:6" hidden="1" x14ac:dyDescent="0.25">
      <c r="A903" t="s">
        <v>20</v>
      </c>
      <c r="B903">
        <v>17</v>
      </c>
      <c r="C903">
        <v>62</v>
      </c>
      <c r="E903">
        <v>84</v>
      </c>
      <c r="F903">
        <v>7</v>
      </c>
    </row>
    <row r="904" spans="1:6" hidden="1" x14ac:dyDescent="0.25">
      <c r="A904" t="s">
        <v>20</v>
      </c>
      <c r="B904">
        <v>17</v>
      </c>
      <c r="C904">
        <v>63</v>
      </c>
      <c r="E904">
        <v>84</v>
      </c>
      <c r="F904">
        <v>7</v>
      </c>
    </row>
    <row r="905" spans="1:6" hidden="1" x14ac:dyDescent="0.25">
      <c r="A905" t="s">
        <v>20</v>
      </c>
      <c r="B905">
        <v>17</v>
      </c>
      <c r="C905">
        <v>64</v>
      </c>
      <c r="E905">
        <v>84</v>
      </c>
      <c r="F905">
        <v>7</v>
      </c>
    </row>
    <row r="906" spans="1:6" hidden="1" x14ac:dyDescent="0.25">
      <c r="A906" t="s">
        <v>20</v>
      </c>
      <c r="B906">
        <v>17</v>
      </c>
      <c r="C906">
        <v>65</v>
      </c>
      <c r="E906">
        <v>84</v>
      </c>
      <c r="F906">
        <v>7</v>
      </c>
    </row>
    <row r="907" spans="1:6" hidden="1" x14ac:dyDescent="0.25">
      <c r="A907" t="s">
        <v>20</v>
      </c>
      <c r="B907">
        <v>17</v>
      </c>
      <c r="C907">
        <v>66</v>
      </c>
      <c r="E907">
        <v>84</v>
      </c>
      <c r="F907">
        <v>7</v>
      </c>
    </row>
    <row r="908" spans="1:6" hidden="1" x14ac:dyDescent="0.25">
      <c r="A908" t="s">
        <v>20</v>
      </c>
      <c r="B908">
        <v>17</v>
      </c>
      <c r="C908">
        <v>67</v>
      </c>
      <c r="E908">
        <v>84</v>
      </c>
      <c r="F908">
        <v>7</v>
      </c>
    </row>
    <row r="909" spans="1:6" hidden="1" x14ac:dyDescent="0.25">
      <c r="A909" t="s">
        <v>20</v>
      </c>
      <c r="B909">
        <v>17</v>
      </c>
      <c r="C909">
        <v>68</v>
      </c>
      <c r="E909">
        <v>84</v>
      </c>
      <c r="F909">
        <v>7</v>
      </c>
    </row>
    <row r="910" spans="1:6" hidden="1" x14ac:dyDescent="0.25">
      <c r="A910" t="s">
        <v>20</v>
      </c>
      <c r="B910">
        <v>17</v>
      </c>
      <c r="C910">
        <v>69</v>
      </c>
      <c r="E910">
        <v>84</v>
      </c>
      <c r="F910">
        <v>7</v>
      </c>
    </row>
    <row r="911" spans="1:6" hidden="1" x14ac:dyDescent="0.25">
      <c r="A911" t="s">
        <v>20</v>
      </c>
      <c r="B911">
        <v>17</v>
      </c>
      <c r="C911">
        <v>70</v>
      </c>
      <c r="E911">
        <v>84</v>
      </c>
      <c r="F911">
        <v>7</v>
      </c>
    </row>
    <row r="912" spans="1:6" hidden="1" x14ac:dyDescent="0.25">
      <c r="A912" t="s">
        <v>20</v>
      </c>
      <c r="B912">
        <v>17</v>
      </c>
      <c r="C912">
        <v>71</v>
      </c>
      <c r="E912">
        <v>84</v>
      </c>
      <c r="F912">
        <v>7</v>
      </c>
    </row>
    <row r="913" spans="1:6" hidden="1" x14ac:dyDescent="0.25">
      <c r="A913" t="s">
        <v>20</v>
      </c>
      <c r="B913">
        <v>17</v>
      </c>
      <c r="C913">
        <v>72</v>
      </c>
      <c r="E913">
        <v>84</v>
      </c>
      <c r="F913">
        <v>7</v>
      </c>
    </row>
    <row r="914" spans="1:6" hidden="1" x14ac:dyDescent="0.25">
      <c r="A914" t="s">
        <v>20</v>
      </c>
      <c r="B914">
        <v>17</v>
      </c>
      <c r="C914">
        <v>73</v>
      </c>
      <c r="E914">
        <v>84</v>
      </c>
      <c r="F914">
        <v>7</v>
      </c>
    </row>
    <row r="915" spans="1:6" hidden="1" x14ac:dyDescent="0.25">
      <c r="A915" t="s">
        <v>20</v>
      </c>
      <c r="B915">
        <v>17</v>
      </c>
      <c r="C915">
        <v>74</v>
      </c>
      <c r="E915">
        <v>84</v>
      </c>
      <c r="F915">
        <v>7</v>
      </c>
    </row>
    <row r="916" spans="1:6" hidden="1" x14ac:dyDescent="0.25">
      <c r="A916" t="s">
        <v>20</v>
      </c>
      <c r="B916">
        <v>17</v>
      </c>
      <c r="C916">
        <v>75</v>
      </c>
      <c r="E916">
        <v>84</v>
      </c>
      <c r="F916">
        <v>7</v>
      </c>
    </row>
    <row r="917" spans="1:6" hidden="1" x14ac:dyDescent="0.25">
      <c r="A917" t="s">
        <v>20</v>
      </c>
      <c r="B917">
        <v>17</v>
      </c>
      <c r="C917">
        <v>76</v>
      </c>
      <c r="E917">
        <v>84</v>
      </c>
      <c r="F917">
        <v>7</v>
      </c>
    </row>
    <row r="918" spans="1:6" hidden="1" x14ac:dyDescent="0.25">
      <c r="A918" t="s">
        <v>20</v>
      </c>
      <c r="B918">
        <v>17</v>
      </c>
      <c r="C918">
        <v>77</v>
      </c>
      <c r="E918">
        <v>84</v>
      </c>
      <c r="F918">
        <v>7</v>
      </c>
    </row>
    <row r="919" spans="1:6" hidden="1" x14ac:dyDescent="0.25">
      <c r="A919" t="s">
        <v>20</v>
      </c>
      <c r="B919">
        <v>17</v>
      </c>
      <c r="C919">
        <v>78</v>
      </c>
      <c r="E919">
        <v>84</v>
      </c>
      <c r="F919">
        <v>7</v>
      </c>
    </row>
    <row r="920" spans="1:6" hidden="1" x14ac:dyDescent="0.25">
      <c r="A920" t="s">
        <v>20</v>
      </c>
      <c r="B920">
        <v>17</v>
      </c>
      <c r="C920">
        <v>79</v>
      </c>
      <c r="D920">
        <v>1</v>
      </c>
      <c r="E920">
        <v>84</v>
      </c>
      <c r="F920">
        <v>7</v>
      </c>
    </row>
    <row r="921" spans="1:6" hidden="1" x14ac:dyDescent="0.25">
      <c r="A921" t="s">
        <v>20</v>
      </c>
      <c r="B921">
        <v>17</v>
      </c>
      <c r="C921">
        <v>80</v>
      </c>
      <c r="E921">
        <v>84</v>
      </c>
      <c r="F921">
        <v>7</v>
      </c>
    </row>
    <row r="922" spans="1:6" hidden="1" x14ac:dyDescent="0.25">
      <c r="A922" t="s">
        <v>20</v>
      </c>
      <c r="B922">
        <v>17</v>
      </c>
      <c r="C922">
        <v>81</v>
      </c>
      <c r="E922">
        <v>84</v>
      </c>
      <c r="F922">
        <v>7</v>
      </c>
    </row>
    <row r="923" spans="1:6" hidden="1" x14ac:dyDescent="0.25">
      <c r="A923" t="s">
        <v>20</v>
      </c>
      <c r="B923">
        <v>17</v>
      </c>
      <c r="C923">
        <v>82</v>
      </c>
      <c r="D923">
        <v>1</v>
      </c>
      <c r="E923">
        <v>84</v>
      </c>
      <c r="F923">
        <v>7</v>
      </c>
    </row>
    <row r="924" spans="1:6" hidden="1" x14ac:dyDescent="0.25">
      <c r="A924" t="s">
        <v>20</v>
      </c>
      <c r="B924">
        <v>17</v>
      </c>
      <c r="C924">
        <v>83</v>
      </c>
      <c r="E924">
        <v>84</v>
      </c>
      <c r="F924">
        <v>7</v>
      </c>
    </row>
    <row r="925" spans="1:6" hidden="1" x14ac:dyDescent="0.25">
      <c r="A925" t="s">
        <v>20</v>
      </c>
      <c r="B925">
        <v>17</v>
      </c>
      <c r="C925">
        <v>84</v>
      </c>
      <c r="E925">
        <v>84</v>
      </c>
      <c r="F925">
        <v>7</v>
      </c>
    </row>
    <row r="926" spans="1:6" hidden="1" x14ac:dyDescent="0.25">
      <c r="A926" t="s">
        <v>20</v>
      </c>
      <c r="B926">
        <v>19</v>
      </c>
      <c r="C926">
        <v>1</v>
      </c>
    </row>
    <row r="927" spans="1:6" hidden="1" x14ac:dyDescent="0.25">
      <c r="A927" t="s">
        <v>20</v>
      </c>
      <c r="B927">
        <v>19</v>
      </c>
      <c r="C927">
        <v>2</v>
      </c>
    </row>
    <row r="928" spans="1:6" hidden="1" x14ac:dyDescent="0.25">
      <c r="A928" t="s">
        <v>20</v>
      </c>
      <c r="B928">
        <v>19</v>
      </c>
      <c r="C928">
        <v>3</v>
      </c>
    </row>
    <row r="929" spans="1:3" hidden="1" x14ac:dyDescent="0.25">
      <c r="A929" t="s">
        <v>20</v>
      </c>
      <c r="B929">
        <v>19</v>
      </c>
      <c r="C929">
        <v>4</v>
      </c>
    </row>
    <row r="930" spans="1:3" hidden="1" x14ac:dyDescent="0.25">
      <c r="A930" t="s">
        <v>20</v>
      </c>
      <c r="B930">
        <v>19</v>
      </c>
      <c r="C930">
        <v>5</v>
      </c>
    </row>
    <row r="931" spans="1:3" hidden="1" x14ac:dyDescent="0.25">
      <c r="A931" t="s">
        <v>20</v>
      </c>
      <c r="B931">
        <v>19</v>
      </c>
      <c r="C931">
        <v>6</v>
      </c>
    </row>
    <row r="932" spans="1:3" hidden="1" x14ac:dyDescent="0.25">
      <c r="A932" t="s">
        <v>20</v>
      </c>
      <c r="B932">
        <v>19</v>
      </c>
      <c r="C932">
        <v>7</v>
      </c>
    </row>
    <row r="933" spans="1:3" hidden="1" x14ac:dyDescent="0.25">
      <c r="A933" t="s">
        <v>20</v>
      </c>
      <c r="B933">
        <v>19</v>
      </c>
      <c r="C933">
        <v>8</v>
      </c>
    </row>
    <row r="934" spans="1:3" hidden="1" x14ac:dyDescent="0.25">
      <c r="A934" t="s">
        <v>20</v>
      </c>
      <c r="B934">
        <v>19</v>
      </c>
      <c r="C934">
        <v>9</v>
      </c>
    </row>
    <row r="935" spans="1:3" hidden="1" x14ac:dyDescent="0.25">
      <c r="A935" t="s">
        <v>20</v>
      </c>
      <c r="B935">
        <v>19</v>
      </c>
      <c r="C935">
        <v>10</v>
      </c>
    </row>
    <row r="936" spans="1:3" hidden="1" x14ac:dyDescent="0.25">
      <c r="A936" t="s">
        <v>20</v>
      </c>
      <c r="B936">
        <v>19</v>
      </c>
      <c r="C936">
        <v>11</v>
      </c>
    </row>
    <row r="937" spans="1:3" hidden="1" x14ac:dyDescent="0.25">
      <c r="A937" t="s">
        <v>20</v>
      </c>
      <c r="B937">
        <v>19</v>
      </c>
      <c r="C937">
        <v>12</v>
      </c>
    </row>
    <row r="938" spans="1:3" hidden="1" x14ac:dyDescent="0.25">
      <c r="A938" t="s">
        <v>20</v>
      </c>
      <c r="B938">
        <v>19</v>
      </c>
      <c r="C938">
        <v>13</v>
      </c>
    </row>
    <row r="939" spans="1:3" hidden="1" x14ac:dyDescent="0.25">
      <c r="A939" t="s">
        <v>20</v>
      </c>
      <c r="B939">
        <v>19</v>
      </c>
      <c r="C939">
        <v>14</v>
      </c>
    </row>
    <row r="940" spans="1:3" hidden="1" x14ac:dyDescent="0.25">
      <c r="A940" t="s">
        <v>20</v>
      </c>
      <c r="B940">
        <v>19</v>
      </c>
      <c r="C940">
        <v>15</v>
      </c>
    </row>
    <row r="941" spans="1:3" hidden="1" x14ac:dyDescent="0.25">
      <c r="A941" t="s">
        <v>20</v>
      </c>
      <c r="B941">
        <v>19</v>
      </c>
      <c r="C941">
        <v>16</v>
      </c>
    </row>
    <row r="942" spans="1:3" hidden="1" x14ac:dyDescent="0.25">
      <c r="A942" t="s">
        <v>20</v>
      </c>
      <c r="B942">
        <v>19</v>
      </c>
      <c r="C942">
        <v>17</v>
      </c>
    </row>
    <row r="943" spans="1:3" hidden="1" x14ac:dyDescent="0.25">
      <c r="A943" t="s">
        <v>20</v>
      </c>
      <c r="B943">
        <v>19</v>
      </c>
      <c r="C943">
        <v>18</v>
      </c>
    </row>
    <row r="944" spans="1:3" hidden="1" x14ac:dyDescent="0.25">
      <c r="A944" t="s">
        <v>20</v>
      </c>
      <c r="B944">
        <v>19</v>
      </c>
      <c r="C944">
        <v>19</v>
      </c>
    </row>
    <row r="945" spans="1:4" hidden="1" x14ac:dyDescent="0.25">
      <c r="A945" t="s">
        <v>20</v>
      </c>
      <c r="B945">
        <v>19</v>
      </c>
      <c r="C945">
        <v>20</v>
      </c>
    </row>
    <row r="946" spans="1:4" hidden="1" x14ac:dyDescent="0.25">
      <c r="A946" t="s">
        <v>20</v>
      </c>
      <c r="B946">
        <v>19</v>
      </c>
      <c r="C946">
        <v>21</v>
      </c>
    </row>
    <row r="947" spans="1:4" hidden="1" x14ac:dyDescent="0.25">
      <c r="A947" t="s">
        <v>20</v>
      </c>
      <c r="B947">
        <v>19</v>
      </c>
      <c r="C947">
        <v>22</v>
      </c>
    </row>
    <row r="948" spans="1:4" hidden="1" x14ac:dyDescent="0.25">
      <c r="A948" t="s">
        <v>20</v>
      </c>
      <c r="B948">
        <v>19</v>
      </c>
      <c r="C948">
        <v>23</v>
      </c>
    </row>
    <row r="949" spans="1:4" hidden="1" x14ac:dyDescent="0.25">
      <c r="A949" t="s">
        <v>20</v>
      </c>
      <c r="B949">
        <v>19</v>
      </c>
      <c r="C949">
        <v>24</v>
      </c>
    </row>
    <row r="950" spans="1:4" hidden="1" x14ac:dyDescent="0.25">
      <c r="A950" t="s">
        <v>20</v>
      </c>
      <c r="B950">
        <v>19</v>
      </c>
      <c r="C950">
        <v>25</v>
      </c>
      <c r="D950">
        <v>1</v>
      </c>
    </row>
    <row r="951" spans="1:4" hidden="1" x14ac:dyDescent="0.25">
      <c r="A951" t="s">
        <v>20</v>
      </c>
      <c r="B951">
        <v>19</v>
      </c>
      <c r="C951">
        <v>26</v>
      </c>
    </row>
    <row r="952" spans="1:4" hidden="1" x14ac:dyDescent="0.25">
      <c r="A952" t="s">
        <v>20</v>
      </c>
      <c r="B952">
        <v>19</v>
      </c>
      <c r="C952">
        <v>27</v>
      </c>
    </row>
    <row r="953" spans="1:4" hidden="1" x14ac:dyDescent="0.25">
      <c r="A953" t="s">
        <v>20</v>
      </c>
      <c r="B953">
        <v>19</v>
      </c>
      <c r="C953">
        <v>28</v>
      </c>
      <c r="D953">
        <v>1</v>
      </c>
    </row>
    <row r="954" spans="1:4" hidden="1" x14ac:dyDescent="0.25">
      <c r="A954" t="s">
        <v>20</v>
      </c>
      <c r="B954">
        <v>19</v>
      </c>
      <c r="C954">
        <v>29</v>
      </c>
    </row>
    <row r="955" spans="1:4" hidden="1" x14ac:dyDescent="0.25">
      <c r="A955" t="s">
        <v>20</v>
      </c>
      <c r="B955">
        <v>19</v>
      </c>
      <c r="C955">
        <v>30</v>
      </c>
    </row>
    <row r="956" spans="1:4" hidden="1" x14ac:dyDescent="0.25">
      <c r="A956" t="s">
        <v>20</v>
      </c>
      <c r="B956">
        <v>19</v>
      </c>
      <c r="C956">
        <v>31</v>
      </c>
      <c r="D956">
        <v>1</v>
      </c>
    </row>
    <row r="957" spans="1:4" hidden="1" x14ac:dyDescent="0.25">
      <c r="A957" t="s">
        <v>20</v>
      </c>
      <c r="B957">
        <v>19</v>
      </c>
      <c r="C957">
        <v>32</v>
      </c>
    </row>
    <row r="958" spans="1:4" hidden="1" x14ac:dyDescent="0.25">
      <c r="A958" t="s">
        <v>20</v>
      </c>
      <c r="B958">
        <v>19</v>
      </c>
      <c r="C958">
        <v>33</v>
      </c>
    </row>
    <row r="959" spans="1:4" hidden="1" x14ac:dyDescent="0.25">
      <c r="A959" t="s">
        <v>20</v>
      </c>
      <c r="B959">
        <v>19</v>
      </c>
      <c r="C959">
        <v>34</v>
      </c>
      <c r="D959">
        <v>1</v>
      </c>
    </row>
    <row r="960" spans="1:4" hidden="1" x14ac:dyDescent="0.25">
      <c r="A960" t="s">
        <v>20</v>
      </c>
      <c r="B960">
        <v>19</v>
      </c>
      <c r="C960">
        <v>35</v>
      </c>
    </row>
    <row r="961" spans="1:4" hidden="1" x14ac:dyDescent="0.25">
      <c r="A961" t="s">
        <v>20</v>
      </c>
      <c r="B961">
        <v>19</v>
      </c>
      <c r="C961">
        <v>36</v>
      </c>
    </row>
    <row r="962" spans="1:4" hidden="1" x14ac:dyDescent="0.25">
      <c r="A962" t="s">
        <v>20</v>
      </c>
      <c r="B962">
        <v>19</v>
      </c>
      <c r="C962">
        <v>37</v>
      </c>
      <c r="D962">
        <v>1</v>
      </c>
    </row>
    <row r="963" spans="1:4" hidden="1" x14ac:dyDescent="0.25">
      <c r="A963" t="s">
        <v>20</v>
      </c>
      <c r="B963">
        <v>19</v>
      </c>
      <c r="C963">
        <v>38</v>
      </c>
    </row>
    <row r="964" spans="1:4" hidden="1" x14ac:dyDescent="0.25">
      <c r="A964" t="s">
        <v>20</v>
      </c>
      <c r="B964">
        <v>19</v>
      </c>
      <c r="C964">
        <v>39</v>
      </c>
    </row>
    <row r="965" spans="1:4" hidden="1" x14ac:dyDescent="0.25">
      <c r="A965" t="s">
        <v>20</v>
      </c>
      <c r="B965">
        <v>19</v>
      </c>
      <c r="C965">
        <v>40</v>
      </c>
      <c r="D965">
        <v>1</v>
      </c>
    </row>
    <row r="966" spans="1:4" hidden="1" x14ac:dyDescent="0.25">
      <c r="A966" t="s">
        <v>20</v>
      </c>
      <c r="B966">
        <v>19</v>
      </c>
      <c r="C966">
        <v>41</v>
      </c>
    </row>
    <row r="967" spans="1:4" hidden="1" x14ac:dyDescent="0.25">
      <c r="A967" t="s">
        <v>20</v>
      </c>
      <c r="B967">
        <v>19</v>
      </c>
      <c r="C967">
        <v>42</v>
      </c>
    </row>
    <row r="968" spans="1:4" hidden="1" x14ac:dyDescent="0.25">
      <c r="A968" t="s">
        <v>20</v>
      </c>
      <c r="B968">
        <v>19</v>
      </c>
      <c r="C968">
        <v>43</v>
      </c>
    </row>
    <row r="969" spans="1:4" hidden="1" x14ac:dyDescent="0.25">
      <c r="A969" t="s">
        <v>20</v>
      </c>
      <c r="B969">
        <v>19</v>
      </c>
      <c r="C969">
        <v>44</v>
      </c>
    </row>
    <row r="970" spans="1:4" hidden="1" x14ac:dyDescent="0.25">
      <c r="A970" t="s">
        <v>20</v>
      </c>
      <c r="B970">
        <v>19</v>
      </c>
      <c r="C970">
        <v>45</v>
      </c>
    </row>
    <row r="971" spans="1:4" hidden="1" x14ac:dyDescent="0.25">
      <c r="A971" t="s">
        <v>20</v>
      </c>
      <c r="B971">
        <v>19</v>
      </c>
      <c r="C971">
        <v>46</v>
      </c>
      <c r="D971">
        <v>1</v>
      </c>
    </row>
    <row r="972" spans="1:4" hidden="1" x14ac:dyDescent="0.25">
      <c r="A972" t="s">
        <v>20</v>
      </c>
      <c r="B972">
        <v>19</v>
      </c>
      <c r="C972">
        <v>47</v>
      </c>
    </row>
    <row r="973" spans="1:4" hidden="1" x14ac:dyDescent="0.25">
      <c r="A973" t="s">
        <v>20</v>
      </c>
      <c r="B973">
        <v>19</v>
      </c>
      <c r="C973">
        <v>48</v>
      </c>
    </row>
    <row r="974" spans="1:4" hidden="1" x14ac:dyDescent="0.25">
      <c r="A974" t="s">
        <v>20</v>
      </c>
      <c r="B974">
        <v>19</v>
      </c>
      <c r="C974">
        <v>49</v>
      </c>
      <c r="D974">
        <v>1</v>
      </c>
    </row>
    <row r="975" spans="1:4" hidden="1" x14ac:dyDescent="0.25">
      <c r="A975" t="s">
        <v>20</v>
      </c>
      <c r="B975">
        <v>19</v>
      </c>
      <c r="C975">
        <v>50</v>
      </c>
    </row>
    <row r="976" spans="1:4" hidden="1" x14ac:dyDescent="0.25">
      <c r="A976" t="s">
        <v>20</v>
      </c>
      <c r="B976">
        <v>19</v>
      </c>
      <c r="C976">
        <v>51</v>
      </c>
    </row>
    <row r="977" spans="1:4" hidden="1" x14ac:dyDescent="0.25">
      <c r="A977" t="s">
        <v>20</v>
      </c>
      <c r="B977">
        <v>19</v>
      </c>
      <c r="C977">
        <v>52</v>
      </c>
      <c r="D977">
        <v>1</v>
      </c>
    </row>
    <row r="978" spans="1:4" hidden="1" x14ac:dyDescent="0.25">
      <c r="A978" t="s">
        <v>20</v>
      </c>
      <c r="B978">
        <v>19</v>
      </c>
      <c r="C978">
        <v>53</v>
      </c>
    </row>
    <row r="979" spans="1:4" hidden="1" x14ac:dyDescent="0.25">
      <c r="A979" t="s">
        <v>20</v>
      </c>
      <c r="B979">
        <v>19</v>
      </c>
      <c r="C979">
        <v>54</v>
      </c>
    </row>
    <row r="980" spans="1:4" hidden="1" x14ac:dyDescent="0.25">
      <c r="A980" t="s">
        <v>20</v>
      </c>
      <c r="B980">
        <v>19</v>
      </c>
      <c r="C980">
        <v>55</v>
      </c>
      <c r="D980">
        <v>1</v>
      </c>
    </row>
    <row r="981" spans="1:4" hidden="1" x14ac:dyDescent="0.25">
      <c r="A981" t="s">
        <v>20</v>
      </c>
      <c r="B981">
        <v>19</v>
      </c>
      <c r="C981">
        <v>56</v>
      </c>
    </row>
    <row r="982" spans="1:4" hidden="1" x14ac:dyDescent="0.25">
      <c r="A982" t="s">
        <v>20</v>
      </c>
      <c r="B982">
        <v>19</v>
      </c>
      <c r="C982">
        <v>57</v>
      </c>
    </row>
    <row r="983" spans="1:4" hidden="1" x14ac:dyDescent="0.25">
      <c r="A983" t="s">
        <v>20</v>
      </c>
      <c r="B983">
        <v>19</v>
      </c>
      <c r="C983">
        <v>58</v>
      </c>
      <c r="D983">
        <v>1</v>
      </c>
    </row>
    <row r="984" spans="1:4" hidden="1" x14ac:dyDescent="0.25">
      <c r="A984" t="s">
        <v>20</v>
      </c>
      <c r="B984">
        <v>19</v>
      </c>
      <c r="C984">
        <v>59</v>
      </c>
    </row>
    <row r="985" spans="1:4" hidden="1" x14ac:dyDescent="0.25">
      <c r="A985" t="s">
        <v>20</v>
      </c>
      <c r="B985">
        <v>19</v>
      </c>
      <c r="C985">
        <v>60</v>
      </c>
    </row>
    <row r="986" spans="1:4" hidden="1" x14ac:dyDescent="0.25">
      <c r="A986" t="s">
        <v>20</v>
      </c>
      <c r="B986">
        <v>19</v>
      </c>
      <c r="C986">
        <v>61</v>
      </c>
      <c r="D986">
        <v>1</v>
      </c>
    </row>
    <row r="987" spans="1:4" hidden="1" x14ac:dyDescent="0.25">
      <c r="A987" t="s">
        <v>20</v>
      </c>
      <c r="B987">
        <v>19</v>
      </c>
      <c r="C987">
        <v>62</v>
      </c>
    </row>
    <row r="988" spans="1:4" hidden="1" x14ac:dyDescent="0.25">
      <c r="A988" t="s">
        <v>20</v>
      </c>
      <c r="B988">
        <v>19</v>
      </c>
      <c r="C988">
        <v>63</v>
      </c>
    </row>
    <row r="989" spans="1:4" hidden="1" x14ac:dyDescent="0.25">
      <c r="A989" t="s">
        <v>20</v>
      </c>
      <c r="B989">
        <v>19</v>
      </c>
      <c r="C989">
        <v>64</v>
      </c>
      <c r="D989">
        <v>1</v>
      </c>
    </row>
    <row r="990" spans="1:4" hidden="1" x14ac:dyDescent="0.25">
      <c r="A990" t="s">
        <v>20</v>
      </c>
      <c r="B990">
        <v>19</v>
      </c>
      <c r="C990">
        <v>65</v>
      </c>
    </row>
    <row r="991" spans="1:4" hidden="1" x14ac:dyDescent="0.25">
      <c r="A991" t="s">
        <v>20</v>
      </c>
      <c r="B991">
        <v>19</v>
      </c>
      <c r="C991">
        <v>66</v>
      </c>
    </row>
    <row r="992" spans="1:4" hidden="1" x14ac:dyDescent="0.25">
      <c r="A992" t="s">
        <v>20</v>
      </c>
      <c r="B992">
        <v>19</v>
      </c>
      <c r="C992">
        <v>67</v>
      </c>
      <c r="D992">
        <v>1</v>
      </c>
    </row>
    <row r="993" spans="1:4" hidden="1" x14ac:dyDescent="0.25">
      <c r="A993" t="s">
        <v>20</v>
      </c>
      <c r="B993">
        <v>19</v>
      </c>
      <c r="C993">
        <v>68</v>
      </c>
    </row>
    <row r="994" spans="1:4" hidden="1" x14ac:dyDescent="0.25">
      <c r="A994" t="s">
        <v>20</v>
      </c>
      <c r="B994">
        <v>19</v>
      </c>
      <c r="C994">
        <v>69</v>
      </c>
    </row>
    <row r="995" spans="1:4" hidden="1" x14ac:dyDescent="0.25">
      <c r="A995" t="s">
        <v>20</v>
      </c>
      <c r="B995">
        <v>19</v>
      </c>
      <c r="C995">
        <v>70</v>
      </c>
      <c r="D995">
        <v>1</v>
      </c>
    </row>
    <row r="996" spans="1:4" hidden="1" x14ac:dyDescent="0.25">
      <c r="A996" t="s">
        <v>20</v>
      </c>
      <c r="B996">
        <v>19</v>
      </c>
      <c r="C996">
        <v>71</v>
      </c>
    </row>
    <row r="997" spans="1:4" hidden="1" x14ac:dyDescent="0.25">
      <c r="A997" t="s">
        <v>20</v>
      </c>
      <c r="B997">
        <v>19</v>
      </c>
      <c r="C997">
        <v>72</v>
      </c>
    </row>
    <row r="998" spans="1:4" hidden="1" x14ac:dyDescent="0.25">
      <c r="A998" t="s">
        <v>20</v>
      </c>
      <c r="B998">
        <v>19</v>
      </c>
      <c r="C998">
        <v>73</v>
      </c>
      <c r="D998">
        <v>1</v>
      </c>
    </row>
    <row r="999" spans="1:4" hidden="1" x14ac:dyDescent="0.25">
      <c r="A999" t="s">
        <v>20</v>
      </c>
      <c r="B999">
        <v>19</v>
      </c>
      <c r="C999">
        <v>74</v>
      </c>
    </row>
    <row r="1000" spans="1:4" hidden="1" x14ac:dyDescent="0.25">
      <c r="A1000" t="s">
        <v>20</v>
      </c>
      <c r="B1000">
        <v>19</v>
      </c>
      <c r="C1000">
        <v>75</v>
      </c>
    </row>
    <row r="1001" spans="1:4" hidden="1" x14ac:dyDescent="0.25">
      <c r="A1001" t="s">
        <v>20</v>
      </c>
      <c r="B1001">
        <v>19</v>
      </c>
      <c r="C1001">
        <v>76</v>
      </c>
      <c r="D1001">
        <v>1</v>
      </c>
    </row>
    <row r="1002" spans="1:4" hidden="1" x14ac:dyDescent="0.25">
      <c r="A1002" t="s">
        <v>20</v>
      </c>
      <c r="B1002">
        <v>19</v>
      </c>
      <c r="C1002">
        <v>77</v>
      </c>
    </row>
    <row r="1003" spans="1:4" hidden="1" x14ac:dyDescent="0.25">
      <c r="A1003" t="s">
        <v>20</v>
      </c>
      <c r="B1003">
        <v>19</v>
      </c>
      <c r="C1003">
        <v>78</v>
      </c>
    </row>
    <row r="1004" spans="1:4" hidden="1" x14ac:dyDescent="0.25">
      <c r="A1004" t="s">
        <v>20</v>
      </c>
      <c r="B1004">
        <v>19</v>
      </c>
      <c r="C1004">
        <v>79</v>
      </c>
      <c r="D1004">
        <v>1</v>
      </c>
    </row>
    <row r="1005" spans="1:4" hidden="1" x14ac:dyDescent="0.25">
      <c r="A1005" t="s">
        <v>20</v>
      </c>
      <c r="B1005">
        <v>19</v>
      </c>
      <c r="C1005">
        <v>80</v>
      </c>
    </row>
    <row r="1006" spans="1:4" hidden="1" x14ac:dyDescent="0.25">
      <c r="A1006" t="s">
        <v>20</v>
      </c>
      <c r="B1006">
        <v>19</v>
      </c>
      <c r="C1006">
        <v>81</v>
      </c>
    </row>
    <row r="1007" spans="1:4" hidden="1" x14ac:dyDescent="0.25">
      <c r="A1007" t="s">
        <v>20</v>
      </c>
      <c r="B1007">
        <v>19</v>
      </c>
      <c r="C1007">
        <v>82</v>
      </c>
      <c r="D1007">
        <v>1</v>
      </c>
    </row>
    <row r="1008" spans="1:4" hidden="1" x14ac:dyDescent="0.25">
      <c r="A1008" t="s">
        <v>20</v>
      </c>
      <c r="B1008">
        <v>19</v>
      </c>
      <c r="C1008">
        <v>83</v>
      </c>
    </row>
    <row r="1009" spans="1:4" hidden="1" x14ac:dyDescent="0.25">
      <c r="A1009" t="s">
        <v>20</v>
      </c>
      <c r="B1009">
        <v>19</v>
      </c>
      <c r="C1009">
        <v>84</v>
      </c>
    </row>
    <row r="1010" spans="1:4" hidden="1" x14ac:dyDescent="0.25">
      <c r="A1010" t="s">
        <v>20</v>
      </c>
      <c r="B1010">
        <v>20</v>
      </c>
      <c r="C1010">
        <v>1</v>
      </c>
    </row>
    <row r="1011" spans="1:4" hidden="1" x14ac:dyDescent="0.25">
      <c r="A1011" t="s">
        <v>20</v>
      </c>
      <c r="B1011">
        <v>20</v>
      </c>
      <c r="C1011">
        <v>2</v>
      </c>
    </row>
    <row r="1012" spans="1:4" hidden="1" x14ac:dyDescent="0.25">
      <c r="A1012" t="s">
        <v>20</v>
      </c>
      <c r="B1012">
        <v>20</v>
      </c>
      <c r="C1012">
        <v>3</v>
      </c>
    </row>
    <row r="1013" spans="1:4" hidden="1" x14ac:dyDescent="0.25">
      <c r="A1013" t="s">
        <v>20</v>
      </c>
      <c r="B1013">
        <v>20</v>
      </c>
      <c r="C1013">
        <v>4</v>
      </c>
      <c r="D1013">
        <v>1</v>
      </c>
    </row>
    <row r="1014" spans="1:4" hidden="1" x14ac:dyDescent="0.25">
      <c r="A1014" t="s">
        <v>20</v>
      </c>
      <c r="B1014">
        <v>20</v>
      </c>
      <c r="C1014">
        <v>5</v>
      </c>
    </row>
    <row r="1015" spans="1:4" hidden="1" x14ac:dyDescent="0.25">
      <c r="A1015" t="s">
        <v>20</v>
      </c>
      <c r="B1015">
        <v>20</v>
      </c>
      <c r="C1015">
        <v>6</v>
      </c>
    </row>
    <row r="1016" spans="1:4" hidden="1" x14ac:dyDescent="0.25">
      <c r="A1016" t="s">
        <v>20</v>
      </c>
      <c r="B1016">
        <v>20</v>
      </c>
      <c r="C1016">
        <v>7</v>
      </c>
      <c r="D1016">
        <v>1</v>
      </c>
    </row>
    <row r="1017" spans="1:4" hidden="1" x14ac:dyDescent="0.25">
      <c r="A1017" t="s">
        <v>20</v>
      </c>
      <c r="B1017">
        <v>20</v>
      </c>
      <c r="C1017">
        <v>8</v>
      </c>
    </row>
    <row r="1018" spans="1:4" hidden="1" x14ac:dyDescent="0.25">
      <c r="A1018" t="s">
        <v>20</v>
      </c>
      <c r="B1018">
        <v>20</v>
      </c>
      <c r="C1018">
        <v>9</v>
      </c>
    </row>
    <row r="1019" spans="1:4" hidden="1" x14ac:dyDescent="0.25">
      <c r="A1019" t="s">
        <v>20</v>
      </c>
      <c r="B1019">
        <v>20</v>
      </c>
      <c r="C1019">
        <v>10</v>
      </c>
      <c r="D1019">
        <v>1</v>
      </c>
    </row>
    <row r="1020" spans="1:4" hidden="1" x14ac:dyDescent="0.25">
      <c r="A1020" t="s">
        <v>20</v>
      </c>
      <c r="B1020">
        <v>20</v>
      </c>
      <c r="C1020">
        <v>11</v>
      </c>
    </row>
    <row r="1021" spans="1:4" hidden="1" x14ac:dyDescent="0.25">
      <c r="A1021" t="s">
        <v>20</v>
      </c>
      <c r="B1021">
        <v>20</v>
      </c>
      <c r="C1021">
        <v>12</v>
      </c>
    </row>
    <row r="1022" spans="1:4" hidden="1" x14ac:dyDescent="0.25">
      <c r="A1022" t="s">
        <v>20</v>
      </c>
      <c r="B1022">
        <v>20</v>
      </c>
      <c r="C1022">
        <v>13</v>
      </c>
      <c r="D1022">
        <v>1</v>
      </c>
    </row>
    <row r="1023" spans="1:4" hidden="1" x14ac:dyDescent="0.25">
      <c r="A1023" t="s">
        <v>20</v>
      </c>
      <c r="B1023">
        <v>20</v>
      </c>
      <c r="C1023">
        <v>14</v>
      </c>
    </row>
    <row r="1024" spans="1:4" hidden="1" x14ac:dyDescent="0.25">
      <c r="A1024" t="s">
        <v>20</v>
      </c>
      <c r="B1024">
        <v>20</v>
      </c>
      <c r="C1024">
        <v>15</v>
      </c>
    </row>
    <row r="1025" spans="1:4" hidden="1" x14ac:dyDescent="0.25">
      <c r="A1025" t="s">
        <v>20</v>
      </c>
      <c r="B1025">
        <v>20</v>
      </c>
      <c r="C1025">
        <v>16</v>
      </c>
      <c r="D1025">
        <v>1</v>
      </c>
    </row>
    <row r="1026" spans="1:4" hidden="1" x14ac:dyDescent="0.25">
      <c r="A1026" t="s">
        <v>20</v>
      </c>
      <c r="B1026">
        <v>20</v>
      </c>
      <c r="C1026">
        <v>17</v>
      </c>
    </row>
    <row r="1027" spans="1:4" hidden="1" x14ac:dyDescent="0.25">
      <c r="A1027" t="s">
        <v>20</v>
      </c>
      <c r="B1027">
        <v>20</v>
      </c>
      <c r="C1027">
        <v>18</v>
      </c>
    </row>
    <row r="1028" spans="1:4" hidden="1" x14ac:dyDescent="0.25">
      <c r="A1028" t="s">
        <v>20</v>
      </c>
      <c r="B1028">
        <v>20</v>
      </c>
      <c r="C1028">
        <v>19</v>
      </c>
      <c r="D1028">
        <v>1</v>
      </c>
    </row>
    <row r="1029" spans="1:4" hidden="1" x14ac:dyDescent="0.25">
      <c r="A1029" t="s">
        <v>20</v>
      </c>
      <c r="B1029">
        <v>20</v>
      </c>
      <c r="C1029">
        <v>20</v>
      </c>
    </row>
    <row r="1030" spans="1:4" hidden="1" x14ac:dyDescent="0.25">
      <c r="A1030" t="s">
        <v>20</v>
      </c>
      <c r="B1030">
        <v>20</v>
      </c>
      <c r="C1030">
        <v>21</v>
      </c>
    </row>
    <row r="1031" spans="1:4" hidden="1" x14ac:dyDescent="0.25">
      <c r="A1031" t="s">
        <v>20</v>
      </c>
      <c r="B1031">
        <v>20</v>
      </c>
      <c r="C1031">
        <v>22</v>
      </c>
      <c r="D1031">
        <v>1</v>
      </c>
    </row>
    <row r="1032" spans="1:4" hidden="1" x14ac:dyDescent="0.25">
      <c r="A1032" t="s">
        <v>20</v>
      </c>
      <c r="B1032">
        <v>20</v>
      </c>
      <c r="C1032">
        <v>23</v>
      </c>
    </row>
    <row r="1033" spans="1:4" hidden="1" x14ac:dyDescent="0.25">
      <c r="A1033" t="s">
        <v>20</v>
      </c>
      <c r="B1033">
        <v>20</v>
      </c>
      <c r="C1033">
        <v>24</v>
      </c>
    </row>
    <row r="1034" spans="1:4" hidden="1" x14ac:dyDescent="0.25">
      <c r="A1034" t="s">
        <v>20</v>
      </c>
      <c r="B1034">
        <v>20</v>
      </c>
      <c r="C1034">
        <v>25</v>
      </c>
      <c r="D1034">
        <v>1</v>
      </c>
    </row>
    <row r="1035" spans="1:4" hidden="1" x14ac:dyDescent="0.25">
      <c r="A1035" t="s">
        <v>20</v>
      </c>
      <c r="B1035">
        <v>20</v>
      </c>
      <c r="C1035">
        <v>26</v>
      </c>
    </row>
    <row r="1036" spans="1:4" hidden="1" x14ac:dyDescent="0.25">
      <c r="A1036" t="s">
        <v>20</v>
      </c>
      <c r="B1036">
        <v>20</v>
      </c>
      <c r="C1036">
        <v>27</v>
      </c>
    </row>
    <row r="1037" spans="1:4" hidden="1" x14ac:dyDescent="0.25">
      <c r="A1037" t="s">
        <v>20</v>
      </c>
      <c r="B1037">
        <v>20</v>
      </c>
      <c r="C1037">
        <v>28</v>
      </c>
      <c r="D1037">
        <v>1</v>
      </c>
    </row>
    <row r="1038" spans="1:4" hidden="1" x14ac:dyDescent="0.25">
      <c r="A1038" t="s">
        <v>20</v>
      </c>
      <c r="B1038">
        <v>20</v>
      </c>
      <c r="C1038">
        <v>29</v>
      </c>
    </row>
    <row r="1039" spans="1:4" hidden="1" x14ac:dyDescent="0.25">
      <c r="A1039" t="s">
        <v>20</v>
      </c>
      <c r="B1039">
        <v>20</v>
      </c>
      <c r="C1039">
        <v>30</v>
      </c>
    </row>
    <row r="1040" spans="1:4" hidden="1" x14ac:dyDescent="0.25">
      <c r="A1040" t="s">
        <v>20</v>
      </c>
      <c r="B1040">
        <v>20</v>
      </c>
      <c r="C1040">
        <v>31</v>
      </c>
      <c r="D1040">
        <v>1</v>
      </c>
    </row>
    <row r="1041" spans="1:4" hidden="1" x14ac:dyDescent="0.25">
      <c r="A1041" t="s">
        <v>20</v>
      </c>
      <c r="B1041">
        <v>20</v>
      </c>
      <c r="C1041">
        <v>32</v>
      </c>
    </row>
    <row r="1042" spans="1:4" hidden="1" x14ac:dyDescent="0.25">
      <c r="A1042" t="s">
        <v>20</v>
      </c>
      <c r="B1042">
        <v>20</v>
      </c>
      <c r="C1042">
        <v>33</v>
      </c>
    </row>
    <row r="1043" spans="1:4" hidden="1" x14ac:dyDescent="0.25">
      <c r="A1043" t="s">
        <v>20</v>
      </c>
      <c r="B1043">
        <v>20</v>
      </c>
      <c r="C1043">
        <v>34</v>
      </c>
      <c r="D1043">
        <v>1</v>
      </c>
    </row>
    <row r="1044" spans="1:4" hidden="1" x14ac:dyDescent="0.25">
      <c r="A1044" t="s">
        <v>20</v>
      </c>
      <c r="B1044">
        <v>20</v>
      </c>
      <c r="C1044">
        <v>35</v>
      </c>
    </row>
    <row r="1045" spans="1:4" hidden="1" x14ac:dyDescent="0.25">
      <c r="A1045" t="s">
        <v>20</v>
      </c>
      <c r="B1045">
        <v>20</v>
      </c>
      <c r="C1045">
        <v>36</v>
      </c>
    </row>
    <row r="1046" spans="1:4" hidden="1" x14ac:dyDescent="0.25">
      <c r="A1046" t="s">
        <v>20</v>
      </c>
      <c r="B1046">
        <v>20</v>
      </c>
      <c r="C1046">
        <v>37</v>
      </c>
      <c r="D1046">
        <v>1</v>
      </c>
    </row>
    <row r="1047" spans="1:4" hidden="1" x14ac:dyDescent="0.25">
      <c r="A1047" t="s">
        <v>20</v>
      </c>
      <c r="B1047">
        <v>20</v>
      </c>
      <c r="C1047">
        <v>38</v>
      </c>
    </row>
    <row r="1048" spans="1:4" hidden="1" x14ac:dyDescent="0.25">
      <c r="A1048" t="s">
        <v>20</v>
      </c>
      <c r="B1048">
        <v>20</v>
      </c>
      <c r="C1048">
        <v>39</v>
      </c>
    </row>
    <row r="1049" spans="1:4" hidden="1" x14ac:dyDescent="0.25">
      <c r="A1049" t="s">
        <v>20</v>
      </c>
      <c r="B1049">
        <v>20</v>
      </c>
      <c r="C1049">
        <v>40</v>
      </c>
      <c r="D1049">
        <v>1</v>
      </c>
    </row>
    <row r="1050" spans="1:4" hidden="1" x14ac:dyDescent="0.25">
      <c r="A1050" t="s">
        <v>20</v>
      </c>
      <c r="B1050">
        <v>20</v>
      </c>
      <c r="C1050">
        <v>41</v>
      </c>
    </row>
    <row r="1051" spans="1:4" hidden="1" x14ac:dyDescent="0.25">
      <c r="A1051" t="s">
        <v>20</v>
      </c>
      <c r="B1051">
        <v>20</v>
      </c>
      <c r="C1051">
        <v>42</v>
      </c>
    </row>
    <row r="1052" spans="1:4" hidden="1" x14ac:dyDescent="0.25">
      <c r="A1052" t="s">
        <v>20</v>
      </c>
      <c r="B1052">
        <v>20</v>
      </c>
      <c r="C1052">
        <v>43</v>
      </c>
    </row>
    <row r="1053" spans="1:4" hidden="1" x14ac:dyDescent="0.25">
      <c r="A1053" t="s">
        <v>20</v>
      </c>
      <c r="B1053">
        <v>20</v>
      </c>
      <c r="C1053">
        <v>44</v>
      </c>
    </row>
    <row r="1054" spans="1:4" hidden="1" x14ac:dyDescent="0.25">
      <c r="A1054" t="s">
        <v>20</v>
      </c>
      <c r="B1054">
        <v>20</v>
      </c>
      <c r="C1054">
        <v>45</v>
      </c>
    </row>
    <row r="1055" spans="1:4" hidden="1" x14ac:dyDescent="0.25">
      <c r="A1055" t="s">
        <v>20</v>
      </c>
      <c r="B1055">
        <v>20</v>
      </c>
      <c r="C1055">
        <v>46</v>
      </c>
      <c r="D1055">
        <v>1</v>
      </c>
    </row>
    <row r="1056" spans="1:4" hidden="1" x14ac:dyDescent="0.25">
      <c r="A1056" t="s">
        <v>20</v>
      </c>
      <c r="B1056">
        <v>20</v>
      </c>
      <c r="C1056">
        <v>47</v>
      </c>
    </row>
    <row r="1057" spans="1:4" hidden="1" x14ac:dyDescent="0.25">
      <c r="A1057" t="s">
        <v>20</v>
      </c>
      <c r="B1057">
        <v>20</v>
      </c>
      <c r="C1057">
        <v>48</v>
      </c>
    </row>
    <row r="1058" spans="1:4" hidden="1" x14ac:dyDescent="0.25">
      <c r="A1058" t="s">
        <v>20</v>
      </c>
      <c r="B1058">
        <v>20</v>
      </c>
      <c r="C1058">
        <v>49</v>
      </c>
      <c r="D1058">
        <v>1</v>
      </c>
    </row>
    <row r="1059" spans="1:4" hidden="1" x14ac:dyDescent="0.25">
      <c r="A1059" t="s">
        <v>20</v>
      </c>
      <c r="B1059">
        <v>20</v>
      </c>
      <c r="C1059">
        <v>50</v>
      </c>
    </row>
    <row r="1060" spans="1:4" hidden="1" x14ac:dyDescent="0.25">
      <c r="A1060" t="s">
        <v>20</v>
      </c>
      <c r="B1060">
        <v>20</v>
      </c>
      <c r="C1060">
        <v>51</v>
      </c>
    </row>
    <row r="1061" spans="1:4" hidden="1" x14ac:dyDescent="0.25">
      <c r="A1061" t="s">
        <v>20</v>
      </c>
      <c r="B1061">
        <v>20</v>
      </c>
      <c r="C1061">
        <v>52</v>
      </c>
      <c r="D1061">
        <v>1</v>
      </c>
    </row>
    <row r="1062" spans="1:4" hidden="1" x14ac:dyDescent="0.25">
      <c r="A1062" t="s">
        <v>20</v>
      </c>
      <c r="B1062">
        <v>20</v>
      </c>
      <c r="C1062">
        <v>53</v>
      </c>
    </row>
    <row r="1063" spans="1:4" hidden="1" x14ac:dyDescent="0.25">
      <c r="A1063" t="s">
        <v>20</v>
      </c>
      <c r="B1063">
        <v>20</v>
      </c>
      <c r="C1063">
        <v>54</v>
      </c>
    </row>
    <row r="1064" spans="1:4" hidden="1" x14ac:dyDescent="0.25">
      <c r="A1064" t="s">
        <v>20</v>
      </c>
      <c r="B1064">
        <v>20</v>
      </c>
      <c r="C1064">
        <v>55</v>
      </c>
      <c r="D1064">
        <v>1</v>
      </c>
    </row>
    <row r="1065" spans="1:4" hidden="1" x14ac:dyDescent="0.25">
      <c r="A1065" t="s">
        <v>20</v>
      </c>
      <c r="B1065">
        <v>20</v>
      </c>
      <c r="C1065">
        <v>56</v>
      </c>
    </row>
    <row r="1066" spans="1:4" hidden="1" x14ac:dyDescent="0.25">
      <c r="A1066" t="s">
        <v>20</v>
      </c>
      <c r="B1066">
        <v>20</v>
      </c>
      <c r="C1066">
        <v>57</v>
      </c>
    </row>
    <row r="1067" spans="1:4" hidden="1" x14ac:dyDescent="0.25">
      <c r="A1067" t="s">
        <v>20</v>
      </c>
      <c r="B1067">
        <v>20</v>
      </c>
      <c r="C1067">
        <v>58</v>
      </c>
      <c r="D1067">
        <v>1</v>
      </c>
    </row>
    <row r="1068" spans="1:4" hidden="1" x14ac:dyDescent="0.25">
      <c r="A1068" t="s">
        <v>20</v>
      </c>
      <c r="B1068">
        <v>20</v>
      </c>
      <c r="C1068">
        <v>59</v>
      </c>
    </row>
    <row r="1069" spans="1:4" hidden="1" x14ac:dyDescent="0.25">
      <c r="A1069" t="s">
        <v>20</v>
      </c>
      <c r="B1069">
        <v>20</v>
      </c>
      <c r="C1069">
        <v>60</v>
      </c>
    </row>
    <row r="1070" spans="1:4" hidden="1" x14ac:dyDescent="0.25">
      <c r="A1070" t="s">
        <v>20</v>
      </c>
      <c r="B1070">
        <v>20</v>
      </c>
      <c r="C1070">
        <v>61</v>
      </c>
      <c r="D1070">
        <v>1</v>
      </c>
    </row>
    <row r="1071" spans="1:4" hidden="1" x14ac:dyDescent="0.25">
      <c r="A1071" t="s">
        <v>20</v>
      </c>
      <c r="B1071">
        <v>20</v>
      </c>
      <c r="C1071">
        <v>62</v>
      </c>
    </row>
    <row r="1072" spans="1:4" hidden="1" x14ac:dyDescent="0.25">
      <c r="A1072" t="s">
        <v>20</v>
      </c>
      <c r="B1072">
        <v>20</v>
      </c>
      <c r="C1072">
        <v>63</v>
      </c>
    </row>
    <row r="1073" spans="1:4" hidden="1" x14ac:dyDescent="0.25">
      <c r="A1073" t="s">
        <v>20</v>
      </c>
      <c r="B1073">
        <v>20</v>
      </c>
      <c r="C1073">
        <v>64</v>
      </c>
    </row>
    <row r="1074" spans="1:4" hidden="1" x14ac:dyDescent="0.25">
      <c r="A1074" t="s">
        <v>20</v>
      </c>
      <c r="B1074">
        <v>20</v>
      </c>
      <c r="C1074">
        <v>65</v>
      </c>
    </row>
    <row r="1075" spans="1:4" hidden="1" x14ac:dyDescent="0.25">
      <c r="A1075" t="s">
        <v>20</v>
      </c>
      <c r="B1075">
        <v>20</v>
      </c>
      <c r="C1075">
        <v>66</v>
      </c>
    </row>
    <row r="1076" spans="1:4" hidden="1" x14ac:dyDescent="0.25">
      <c r="A1076" t="s">
        <v>20</v>
      </c>
      <c r="B1076">
        <v>20</v>
      </c>
      <c r="C1076">
        <v>67</v>
      </c>
      <c r="D1076">
        <v>1</v>
      </c>
    </row>
    <row r="1077" spans="1:4" hidden="1" x14ac:dyDescent="0.25">
      <c r="A1077" t="s">
        <v>20</v>
      </c>
      <c r="B1077">
        <v>20</v>
      </c>
      <c r="C1077">
        <v>68</v>
      </c>
    </row>
    <row r="1078" spans="1:4" hidden="1" x14ac:dyDescent="0.25">
      <c r="A1078" t="s">
        <v>20</v>
      </c>
      <c r="B1078">
        <v>20</v>
      </c>
      <c r="C1078">
        <v>69</v>
      </c>
    </row>
    <row r="1079" spans="1:4" hidden="1" x14ac:dyDescent="0.25">
      <c r="A1079" t="s">
        <v>20</v>
      </c>
      <c r="B1079">
        <v>20</v>
      </c>
      <c r="C1079">
        <v>70</v>
      </c>
      <c r="D1079">
        <v>1</v>
      </c>
    </row>
    <row r="1080" spans="1:4" hidden="1" x14ac:dyDescent="0.25">
      <c r="A1080" t="s">
        <v>20</v>
      </c>
      <c r="B1080">
        <v>20</v>
      </c>
      <c r="C1080">
        <v>71</v>
      </c>
    </row>
    <row r="1081" spans="1:4" hidden="1" x14ac:dyDescent="0.25">
      <c r="A1081" t="s">
        <v>20</v>
      </c>
      <c r="B1081">
        <v>20</v>
      </c>
      <c r="C1081">
        <v>72</v>
      </c>
    </row>
    <row r="1082" spans="1:4" hidden="1" x14ac:dyDescent="0.25">
      <c r="A1082" t="s">
        <v>20</v>
      </c>
      <c r="B1082">
        <v>20</v>
      </c>
      <c r="C1082">
        <v>73</v>
      </c>
      <c r="D1082">
        <v>1</v>
      </c>
    </row>
    <row r="1083" spans="1:4" hidden="1" x14ac:dyDescent="0.25">
      <c r="A1083" t="s">
        <v>20</v>
      </c>
      <c r="B1083">
        <v>20</v>
      </c>
      <c r="C1083">
        <v>74</v>
      </c>
    </row>
    <row r="1084" spans="1:4" hidden="1" x14ac:dyDescent="0.25">
      <c r="A1084" t="s">
        <v>20</v>
      </c>
      <c r="B1084">
        <v>20</v>
      </c>
      <c r="C1084">
        <v>75</v>
      </c>
    </row>
    <row r="1085" spans="1:4" hidden="1" x14ac:dyDescent="0.25">
      <c r="A1085" t="s">
        <v>20</v>
      </c>
      <c r="B1085">
        <v>20</v>
      </c>
      <c r="C1085">
        <v>76</v>
      </c>
      <c r="D1085">
        <v>1</v>
      </c>
    </row>
    <row r="1086" spans="1:4" hidden="1" x14ac:dyDescent="0.25">
      <c r="A1086" t="s">
        <v>20</v>
      </c>
      <c r="B1086">
        <v>20</v>
      </c>
      <c r="C1086">
        <v>77</v>
      </c>
    </row>
    <row r="1087" spans="1:4" hidden="1" x14ac:dyDescent="0.25">
      <c r="A1087" t="s">
        <v>20</v>
      </c>
      <c r="B1087">
        <v>20</v>
      </c>
      <c r="C1087">
        <v>78</v>
      </c>
    </row>
    <row r="1088" spans="1:4" hidden="1" x14ac:dyDescent="0.25">
      <c r="A1088" t="s">
        <v>20</v>
      </c>
      <c r="B1088">
        <v>20</v>
      </c>
      <c r="C1088">
        <v>79</v>
      </c>
    </row>
    <row r="1089" spans="1:6" hidden="1" x14ac:dyDescent="0.25">
      <c r="A1089" t="s">
        <v>20</v>
      </c>
      <c r="B1089">
        <v>20</v>
      </c>
      <c r="C1089">
        <v>80</v>
      </c>
    </row>
    <row r="1090" spans="1:6" hidden="1" x14ac:dyDescent="0.25">
      <c r="A1090" t="s">
        <v>20</v>
      </c>
      <c r="B1090">
        <v>20</v>
      </c>
      <c r="C1090">
        <v>81</v>
      </c>
    </row>
    <row r="1091" spans="1:6" hidden="1" x14ac:dyDescent="0.25">
      <c r="A1091" t="s">
        <v>20</v>
      </c>
      <c r="B1091">
        <v>20</v>
      </c>
      <c r="C1091">
        <v>82</v>
      </c>
      <c r="D1091">
        <v>1</v>
      </c>
    </row>
    <row r="1092" spans="1:6" hidden="1" x14ac:dyDescent="0.25">
      <c r="A1092" t="s">
        <v>20</v>
      </c>
      <c r="B1092">
        <v>20</v>
      </c>
      <c r="C1092">
        <v>83</v>
      </c>
    </row>
    <row r="1093" spans="1:6" hidden="1" x14ac:dyDescent="0.25">
      <c r="A1093" t="s">
        <v>20</v>
      </c>
      <c r="B1093">
        <v>20</v>
      </c>
      <c r="C1093">
        <v>84</v>
      </c>
    </row>
    <row r="1094" spans="1:6" hidden="1" x14ac:dyDescent="0.25">
      <c r="A1094" t="s">
        <v>20</v>
      </c>
      <c r="B1094">
        <v>21</v>
      </c>
      <c r="C1094">
        <v>1</v>
      </c>
      <c r="D1094">
        <v>1</v>
      </c>
      <c r="E1094">
        <v>84</v>
      </c>
      <c r="F1094">
        <v>7</v>
      </c>
    </row>
    <row r="1095" spans="1:6" hidden="1" x14ac:dyDescent="0.25">
      <c r="A1095" t="s">
        <v>20</v>
      </c>
      <c r="B1095">
        <v>21</v>
      </c>
      <c r="C1095">
        <v>2</v>
      </c>
      <c r="E1095">
        <v>84</v>
      </c>
      <c r="F1095">
        <v>7</v>
      </c>
    </row>
    <row r="1096" spans="1:6" hidden="1" x14ac:dyDescent="0.25">
      <c r="A1096" t="s">
        <v>20</v>
      </c>
      <c r="B1096">
        <v>21</v>
      </c>
      <c r="C1096">
        <v>3</v>
      </c>
      <c r="E1096">
        <v>84</v>
      </c>
      <c r="F1096">
        <v>7</v>
      </c>
    </row>
    <row r="1097" spans="1:6" hidden="1" x14ac:dyDescent="0.25">
      <c r="A1097" t="s">
        <v>20</v>
      </c>
      <c r="B1097">
        <v>21</v>
      </c>
      <c r="C1097">
        <v>4</v>
      </c>
      <c r="E1097">
        <v>84</v>
      </c>
      <c r="F1097">
        <v>7</v>
      </c>
    </row>
    <row r="1098" spans="1:6" hidden="1" x14ac:dyDescent="0.25">
      <c r="A1098" t="s">
        <v>20</v>
      </c>
      <c r="B1098">
        <v>21</v>
      </c>
      <c r="C1098">
        <v>5</v>
      </c>
      <c r="E1098">
        <v>84</v>
      </c>
      <c r="F1098">
        <v>7</v>
      </c>
    </row>
    <row r="1099" spans="1:6" hidden="1" x14ac:dyDescent="0.25">
      <c r="A1099" t="s">
        <v>20</v>
      </c>
      <c r="B1099">
        <v>21</v>
      </c>
      <c r="C1099">
        <v>6</v>
      </c>
      <c r="E1099">
        <v>84</v>
      </c>
      <c r="F1099">
        <v>7</v>
      </c>
    </row>
    <row r="1100" spans="1:6" hidden="1" x14ac:dyDescent="0.25">
      <c r="A1100" t="s">
        <v>20</v>
      </c>
      <c r="B1100">
        <v>21</v>
      </c>
      <c r="C1100">
        <v>7</v>
      </c>
      <c r="D1100">
        <v>1</v>
      </c>
      <c r="E1100">
        <v>84</v>
      </c>
      <c r="F1100">
        <v>7</v>
      </c>
    </row>
    <row r="1101" spans="1:6" hidden="1" x14ac:dyDescent="0.25">
      <c r="A1101" t="s">
        <v>20</v>
      </c>
      <c r="B1101">
        <v>21</v>
      </c>
      <c r="C1101">
        <v>8</v>
      </c>
      <c r="E1101">
        <v>84</v>
      </c>
      <c r="F1101">
        <v>7</v>
      </c>
    </row>
    <row r="1102" spans="1:6" hidden="1" x14ac:dyDescent="0.25">
      <c r="A1102" t="s">
        <v>20</v>
      </c>
      <c r="B1102">
        <v>21</v>
      </c>
      <c r="C1102">
        <v>9</v>
      </c>
      <c r="E1102">
        <v>84</v>
      </c>
      <c r="F1102">
        <v>7</v>
      </c>
    </row>
    <row r="1103" spans="1:6" hidden="1" x14ac:dyDescent="0.25">
      <c r="A1103" t="s">
        <v>20</v>
      </c>
      <c r="B1103">
        <v>21</v>
      </c>
      <c r="C1103">
        <v>10</v>
      </c>
      <c r="E1103">
        <v>84</v>
      </c>
      <c r="F1103">
        <v>7</v>
      </c>
    </row>
    <row r="1104" spans="1:6" hidden="1" x14ac:dyDescent="0.25">
      <c r="A1104" t="s">
        <v>20</v>
      </c>
      <c r="B1104">
        <v>21</v>
      </c>
      <c r="C1104">
        <v>11</v>
      </c>
      <c r="E1104">
        <v>84</v>
      </c>
      <c r="F1104">
        <v>7</v>
      </c>
    </row>
    <row r="1105" spans="1:6" hidden="1" x14ac:dyDescent="0.25">
      <c r="A1105" t="s">
        <v>20</v>
      </c>
      <c r="B1105">
        <v>21</v>
      </c>
      <c r="C1105">
        <v>12</v>
      </c>
      <c r="E1105">
        <v>84</v>
      </c>
      <c r="F1105">
        <v>7</v>
      </c>
    </row>
    <row r="1106" spans="1:6" hidden="1" x14ac:dyDescent="0.25">
      <c r="A1106" t="s">
        <v>20</v>
      </c>
      <c r="B1106">
        <v>21</v>
      </c>
      <c r="C1106">
        <v>13</v>
      </c>
      <c r="E1106">
        <v>84</v>
      </c>
      <c r="F1106">
        <v>7</v>
      </c>
    </row>
    <row r="1107" spans="1:6" hidden="1" x14ac:dyDescent="0.25">
      <c r="A1107" t="s">
        <v>20</v>
      </c>
      <c r="B1107">
        <v>21</v>
      </c>
      <c r="C1107">
        <v>14</v>
      </c>
      <c r="E1107">
        <v>84</v>
      </c>
      <c r="F1107">
        <v>7</v>
      </c>
    </row>
    <row r="1108" spans="1:6" hidden="1" x14ac:dyDescent="0.25">
      <c r="A1108" t="s">
        <v>20</v>
      </c>
      <c r="B1108">
        <v>21</v>
      </c>
      <c r="C1108">
        <v>15</v>
      </c>
      <c r="E1108">
        <v>84</v>
      </c>
      <c r="F1108">
        <v>7</v>
      </c>
    </row>
    <row r="1109" spans="1:6" hidden="1" x14ac:dyDescent="0.25">
      <c r="A1109" t="s">
        <v>20</v>
      </c>
      <c r="B1109">
        <v>21</v>
      </c>
      <c r="C1109">
        <v>16</v>
      </c>
      <c r="E1109">
        <v>84</v>
      </c>
      <c r="F1109">
        <v>7</v>
      </c>
    </row>
    <row r="1110" spans="1:6" hidden="1" x14ac:dyDescent="0.25">
      <c r="A1110" t="s">
        <v>20</v>
      </c>
      <c r="B1110">
        <v>21</v>
      </c>
      <c r="C1110">
        <v>17</v>
      </c>
      <c r="E1110">
        <v>84</v>
      </c>
      <c r="F1110">
        <v>7</v>
      </c>
    </row>
    <row r="1111" spans="1:6" hidden="1" x14ac:dyDescent="0.25">
      <c r="A1111" t="s">
        <v>20</v>
      </c>
      <c r="B1111">
        <v>21</v>
      </c>
      <c r="C1111">
        <v>18</v>
      </c>
      <c r="E1111">
        <v>84</v>
      </c>
      <c r="F1111">
        <v>7</v>
      </c>
    </row>
    <row r="1112" spans="1:6" hidden="1" x14ac:dyDescent="0.25">
      <c r="A1112" t="s">
        <v>20</v>
      </c>
      <c r="B1112">
        <v>21</v>
      </c>
      <c r="C1112">
        <v>19</v>
      </c>
      <c r="E1112">
        <v>84</v>
      </c>
      <c r="F1112">
        <v>7</v>
      </c>
    </row>
    <row r="1113" spans="1:6" hidden="1" x14ac:dyDescent="0.25">
      <c r="A1113" t="s">
        <v>20</v>
      </c>
      <c r="B1113">
        <v>21</v>
      </c>
      <c r="C1113">
        <v>20</v>
      </c>
      <c r="E1113">
        <v>84</v>
      </c>
      <c r="F1113">
        <v>7</v>
      </c>
    </row>
    <row r="1114" spans="1:6" hidden="1" x14ac:dyDescent="0.25">
      <c r="A1114" t="s">
        <v>20</v>
      </c>
      <c r="B1114">
        <v>21</v>
      </c>
      <c r="C1114">
        <v>21</v>
      </c>
      <c r="E1114">
        <v>84</v>
      </c>
      <c r="F1114">
        <v>7</v>
      </c>
    </row>
    <row r="1115" spans="1:6" hidden="1" x14ac:dyDescent="0.25">
      <c r="A1115" t="s">
        <v>20</v>
      </c>
      <c r="B1115">
        <v>21</v>
      </c>
      <c r="C1115">
        <v>22</v>
      </c>
      <c r="E1115">
        <v>84</v>
      </c>
      <c r="F1115">
        <v>7</v>
      </c>
    </row>
    <row r="1116" spans="1:6" hidden="1" x14ac:dyDescent="0.25">
      <c r="A1116" t="s">
        <v>20</v>
      </c>
      <c r="B1116">
        <v>21</v>
      </c>
      <c r="C1116">
        <v>23</v>
      </c>
      <c r="E1116">
        <v>84</v>
      </c>
      <c r="F1116">
        <v>7</v>
      </c>
    </row>
    <row r="1117" spans="1:6" hidden="1" x14ac:dyDescent="0.25">
      <c r="A1117" t="s">
        <v>20</v>
      </c>
      <c r="B1117">
        <v>21</v>
      </c>
      <c r="C1117">
        <v>24</v>
      </c>
      <c r="E1117">
        <v>84</v>
      </c>
      <c r="F1117">
        <v>7</v>
      </c>
    </row>
    <row r="1118" spans="1:6" hidden="1" x14ac:dyDescent="0.25">
      <c r="A1118" t="s">
        <v>20</v>
      </c>
      <c r="B1118">
        <v>21</v>
      </c>
      <c r="C1118">
        <v>25</v>
      </c>
      <c r="E1118">
        <v>84</v>
      </c>
      <c r="F1118">
        <v>7</v>
      </c>
    </row>
    <row r="1119" spans="1:6" hidden="1" x14ac:dyDescent="0.25">
      <c r="A1119" t="s">
        <v>20</v>
      </c>
      <c r="B1119">
        <v>21</v>
      </c>
      <c r="C1119">
        <v>26</v>
      </c>
      <c r="E1119">
        <v>84</v>
      </c>
      <c r="F1119">
        <v>7</v>
      </c>
    </row>
    <row r="1120" spans="1:6" hidden="1" x14ac:dyDescent="0.25">
      <c r="A1120" t="s">
        <v>20</v>
      </c>
      <c r="B1120">
        <v>21</v>
      </c>
      <c r="C1120">
        <v>27</v>
      </c>
      <c r="E1120">
        <v>84</v>
      </c>
      <c r="F1120">
        <v>7</v>
      </c>
    </row>
    <row r="1121" spans="1:6" hidden="1" x14ac:dyDescent="0.25">
      <c r="A1121" t="s">
        <v>20</v>
      </c>
      <c r="B1121">
        <v>21</v>
      </c>
      <c r="C1121">
        <v>28</v>
      </c>
      <c r="D1121">
        <v>1</v>
      </c>
      <c r="E1121">
        <v>84</v>
      </c>
      <c r="F1121">
        <v>7</v>
      </c>
    </row>
    <row r="1122" spans="1:6" hidden="1" x14ac:dyDescent="0.25">
      <c r="A1122" t="s">
        <v>20</v>
      </c>
      <c r="B1122">
        <v>21</v>
      </c>
      <c r="C1122">
        <v>29</v>
      </c>
      <c r="E1122">
        <v>84</v>
      </c>
      <c r="F1122">
        <v>7</v>
      </c>
    </row>
    <row r="1123" spans="1:6" hidden="1" x14ac:dyDescent="0.25">
      <c r="A1123" t="s">
        <v>20</v>
      </c>
      <c r="B1123">
        <v>21</v>
      </c>
      <c r="C1123">
        <v>30</v>
      </c>
      <c r="E1123">
        <v>84</v>
      </c>
      <c r="F1123">
        <v>7</v>
      </c>
    </row>
    <row r="1124" spans="1:6" hidden="1" x14ac:dyDescent="0.25">
      <c r="A1124" t="s">
        <v>20</v>
      </c>
      <c r="B1124">
        <v>21</v>
      </c>
      <c r="C1124">
        <v>31</v>
      </c>
      <c r="D1124">
        <v>1</v>
      </c>
      <c r="E1124">
        <v>84</v>
      </c>
      <c r="F1124">
        <v>7</v>
      </c>
    </row>
    <row r="1125" spans="1:6" hidden="1" x14ac:dyDescent="0.25">
      <c r="A1125" t="s">
        <v>20</v>
      </c>
      <c r="B1125">
        <v>21</v>
      </c>
      <c r="C1125">
        <v>32</v>
      </c>
      <c r="E1125">
        <v>84</v>
      </c>
      <c r="F1125">
        <v>7</v>
      </c>
    </row>
    <row r="1126" spans="1:6" hidden="1" x14ac:dyDescent="0.25">
      <c r="A1126" t="s">
        <v>20</v>
      </c>
      <c r="B1126">
        <v>21</v>
      </c>
      <c r="C1126">
        <v>33</v>
      </c>
      <c r="E1126">
        <v>84</v>
      </c>
      <c r="F1126">
        <v>7</v>
      </c>
    </row>
    <row r="1127" spans="1:6" hidden="1" x14ac:dyDescent="0.25">
      <c r="A1127" t="s">
        <v>20</v>
      </c>
      <c r="B1127">
        <v>21</v>
      </c>
      <c r="C1127">
        <v>34</v>
      </c>
      <c r="E1127">
        <v>84</v>
      </c>
      <c r="F1127">
        <v>7</v>
      </c>
    </row>
    <row r="1128" spans="1:6" hidden="1" x14ac:dyDescent="0.25">
      <c r="A1128" t="s">
        <v>20</v>
      </c>
      <c r="B1128">
        <v>21</v>
      </c>
      <c r="C1128">
        <v>35</v>
      </c>
      <c r="E1128">
        <v>84</v>
      </c>
      <c r="F1128">
        <v>7</v>
      </c>
    </row>
    <row r="1129" spans="1:6" hidden="1" x14ac:dyDescent="0.25">
      <c r="A1129" t="s">
        <v>20</v>
      </c>
      <c r="B1129">
        <v>21</v>
      </c>
      <c r="C1129">
        <v>36</v>
      </c>
      <c r="E1129">
        <v>84</v>
      </c>
      <c r="F1129">
        <v>7</v>
      </c>
    </row>
    <row r="1130" spans="1:6" hidden="1" x14ac:dyDescent="0.25">
      <c r="A1130" t="s">
        <v>20</v>
      </c>
      <c r="B1130">
        <v>21</v>
      </c>
      <c r="C1130">
        <v>37</v>
      </c>
      <c r="E1130">
        <v>84</v>
      </c>
      <c r="F1130">
        <v>7</v>
      </c>
    </row>
    <row r="1131" spans="1:6" hidden="1" x14ac:dyDescent="0.25">
      <c r="A1131" t="s">
        <v>20</v>
      </c>
      <c r="B1131">
        <v>21</v>
      </c>
      <c r="C1131">
        <v>38</v>
      </c>
      <c r="E1131">
        <v>84</v>
      </c>
      <c r="F1131">
        <v>7</v>
      </c>
    </row>
    <row r="1132" spans="1:6" hidden="1" x14ac:dyDescent="0.25">
      <c r="A1132" t="s">
        <v>20</v>
      </c>
      <c r="B1132">
        <v>21</v>
      </c>
      <c r="C1132">
        <v>39</v>
      </c>
      <c r="E1132">
        <v>84</v>
      </c>
      <c r="F1132">
        <v>7</v>
      </c>
    </row>
    <row r="1133" spans="1:6" hidden="1" x14ac:dyDescent="0.25">
      <c r="A1133" t="s">
        <v>20</v>
      </c>
      <c r="B1133">
        <v>21</v>
      </c>
      <c r="C1133">
        <v>40</v>
      </c>
      <c r="D1133">
        <v>1</v>
      </c>
      <c r="E1133">
        <v>84</v>
      </c>
      <c r="F1133">
        <v>7</v>
      </c>
    </row>
    <row r="1134" spans="1:6" hidden="1" x14ac:dyDescent="0.25">
      <c r="A1134" t="s">
        <v>20</v>
      </c>
      <c r="B1134">
        <v>21</v>
      </c>
      <c r="C1134">
        <v>41</v>
      </c>
      <c r="E1134">
        <v>84</v>
      </c>
      <c r="F1134">
        <v>7</v>
      </c>
    </row>
    <row r="1135" spans="1:6" hidden="1" x14ac:dyDescent="0.25">
      <c r="A1135" t="s">
        <v>20</v>
      </c>
      <c r="B1135">
        <v>21</v>
      </c>
      <c r="C1135">
        <v>42</v>
      </c>
      <c r="E1135">
        <v>84</v>
      </c>
      <c r="F1135">
        <v>7</v>
      </c>
    </row>
    <row r="1136" spans="1:6" hidden="1" x14ac:dyDescent="0.25">
      <c r="A1136" t="s">
        <v>20</v>
      </c>
      <c r="B1136">
        <v>21</v>
      </c>
      <c r="C1136">
        <v>43</v>
      </c>
      <c r="E1136">
        <v>84</v>
      </c>
      <c r="F1136">
        <v>7</v>
      </c>
    </row>
    <row r="1137" spans="1:6" hidden="1" x14ac:dyDescent="0.25">
      <c r="A1137" t="s">
        <v>20</v>
      </c>
      <c r="B1137">
        <v>21</v>
      </c>
      <c r="C1137">
        <v>44</v>
      </c>
      <c r="E1137">
        <v>84</v>
      </c>
      <c r="F1137">
        <v>7</v>
      </c>
    </row>
    <row r="1138" spans="1:6" hidden="1" x14ac:dyDescent="0.25">
      <c r="A1138" t="s">
        <v>20</v>
      </c>
      <c r="B1138">
        <v>21</v>
      </c>
      <c r="C1138">
        <v>45</v>
      </c>
      <c r="E1138">
        <v>84</v>
      </c>
      <c r="F1138">
        <v>7</v>
      </c>
    </row>
    <row r="1139" spans="1:6" hidden="1" x14ac:dyDescent="0.25">
      <c r="A1139" t="s">
        <v>20</v>
      </c>
      <c r="B1139">
        <v>21</v>
      </c>
      <c r="C1139">
        <v>46</v>
      </c>
      <c r="E1139">
        <v>84</v>
      </c>
      <c r="F1139">
        <v>7</v>
      </c>
    </row>
    <row r="1140" spans="1:6" hidden="1" x14ac:dyDescent="0.25">
      <c r="A1140" t="s">
        <v>20</v>
      </c>
      <c r="B1140">
        <v>21</v>
      </c>
      <c r="C1140">
        <v>47</v>
      </c>
      <c r="E1140">
        <v>84</v>
      </c>
      <c r="F1140">
        <v>7</v>
      </c>
    </row>
    <row r="1141" spans="1:6" hidden="1" x14ac:dyDescent="0.25">
      <c r="A1141" t="s">
        <v>20</v>
      </c>
      <c r="B1141">
        <v>21</v>
      </c>
      <c r="C1141">
        <v>48</v>
      </c>
      <c r="E1141">
        <v>84</v>
      </c>
      <c r="F1141">
        <v>7</v>
      </c>
    </row>
    <row r="1142" spans="1:6" hidden="1" x14ac:dyDescent="0.25">
      <c r="A1142" t="s">
        <v>20</v>
      </c>
      <c r="B1142">
        <v>21</v>
      </c>
      <c r="C1142">
        <v>49</v>
      </c>
      <c r="E1142">
        <v>84</v>
      </c>
      <c r="F1142">
        <v>7</v>
      </c>
    </row>
    <row r="1143" spans="1:6" hidden="1" x14ac:dyDescent="0.25">
      <c r="A1143" t="s">
        <v>20</v>
      </c>
      <c r="B1143">
        <v>21</v>
      </c>
      <c r="C1143">
        <v>50</v>
      </c>
      <c r="E1143">
        <v>84</v>
      </c>
      <c r="F1143">
        <v>7</v>
      </c>
    </row>
    <row r="1144" spans="1:6" hidden="1" x14ac:dyDescent="0.25">
      <c r="A1144" t="s">
        <v>20</v>
      </c>
      <c r="B1144">
        <v>21</v>
      </c>
      <c r="C1144">
        <v>51</v>
      </c>
      <c r="E1144">
        <v>84</v>
      </c>
      <c r="F1144">
        <v>7</v>
      </c>
    </row>
    <row r="1145" spans="1:6" hidden="1" x14ac:dyDescent="0.25">
      <c r="A1145" t="s">
        <v>20</v>
      </c>
      <c r="B1145">
        <v>21</v>
      </c>
      <c r="C1145">
        <v>52</v>
      </c>
      <c r="E1145">
        <v>84</v>
      </c>
      <c r="F1145">
        <v>7</v>
      </c>
    </row>
    <row r="1146" spans="1:6" hidden="1" x14ac:dyDescent="0.25">
      <c r="A1146" t="s">
        <v>20</v>
      </c>
      <c r="B1146">
        <v>21</v>
      </c>
      <c r="C1146">
        <v>53</v>
      </c>
      <c r="E1146">
        <v>84</v>
      </c>
      <c r="F1146">
        <v>7</v>
      </c>
    </row>
    <row r="1147" spans="1:6" hidden="1" x14ac:dyDescent="0.25">
      <c r="A1147" t="s">
        <v>20</v>
      </c>
      <c r="B1147">
        <v>21</v>
      </c>
      <c r="C1147">
        <v>54</v>
      </c>
      <c r="E1147">
        <v>84</v>
      </c>
      <c r="F1147">
        <v>7</v>
      </c>
    </row>
    <row r="1148" spans="1:6" hidden="1" x14ac:dyDescent="0.25">
      <c r="A1148" t="s">
        <v>20</v>
      </c>
      <c r="B1148">
        <v>21</v>
      </c>
      <c r="C1148">
        <v>55</v>
      </c>
      <c r="E1148">
        <v>84</v>
      </c>
      <c r="F1148">
        <v>7</v>
      </c>
    </row>
    <row r="1149" spans="1:6" hidden="1" x14ac:dyDescent="0.25">
      <c r="A1149" t="s">
        <v>20</v>
      </c>
      <c r="B1149">
        <v>21</v>
      </c>
      <c r="C1149">
        <v>56</v>
      </c>
      <c r="E1149">
        <v>84</v>
      </c>
      <c r="F1149">
        <v>7</v>
      </c>
    </row>
    <row r="1150" spans="1:6" hidden="1" x14ac:dyDescent="0.25">
      <c r="A1150" t="s">
        <v>20</v>
      </c>
      <c r="B1150">
        <v>21</v>
      </c>
      <c r="C1150">
        <v>57</v>
      </c>
      <c r="E1150">
        <v>84</v>
      </c>
      <c r="F1150">
        <v>7</v>
      </c>
    </row>
    <row r="1151" spans="1:6" hidden="1" x14ac:dyDescent="0.25">
      <c r="A1151" t="s">
        <v>20</v>
      </c>
      <c r="B1151">
        <v>21</v>
      </c>
      <c r="C1151">
        <v>58</v>
      </c>
      <c r="E1151">
        <v>84</v>
      </c>
      <c r="F1151">
        <v>7</v>
      </c>
    </row>
    <row r="1152" spans="1:6" hidden="1" x14ac:dyDescent="0.25">
      <c r="A1152" t="s">
        <v>20</v>
      </c>
      <c r="B1152">
        <v>21</v>
      </c>
      <c r="C1152">
        <v>59</v>
      </c>
      <c r="E1152">
        <v>84</v>
      </c>
      <c r="F1152">
        <v>7</v>
      </c>
    </row>
    <row r="1153" spans="1:6" hidden="1" x14ac:dyDescent="0.25">
      <c r="A1153" t="s">
        <v>20</v>
      </c>
      <c r="B1153">
        <v>21</v>
      </c>
      <c r="C1153">
        <v>60</v>
      </c>
      <c r="E1153">
        <v>84</v>
      </c>
      <c r="F1153">
        <v>7</v>
      </c>
    </row>
    <row r="1154" spans="1:6" hidden="1" x14ac:dyDescent="0.25">
      <c r="A1154" t="s">
        <v>20</v>
      </c>
      <c r="B1154">
        <v>21</v>
      </c>
      <c r="C1154">
        <v>61</v>
      </c>
      <c r="E1154">
        <v>84</v>
      </c>
      <c r="F1154">
        <v>7</v>
      </c>
    </row>
    <row r="1155" spans="1:6" hidden="1" x14ac:dyDescent="0.25">
      <c r="A1155" t="s">
        <v>20</v>
      </c>
      <c r="B1155">
        <v>21</v>
      </c>
      <c r="C1155">
        <v>62</v>
      </c>
      <c r="E1155">
        <v>84</v>
      </c>
      <c r="F1155">
        <v>7</v>
      </c>
    </row>
    <row r="1156" spans="1:6" hidden="1" x14ac:dyDescent="0.25">
      <c r="A1156" t="s">
        <v>20</v>
      </c>
      <c r="B1156">
        <v>21</v>
      </c>
      <c r="C1156">
        <v>63</v>
      </c>
      <c r="E1156">
        <v>84</v>
      </c>
      <c r="F1156">
        <v>7</v>
      </c>
    </row>
    <row r="1157" spans="1:6" hidden="1" x14ac:dyDescent="0.25">
      <c r="A1157" t="s">
        <v>20</v>
      </c>
      <c r="B1157">
        <v>21</v>
      </c>
      <c r="C1157">
        <v>64</v>
      </c>
      <c r="E1157">
        <v>84</v>
      </c>
      <c r="F1157">
        <v>7</v>
      </c>
    </row>
    <row r="1158" spans="1:6" hidden="1" x14ac:dyDescent="0.25">
      <c r="A1158" t="s">
        <v>20</v>
      </c>
      <c r="B1158">
        <v>21</v>
      </c>
      <c r="C1158">
        <v>65</v>
      </c>
      <c r="E1158">
        <v>84</v>
      </c>
      <c r="F1158">
        <v>7</v>
      </c>
    </row>
    <row r="1159" spans="1:6" hidden="1" x14ac:dyDescent="0.25">
      <c r="A1159" t="s">
        <v>20</v>
      </c>
      <c r="B1159">
        <v>21</v>
      </c>
      <c r="C1159">
        <v>66</v>
      </c>
      <c r="E1159">
        <v>84</v>
      </c>
      <c r="F1159">
        <v>7</v>
      </c>
    </row>
    <row r="1160" spans="1:6" hidden="1" x14ac:dyDescent="0.25">
      <c r="A1160" t="s">
        <v>20</v>
      </c>
      <c r="B1160">
        <v>21</v>
      </c>
      <c r="C1160">
        <v>67</v>
      </c>
      <c r="D1160">
        <v>1</v>
      </c>
      <c r="E1160">
        <v>84</v>
      </c>
      <c r="F1160">
        <v>7</v>
      </c>
    </row>
    <row r="1161" spans="1:6" hidden="1" x14ac:dyDescent="0.25">
      <c r="A1161" t="s">
        <v>20</v>
      </c>
      <c r="B1161">
        <v>21</v>
      </c>
      <c r="C1161">
        <v>68</v>
      </c>
      <c r="E1161">
        <v>84</v>
      </c>
      <c r="F1161">
        <v>7</v>
      </c>
    </row>
    <row r="1162" spans="1:6" hidden="1" x14ac:dyDescent="0.25">
      <c r="A1162" t="s">
        <v>20</v>
      </c>
      <c r="B1162">
        <v>21</v>
      </c>
      <c r="C1162">
        <v>69</v>
      </c>
      <c r="E1162">
        <v>84</v>
      </c>
      <c r="F1162">
        <v>7</v>
      </c>
    </row>
    <row r="1163" spans="1:6" hidden="1" x14ac:dyDescent="0.25">
      <c r="A1163" t="s">
        <v>20</v>
      </c>
      <c r="B1163">
        <v>21</v>
      </c>
      <c r="C1163">
        <v>70</v>
      </c>
      <c r="E1163">
        <v>84</v>
      </c>
      <c r="F1163">
        <v>7</v>
      </c>
    </row>
    <row r="1164" spans="1:6" hidden="1" x14ac:dyDescent="0.25">
      <c r="A1164" t="s">
        <v>20</v>
      </c>
      <c r="B1164">
        <v>21</v>
      </c>
      <c r="C1164">
        <v>71</v>
      </c>
      <c r="E1164">
        <v>84</v>
      </c>
      <c r="F1164">
        <v>7</v>
      </c>
    </row>
    <row r="1165" spans="1:6" hidden="1" x14ac:dyDescent="0.25">
      <c r="A1165" t="s">
        <v>20</v>
      </c>
      <c r="B1165">
        <v>21</v>
      </c>
      <c r="C1165">
        <v>72</v>
      </c>
      <c r="E1165">
        <v>84</v>
      </c>
      <c r="F1165">
        <v>7</v>
      </c>
    </row>
    <row r="1166" spans="1:6" hidden="1" x14ac:dyDescent="0.25">
      <c r="A1166" t="s">
        <v>20</v>
      </c>
      <c r="B1166">
        <v>21</v>
      </c>
      <c r="C1166">
        <v>73</v>
      </c>
      <c r="D1166">
        <v>1</v>
      </c>
      <c r="E1166">
        <v>84</v>
      </c>
      <c r="F1166">
        <v>7</v>
      </c>
    </row>
    <row r="1167" spans="1:6" hidden="1" x14ac:dyDescent="0.25">
      <c r="A1167" t="s">
        <v>20</v>
      </c>
      <c r="B1167">
        <v>21</v>
      </c>
      <c r="C1167">
        <v>74</v>
      </c>
      <c r="E1167">
        <v>84</v>
      </c>
      <c r="F1167">
        <v>7</v>
      </c>
    </row>
    <row r="1168" spans="1:6" hidden="1" x14ac:dyDescent="0.25">
      <c r="A1168" t="s">
        <v>20</v>
      </c>
      <c r="B1168">
        <v>21</v>
      </c>
      <c r="C1168">
        <v>75</v>
      </c>
      <c r="E1168">
        <v>84</v>
      </c>
      <c r="F1168">
        <v>7</v>
      </c>
    </row>
    <row r="1169" spans="1:6" hidden="1" x14ac:dyDescent="0.25">
      <c r="A1169" t="s">
        <v>20</v>
      </c>
      <c r="B1169">
        <v>21</v>
      </c>
      <c r="C1169">
        <v>76</v>
      </c>
      <c r="E1169">
        <v>84</v>
      </c>
      <c r="F1169">
        <v>7</v>
      </c>
    </row>
    <row r="1170" spans="1:6" hidden="1" x14ac:dyDescent="0.25">
      <c r="A1170" t="s">
        <v>20</v>
      </c>
      <c r="B1170">
        <v>21</v>
      </c>
      <c r="C1170">
        <v>77</v>
      </c>
      <c r="E1170">
        <v>84</v>
      </c>
      <c r="F1170">
        <v>7</v>
      </c>
    </row>
    <row r="1171" spans="1:6" hidden="1" x14ac:dyDescent="0.25">
      <c r="A1171" t="s">
        <v>20</v>
      </c>
      <c r="B1171">
        <v>21</v>
      </c>
      <c r="C1171">
        <v>78</v>
      </c>
      <c r="E1171">
        <v>84</v>
      </c>
      <c r="F1171">
        <v>7</v>
      </c>
    </row>
    <row r="1172" spans="1:6" hidden="1" x14ac:dyDescent="0.25">
      <c r="A1172" t="s">
        <v>20</v>
      </c>
      <c r="B1172">
        <v>21</v>
      </c>
      <c r="C1172">
        <v>79</v>
      </c>
      <c r="E1172">
        <v>84</v>
      </c>
      <c r="F1172">
        <v>7</v>
      </c>
    </row>
    <row r="1173" spans="1:6" hidden="1" x14ac:dyDescent="0.25">
      <c r="A1173" t="s">
        <v>20</v>
      </c>
      <c r="B1173">
        <v>21</v>
      </c>
      <c r="C1173">
        <v>80</v>
      </c>
      <c r="E1173">
        <v>84</v>
      </c>
      <c r="F1173">
        <v>7</v>
      </c>
    </row>
    <row r="1174" spans="1:6" hidden="1" x14ac:dyDescent="0.25">
      <c r="A1174" t="s">
        <v>20</v>
      </c>
      <c r="B1174">
        <v>21</v>
      </c>
      <c r="C1174">
        <v>81</v>
      </c>
      <c r="E1174">
        <v>84</v>
      </c>
      <c r="F1174">
        <v>7</v>
      </c>
    </row>
    <row r="1175" spans="1:6" hidden="1" x14ac:dyDescent="0.25">
      <c r="A1175" t="s">
        <v>20</v>
      </c>
      <c r="B1175">
        <v>21</v>
      </c>
      <c r="C1175">
        <v>82</v>
      </c>
      <c r="E1175">
        <v>84</v>
      </c>
      <c r="F1175">
        <v>7</v>
      </c>
    </row>
    <row r="1176" spans="1:6" hidden="1" x14ac:dyDescent="0.25">
      <c r="A1176" t="s">
        <v>20</v>
      </c>
      <c r="B1176">
        <v>21</v>
      </c>
      <c r="C1176">
        <v>83</v>
      </c>
      <c r="E1176">
        <v>84</v>
      </c>
      <c r="F1176">
        <v>7</v>
      </c>
    </row>
    <row r="1177" spans="1:6" hidden="1" x14ac:dyDescent="0.25">
      <c r="A1177" t="s">
        <v>20</v>
      </c>
      <c r="B1177">
        <v>21</v>
      </c>
      <c r="C1177">
        <v>84</v>
      </c>
      <c r="E1177">
        <v>84</v>
      </c>
      <c r="F1177">
        <v>7</v>
      </c>
    </row>
    <row r="1178" spans="1:6" hidden="1" x14ac:dyDescent="0.25">
      <c r="A1178" t="s">
        <v>20</v>
      </c>
      <c r="B1178">
        <v>22</v>
      </c>
      <c r="C1178">
        <v>1</v>
      </c>
    </row>
    <row r="1179" spans="1:6" hidden="1" x14ac:dyDescent="0.25">
      <c r="A1179" t="s">
        <v>20</v>
      </c>
      <c r="B1179">
        <v>22</v>
      </c>
      <c r="C1179">
        <v>2</v>
      </c>
    </row>
    <row r="1180" spans="1:6" hidden="1" x14ac:dyDescent="0.25">
      <c r="A1180" t="s">
        <v>20</v>
      </c>
      <c r="B1180">
        <v>22</v>
      </c>
      <c r="C1180">
        <v>3</v>
      </c>
    </row>
    <row r="1181" spans="1:6" hidden="1" x14ac:dyDescent="0.25">
      <c r="A1181" t="s">
        <v>20</v>
      </c>
      <c r="B1181">
        <v>22</v>
      </c>
      <c r="C1181">
        <v>4</v>
      </c>
      <c r="D1181">
        <v>1</v>
      </c>
    </row>
    <row r="1182" spans="1:6" hidden="1" x14ac:dyDescent="0.25">
      <c r="A1182" t="s">
        <v>20</v>
      </c>
      <c r="B1182">
        <v>22</v>
      </c>
      <c r="C1182">
        <v>5</v>
      </c>
    </row>
    <row r="1183" spans="1:6" hidden="1" x14ac:dyDescent="0.25">
      <c r="A1183" t="s">
        <v>20</v>
      </c>
      <c r="B1183">
        <v>22</v>
      </c>
      <c r="C1183">
        <v>6</v>
      </c>
    </row>
    <row r="1184" spans="1:6" hidden="1" x14ac:dyDescent="0.25">
      <c r="A1184" t="s">
        <v>20</v>
      </c>
      <c r="B1184">
        <v>22</v>
      </c>
      <c r="C1184">
        <v>7</v>
      </c>
      <c r="D1184">
        <v>1</v>
      </c>
    </row>
    <row r="1185" spans="1:4" hidden="1" x14ac:dyDescent="0.25">
      <c r="A1185" t="s">
        <v>20</v>
      </c>
      <c r="B1185">
        <v>22</v>
      </c>
      <c r="C1185">
        <v>8</v>
      </c>
    </row>
    <row r="1186" spans="1:4" hidden="1" x14ac:dyDescent="0.25">
      <c r="A1186" t="s">
        <v>20</v>
      </c>
      <c r="B1186">
        <v>22</v>
      </c>
      <c r="C1186">
        <v>9</v>
      </c>
    </row>
    <row r="1187" spans="1:4" hidden="1" x14ac:dyDescent="0.25">
      <c r="A1187" t="s">
        <v>20</v>
      </c>
      <c r="B1187">
        <v>22</v>
      </c>
      <c r="C1187">
        <v>10</v>
      </c>
      <c r="D1187">
        <v>1</v>
      </c>
    </row>
    <row r="1188" spans="1:4" hidden="1" x14ac:dyDescent="0.25">
      <c r="A1188" t="s">
        <v>20</v>
      </c>
      <c r="B1188">
        <v>22</v>
      </c>
      <c r="C1188">
        <v>11</v>
      </c>
    </row>
    <row r="1189" spans="1:4" hidden="1" x14ac:dyDescent="0.25">
      <c r="A1189" t="s">
        <v>20</v>
      </c>
      <c r="B1189">
        <v>22</v>
      </c>
      <c r="C1189">
        <v>12</v>
      </c>
    </row>
    <row r="1190" spans="1:4" hidden="1" x14ac:dyDescent="0.25">
      <c r="A1190" t="s">
        <v>20</v>
      </c>
      <c r="B1190">
        <v>22</v>
      </c>
      <c r="C1190">
        <v>13</v>
      </c>
    </row>
    <row r="1191" spans="1:4" hidden="1" x14ac:dyDescent="0.25">
      <c r="A1191" t="s">
        <v>20</v>
      </c>
      <c r="B1191">
        <v>22</v>
      </c>
      <c r="C1191">
        <v>14</v>
      </c>
    </row>
    <row r="1192" spans="1:4" hidden="1" x14ac:dyDescent="0.25">
      <c r="A1192" t="s">
        <v>20</v>
      </c>
      <c r="B1192">
        <v>22</v>
      </c>
      <c r="C1192">
        <v>15</v>
      </c>
    </row>
    <row r="1193" spans="1:4" hidden="1" x14ac:dyDescent="0.25">
      <c r="A1193" t="s">
        <v>20</v>
      </c>
      <c r="B1193">
        <v>22</v>
      </c>
      <c r="C1193">
        <v>16</v>
      </c>
    </row>
    <row r="1194" spans="1:4" hidden="1" x14ac:dyDescent="0.25">
      <c r="A1194" t="s">
        <v>20</v>
      </c>
      <c r="B1194">
        <v>22</v>
      </c>
      <c r="C1194">
        <v>17</v>
      </c>
    </row>
    <row r="1195" spans="1:4" hidden="1" x14ac:dyDescent="0.25">
      <c r="A1195" t="s">
        <v>20</v>
      </c>
      <c r="B1195">
        <v>22</v>
      </c>
      <c r="C1195">
        <v>18</v>
      </c>
    </row>
    <row r="1196" spans="1:4" hidden="1" x14ac:dyDescent="0.25">
      <c r="A1196" t="s">
        <v>20</v>
      </c>
      <c r="B1196">
        <v>22</v>
      </c>
      <c r="C1196">
        <v>19</v>
      </c>
    </row>
    <row r="1197" spans="1:4" hidden="1" x14ac:dyDescent="0.25">
      <c r="A1197" t="s">
        <v>20</v>
      </c>
      <c r="B1197">
        <v>22</v>
      </c>
      <c r="C1197">
        <v>20</v>
      </c>
    </row>
    <row r="1198" spans="1:4" hidden="1" x14ac:dyDescent="0.25">
      <c r="A1198" t="s">
        <v>20</v>
      </c>
      <c r="B1198">
        <v>22</v>
      </c>
      <c r="C1198">
        <v>21</v>
      </c>
    </row>
    <row r="1199" spans="1:4" hidden="1" x14ac:dyDescent="0.25">
      <c r="A1199" t="s">
        <v>20</v>
      </c>
      <c r="B1199">
        <v>22</v>
      </c>
      <c r="C1199">
        <v>22</v>
      </c>
    </row>
    <row r="1200" spans="1:4" hidden="1" x14ac:dyDescent="0.25">
      <c r="A1200" t="s">
        <v>20</v>
      </c>
      <c r="B1200">
        <v>22</v>
      </c>
      <c r="C1200">
        <v>23</v>
      </c>
    </row>
    <row r="1201" spans="1:4" hidden="1" x14ac:dyDescent="0.25">
      <c r="A1201" t="s">
        <v>20</v>
      </c>
      <c r="B1201">
        <v>22</v>
      </c>
      <c r="C1201">
        <v>24</v>
      </c>
      <c r="D1201">
        <v>1</v>
      </c>
    </row>
    <row r="1202" spans="1:4" hidden="1" x14ac:dyDescent="0.25">
      <c r="A1202" t="s">
        <v>20</v>
      </c>
      <c r="B1202">
        <v>22</v>
      </c>
      <c r="C1202">
        <v>25</v>
      </c>
    </row>
    <row r="1203" spans="1:4" hidden="1" x14ac:dyDescent="0.25">
      <c r="A1203" t="s">
        <v>20</v>
      </c>
      <c r="B1203">
        <v>22</v>
      </c>
      <c r="C1203">
        <v>26</v>
      </c>
    </row>
    <row r="1204" spans="1:4" hidden="1" x14ac:dyDescent="0.25">
      <c r="A1204" t="s">
        <v>20</v>
      </c>
      <c r="B1204">
        <v>22</v>
      </c>
      <c r="C1204">
        <v>27</v>
      </c>
    </row>
    <row r="1205" spans="1:4" hidden="1" x14ac:dyDescent="0.25">
      <c r="A1205" t="s">
        <v>20</v>
      </c>
      <c r="B1205">
        <v>22</v>
      </c>
      <c r="C1205">
        <v>28</v>
      </c>
      <c r="D1205">
        <v>1</v>
      </c>
    </row>
    <row r="1206" spans="1:4" hidden="1" x14ac:dyDescent="0.25">
      <c r="A1206" t="s">
        <v>20</v>
      </c>
      <c r="B1206">
        <v>22</v>
      </c>
      <c r="C1206">
        <v>29</v>
      </c>
    </row>
    <row r="1207" spans="1:4" hidden="1" x14ac:dyDescent="0.25">
      <c r="A1207" t="s">
        <v>20</v>
      </c>
      <c r="B1207">
        <v>22</v>
      </c>
      <c r="C1207">
        <v>30</v>
      </c>
    </row>
    <row r="1208" spans="1:4" hidden="1" x14ac:dyDescent="0.25">
      <c r="A1208" t="s">
        <v>20</v>
      </c>
      <c r="B1208">
        <v>22</v>
      </c>
      <c r="C1208">
        <v>31</v>
      </c>
      <c r="D1208">
        <v>1</v>
      </c>
    </row>
    <row r="1209" spans="1:4" hidden="1" x14ac:dyDescent="0.25">
      <c r="A1209" t="s">
        <v>20</v>
      </c>
      <c r="B1209">
        <v>22</v>
      </c>
      <c r="C1209">
        <v>32</v>
      </c>
    </row>
    <row r="1210" spans="1:4" hidden="1" x14ac:dyDescent="0.25">
      <c r="A1210" t="s">
        <v>20</v>
      </c>
      <c r="B1210">
        <v>22</v>
      </c>
      <c r="C1210">
        <v>33</v>
      </c>
    </row>
    <row r="1211" spans="1:4" hidden="1" x14ac:dyDescent="0.25">
      <c r="A1211" t="s">
        <v>20</v>
      </c>
      <c r="B1211">
        <v>22</v>
      </c>
      <c r="C1211">
        <v>34</v>
      </c>
    </row>
    <row r="1212" spans="1:4" hidden="1" x14ac:dyDescent="0.25">
      <c r="A1212" t="s">
        <v>20</v>
      </c>
      <c r="B1212">
        <v>22</v>
      </c>
      <c r="C1212">
        <v>35</v>
      </c>
    </row>
    <row r="1213" spans="1:4" hidden="1" x14ac:dyDescent="0.25">
      <c r="A1213" t="s">
        <v>20</v>
      </c>
      <c r="B1213">
        <v>22</v>
      </c>
      <c r="C1213">
        <v>36</v>
      </c>
    </row>
    <row r="1214" spans="1:4" hidden="1" x14ac:dyDescent="0.25">
      <c r="A1214" t="s">
        <v>20</v>
      </c>
      <c r="B1214">
        <v>22</v>
      </c>
      <c r="C1214">
        <v>37</v>
      </c>
    </row>
    <row r="1215" spans="1:4" hidden="1" x14ac:dyDescent="0.25">
      <c r="A1215" t="s">
        <v>20</v>
      </c>
      <c r="B1215">
        <v>22</v>
      </c>
      <c r="C1215">
        <v>38</v>
      </c>
    </row>
    <row r="1216" spans="1:4" hidden="1" x14ac:dyDescent="0.25">
      <c r="A1216" t="s">
        <v>20</v>
      </c>
      <c r="B1216">
        <v>22</v>
      </c>
      <c r="C1216">
        <v>39</v>
      </c>
    </row>
    <row r="1217" spans="1:4" hidden="1" x14ac:dyDescent="0.25">
      <c r="A1217" t="s">
        <v>20</v>
      </c>
      <c r="B1217">
        <v>22</v>
      </c>
      <c r="C1217">
        <v>40</v>
      </c>
    </row>
    <row r="1218" spans="1:4" hidden="1" x14ac:dyDescent="0.25">
      <c r="A1218" t="s">
        <v>20</v>
      </c>
      <c r="B1218">
        <v>22</v>
      </c>
      <c r="C1218">
        <v>41</v>
      </c>
    </row>
    <row r="1219" spans="1:4" hidden="1" x14ac:dyDescent="0.25">
      <c r="A1219" t="s">
        <v>20</v>
      </c>
      <c r="B1219">
        <v>22</v>
      </c>
      <c r="C1219">
        <v>42</v>
      </c>
      <c r="D1219">
        <v>1</v>
      </c>
    </row>
    <row r="1220" spans="1:4" hidden="1" x14ac:dyDescent="0.25">
      <c r="A1220" t="s">
        <v>20</v>
      </c>
      <c r="B1220">
        <v>22</v>
      </c>
      <c r="C1220">
        <v>43</v>
      </c>
    </row>
    <row r="1221" spans="1:4" hidden="1" x14ac:dyDescent="0.25">
      <c r="A1221" t="s">
        <v>20</v>
      </c>
      <c r="B1221">
        <v>22</v>
      </c>
      <c r="C1221">
        <v>44</v>
      </c>
    </row>
    <row r="1222" spans="1:4" hidden="1" x14ac:dyDescent="0.25">
      <c r="A1222" t="s">
        <v>20</v>
      </c>
      <c r="B1222">
        <v>22</v>
      </c>
      <c r="C1222">
        <v>45</v>
      </c>
    </row>
    <row r="1223" spans="1:4" hidden="1" x14ac:dyDescent="0.25">
      <c r="A1223" t="s">
        <v>20</v>
      </c>
      <c r="B1223">
        <v>22</v>
      </c>
      <c r="C1223">
        <v>46</v>
      </c>
      <c r="D1223">
        <v>1</v>
      </c>
    </row>
    <row r="1224" spans="1:4" hidden="1" x14ac:dyDescent="0.25">
      <c r="A1224" t="s">
        <v>20</v>
      </c>
      <c r="B1224">
        <v>22</v>
      </c>
      <c r="C1224">
        <v>47</v>
      </c>
    </row>
    <row r="1225" spans="1:4" hidden="1" x14ac:dyDescent="0.25">
      <c r="A1225" t="s">
        <v>20</v>
      </c>
      <c r="B1225">
        <v>22</v>
      </c>
      <c r="C1225">
        <v>48</v>
      </c>
    </row>
    <row r="1226" spans="1:4" hidden="1" x14ac:dyDescent="0.25">
      <c r="A1226" t="s">
        <v>20</v>
      </c>
      <c r="B1226">
        <v>22</v>
      </c>
      <c r="C1226">
        <v>49</v>
      </c>
      <c r="D1226">
        <v>1</v>
      </c>
    </row>
    <row r="1227" spans="1:4" hidden="1" x14ac:dyDescent="0.25">
      <c r="A1227" t="s">
        <v>20</v>
      </c>
      <c r="B1227">
        <v>22</v>
      </c>
      <c r="C1227">
        <v>50</v>
      </c>
    </row>
    <row r="1228" spans="1:4" hidden="1" x14ac:dyDescent="0.25">
      <c r="A1228" t="s">
        <v>20</v>
      </c>
      <c r="B1228">
        <v>22</v>
      </c>
      <c r="C1228">
        <v>51</v>
      </c>
    </row>
    <row r="1229" spans="1:4" hidden="1" x14ac:dyDescent="0.25">
      <c r="A1229" t="s">
        <v>20</v>
      </c>
      <c r="B1229">
        <v>22</v>
      </c>
      <c r="C1229">
        <v>52</v>
      </c>
      <c r="D1229">
        <v>1</v>
      </c>
    </row>
    <row r="1230" spans="1:4" hidden="1" x14ac:dyDescent="0.25">
      <c r="A1230" t="s">
        <v>20</v>
      </c>
      <c r="B1230">
        <v>22</v>
      </c>
      <c r="C1230">
        <v>53</v>
      </c>
    </row>
    <row r="1231" spans="1:4" hidden="1" x14ac:dyDescent="0.25">
      <c r="A1231" t="s">
        <v>20</v>
      </c>
      <c r="B1231">
        <v>22</v>
      </c>
      <c r="C1231">
        <v>54</v>
      </c>
    </row>
    <row r="1232" spans="1:4" hidden="1" x14ac:dyDescent="0.25">
      <c r="A1232" t="s">
        <v>20</v>
      </c>
      <c r="B1232">
        <v>22</v>
      </c>
      <c r="C1232">
        <v>55</v>
      </c>
    </row>
    <row r="1233" spans="1:4" hidden="1" x14ac:dyDescent="0.25">
      <c r="A1233" t="s">
        <v>20</v>
      </c>
      <c r="B1233">
        <v>22</v>
      </c>
      <c r="C1233">
        <v>56</v>
      </c>
    </row>
    <row r="1234" spans="1:4" hidden="1" x14ac:dyDescent="0.25">
      <c r="A1234" t="s">
        <v>20</v>
      </c>
      <c r="B1234">
        <v>22</v>
      </c>
      <c r="C1234">
        <v>57</v>
      </c>
      <c r="D1234">
        <v>1</v>
      </c>
    </row>
    <row r="1235" spans="1:4" hidden="1" x14ac:dyDescent="0.25">
      <c r="A1235" t="s">
        <v>20</v>
      </c>
      <c r="B1235">
        <v>22</v>
      </c>
      <c r="C1235">
        <v>58</v>
      </c>
    </row>
    <row r="1236" spans="1:4" hidden="1" x14ac:dyDescent="0.25">
      <c r="A1236" t="s">
        <v>20</v>
      </c>
      <c r="B1236">
        <v>22</v>
      </c>
      <c r="C1236">
        <v>59</v>
      </c>
    </row>
    <row r="1237" spans="1:4" hidden="1" x14ac:dyDescent="0.25">
      <c r="A1237" t="s">
        <v>20</v>
      </c>
      <c r="B1237">
        <v>22</v>
      </c>
      <c r="C1237">
        <v>60</v>
      </c>
    </row>
    <row r="1238" spans="1:4" hidden="1" x14ac:dyDescent="0.25">
      <c r="A1238" t="s">
        <v>20</v>
      </c>
      <c r="B1238">
        <v>22</v>
      </c>
      <c r="C1238">
        <v>61</v>
      </c>
    </row>
    <row r="1239" spans="1:4" hidden="1" x14ac:dyDescent="0.25">
      <c r="A1239" t="s">
        <v>20</v>
      </c>
      <c r="B1239">
        <v>22</v>
      </c>
      <c r="C1239">
        <v>62</v>
      </c>
    </row>
    <row r="1240" spans="1:4" hidden="1" x14ac:dyDescent="0.25">
      <c r="A1240" t="s">
        <v>20</v>
      </c>
      <c r="B1240">
        <v>22</v>
      </c>
      <c r="C1240">
        <v>63</v>
      </c>
      <c r="D1240">
        <v>1</v>
      </c>
    </row>
    <row r="1241" spans="1:4" hidden="1" x14ac:dyDescent="0.25">
      <c r="A1241" t="s">
        <v>20</v>
      </c>
      <c r="B1241">
        <v>22</v>
      </c>
      <c r="C1241">
        <v>64</v>
      </c>
    </row>
    <row r="1242" spans="1:4" hidden="1" x14ac:dyDescent="0.25">
      <c r="A1242" t="s">
        <v>20</v>
      </c>
      <c r="B1242">
        <v>22</v>
      </c>
      <c r="C1242">
        <v>65</v>
      </c>
    </row>
    <row r="1243" spans="1:4" hidden="1" x14ac:dyDescent="0.25">
      <c r="A1243" t="s">
        <v>20</v>
      </c>
      <c r="B1243">
        <v>22</v>
      </c>
      <c r="C1243">
        <v>66</v>
      </c>
      <c r="D1243">
        <v>1</v>
      </c>
    </row>
    <row r="1244" spans="1:4" hidden="1" x14ac:dyDescent="0.25">
      <c r="A1244" t="s">
        <v>20</v>
      </c>
      <c r="B1244">
        <v>22</v>
      </c>
      <c r="C1244">
        <v>67</v>
      </c>
    </row>
    <row r="1245" spans="1:4" hidden="1" x14ac:dyDescent="0.25">
      <c r="A1245" t="s">
        <v>20</v>
      </c>
      <c r="B1245">
        <v>22</v>
      </c>
      <c r="C1245">
        <v>68</v>
      </c>
    </row>
    <row r="1246" spans="1:4" hidden="1" x14ac:dyDescent="0.25">
      <c r="A1246" t="s">
        <v>20</v>
      </c>
      <c r="B1246">
        <v>22</v>
      </c>
      <c r="C1246">
        <v>69</v>
      </c>
      <c r="D1246">
        <v>1</v>
      </c>
    </row>
    <row r="1247" spans="1:4" hidden="1" x14ac:dyDescent="0.25">
      <c r="A1247" t="s">
        <v>20</v>
      </c>
      <c r="B1247">
        <v>22</v>
      </c>
      <c r="C1247">
        <v>70</v>
      </c>
      <c r="D1247">
        <v>1</v>
      </c>
    </row>
    <row r="1248" spans="1:4" hidden="1" x14ac:dyDescent="0.25">
      <c r="A1248" t="s">
        <v>20</v>
      </c>
      <c r="B1248">
        <v>22</v>
      </c>
      <c r="C1248">
        <v>71</v>
      </c>
    </row>
    <row r="1249" spans="1:4" hidden="1" x14ac:dyDescent="0.25">
      <c r="A1249" t="s">
        <v>20</v>
      </c>
      <c r="B1249">
        <v>22</v>
      </c>
      <c r="C1249">
        <v>72</v>
      </c>
    </row>
    <row r="1250" spans="1:4" hidden="1" x14ac:dyDescent="0.25">
      <c r="A1250" t="s">
        <v>20</v>
      </c>
      <c r="B1250">
        <v>22</v>
      </c>
      <c r="C1250">
        <v>73</v>
      </c>
      <c r="D1250">
        <v>1</v>
      </c>
    </row>
    <row r="1251" spans="1:4" hidden="1" x14ac:dyDescent="0.25">
      <c r="A1251" t="s">
        <v>20</v>
      </c>
      <c r="B1251">
        <v>22</v>
      </c>
      <c r="C1251">
        <v>74</v>
      </c>
    </row>
    <row r="1252" spans="1:4" hidden="1" x14ac:dyDescent="0.25">
      <c r="A1252" t="s">
        <v>20</v>
      </c>
      <c r="B1252">
        <v>22</v>
      </c>
      <c r="C1252">
        <v>75</v>
      </c>
    </row>
    <row r="1253" spans="1:4" hidden="1" x14ac:dyDescent="0.25">
      <c r="A1253" t="s">
        <v>20</v>
      </c>
      <c r="B1253">
        <v>22</v>
      </c>
      <c r="C1253">
        <v>76</v>
      </c>
    </row>
    <row r="1254" spans="1:4" hidden="1" x14ac:dyDescent="0.25">
      <c r="A1254" t="s">
        <v>20</v>
      </c>
      <c r="B1254">
        <v>22</v>
      </c>
      <c r="C1254">
        <v>77</v>
      </c>
    </row>
    <row r="1255" spans="1:4" hidden="1" x14ac:dyDescent="0.25">
      <c r="A1255" t="s">
        <v>20</v>
      </c>
      <c r="B1255">
        <v>22</v>
      </c>
      <c r="C1255">
        <v>78</v>
      </c>
      <c r="D1255">
        <v>1</v>
      </c>
    </row>
    <row r="1256" spans="1:4" hidden="1" x14ac:dyDescent="0.25">
      <c r="A1256" t="s">
        <v>20</v>
      </c>
      <c r="B1256">
        <v>22</v>
      </c>
      <c r="C1256">
        <v>79</v>
      </c>
    </row>
    <row r="1257" spans="1:4" hidden="1" x14ac:dyDescent="0.25">
      <c r="A1257" t="s">
        <v>20</v>
      </c>
      <c r="B1257">
        <v>22</v>
      </c>
      <c r="C1257">
        <v>80</v>
      </c>
    </row>
    <row r="1258" spans="1:4" hidden="1" x14ac:dyDescent="0.25">
      <c r="A1258" t="s">
        <v>20</v>
      </c>
      <c r="B1258">
        <v>22</v>
      </c>
      <c r="C1258">
        <v>81</v>
      </c>
    </row>
    <row r="1259" spans="1:4" hidden="1" x14ac:dyDescent="0.25">
      <c r="A1259" t="s">
        <v>20</v>
      </c>
      <c r="B1259">
        <v>22</v>
      </c>
      <c r="C1259">
        <v>82</v>
      </c>
    </row>
    <row r="1260" spans="1:4" hidden="1" x14ac:dyDescent="0.25">
      <c r="A1260" t="s">
        <v>20</v>
      </c>
      <c r="B1260">
        <v>22</v>
      </c>
      <c r="C1260">
        <v>83</v>
      </c>
    </row>
    <row r="1261" spans="1:4" hidden="1" x14ac:dyDescent="0.25">
      <c r="A1261" t="s">
        <v>20</v>
      </c>
      <c r="B1261">
        <v>22</v>
      </c>
      <c r="C1261">
        <v>84</v>
      </c>
    </row>
    <row r="1262" spans="1:4" hidden="1" x14ac:dyDescent="0.25">
      <c r="A1262" t="s">
        <v>20</v>
      </c>
      <c r="B1262">
        <v>24</v>
      </c>
      <c r="C1262">
        <v>1</v>
      </c>
    </row>
    <row r="1263" spans="1:4" hidden="1" x14ac:dyDescent="0.25">
      <c r="A1263" t="s">
        <v>20</v>
      </c>
      <c r="B1263">
        <v>24</v>
      </c>
      <c r="C1263">
        <v>2</v>
      </c>
      <c r="D1263">
        <v>1</v>
      </c>
    </row>
    <row r="1264" spans="1:4" hidden="1" x14ac:dyDescent="0.25">
      <c r="A1264" t="s">
        <v>20</v>
      </c>
      <c r="B1264">
        <v>24</v>
      </c>
      <c r="C1264">
        <v>3</v>
      </c>
    </row>
    <row r="1265" spans="1:4" hidden="1" x14ac:dyDescent="0.25">
      <c r="A1265" t="s">
        <v>20</v>
      </c>
      <c r="B1265">
        <v>24</v>
      </c>
      <c r="C1265">
        <v>4</v>
      </c>
    </row>
    <row r="1266" spans="1:4" hidden="1" x14ac:dyDescent="0.25">
      <c r="A1266" t="s">
        <v>20</v>
      </c>
      <c r="B1266">
        <v>24</v>
      </c>
      <c r="C1266">
        <v>5</v>
      </c>
    </row>
    <row r="1267" spans="1:4" hidden="1" x14ac:dyDescent="0.25">
      <c r="A1267" t="s">
        <v>20</v>
      </c>
      <c r="B1267">
        <v>24</v>
      </c>
      <c r="C1267">
        <v>6</v>
      </c>
    </row>
    <row r="1268" spans="1:4" hidden="1" x14ac:dyDescent="0.25">
      <c r="A1268" t="s">
        <v>20</v>
      </c>
      <c r="B1268">
        <v>24</v>
      </c>
      <c r="C1268">
        <v>7</v>
      </c>
    </row>
    <row r="1269" spans="1:4" hidden="1" x14ac:dyDescent="0.25">
      <c r="A1269" t="s">
        <v>20</v>
      </c>
      <c r="B1269">
        <v>24</v>
      </c>
      <c r="C1269">
        <v>8</v>
      </c>
      <c r="D1269">
        <v>1</v>
      </c>
    </row>
    <row r="1270" spans="1:4" hidden="1" x14ac:dyDescent="0.25">
      <c r="A1270" t="s">
        <v>20</v>
      </c>
      <c r="B1270">
        <v>24</v>
      </c>
      <c r="C1270">
        <v>9</v>
      </c>
    </row>
    <row r="1271" spans="1:4" hidden="1" x14ac:dyDescent="0.25">
      <c r="A1271" t="s">
        <v>20</v>
      </c>
      <c r="B1271">
        <v>24</v>
      </c>
      <c r="C1271">
        <v>10</v>
      </c>
    </row>
    <row r="1272" spans="1:4" hidden="1" x14ac:dyDescent="0.25">
      <c r="A1272" t="s">
        <v>20</v>
      </c>
      <c r="B1272">
        <v>24</v>
      </c>
      <c r="C1272">
        <v>11</v>
      </c>
      <c r="D1272">
        <v>1</v>
      </c>
    </row>
    <row r="1273" spans="1:4" hidden="1" x14ac:dyDescent="0.25">
      <c r="A1273" t="s">
        <v>20</v>
      </c>
      <c r="B1273">
        <v>24</v>
      </c>
      <c r="C1273">
        <v>12</v>
      </c>
    </row>
    <row r="1274" spans="1:4" hidden="1" x14ac:dyDescent="0.25">
      <c r="A1274" t="s">
        <v>20</v>
      </c>
      <c r="B1274">
        <v>24</v>
      </c>
      <c r="C1274">
        <v>13</v>
      </c>
    </row>
    <row r="1275" spans="1:4" hidden="1" x14ac:dyDescent="0.25">
      <c r="A1275" t="s">
        <v>20</v>
      </c>
      <c r="B1275">
        <v>24</v>
      </c>
      <c r="C1275">
        <v>14</v>
      </c>
      <c r="D1275">
        <v>1</v>
      </c>
    </row>
    <row r="1276" spans="1:4" hidden="1" x14ac:dyDescent="0.25">
      <c r="A1276" t="s">
        <v>20</v>
      </c>
      <c r="B1276">
        <v>24</v>
      </c>
      <c r="C1276">
        <v>15</v>
      </c>
    </row>
    <row r="1277" spans="1:4" hidden="1" x14ac:dyDescent="0.25">
      <c r="A1277" t="s">
        <v>20</v>
      </c>
      <c r="B1277">
        <v>24</v>
      </c>
      <c r="C1277">
        <v>16</v>
      </c>
    </row>
    <row r="1278" spans="1:4" hidden="1" x14ac:dyDescent="0.25">
      <c r="A1278" t="s">
        <v>20</v>
      </c>
      <c r="B1278">
        <v>24</v>
      </c>
      <c r="C1278">
        <v>17</v>
      </c>
      <c r="D1278">
        <v>1</v>
      </c>
    </row>
    <row r="1279" spans="1:4" hidden="1" x14ac:dyDescent="0.25">
      <c r="A1279" t="s">
        <v>20</v>
      </c>
      <c r="B1279">
        <v>24</v>
      </c>
      <c r="C1279">
        <v>18</v>
      </c>
    </row>
    <row r="1280" spans="1:4" hidden="1" x14ac:dyDescent="0.25">
      <c r="A1280" t="s">
        <v>20</v>
      </c>
      <c r="B1280">
        <v>24</v>
      </c>
      <c r="C1280">
        <v>19</v>
      </c>
    </row>
    <row r="1281" spans="1:4" hidden="1" x14ac:dyDescent="0.25">
      <c r="A1281" t="s">
        <v>20</v>
      </c>
      <c r="B1281">
        <v>24</v>
      </c>
      <c r="C1281">
        <v>20</v>
      </c>
    </row>
    <row r="1282" spans="1:4" hidden="1" x14ac:dyDescent="0.25">
      <c r="A1282" t="s">
        <v>20</v>
      </c>
      <c r="B1282">
        <v>24</v>
      </c>
      <c r="C1282">
        <v>21</v>
      </c>
    </row>
    <row r="1283" spans="1:4" hidden="1" x14ac:dyDescent="0.25">
      <c r="A1283" t="s">
        <v>20</v>
      </c>
      <c r="B1283">
        <v>24</v>
      </c>
      <c r="C1283">
        <v>22</v>
      </c>
    </row>
    <row r="1284" spans="1:4" hidden="1" x14ac:dyDescent="0.25">
      <c r="A1284" t="s">
        <v>20</v>
      </c>
      <c r="B1284">
        <v>24</v>
      </c>
      <c r="C1284">
        <v>23</v>
      </c>
    </row>
    <row r="1285" spans="1:4" hidden="1" x14ac:dyDescent="0.25">
      <c r="A1285" t="s">
        <v>20</v>
      </c>
      <c r="B1285">
        <v>24</v>
      </c>
      <c r="C1285">
        <v>24</v>
      </c>
    </row>
    <row r="1286" spans="1:4" hidden="1" x14ac:dyDescent="0.25">
      <c r="A1286" t="s">
        <v>20</v>
      </c>
      <c r="B1286">
        <v>24</v>
      </c>
      <c r="C1286">
        <v>25</v>
      </c>
    </row>
    <row r="1287" spans="1:4" hidden="1" x14ac:dyDescent="0.25">
      <c r="A1287" t="s">
        <v>20</v>
      </c>
      <c r="B1287">
        <v>24</v>
      </c>
      <c r="C1287">
        <v>26</v>
      </c>
    </row>
    <row r="1288" spans="1:4" hidden="1" x14ac:dyDescent="0.25">
      <c r="A1288" t="s">
        <v>20</v>
      </c>
      <c r="B1288">
        <v>24</v>
      </c>
      <c r="C1288">
        <v>27</v>
      </c>
    </row>
    <row r="1289" spans="1:4" hidden="1" x14ac:dyDescent="0.25">
      <c r="A1289" t="s">
        <v>20</v>
      </c>
      <c r="B1289">
        <v>24</v>
      </c>
      <c r="C1289">
        <v>28</v>
      </c>
    </row>
    <row r="1290" spans="1:4" hidden="1" x14ac:dyDescent="0.25">
      <c r="A1290" t="s">
        <v>20</v>
      </c>
      <c r="B1290">
        <v>24</v>
      </c>
      <c r="C1290">
        <v>29</v>
      </c>
      <c r="D1290">
        <v>1</v>
      </c>
    </row>
    <row r="1291" spans="1:4" hidden="1" x14ac:dyDescent="0.25">
      <c r="A1291" t="s">
        <v>20</v>
      </c>
      <c r="B1291">
        <v>24</v>
      </c>
      <c r="C1291">
        <v>30</v>
      </c>
    </row>
    <row r="1292" spans="1:4" hidden="1" x14ac:dyDescent="0.25">
      <c r="A1292" t="s">
        <v>20</v>
      </c>
      <c r="B1292">
        <v>24</v>
      </c>
      <c r="C1292">
        <v>31</v>
      </c>
    </row>
    <row r="1293" spans="1:4" hidden="1" x14ac:dyDescent="0.25">
      <c r="A1293" t="s">
        <v>20</v>
      </c>
      <c r="B1293">
        <v>24</v>
      </c>
      <c r="C1293">
        <v>32</v>
      </c>
      <c r="D1293">
        <v>1</v>
      </c>
    </row>
    <row r="1294" spans="1:4" hidden="1" x14ac:dyDescent="0.25">
      <c r="A1294" t="s">
        <v>20</v>
      </c>
      <c r="B1294">
        <v>24</v>
      </c>
      <c r="C1294">
        <v>33</v>
      </c>
    </row>
    <row r="1295" spans="1:4" hidden="1" x14ac:dyDescent="0.25">
      <c r="A1295" t="s">
        <v>20</v>
      </c>
      <c r="B1295">
        <v>24</v>
      </c>
      <c r="C1295">
        <v>34</v>
      </c>
    </row>
    <row r="1296" spans="1:4" hidden="1" x14ac:dyDescent="0.25">
      <c r="A1296" t="s">
        <v>20</v>
      </c>
      <c r="B1296">
        <v>24</v>
      </c>
      <c r="C1296">
        <v>35</v>
      </c>
      <c r="D1296">
        <v>1</v>
      </c>
    </row>
    <row r="1297" spans="1:4" hidden="1" x14ac:dyDescent="0.25">
      <c r="A1297" t="s">
        <v>20</v>
      </c>
      <c r="B1297">
        <v>24</v>
      </c>
      <c r="C1297">
        <v>36</v>
      </c>
    </row>
    <row r="1298" spans="1:4" hidden="1" x14ac:dyDescent="0.25">
      <c r="A1298" t="s">
        <v>20</v>
      </c>
      <c r="B1298">
        <v>24</v>
      </c>
      <c r="C1298">
        <v>37</v>
      </c>
    </row>
    <row r="1299" spans="1:4" hidden="1" x14ac:dyDescent="0.25">
      <c r="A1299" t="s">
        <v>20</v>
      </c>
      <c r="B1299">
        <v>24</v>
      </c>
      <c r="C1299">
        <v>38</v>
      </c>
    </row>
    <row r="1300" spans="1:4" hidden="1" x14ac:dyDescent="0.25">
      <c r="A1300" t="s">
        <v>20</v>
      </c>
      <c r="B1300">
        <v>24</v>
      </c>
      <c r="C1300">
        <v>39</v>
      </c>
    </row>
    <row r="1301" spans="1:4" hidden="1" x14ac:dyDescent="0.25">
      <c r="A1301" t="s">
        <v>20</v>
      </c>
      <c r="B1301">
        <v>24</v>
      </c>
      <c r="C1301">
        <v>40</v>
      </c>
    </row>
    <row r="1302" spans="1:4" hidden="1" x14ac:dyDescent="0.25">
      <c r="A1302" t="s">
        <v>20</v>
      </c>
      <c r="B1302">
        <v>24</v>
      </c>
      <c r="C1302">
        <v>41</v>
      </c>
    </row>
    <row r="1303" spans="1:4" hidden="1" x14ac:dyDescent="0.25">
      <c r="A1303" t="s">
        <v>20</v>
      </c>
      <c r="B1303">
        <v>24</v>
      </c>
      <c r="C1303">
        <v>42</v>
      </c>
    </row>
    <row r="1304" spans="1:4" hidden="1" x14ac:dyDescent="0.25">
      <c r="A1304" t="s">
        <v>20</v>
      </c>
      <c r="B1304">
        <v>24</v>
      </c>
      <c r="C1304">
        <v>43</v>
      </c>
    </row>
    <row r="1305" spans="1:4" hidden="1" x14ac:dyDescent="0.25">
      <c r="A1305" t="s">
        <v>20</v>
      </c>
      <c r="B1305">
        <v>24</v>
      </c>
      <c r="C1305">
        <v>44</v>
      </c>
      <c r="D1305">
        <v>1</v>
      </c>
    </row>
    <row r="1306" spans="1:4" hidden="1" x14ac:dyDescent="0.25">
      <c r="A1306" t="s">
        <v>20</v>
      </c>
      <c r="B1306">
        <v>24</v>
      </c>
      <c r="C1306">
        <v>45</v>
      </c>
    </row>
    <row r="1307" spans="1:4" hidden="1" x14ac:dyDescent="0.25">
      <c r="A1307" t="s">
        <v>20</v>
      </c>
      <c r="B1307">
        <v>24</v>
      </c>
      <c r="C1307">
        <v>46</v>
      </c>
    </row>
    <row r="1308" spans="1:4" hidden="1" x14ac:dyDescent="0.25">
      <c r="A1308" t="s">
        <v>20</v>
      </c>
      <c r="B1308">
        <v>24</v>
      </c>
      <c r="C1308">
        <v>47</v>
      </c>
    </row>
    <row r="1309" spans="1:4" hidden="1" x14ac:dyDescent="0.25">
      <c r="A1309" t="s">
        <v>20</v>
      </c>
      <c r="B1309">
        <v>24</v>
      </c>
      <c r="C1309">
        <v>48</v>
      </c>
    </row>
    <row r="1310" spans="1:4" hidden="1" x14ac:dyDescent="0.25">
      <c r="A1310" t="s">
        <v>20</v>
      </c>
      <c r="B1310">
        <v>24</v>
      </c>
      <c r="C1310">
        <v>49</v>
      </c>
    </row>
    <row r="1311" spans="1:4" hidden="1" x14ac:dyDescent="0.25">
      <c r="A1311" t="s">
        <v>20</v>
      </c>
      <c r="B1311">
        <v>24</v>
      </c>
      <c r="C1311">
        <v>50</v>
      </c>
      <c r="D1311">
        <v>1</v>
      </c>
    </row>
    <row r="1312" spans="1:4" hidden="1" x14ac:dyDescent="0.25">
      <c r="A1312" t="s">
        <v>20</v>
      </c>
      <c r="B1312">
        <v>24</v>
      </c>
      <c r="C1312">
        <v>51</v>
      </c>
    </row>
    <row r="1313" spans="1:4" hidden="1" x14ac:dyDescent="0.25">
      <c r="A1313" t="s">
        <v>20</v>
      </c>
      <c r="B1313">
        <v>24</v>
      </c>
      <c r="C1313">
        <v>52</v>
      </c>
    </row>
    <row r="1314" spans="1:4" hidden="1" x14ac:dyDescent="0.25">
      <c r="A1314" t="s">
        <v>20</v>
      </c>
      <c r="B1314">
        <v>24</v>
      </c>
      <c r="C1314">
        <v>53</v>
      </c>
    </row>
    <row r="1315" spans="1:4" hidden="1" x14ac:dyDescent="0.25">
      <c r="A1315" t="s">
        <v>20</v>
      </c>
      <c r="B1315">
        <v>24</v>
      </c>
      <c r="C1315">
        <v>54</v>
      </c>
    </row>
    <row r="1316" spans="1:4" hidden="1" x14ac:dyDescent="0.25">
      <c r="A1316" t="s">
        <v>20</v>
      </c>
      <c r="B1316">
        <v>24</v>
      </c>
      <c r="C1316">
        <v>55</v>
      </c>
    </row>
    <row r="1317" spans="1:4" hidden="1" x14ac:dyDescent="0.25">
      <c r="A1317" t="s">
        <v>20</v>
      </c>
      <c r="B1317">
        <v>24</v>
      </c>
      <c r="C1317">
        <v>56</v>
      </c>
      <c r="D1317">
        <v>1</v>
      </c>
    </row>
    <row r="1318" spans="1:4" hidden="1" x14ac:dyDescent="0.25">
      <c r="A1318" t="s">
        <v>20</v>
      </c>
      <c r="B1318">
        <v>24</v>
      </c>
      <c r="C1318">
        <v>57</v>
      </c>
    </row>
    <row r="1319" spans="1:4" hidden="1" x14ac:dyDescent="0.25">
      <c r="A1319" t="s">
        <v>20</v>
      </c>
      <c r="B1319">
        <v>24</v>
      </c>
      <c r="C1319">
        <v>58</v>
      </c>
    </row>
    <row r="1320" spans="1:4" hidden="1" x14ac:dyDescent="0.25">
      <c r="A1320" t="s">
        <v>20</v>
      </c>
      <c r="B1320">
        <v>24</v>
      </c>
      <c r="C1320">
        <v>59</v>
      </c>
      <c r="D1320">
        <v>1</v>
      </c>
    </row>
    <row r="1321" spans="1:4" hidden="1" x14ac:dyDescent="0.25">
      <c r="A1321" t="s">
        <v>20</v>
      </c>
      <c r="B1321">
        <v>24</v>
      </c>
      <c r="C1321">
        <v>60</v>
      </c>
    </row>
    <row r="1322" spans="1:4" hidden="1" x14ac:dyDescent="0.25">
      <c r="A1322" t="s">
        <v>20</v>
      </c>
      <c r="B1322">
        <v>24</v>
      </c>
      <c r="C1322">
        <v>61</v>
      </c>
    </row>
    <row r="1323" spans="1:4" hidden="1" x14ac:dyDescent="0.25">
      <c r="A1323" t="s">
        <v>20</v>
      </c>
      <c r="B1323">
        <v>24</v>
      </c>
      <c r="C1323">
        <v>62</v>
      </c>
      <c r="D1323">
        <v>1</v>
      </c>
    </row>
    <row r="1324" spans="1:4" hidden="1" x14ac:dyDescent="0.25">
      <c r="A1324" t="s">
        <v>20</v>
      </c>
      <c r="B1324">
        <v>24</v>
      </c>
      <c r="C1324">
        <v>63</v>
      </c>
    </row>
    <row r="1325" spans="1:4" hidden="1" x14ac:dyDescent="0.25">
      <c r="A1325" t="s">
        <v>20</v>
      </c>
      <c r="B1325">
        <v>24</v>
      </c>
      <c r="C1325">
        <v>64</v>
      </c>
    </row>
    <row r="1326" spans="1:4" hidden="1" x14ac:dyDescent="0.25">
      <c r="A1326" t="s">
        <v>20</v>
      </c>
      <c r="B1326">
        <v>24</v>
      </c>
      <c r="C1326">
        <v>65</v>
      </c>
    </row>
    <row r="1327" spans="1:4" hidden="1" x14ac:dyDescent="0.25">
      <c r="A1327" t="s">
        <v>20</v>
      </c>
      <c r="B1327">
        <v>24</v>
      </c>
      <c r="C1327">
        <v>66</v>
      </c>
    </row>
    <row r="1328" spans="1:4" hidden="1" x14ac:dyDescent="0.25">
      <c r="A1328" t="s">
        <v>20</v>
      </c>
      <c r="B1328">
        <v>24</v>
      </c>
      <c r="C1328">
        <v>67</v>
      </c>
    </row>
    <row r="1329" spans="1:4" hidden="1" x14ac:dyDescent="0.25">
      <c r="A1329" t="s">
        <v>20</v>
      </c>
      <c r="B1329">
        <v>24</v>
      </c>
      <c r="C1329">
        <v>68</v>
      </c>
    </row>
    <row r="1330" spans="1:4" hidden="1" x14ac:dyDescent="0.25">
      <c r="A1330" t="s">
        <v>20</v>
      </c>
      <c r="B1330">
        <v>24</v>
      </c>
      <c r="C1330">
        <v>69</v>
      </c>
    </row>
    <row r="1331" spans="1:4" hidden="1" x14ac:dyDescent="0.25">
      <c r="A1331" t="s">
        <v>20</v>
      </c>
      <c r="B1331">
        <v>24</v>
      </c>
      <c r="C1331">
        <v>70</v>
      </c>
    </row>
    <row r="1332" spans="1:4" hidden="1" x14ac:dyDescent="0.25">
      <c r="A1332" t="s">
        <v>20</v>
      </c>
      <c r="B1332">
        <v>24</v>
      </c>
      <c r="C1332">
        <v>71</v>
      </c>
    </row>
    <row r="1333" spans="1:4" hidden="1" x14ac:dyDescent="0.25">
      <c r="A1333" t="s">
        <v>20</v>
      </c>
      <c r="B1333">
        <v>24</v>
      </c>
      <c r="C1333">
        <v>72</v>
      </c>
    </row>
    <row r="1334" spans="1:4" hidden="1" x14ac:dyDescent="0.25">
      <c r="A1334" t="s">
        <v>20</v>
      </c>
      <c r="B1334">
        <v>24</v>
      </c>
      <c r="C1334">
        <v>73</v>
      </c>
    </row>
    <row r="1335" spans="1:4" hidden="1" x14ac:dyDescent="0.25">
      <c r="A1335" t="s">
        <v>20</v>
      </c>
      <c r="B1335">
        <v>24</v>
      </c>
      <c r="C1335">
        <v>74</v>
      </c>
      <c r="D1335">
        <v>1</v>
      </c>
    </row>
    <row r="1336" spans="1:4" hidden="1" x14ac:dyDescent="0.25">
      <c r="A1336" t="s">
        <v>20</v>
      </c>
      <c r="B1336">
        <v>24</v>
      </c>
      <c r="C1336">
        <v>75</v>
      </c>
    </row>
    <row r="1337" spans="1:4" hidden="1" x14ac:dyDescent="0.25">
      <c r="A1337" t="s">
        <v>20</v>
      </c>
      <c r="B1337">
        <v>24</v>
      </c>
      <c r="C1337">
        <v>76</v>
      </c>
    </row>
    <row r="1338" spans="1:4" hidden="1" x14ac:dyDescent="0.25">
      <c r="A1338" t="s">
        <v>20</v>
      </c>
      <c r="B1338">
        <v>24</v>
      </c>
      <c r="C1338">
        <v>77</v>
      </c>
      <c r="D1338">
        <v>1</v>
      </c>
    </row>
    <row r="1339" spans="1:4" hidden="1" x14ac:dyDescent="0.25">
      <c r="A1339" t="s">
        <v>20</v>
      </c>
      <c r="B1339">
        <v>24</v>
      </c>
      <c r="C1339">
        <v>78</v>
      </c>
    </row>
    <row r="1340" spans="1:4" hidden="1" x14ac:dyDescent="0.25">
      <c r="A1340" t="s">
        <v>20</v>
      </c>
      <c r="B1340">
        <v>24</v>
      </c>
      <c r="C1340">
        <v>79</v>
      </c>
    </row>
    <row r="1341" spans="1:4" hidden="1" x14ac:dyDescent="0.25">
      <c r="A1341" t="s">
        <v>20</v>
      </c>
      <c r="B1341">
        <v>24</v>
      </c>
      <c r="C1341">
        <v>80</v>
      </c>
    </row>
    <row r="1342" spans="1:4" hidden="1" x14ac:dyDescent="0.25">
      <c r="A1342" t="s">
        <v>20</v>
      </c>
      <c r="B1342">
        <v>24</v>
      </c>
      <c r="C1342">
        <v>81</v>
      </c>
    </row>
    <row r="1343" spans="1:4" hidden="1" x14ac:dyDescent="0.25">
      <c r="A1343" t="s">
        <v>20</v>
      </c>
      <c r="B1343">
        <v>24</v>
      </c>
      <c r="C1343">
        <v>82</v>
      </c>
    </row>
    <row r="1344" spans="1:4" hidden="1" x14ac:dyDescent="0.25">
      <c r="A1344" t="s">
        <v>20</v>
      </c>
      <c r="B1344">
        <v>24</v>
      </c>
      <c r="C1344">
        <v>83</v>
      </c>
    </row>
    <row r="1345" spans="1:4" hidden="1" x14ac:dyDescent="0.25">
      <c r="A1345" t="s">
        <v>20</v>
      </c>
      <c r="B1345">
        <v>24</v>
      </c>
      <c r="C1345">
        <v>84</v>
      </c>
    </row>
    <row r="1346" spans="1:4" hidden="1" x14ac:dyDescent="0.25">
      <c r="A1346" t="s">
        <v>20</v>
      </c>
      <c r="B1346">
        <v>25</v>
      </c>
      <c r="C1346">
        <v>1</v>
      </c>
    </row>
    <row r="1347" spans="1:4" hidden="1" x14ac:dyDescent="0.25">
      <c r="A1347" t="s">
        <v>20</v>
      </c>
      <c r="B1347">
        <v>25</v>
      </c>
      <c r="C1347">
        <v>2</v>
      </c>
    </row>
    <row r="1348" spans="1:4" hidden="1" x14ac:dyDescent="0.25">
      <c r="A1348" t="s">
        <v>20</v>
      </c>
      <c r="B1348">
        <v>25</v>
      </c>
      <c r="C1348">
        <v>3</v>
      </c>
    </row>
    <row r="1349" spans="1:4" hidden="1" x14ac:dyDescent="0.25">
      <c r="A1349" t="s">
        <v>20</v>
      </c>
      <c r="B1349">
        <v>25</v>
      </c>
      <c r="C1349">
        <v>4</v>
      </c>
    </row>
    <row r="1350" spans="1:4" hidden="1" x14ac:dyDescent="0.25">
      <c r="A1350" t="s">
        <v>20</v>
      </c>
      <c r="B1350">
        <v>25</v>
      </c>
      <c r="C1350">
        <v>5</v>
      </c>
    </row>
    <row r="1351" spans="1:4" hidden="1" x14ac:dyDescent="0.25">
      <c r="A1351" t="s">
        <v>20</v>
      </c>
      <c r="B1351">
        <v>25</v>
      </c>
      <c r="C1351">
        <v>6</v>
      </c>
    </row>
    <row r="1352" spans="1:4" hidden="1" x14ac:dyDescent="0.25">
      <c r="A1352" t="s">
        <v>20</v>
      </c>
      <c r="B1352">
        <v>25</v>
      </c>
      <c r="C1352">
        <v>7</v>
      </c>
    </row>
    <row r="1353" spans="1:4" hidden="1" x14ac:dyDescent="0.25">
      <c r="A1353" t="s">
        <v>20</v>
      </c>
      <c r="B1353">
        <v>25</v>
      </c>
      <c r="C1353">
        <v>8</v>
      </c>
    </row>
    <row r="1354" spans="1:4" hidden="1" x14ac:dyDescent="0.25">
      <c r="A1354" t="s">
        <v>20</v>
      </c>
      <c r="B1354">
        <v>25</v>
      </c>
      <c r="C1354">
        <v>9</v>
      </c>
    </row>
    <row r="1355" spans="1:4" hidden="1" x14ac:dyDescent="0.25">
      <c r="A1355" t="s">
        <v>20</v>
      </c>
      <c r="B1355">
        <v>25</v>
      </c>
      <c r="C1355">
        <v>10</v>
      </c>
    </row>
    <row r="1356" spans="1:4" hidden="1" x14ac:dyDescent="0.25">
      <c r="A1356" t="s">
        <v>20</v>
      </c>
      <c r="B1356">
        <v>25</v>
      </c>
      <c r="C1356">
        <v>11</v>
      </c>
    </row>
    <row r="1357" spans="1:4" hidden="1" x14ac:dyDescent="0.25">
      <c r="A1357" t="s">
        <v>20</v>
      </c>
      <c r="B1357">
        <v>25</v>
      </c>
      <c r="C1357">
        <v>12</v>
      </c>
      <c r="D1357">
        <v>1</v>
      </c>
    </row>
    <row r="1358" spans="1:4" hidden="1" x14ac:dyDescent="0.25">
      <c r="A1358" t="s">
        <v>20</v>
      </c>
      <c r="B1358">
        <v>25</v>
      </c>
      <c r="C1358">
        <v>13</v>
      </c>
    </row>
    <row r="1359" spans="1:4" hidden="1" x14ac:dyDescent="0.25">
      <c r="A1359" t="s">
        <v>20</v>
      </c>
      <c r="B1359">
        <v>25</v>
      </c>
      <c r="C1359">
        <v>14</v>
      </c>
    </row>
    <row r="1360" spans="1:4" hidden="1" x14ac:dyDescent="0.25">
      <c r="A1360" t="s">
        <v>20</v>
      </c>
      <c r="B1360">
        <v>25</v>
      </c>
      <c r="C1360">
        <v>15</v>
      </c>
      <c r="D1360">
        <v>1</v>
      </c>
    </row>
    <row r="1361" spans="1:4" hidden="1" x14ac:dyDescent="0.25">
      <c r="A1361" t="s">
        <v>20</v>
      </c>
      <c r="B1361">
        <v>25</v>
      </c>
      <c r="C1361">
        <v>16</v>
      </c>
    </row>
    <row r="1362" spans="1:4" hidden="1" x14ac:dyDescent="0.25">
      <c r="A1362" t="s">
        <v>20</v>
      </c>
      <c r="B1362">
        <v>25</v>
      </c>
      <c r="C1362">
        <v>17</v>
      </c>
    </row>
    <row r="1363" spans="1:4" hidden="1" x14ac:dyDescent="0.25">
      <c r="A1363" t="s">
        <v>20</v>
      </c>
      <c r="B1363">
        <v>25</v>
      </c>
      <c r="C1363">
        <v>18</v>
      </c>
    </row>
    <row r="1364" spans="1:4" hidden="1" x14ac:dyDescent="0.25">
      <c r="A1364" t="s">
        <v>20</v>
      </c>
      <c r="B1364">
        <v>25</v>
      </c>
      <c r="C1364">
        <v>19</v>
      </c>
    </row>
    <row r="1365" spans="1:4" hidden="1" x14ac:dyDescent="0.25">
      <c r="A1365" t="s">
        <v>20</v>
      </c>
      <c r="B1365">
        <v>25</v>
      </c>
      <c r="C1365">
        <v>20</v>
      </c>
    </row>
    <row r="1366" spans="1:4" hidden="1" x14ac:dyDescent="0.25">
      <c r="A1366" t="s">
        <v>20</v>
      </c>
      <c r="B1366">
        <v>25</v>
      </c>
      <c r="C1366">
        <v>21</v>
      </c>
    </row>
    <row r="1367" spans="1:4" hidden="1" x14ac:dyDescent="0.25">
      <c r="A1367" t="s">
        <v>20</v>
      </c>
      <c r="B1367">
        <v>25</v>
      </c>
      <c r="C1367">
        <v>22</v>
      </c>
    </row>
    <row r="1368" spans="1:4" hidden="1" x14ac:dyDescent="0.25">
      <c r="A1368" t="s">
        <v>20</v>
      </c>
      <c r="B1368">
        <v>25</v>
      </c>
      <c r="C1368">
        <v>23</v>
      </c>
    </row>
    <row r="1369" spans="1:4" hidden="1" x14ac:dyDescent="0.25">
      <c r="A1369" t="s">
        <v>20</v>
      </c>
      <c r="B1369">
        <v>25</v>
      </c>
      <c r="C1369">
        <v>24</v>
      </c>
      <c r="D1369">
        <v>1</v>
      </c>
    </row>
    <row r="1370" spans="1:4" hidden="1" x14ac:dyDescent="0.25">
      <c r="A1370" t="s">
        <v>20</v>
      </c>
      <c r="B1370">
        <v>25</v>
      </c>
      <c r="C1370">
        <v>25</v>
      </c>
    </row>
    <row r="1371" spans="1:4" hidden="1" x14ac:dyDescent="0.25">
      <c r="A1371" t="s">
        <v>20</v>
      </c>
      <c r="B1371">
        <v>25</v>
      </c>
      <c r="C1371">
        <v>26</v>
      </c>
    </row>
    <row r="1372" spans="1:4" hidden="1" x14ac:dyDescent="0.25">
      <c r="A1372" t="s">
        <v>20</v>
      </c>
      <c r="B1372">
        <v>25</v>
      </c>
      <c r="C1372">
        <v>27</v>
      </c>
      <c r="D1372">
        <v>1</v>
      </c>
    </row>
    <row r="1373" spans="1:4" hidden="1" x14ac:dyDescent="0.25">
      <c r="A1373" t="s">
        <v>20</v>
      </c>
      <c r="B1373">
        <v>25</v>
      </c>
      <c r="C1373">
        <v>28</v>
      </c>
    </row>
    <row r="1374" spans="1:4" hidden="1" x14ac:dyDescent="0.25">
      <c r="A1374" t="s">
        <v>20</v>
      </c>
      <c r="B1374">
        <v>25</v>
      </c>
      <c r="C1374">
        <v>29</v>
      </c>
    </row>
    <row r="1375" spans="1:4" hidden="1" x14ac:dyDescent="0.25">
      <c r="A1375" t="s">
        <v>20</v>
      </c>
      <c r="B1375">
        <v>25</v>
      </c>
      <c r="C1375">
        <v>30</v>
      </c>
      <c r="D1375">
        <v>1</v>
      </c>
    </row>
    <row r="1376" spans="1:4" hidden="1" x14ac:dyDescent="0.25">
      <c r="A1376" t="s">
        <v>20</v>
      </c>
      <c r="B1376">
        <v>25</v>
      </c>
      <c r="C1376">
        <v>31</v>
      </c>
    </row>
    <row r="1377" spans="1:4" hidden="1" x14ac:dyDescent="0.25">
      <c r="A1377" t="s">
        <v>20</v>
      </c>
      <c r="B1377">
        <v>25</v>
      </c>
      <c r="C1377">
        <v>32</v>
      </c>
    </row>
    <row r="1378" spans="1:4" hidden="1" x14ac:dyDescent="0.25">
      <c r="A1378" t="s">
        <v>20</v>
      </c>
      <c r="B1378">
        <v>25</v>
      </c>
      <c r="C1378">
        <v>33</v>
      </c>
      <c r="D1378">
        <v>1</v>
      </c>
    </row>
    <row r="1379" spans="1:4" hidden="1" x14ac:dyDescent="0.25">
      <c r="A1379" t="s">
        <v>20</v>
      </c>
      <c r="B1379">
        <v>25</v>
      </c>
      <c r="C1379">
        <v>34</v>
      </c>
    </row>
    <row r="1380" spans="1:4" hidden="1" x14ac:dyDescent="0.25">
      <c r="A1380" t="s">
        <v>20</v>
      </c>
      <c r="B1380">
        <v>25</v>
      </c>
      <c r="C1380">
        <v>35</v>
      </c>
    </row>
    <row r="1381" spans="1:4" hidden="1" x14ac:dyDescent="0.25">
      <c r="A1381" t="s">
        <v>20</v>
      </c>
      <c r="B1381">
        <v>25</v>
      </c>
      <c r="C1381">
        <v>36</v>
      </c>
    </row>
    <row r="1382" spans="1:4" hidden="1" x14ac:dyDescent="0.25">
      <c r="A1382" t="s">
        <v>20</v>
      </c>
      <c r="B1382">
        <v>25</v>
      </c>
      <c r="C1382">
        <v>37</v>
      </c>
    </row>
    <row r="1383" spans="1:4" hidden="1" x14ac:dyDescent="0.25">
      <c r="A1383" t="s">
        <v>20</v>
      </c>
      <c r="B1383">
        <v>25</v>
      </c>
      <c r="C1383">
        <v>38</v>
      </c>
    </row>
    <row r="1384" spans="1:4" hidden="1" x14ac:dyDescent="0.25">
      <c r="A1384" t="s">
        <v>20</v>
      </c>
      <c r="B1384">
        <v>25</v>
      </c>
      <c r="C1384">
        <v>39</v>
      </c>
    </row>
    <row r="1385" spans="1:4" hidden="1" x14ac:dyDescent="0.25">
      <c r="A1385" t="s">
        <v>20</v>
      </c>
      <c r="B1385">
        <v>25</v>
      </c>
      <c r="C1385">
        <v>40</v>
      </c>
    </row>
    <row r="1386" spans="1:4" hidden="1" x14ac:dyDescent="0.25">
      <c r="A1386" t="s">
        <v>20</v>
      </c>
      <c r="B1386">
        <v>25</v>
      </c>
      <c r="C1386">
        <v>41</v>
      </c>
    </row>
    <row r="1387" spans="1:4" hidden="1" x14ac:dyDescent="0.25">
      <c r="A1387" t="s">
        <v>20</v>
      </c>
      <c r="B1387">
        <v>25</v>
      </c>
      <c r="C1387">
        <v>42</v>
      </c>
    </row>
    <row r="1388" spans="1:4" hidden="1" x14ac:dyDescent="0.25">
      <c r="A1388" t="s">
        <v>20</v>
      </c>
      <c r="B1388">
        <v>25</v>
      </c>
      <c r="C1388">
        <v>43</v>
      </c>
    </row>
    <row r="1389" spans="1:4" hidden="1" x14ac:dyDescent="0.25">
      <c r="A1389" t="s">
        <v>20</v>
      </c>
      <c r="B1389">
        <v>25</v>
      </c>
      <c r="C1389">
        <v>44</v>
      </c>
    </row>
    <row r="1390" spans="1:4" hidden="1" x14ac:dyDescent="0.25">
      <c r="A1390" t="s">
        <v>20</v>
      </c>
      <c r="B1390">
        <v>25</v>
      </c>
      <c r="C1390">
        <v>45</v>
      </c>
      <c r="D1390">
        <v>1</v>
      </c>
    </row>
    <row r="1391" spans="1:4" hidden="1" x14ac:dyDescent="0.25">
      <c r="A1391" t="s">
        <v>20</v>
      </c>
      <c r="B1391">
        <v>25</v>
      </c>
      <c r="C1391">
        <v>46</v>
      </c>
    </row>
    <row r="1392" spans="1:4" hidden="1" x14ac:dyDescent="0.25">
      <c r="A1392" t="s">
        <v>20</v>
      </c>
      <c r="B1392">
        <v>25</v>
      </c>
      <c r="C1392">
        <v>47</v>
      </c>
    </row>
    <row r="1393" spans="1:4" hidden="1" x14ac:dyDescent="0.25">
      <c r="A1393" t="s">
        <v>20</v>
      </c>
      <c r="B1393">
        <v>25</v>
      </c>
      <c r="C1393">
        <v>48</v>
      </c>
      <c r="D1393">
        <v>1</v>
      </c>
    </row>
    <row r="1394" spans="1:4" hidden="1" x14ac:dyDescent="0.25">
      <c r="A1394" t="s">
        <v>20</v>
      </c>
      <c r="B1394">
        <v>25</v>
      </c>
      <c r="C1394">
        <v>49</v>
      </c>
    </row>
    <row r="1395" spans="1:4" hidden="1" x14ac:dyDescent="0.25">
      <c r="A1395" t="s">
        <v>20</v>
      </c>
      <c r="B1395">
        <v>25</v>
      </c>
      <c r="C1395">
        <v>50</v>
      </c>
    </row>
    <row r="1396" spans="1:4" hidden="1" x14ac:dyDescent="0.25">
      <c r="A1396" t="s">
        <v>20</v>
      </c>
      <c r="B1396">
        <v>25</v>
      </c>
      <c r="C1396">
        <v>51</v>
      </c>
      <c r="D1396">
        <v>1</v>
      </c>
    </row>
    <row r="1397" spans="1:4" hidden="1" x14ac:dyDescent="0.25">
      <c r="A1397" t="s">
        <v>20</v>
      </c>
      <c r="B1397">
        <v>25</v>
      </c>
      <c r="C1397">
        <v>52</v>
      </c>
    </row>
    <row r="1398" spans="1:4" hidden="1" x14ac:dyDescent="0.25">
      <c r="A1398" t="s">
        <v>20</v>
      </c>
      <c r="B1398">
        <v>25</v>
      </c>
      <c r="C1398">
        <v>53</v>
      </c>
    </row>
    <row r="1399" spans="1:4" hidden="1" x14ac:dyDescent="0.25">
      <c r="A1399" t="s">
        <v>20</v>
      </c>
      <c r="B1399">
        <v>25</v>
      </c>
      <c r="C1399">
        <v>54</v>
      </c>
      <c r="D1399">
        <v>1</v>
      </c>
    </row>
    <row r="1400" spans="1:4" hidden="1" x14ac:dyDescent="0.25">
      <c r="A1400" t="s">
        <v>20</v>
      </c>
      <c r="B1400">
        <v>25</v>
      </c>
      <c r="C1400">
        <v>55</v>
      </c>
    </row>
    <row r="1401" spans="1:4" hidden="1" x14ac:dyDescent="0.25">
      <c r="A1401" t="s">
        <v>20</v>
      </c>
      <c r="B1401">
        <v>25</v>
      </c>
      <c r="C1401">
        <v>56</v>
      </c>
    </row>
    <row r="1402" spans="1:4" hidden="1" x14ac:dyDescent="0.25">
      <c r="A1402" t="s">
        <v>20</v>
      </c>
      <c r="B1402">
        <v>25</v>
      </c>
      <c r="C1402">
        <v>57</v>
      </c>
    </row>
    <row r="1403" spans="1:4" hidden="1" x14ac:dyDescent="0.25">
      <c r="A1403" t="s">
        <v>20</v>
      </c>
      <c r="B1403">
        <v>25</v>
      </c>
      <c r="C1403">
        <v>58</v>
      </c>
    </row>
    <row r="1404" spans="1:4" hidden="1" x14ac:dyDescent="0.25">
      <c r="A1404" t="s">
        <v>20</v>
      </c>
      <c r="B1404">
        <v>25</v>
      </c>
      <c r="C1404">
        <v>59</v>
      </c>
    </row>
    <row r="1405" spans="1:4" hidden="1" x14ac:dyDescent="0.25">
      <c r="A1405" t="s">
        <v>20</v>
      </c>
      <c r="B1405">
        <v>25</v>
      </c>
      <c r="C1405">
        <v>60</v>
      </c>
    </row>
    <row r="1406" spans="1:4" hidden="1" x14ac:dyDescent="0.25">
      <c r="A1406" t="s">
        <v>20</v>
      </c>
      <c r="B1406">
        <v>25</v>
      </c>
      <c r="C1406">
        <v>61</v>
      </c>
    </row>
    <row r="1407" spans="1:4" hidden="1" x14ac:dyDescent="0.25">
      <c r="A1407" t="s">
        <v>20</v>
      </c>
      <c r="B1407">
        <v>25</v>
      </c>
      <c r="C1407">
        <v>62</v>
      </c>
    </row>
    <row r="1408" spans="1:4" hidden="1" x14ac:dyDescent="0.25">
      <c r="A1408" t="s">
        <v>20</v>
      </c>
      <c r="B1408">
        <v>25</v>
      </c>
      <c r="C1408">
        <v>63</v>
      </c>
      <c r="D1408">
        <v>1</v>
      </c>
    </row>
    <row r="1409" spans="1:4" hidden="1" x14ac:dyDescent="0.25">
      <c r="A1409" t="s">
        <v>20</v>
      </c>
      <c r="B1409">
        <v>25</v>
      </c>
      <c r="C1409">
        <v>64</v>
      </c>
    </row>
    <row r="1410" spans="1:4" hidden="1" x14ac:dyDescent="0.25">
      <c r="A1410" t="s">
        <v>20</v>
      </c>
      <c r="B1410">
        <v>25</v>
      </c>
      <c r="C1410">
        <v>65</v>
      </c>
    </row>
    <row r="1411" spans="1:4" hidden="1" x14ac:dyDescent="0.25">
      <c r="A1411" t="s">
        <v>20</v>
      </c>
      <c r="B1411">
        <v>25</v>
      </c>
      <c r="C1411">
        <v>66</v>
      </c>
    </row>
    <row r="1412" spans="1:4" hidden="1" x14ac:dyDescent="0.25">
      <c r="A1412" t="s">
        <v>20</v>
      </c>
      <c r="B1412">
        <v>25</v>
      </c>
      <c r="C1412">
        <v>67</v>
      </c>
    </row>
    <row r="1413" spans="1:4" hidden="1" x14ac:dyDescent="0.25">
      <c r="A1413" t="s">
        <v>20</v>
      </c>
      <c r="B1413">
        <v>25</v>
      </c>
      <c r="C1413">
        <v>68</v>
      </c>
    </row>
    <row r="1414" spans="1:4" hidden="1" x14ac:dyDescent="0.25">
      <c r="A1414" t="s">
        <v>20</v>
      </c>
      <c r="B1414">
        <v>25</v>
      </c>
      <c r="C1414">
        <v>69</v>
      </c>
      <c r="D1414">
        <v>1</v>
      </c>
    </row>
    <row r="1415" spans="1:4" hidden="1" x14ac:dyDescent="0.25">
      <c r="A1415" t="s">
        <v>20</v>
      </c>
      <c r="B1415">
        <v>25</v>
      </c>
      <c r="C1415">
        <v>70</v>
      </c>
    </row>
    <row r="1416" spans="1:4" hidden="1" x14ac:dyDescent="0.25">
      <c r="A1416" t="s">
        <v>20</v>
      </c>
      <c r="B1416">
        <v>25</v>
      </c>
      <c r="C1416">
        <v>71</v>
      </c>
    </row>
    <row r="1417" spans="1:4" hidden="1" x14ac:dyDescent="0.25">
      <c r="A1417" t="s">
        <v>20</v>
      </c>
      <c r="B1417">
        <v>25</v>
      </c>
      <c r="C1417">
        <v>72</v>
      </c>
    </row>
    <row r="1418" spans="1:4" hidden="1" x14ac:dyDescent="0.25">
      <c r="A1418" t="s">
        <v>20</v>
      </c>
      <c r="B1418">
        <v>25</v>
      </c>
      <c r="C1418">
        <v>73</v>
      </c>
    </row>
    <row r="1419" spans="1:4" hidden="1" x14ac:dyDescent="0.25">
      <c r="A1419" t="s">
        <v>20</v>
      </c>
      <c r="B1419">
        <v>25</v>
      </c>
      <c r="C1419">
        <v>74</v>
      </c>
    </row>
    <row r="1420" spans="1:4" hidden="1" x14ac:dyDescent="0.25">
      <c r="A1420" t="s">
        <v>20</v>
      </c>
      <c r="B1420">
        <v>25</v>
      </c>
      <c r="C1420">
        <v>75</v>
      </c>
      <c r="D1420">
        <v>1</v>
      </c>
    </row>
    <row r="1421" spans="1:4" hidden="1" x14ac:dyDescent="0.25">
      <c r="A1421" t="s">
        <v>20</v>
      </c>
      <c r="B1421">
        <v>25</v>
      </c>
      <c r="C1421">
        <v>76</v>
      </c>
    </row>
    <row r="1422" spans="1:4" hidden="1" x14ac:dyDescent="0.25">
      <c r="A1422" t="s">
        <v>20</v>
      </c>
      <c r="B1422">
        <v>25</v>
      </c>
      <c r="C1422">
        <v>77</v>
      </c>
    </row>
    <row r="1423" spans="1:4" hidden="1" x14ac:dyDescent="0.25">
      <c r="A1423" t="s">
        <v>20</v>
      </c>
      <c r="B1423">
        <v>25</v>
      </c>
      <c r="C1423">
        <v>78</v>
      </c>
      <c r="D1423">
        <v>1</v>
      </c>
    </row>
    <row r="1424" spans="1:4" hidden="1" x14ac:dyDescent="0.25">
      <c r="A1424" t="s">
        <v>20</v>
      </c>
      <c r="B1424">
        <v>25</v>
      </c>
      <c r="C1424">
        <v>79</v>
      </c>
    </row>
    <row r="1425" spans="1:4" hidden="1" x14ac:dyDescent="0.25">
      <c r="A1425" t="s">
        <v>20</v>
      </c>
      <c r="B1425">
        <v>25</v>
      </c>
      <c r="C1425">
        <v>80</v>
      </c>
    </row>
    <row r="1426" spans="1:4" hidden="1" x14ac:dyDescent="0.25">
      <c r="A1426" t="s">
        <v>20</v>
      </c>
      <c r="B1426">
        <v>25</v>
      </c>
      <c r="C1426">
        <v>81</v>
      </c>
    </row>
    <row r="1427" spans="1:4" hidden="1" x14ac:dyDescent="0.25">
      <c r="A1427" t="s">
        <v>20</v>
      </c>
      <c r="B1427">
        <v>25</v>
      </c>
      <c r="C1427">
        <v>82</v>
      </c>
    </row>
    <row r="1428" spans="1:4" hidden="1" x14ac:dyDescent="0.25">
      <c r="A1428" t="s">
        <v>20</v>
      </c>
      <c r="B1428">
        <v>25</v>
      </c>
      <c r="C1428">
        <v>83</v>
      </c>
    </row>
    <row r="1429" spans="1:4" hidden="1" x14ac:dyDescent="0.25">
      <c r="A1429" t="s">
        <v>20</v>
      </c>
      <c r="B1429">
        <v>25</v>
      </c>
      <c r="C1429">
        <v>84</v>
      </c>
    </row>
    <row r="1430" spans="1:4" hidden="1" x14ac:dyDescent="0.25">
      <c r="A1430" t="s">
        <v>20</v>
      </c>
      <c r="B1430">
        <v>26</v>
      </c>
      <c r="C1430">
        <v>1</v>
      </c>
    </row>
    <row r="1431" spans="1:4" hidden="1" x14ac:dyDescent="0.25">
      <c r="A1431" t="s">
        <v>20</v>
      </c>
      <c r="B1431">
        <v>26</v>
      </c>
      <c r="C1431">
        <v>2</v>
      </c>
    </row>
    <row r="1432" spans="1:4" hidden="1" x14ac:dyDescent="0.25">
      <c r="A1432" t="s">
        <v>20</v>
      </c>
      <c r="B1432">
        <v>26</v>
      </c>
      <c r="C1432">
        <v>3</v>
      </c>
      <c r="D1432">
        <v>1</v>
      </c>
    </row>
    <row r="1433" spans="1:4" hidden="1" x14ac:dyDescent="0.25">
      <c r="A1433" t="s">
        <v>20</v>
      </c>
      <c r="B1433">
        <v>26</v>
      </c>
      <c r="C1433">
        <v>4</v>
      </c>
    </row>
    <row r="1434" spans="1:4" hidden="1" x14ac:dyDescent="0.25">
      <c r="A1434" t="s">
        <v>20</v>
      </c>
      <c r="B1434">
        <v>26</v>
      </c>
      <c r="C1434">
        <v>5</v>
      </c>
    </row>
    <row r="1435" spans="1:4" hidden="1" x14ac:dyDescent="0.25">
      <c r="A1435" t="s">
        <v>20</v>
      </c>
      <c r="B1435">
        <v>26</v>
      </c>
      <c r="C1435">
        <v>6</v>
      </c>
      <c r="D1435">
        <v>1</v>
      </c>
    </row>
    <row r="1436" spans="1:4" hidden="1" x14ac:dyDescent="0.25">
      <c r="A1436" t="s">
        <v>20</v>
      </c>
      <c r="B1436">
        <v>26</v>
      </c>
      <c r="C1436">
        <v>7</v>
      </c>
    </row>
    <row r="1437" spans="1:4" hidden="1" x14ac:dyDescent="0.25">
      <c r="A1437" t="s">
        <v>20</v>
      </c>
      <c r="B1437">
        <v>26</v>
      </c>
      <c r="C1437">
        <v>8</v>
      </c>
    </row>
    <row r="1438" spans="1:4" hidden="1" x14ac:dyDescent="0.25">
      <c r="A1438" t="s">
        <v>20</v>
      </c>
      <c r="B1438">
        <v>26</v>
      </c>
      <c r="C1438">
        <v>9</v>
      </c>
    </row>
    <row r="1439" spans="1:4" hidden="1" x14ac:dyDescent="0.25">
      <c r="A1439" t="s">
        <v>20</v>
      </c>
      <c r="B1439">
        <v>26</v>
      </c>
      <c r="C1439">
        <v>10</v>
      </c>
    </row>
    <row r="1440" spans="1:4" hidden="1" x14ac:dyDescent="0.25">
      <c r="A1440" t="s">
        <v>20</v>
      </c>
      <c r="B1440">
        <v>26</v>
      </c>
      <c r="C1440">
        <v>11</v>
      </c>
    </row>
    <row r="1441" spans="1:4" hidden="1" x14ac:dyDescent="0.25">
      <c r="A1441" t="s">
        <v>20</v>
      </c>
      <c r="B1441">
        <v>26</v>
      </c>
      <c r="C1441">
        <v>12</v>
      </c>
    </row>
    <row r="1442" spans="1:4" hidden="1" x14ac:dyDescent="0.25">
      <c r="A1442" t="s">
        <v>20</v>
      </c>
      <c r="B1442">
        <v>26</v>
      </c>
      <c r="C1442">
        <v>13</v>
      </c>
    </row>
    <row r="1443" spans="1:4" hidden="1" x14ac:dyDescent="0.25">
      <c r="A1443" t="s">
        <v>20</v>
      </c>
      <c r="B1443">
        <v>26</v>
      </c>
      <c r="C1443">
        <v>14</v>
      </c>
    </row>
    <row r="1444" spans="1:4" hidden="1" x14ac:dyDescent="0.25">
      <c r="A1444" t="s">
        <v>20</v>
      </c>
      <c r="B1444">
        <v>26</v>
      </c>
      <c r="C1444">
        <v>15</v>
      </c>
    </row>
    <row r="1445" spans="1:4" hidden="1" x14ac:dyDescent="0.25">
      <c r="A1445" t="s">
        <v>20</v>
      </c>
      <c r="B1445">
        <v>26</v>
      </c>
      <c r="C1445">
        <v>16</v>
      </c>
    </row>
    <row r="1446" spans="1:4" hidden="1" x14ac:dyDescent="0.25">
      <c r="A1446" t="s">
        <v>20</v>
      </c>
      <c r="B1446">
        <v>26</v>
      </c>
      <c r="C1446">
        <v>17</v>
      </c>
    </row>
    <row r="1447" spans="1:4" hidden="1" x14ac:dyDescent="0.25">
      <c r="A1447" t="s">
        <v>20</v>
      </c>
      <c r="B1447">
        <v>26</v>
      </c>
      <c r="C1447">
        <v>18</v>
      </c>
      <c r="D1447">
        <v>1</v>
      </c>
    </row>
    <row r="1448" spans="1:4" hidden="1" x14ac:dyDescent="0.25">
      <c r="A1448" t="s">
        <v>20</v>
      </c>
      <c r="B1448">
        <v>26</v>
      </c>
      <c r="C1448">
        <v>19</v>
      </c>
    </row>
    <row r="1449" spans="1:4" hidden="1" x14ac:dyDescent="0.25">
      <c r="A1449" t="s">
        <v>20</v>
      </c>
      <c r="B1449">
        <v>26</v>
      </c>
      <c r="C1449">
        <v>20</v>
      </c>
    </row>
    <row r="1450" spans="1:4" hidden="1" x14ac:dyDescent="0.25">
      <c r="A1450" t="s">
        <v>20</v>
      </c>
      <c r="B1450">
        <v>26</v>
      </c>
      <c r="C1450">
        <v>21</v>
      </c>
      <c r="D1450">
        <v>1</v>
      </c>
    </row>
    <row r="1451" spans="1:4" hidden="1" x14ac:dyDescent="0.25">
      <c r="A1451" t="s">
        <v>20</v>
      </c>
      <c r="B1451">
        <v>26</v>
      </c>
      <c r="C1451">
        <v>22</v>
      </c>
    </row>
    <row r="1452" spans="1:4" hidden="1" x14ac:dyDescent="0.25">
      <c r="A1452" t="s">
        <v>20</v>
      </c>
      <c r="B1452">
        <v>26</v>
      </c>
      <c r="C1452">
        <v>23</v>
      </c>
    </row>
    <row r="1453" spans="1:4" hidden="1" x14ac:dyDescent="0.25">
      <c r="A1453" t="s">
        <v>20</v>
      </c>
      <c r="B1453">
        <v>26</v>
      </c>
      <c r="C1453">
        <v>24</v>
      </c>
      <c r="D1453">
        <v>1</v>
      </c>
    </row>
    <row r="1454" spans="1:4" hidden="1" x14ac:dyDescent="0.25">
      <c r="A1454" t="s">
        <v>20</v>
      </c>
      <c r="B1454">
        <v>26</v>
      </c>
      <c r="C1454">
        <v>25</v>
      </c>
    </row>
    <row r="1455" spans="1:4" hidden="1" x14ac:dyDescent="0.25">
      <c r="A1455" t="s">
        <v>20</v>
      </c>
      <c r="B1455">
        <v>26</v>
      </c>
      <c r="C1455">
        <v>26</v>
      </c>
    </row>
    <row r="1456" spans="1:4" hidden="1" x14ac:dyDescent="0.25">
      <c r="A1456" t="s">
        <v>20</v>
      </c>
      <c r="B1456">
        <v>26</v>
      </c>
      <c r="C1456">
        <v>27</v>
      </c>
      <c r="D1456">
        <v>1</v>
      </c>
    </row>
    <row r="1457" spans="1:4" hidden="1" x14ac:dyDescent="0.25">
      <c r="A1457" t="s">
        <v>20</v>
      </c>
      <c r="B1457">
        <v>26</v>
      </c>
      <c r="C1457">
        <v>28</v>
      </c>
    </row>
    <row r="1458" spans="1:4" hidden="1" x14ac:dyDescent="0.25">
      <c r="A1458" t="s">
        <v>20</v>
      </c>
      <c r="B1458">
        <v>26</v>
      </c>
      <c r="C1458">
        <v>29</v>
      </c>
    </row>
    <row r="1459" spans="1:4" hidden="1" x14ac:dyDescent="0.25">
      <c r="A1459" t="s">
        <v>20</v>
      </c>
      <c r="B1459">
        <v>26</v>
      </c>
      <c r="C1459">
        <v>30</v>
      </c>
      <c r="D1459">
        <v>1</v>
      </c>
    </row>
    <row r="1460" spans="1:4" hidden="1" x14ac:dyDescent="0.25">
      <c r="A1460" t="s">
        <v>20</v>
      </c>
      <c r="B1460">
        <v>26</v>
      </c>
      <c r="C1460">
        <v>31</v>
      </c>
    </row>
    <row r="1461" spans="1:4" hidden="1" x14ac:dyDescent="0.25">
      <c r="A1461" t="s">
        <v>20</v>
      </c>
      <c r="B1461">
        <v>26</v>
      </c>
      <c r="C1461">
        <v>32</v>
      </c>
    </row>
    <row r="1462" spans="1:4" hidden="1" x14ac:dyDescent="0.25">
      <c r="A1462" t="s">
        <v>20</v>
      </c>
      <c r="B1462">
        <v>26</v>
      </c>
      <c r="C1462">
        <v>33</v>
      </c>
      <c r="D1462">
        <v>1</v>
      </c>
    </row>
    <row r="1463" spans="1:4" hidden="1" x14ac:dyDescent="0.25">
      <c r="A1463" t="s">
        <v>20</v>
      </c>
      <c r="B1463">
        <v>26</v>
      </c>
      <c r="C1463">
        <v>34</v>
      </c>
    </row>
    <row r="1464" spans="1:4" hidden="1" x14ac:dyDescent="0.25">
      <c r="A1464" t="s">
        <v>20</v>
      </c>
      <c r="B1464">
        <v>26</v>
      </c>
      <c r="C1464">
        <v>35</v>
      </c>
    </row>
    <row r="1465" spans="1:4" hidden="1" x14ac:dyDescent="0.25">
      <c r="A1465" t="s">
        <v>20</v>
      </c>
      <c r="B1465">
        <v>26</v>
      </c>
      <c r="C1465">
        <v>36</v>
      </c>
      <c r="D1465">
        <v>1</v>
      </c>
    </row>
    <row r="1466" spans="1:4" hidden="1" x14ac:dyDescent="0.25">
      <c r="A1466" t="s">
        <v>20</v>
      </c>
      <c r="B1466">
        <v>26</v>
      </c>
      <c r="C1466">
        <v>37</v>
      </c>
    </row>
    <row r="1467" spans="1:4" hidden="1" x14ac:dyDescent="0.25">
      <c r="A1467" t="s">
        <v>20</v>
      </c>
      <c r="B1467">
        <v>26</v>
      </c>
      <c r="C1467">
        <v>38</v>
      </c>
    </row>
    <row r="1468" spans="1:4" hidden="1" x14ac:dyDescent="0.25">
      <c r="A1468" t="s">
        <v>20</v>
      </c>
      <c r="B1468">
        <v>26</v>
      </c>
      <c r="C1468">
        <v>39</v>
      </c>
      <c r="D1468">
        <v>1</v>
      </c>
    </row>
    <row r="1469" spans="1:4" hidden="1" x14ac:dyDescent="0.25">
      <c r="A1469" t="s">
        <v>20</v>
      </c>
      <c r="B1469">
        <v>26</v>
      </c>
      <c r="C1469">
        <v>40</v>
      </c>
    </row>
    <row r="1470" spans="1:4" hidden="1" x14ac:dyDescent="0.25">
      <c r="A1470" t="s">
        <v>20</v>
      </c>
      <c r="B1470">
        <v>26</v>
      </c>
      <c r="C1470">
        <v>41</v>
      </c>
    </row>
    <row r="1471" spans="1:4" hidden="1" x14ac:dyDescent="0.25">
      <c r="A1471" t="s">
        <v>20</v>
      </c>
      <c r="B1471">
        <v>26</v>
      </c>
      <c r="C1471">
        <v>42</v>
      </c>
      <c r="D1471">
        <v>1</v>
      </c>
    </row>
    <row r="1472" spans="1:4" hidden="1" x14ac:dyDescent="0.25">
      <c r="A1472" t="s">
        <v>20</v>
      </c>
      <c r="B1472">
        <v>26</v>
      </c>
      <c r="C1472">
        <v>43</v>
      </c>
    </row>
    <row r="1473" spans="1:4" hidden="1" x14ac:dyDescent="0.25">
      <c r="A1473" t="s">
        <v>20</v>
      </c>
      <c r="B1473">
        <v>26</v>
      </c>
      <c r="C1473">
        <v>44</v>
      </c>
    </row>
    <row r="1474" spans="1:4" hidden="1" x14ac:dyDescent="0.25">
      <c r="A1474" t="s">
        <v>20</v>
      </c>
      <c r="B1474">
        <v>26</v>
      </c>
      <c r="C1474">
        <v>45</v>
      </c>
    </row>
    <row r="1475" spans="1:4" hidden="1" x14ac:dyDescent="0.25">
      <c r="A1475" t="s">
        <v>20</v>
      </c>
      <c r="B1475">
        <v>26</v>
      </c>
      <c r="C1475">
        <v>46</v>
      </c>
    </row>
    <row r="1476" spans="1:4" hidden="1" x14ac:dyDescent="0.25">
      <c r="A1476" t="s">
        <v>20</v>
      </c>
      <c r="B1476">
        <v>26</v>
      </c>
      <c r="C1476">
        <v>47</v>
      </c>
    </row>
    <row r="1477" spans="1:4" hidden="1" x14ac:dyDescent="0.25">
      <c r="A1477" t="s">
        <v>20</v>
      </c>
      <c r="B1477">
        <v>26</v>
      </c>
      <c r="C1477">
        <v>48</v>
      </c>
      <c r="D1477">
        <v>1</v>
      </c>
    </row>
    <row r="1478" spans="1:4" hidden="1" x14ac:dyDescent="0.25">
      <c r="A1478" t="s">
        <v>20</v>
      </c>
      <c r="B1478">
        <v>26</v>
      </c>
      <c r="C1478">
        <v>49</v>
      </c>
    </row>
    <row r="1479" spans="1:4" hidden="1" x14ac:dyDescent="0.25">
      <c r="A1479" t="s">
        <v>20</v>
      </c>
      <c r="B1479">
        <v>26</v>
      </c>
      <c r="C1479">
        <v>50</v>
      </c>
    </row>
    <row r="1480" spans="1:4" hidden="1" x14ac:dyDescent="0.25">
      <c r="A1480" t="s">
        <v>20</v>
      </c>
      <c r="B1480">
        <v>26</v>
      </c>
      <c r="C1480">
        <v>51</v>
      </c>
    </row>
    <row r="1481" spans="1:4" hidden="1" x14ac:dyDescent="0.25">
      <c r="A1481" t="s">
        <v>20</v>
      </c>
      <c r="B1481">
        <v>26</v>
      </c>
      <c r="C1481">
        <v>52</v>
      </c>
    </row>
    <row r="1482" spans="1:4" hidden="1" x14ac:dyDescent="0.25">
      <c r="A1482" t="s">
        <v>20</v>
      </c>
      <c r="B1482">
        <v>26</v>
      </c>
      <c r="C1482">
        <v>53</v>
      </c>
    </row>
    <row r="1483" spans="1:4" hidden="1" x14ac:dyDescent="0.25">
      <c r="A1483" t="s">
        <v>20</v>
      </c>
      <c r="B1483">
        <v>26</v>
      </c>
      <c r="C1483">
        <v>54</v>
      </c>
      <c r="D1483">
        <v>1</v>
      </c>
    </row>
    <row r="1484" spans="1:4" hidden="1" x14ac:dyDescent="0.25">
      <c r="A1484" t="s">
        <v>20</v>
      </c>
      <c r="B1484">
        <v>26</v>
      </c>
      <c r="C1484">
        <v>55</v>
      </c>
    </row>
    <row r="1485" spans="1:4" hidden="1" x14ac:dyDescent="0.25">
      <c r="A1485" t="s">
        <v>20</v>
      </c>
      <c r="B1485">
        <v>26</v>
      </c>
      <c r="C1485">
        <v>56</v>
      </c>
    </row>
    <row r="1486" spans="1:4" hidden="1" x14ac:dyDescent="0.25">
      <c r="A1486" t="s">
        <v>20</v>
      </c>
      <c r="B1486">
        <v>26</v>
      </c>
      <c r="C1486">
        <v>57</v>
      </c>
    </row>
    <row r="1487" spans="1:4" hidden="1" x14ac:dyDescent="0.25">
      <c r="A1487" t="s">
        <v>20</v>
      </c>
      <c r="B1487">
        <v>26</v>
      </c>
      <c r="C1487">
        <v>58</v>
      </c>
    </row>
    <row r="1488" spans="1:4" hidden="1" x14ac:dyDescent="0.25">
      <c r="A1488" t="s">
        <v>20</v>
      </c>
      <c r="B1488">
        <v>26</v>
      </c>
      <c r="C1488">
        <v>59</v>
      </c>
    </row>
    <row r="1489" spans="1:4" hidden="1" x14ac:dyDescent="0.25">
      <c r="A1489" t="s">
        <v>20</v>
      </c>
      <c r="B1489">
        <v>26</v>
      </c>
      <c r="C1489">
        <v>60</v>
      </c>
    </row>
    <row r="1490" spans="1:4" hidden="1" x14ac:dyDescent="0.25">
      <c r="A1490" t="s">
        <v>20</v>
      </c>
      <c r="B1490">
        <v>26</v>
      </c>
      <c r="C1490">
        <v>61</v>
      </c>
    </row>
    <row r="1491" spans="1:4" hidden="1" x14ac:dyDescent="0.25">
      <c r="A1491" t="s">
        <v>20</v>
      </c>
      <c r="B1491">
        <v>26</v>
      </c>
      <c r="C1491">
        <v>62</v>
      </c>
    </row>
    <row r="1492" spans="1:4" hidden="1" x14ac:dyDescent="0.25">
      <c r="A1492" t="s">
        <v>20</v>
      </c>
      <c r="B1492">
        <v>26</v>
      </c>
      <c r="C1492">
        <v>63</v>
      </c>
      <c r="D1492">
        <v>1</v>
      </c>
    </row>
    <row r="1493" spans="1:4" hidden="1" x14ac:dyDescent="0.25">
      <c r="A1493" t="s">
        <v>20</v>
      </c>
      <c r="B1493">
        <v>26</v>
      </c>
      <c r="C1493">
        <v>64</v>
      </c>
    </row>
    <row r="1494" spans="1:4" hidden="1" x14ac:dyDescent="0.25">
      <c r="A1494" t="s">
        <v>20</v>
      </c>
      <c r="B1494">
        <v>26</v>
      </c>
      <c r="C1494">
        <v>65</v>
      </c>
    </row>
    <row r="1495" spans="1:4" hidden="1" x14ac:dyDescent="0.25">
      <c r="A1495" t="s">
        <v>20</v>
      </c>
      <c r="B1495">
        <v>26</v>
      </c>
      <c r="C1495">
        <v>66</v>
      </c>
      <c r="D1495">
        <v>1</v>
      </c>
    </row>
    <row r="1496" spans="1:4" hidden="1" x14ac:dyDescent="0.25">
      <c r="A1496" t="s">
        <v>20</v>
      </c>
      <c r="B1496">
        <v>26</v>
      </c>
      <c r="C1496">
        <v>67</v>
      </c>
    </row>
    <row r="1497" spans="1:4" hidden="1" x14ac:dyDescent="0.25">
      <c r="A1497" t="s">
        <v>20</v>
      </c>
      <c r="B1497">
        <v>26</v>
      </c>
      <c r="C1497">
        <v>68</v>
      </c>
    </row>
    <row r="1498" spans="1:4" hidden="1" x14ac:dyDescent="0.25">
      <c r="A1498" t="s">
        <v>20</v>
      </c>
      <c r="B1498">
        <v>26</v>
      </c>
      <c r="C1498">
        <v>69</v>
      </c>
    </row>
    <row r="1499" spans="1:4" hidden="1" x14ac:dyDescent="0.25">
      <c r="A1499" t="s">
        <v>20</v>
      </c>
      <c r="B1499">
        <v>26</v>
      </c>
      <c r="C1499">
        <v>70</v>
      </c>
    </row>
    <row r="1500" spans="1:4" hidden="1" x14ac:dyDescent="0.25">
      <c r="A1500" t="s">
        <v>20</v>
      </c>
      <c r="B1500">
        <v>26</v>
      </c>
      <c r="C1500">
        <v>71</v>
      </c>
    </row>
    <row r="1501" spans="1:4" hidden="1" x14ac:dyDescent="0.25">
      <c r="A1501" t="s">
        <v>20</v>
      </c>
      <c r="B1501">
        <v>26</v>
      </c>
      <c r="C1501">
        <v>72</v>
      </c>
    </row>
    <row r="1502" spans="1:4" hidden="1" x14ac:dyDescent="0.25">
      <c r="A1502" t="s">
        <v>20</v>
      </c>
      <c r="B1502">
        <v>26</v>
      </c>
      <c r="C1502">
        <v>73</v>
      </c>
    </row>
    <row r="1503" spans="1:4" hidden="1" x14ac:dyDescent="0.25">
      <c r="A1503" t="s">
        <v>20</v>
      </c>
      <c r="B1503">
        <v>26</v>
      </c>
      <c r="C1503">
        <v>74</v>
      </c>
    </row>
    <row r="1504" spans="1:4" hidden="1" x14ac:dyDescent="0.25">
      <c r="A1504" t="s">
        <v>20</v>
      </c>
      <c r="B1504">
        <v>26</v>
      </c>
      <c r="C1504">
        <v>75</v>
      </c>
    </row>
    <row r="1505" spans="1:4" hidden="1" x14ac:dyDescent="0.25">
      <c r="A1505" t="s">
        <v>20</v>
      </c>
      <c r="B1505">
        <v>26</v>
      </c>
      <c r="C1505">
        <v>76</v>
      </c>
    </row>
    <row r="1506" spans="1:4" hidden="1" x14ac:dyDescent="0.25">
      <c r="A1506" t="s">
        <v>20</v>
      </c>
      <c r="B1506">
        <v>26</v>
      </c>
      <c r="C1506">
        <v>77</v>
      </c>
    </row>
    <row r="1507" spans="1:4" hidden="1" x14ac:dyDescent="0.25">
      <c r="A1507" t="s">
        <v>20</v>
      </c>
      <c r="B1507">
        <v>26</v>
      </c>
      <c r="C1507">
        <v>78</v>
      </c>
      <c r="D1507">
        <v>1</v>
      </c>
    </row>
    <row r="1508" spans="1:4" hidden="1" x14ac:dyDescent="0.25">
      <c r="A1508" t="s">
        <v>20</v>
      </c>
      <c r="B1508">
        <v>26</v>
      </c>
      <c r="C1508">
        <v>79</v>
      </c>
    </row>
    <row r="1509" spans="1:4" hidden="1" x14ac:dyDescent="0.25">
      <c r="A1509" t="s">
        <v>20</v>
      </c>
      <c r="B1509">
        <v>26</v>
      </c>
      <c r="C1509">
        <v>80</v>
      </c>
    </row>
    <row r="1510" spans="1:4" hidden="1" x14ac:dyDescent="0.25">
      <c r="A1510" t="s">
        <v>20</v>
      </c>
      <c r="B1510">
        <v>26</v>
      </c>
      <c r="C1510">
        <v>81</v>
      </c>
      <c r="D1510">
        <v>1</v>
      </c>
    </row>
    <row r="1511" spans="1:4" hidden="1" x14ac:dyDescent="0.25">
      <c r="A1511" t="s">
        <v>20</v>
      </c>
      <c r="B1511">
        <v>26</v>
      </c>
      <c r="C1511">
        <v>82</v>
      </c>
    </row>
    <row r="1512" spans="1:4" hidden="1" x14ac:dyDescent="0.25">
      <c r="A1512" t="s">
        <v>20</v>
      </c>
      <c r="B1512">
        <v>26</v>
      </c>
      <c r="C1512">
        <v>83</v>
      </c>
    </row>
    <row r="1513" spans="1:4" hidden="1" x14ac:dyDescent="0.25">
      <c r="A1513" t="s">
        <v>20</v>
      </c>
      <c r="B1513">
        <v>26</v>
      </c>
      <c r="C1513">
        <v>84</v>
      </c>
      <c r="D1513">
        <v>1</v>
      </c>
    </row>
    <row r="1514" spans="1:4" hidden="1" x14ac:dyDescent="0.25">
      <c r="A1514" t="s">
        <v>20</v>
      </c>
      <c r="B1514">
        <v>27</v>
      </c>
      <c r="C1514">
        <v>1</v>
      </c>
    </row>
    <row r="1515" spans="1:4" hidden="1" x14ac:dyDescent="0.25">
      <c r="A1515" t="s">
        <v>20</v>
      </c>
      <c r="B1515">
        <v>27</v>
      </c>
      <c r="C1515">
        <v>2</v>
      </c>
    </row>
    <row r="1516" spans="1:4" hidden="1" x14ac:dyDescent="0.25">
      <c r="A1516" t="s">
        <v>20</v>
      </c>
      <c r="B1516">
        <v>27</v>
      </c>
      <c r="C1516">
        <v>3</v>
      </c>
    </row>
    <row r="1517" spans="1:4" hidden="1" x14ac:dyDescent="0.25">
      <c r="A1517" t="s">
        <v>20</v>
      </c>
      <c r="B1517">
        <v>27</v>
      </c>
      <c r="C1517">
        <v>4</v>
      </c>
    </row>
    <row r="1518" spans="1:4" hidden="1" x14ac:dyDescent="0.25">
      <c r="A1518" t="s">
        <v>20</v>
      </c>
      <c r="B1518">
        <v>27</v>
      </c>
      <c r="C1518">
        <v>5</v>
      </c>
    </row>
    <row r="1519" spans="1:4" hidden="1" x14ac:dyDescent="0.25">
      <c r="A1519" t="s">
        <v>20</v>
      </c>
      <c r="B1519">
        <v>27</v>
      </c>
      <c r="C1519">
        <v>6</v>
      </c>
    </row>
    <row r="1520" spans="1:4" hidden="1" x14ac:dyDescent="0.25">
      <c r="A1520" t="s">
        <v>20</v>
      </c>
      <c r="B1520">
        <v>27</v>
      </c>
      <c r="C1520">
        <v>7</v>
      </c>
    </row>
    <row r="1521" spans="1:4" hidden="1" x14ac:dyDescent="0.25">
      <c r="A1521" t="s">
        <v>20</v>
      </c>
      <c r="B1521">
        <v>27</v>
      </c>
      <c r="C1521">
        <v>8</v>
      </c>
    </row>
    <row r="1522" spans="1:4" hidden="1" x14ac:dyDescent="0.25">
      <c r="A1522" t="s">
        <v>20</v>
      </c>
      <c r="B1522">
        <v>27</v>
      </c>
      <c r="C1522">
        <v>9</v>
      </c>
    </row>
    <row r="1523" spans="1:4" hidden="1" x14ac:dyDescent="0.25">
      <c r="A1523" t="s">
        <v>20</v>
      </c>
      <c r="B1523">
        <v>27</v>
      </c>
      <c r="C1523">
        <v>10</v>
      </c>
    </row>
    <row r="1524" spans="1:4" hidden="1" x14ac:dyDescent="0.25">
      <c r="A1524" t="s">
        <v>20</v>
      </c>
      <c r="B1524">
        <v>27</v>
      </c>
      <c r="C1524">
        <v>11</v>
      </c>
    </row>
    <row r="1525" spans="1:4" hidden="1" x14ac:dyDescent="0.25">
      <c r="A1525" t="s">
        <v>20</v>
      </c>
      <c r="B1525">
        <v>27</v>
      </c>
      <c r="C1525">
        <v>12</v>
      </c>
    </row>
    <row r="1526" spans="1:4" hidden="1" x14ac:dyDescent="0.25">
      <c r="A1526" t="s">
        <v>20</v>
      </c>
      <c r="B1526">
        <v>27</v>
      </c>
      <c r="C1526">
        <v>13</v>
      </c>
    </row>
    <row r="1527" spans="1:4" hidden="1" x14ac:dyDescent="0.25">
      <c r="A1527" t="s">
        <v>20</v>
      </c>
      <c r="B1527">
        <v>27</v>
      </c>
      <c r="C1527">
        <v>14</v>
      </c>
    </row>
    <row r="1528" spans="1:4" hidden="1" x14ac:dyDescent="0.25">
      <c r="A1528" t="s">
        <v>20</v>
      </c>
      <c r="B1528">
        <v>27</v>
      </c>
      <c r="C1528">
        <v>15</v>
      </c>
    </row>
    <row r="1529" spans="1:4" hidden="1" x14ac:dyDescent="0.25">
      <c r="A1529" t="s">
        <v>20</v>
      </c>
      <c r="B1529">
        <v>27</v>
      </c>
      <c r="C1529">
        <v>16</v>
      </c>
    </row>
    <row r="1530" spans="1:4" hidden="1" x14ac:dyDescent="0.25">
      <c r="A1530" t="s">
        <v>20</v>
      </c>
      <c r="B1530">
        <v>27</v>
      </c>
      <c r="C1530">
        <v>17</v>
      </c>
      <c r="D1530">
        <v>1</v>
      </c>
    </row>
    <row r="1531" spans="1:4" hidden="1" x14ac:dyDescent="0.25">
      <c r="A1531" t="s">
        <v>20</v>
      </c>
      <c r="B1531">
        <v>27</v>
      </c>
      <c r="C1531">
        <v>18</v>
      </c>
    </row>
    <row r="1532" spans="1:4" hidden="1" x14ac:dyDescent="0.25">
      <c r="A1532" t="s">
        <v>20</v>
      </c>
      <c r="B1532">
        <v>27</v>
      </c>
      <c r="C1532">
        <v>19</v>
      </c>
    </row>
    <row r="1533" spans="1:4" hidden="1" x14ac:dyDescent="0.25">
      <c r="A1533" t="s">
        <v>20</v>
      </c>
      <c r="B1533">
        <v>27</v>
      </c>
      <c r="C1533">
        <v>20</v>
      </c>
      <c r="D1533">
        <v>1</v>
      </c>
    </row>
    <row r="1534" spans="1:4" hidden="1" x14ac:dyDescent="0.25">
      <c r="A1534" t="s">
        <v>20</v>
      </c>
      <c r="B1534">
        <v>27</v>
      </c>
      <c r="C1534">
        <v>21</v>
      </c>
    </row>
    <row r="1535" spans="1:4" hidden="1" x14ac:dyDescent="0.25">
      <c r="A1535" t="s">
        <v>20</v>
      </c>
      <c r="B1535">
        <v>27</v>
      </c>
      <c r="C1535">
        <v>22</v>
      </c>
    </row>
    <row r="1536" spans="1:4" hidden="1" x14ac:dyDescent="0.25">
      <c r="A1536" t="s">
        <v>20</v>
      </c>
      <c r="B1536">
        <v>27</v>
      </c>
      <c r="C1536">
        <v>23</v>
      </c>
    </row>
    <row r="1537" spans="1:3" hidden="1" x14ac:dyDescent="0.25">
      <c r="A1537" t="s">
        <v>20</v>
      </c>
      <c r="B1537">
        <v>27</v>
      </c>
      <c r="C1537">
        <v>24</v>
      </c>
    </row>
    <row r="1538" spans="1:3" hidden="1" x14ac:dyDescent="0.25">
      <c r="A1538" t="s">
        <v>20</v>
      </c>
      <c r="B1538">
        <v>27</v>
      </c>
      <c r="C1538">
        <v>25</v>
      </c>
    </row>
    <row r="1539" spans="1:3" hidden="1" x14ac:dyDescent="0.25">
      <c r="A1539" t="s">
        <v>20</v>
      </c>
      <c r="B1539">
        <v>27</v>
      </c>
      <c r="C1539">
        <v>26</v>
      </c>
    </row>
    <row r="1540" spans="1:3" hidden="1" x14ac:dyDescent="0.25">
      <c r="A1540" t="s">
        <v>20</v>
      </c>
      <c r="B1540">
        <v>27</v>
      </c>
      <c r="C1540">
        <v>27</v>
      </c>
    </row>
    <row r="1541" spans="1:3" hidden="1" x14ac:dyDescent="0.25">
      <c r="A1541" t="s">
        <v>20</v>
      </c>
      <c r="B1541">
        <v>27</v>
      </c>
      <c r="C1541">
        <v>28</v>
      </c>
    </row>
    <row r="1542" spans="1:3" hidden="1" x14ac:dyDescent="0.25">
      <c r="A1542" t="s">
        <v>20</v>
      </c>
      <c r="B1542">
        <v>27</v>
      </c>
      <c r="C1542">
        <v>29</v>
      </c>
    </row>
    <row r="1543" spans="1:3" hidden="1" x14ac:dyDescent="0.25">
      <c r="A1543" t="s">
        <v>20</v>
      </c>
      <c r="B1543">
        <v>27</v>
      </c>
      <c r="C1543">
        <v>30</v>
      </c>
    </row>
    <row r="1544" spans="1:3" hidden="1" x14ac:dyDescent="0.25">
      <c r="A1544" t="s">
        <v>20</v>
      </c>
      <c r="B1544">
        <v>27</v>
      </c>
      <c r="C1544">
        <v>31</v>
      </c>
    </row>
    <row r="1545" spans="1:3" hidden="1" x14ac:dyDescent="0.25">
      <c r="A1545" t="s">
        <v>20</v>
      </c>
      <c r="B1545">
        <v>27</v>
      </c>
      <c r="C1545">
        <v>32</v>
      </c>
    </row>
    <row r="1546" spans="1:3" hidden="1" x14ac:dyDescent="0.25">
      <c r="A1546" t="s">
        <v>20</v>
      </c>
      <c r="B1546">
        <v>27</v>
      </c>
      <c r="C1546">
        <v>33</v>
      </c>
    </row>
    <row r="1547" spans="1:3" hidden="1" x14ac:dyDescent="0.25">
      <c r="A1547" t="s">
        <v>20</v>
      </c>
      <c r="B1547">
        <v>27</v>
      </c>
      <c r="C1547">
        <v>34</v>
      </c>
    </row>
    <row r="1548" spans="1:3" hidden="1" x14ac:dyDescent="0.25">
      <c r="A1548" t="s">
        <v>20</v>
      </c>
      <c r="B1548">
        <v>27</v>
      </c>
      <c r="C1548">
        <v>35</v>
      </c>
    </row>
    <row r="1549" spans="1:3" hidden="1" x14ac:dyDescent="0.25">
      <c r="A1549" t="s">
        <v>20</v>
      </c>
      <c r="B1549">
        <v>27</v>
      </c>
      <c r="C1549">
        <v>36</v>
      </c>
    </row>
    <row r="1550" spans="1:3" hidden="1" x14ac:dyDescent="0.25">
      <c r="A1550" t="s">
        <v>20</v>
      </c>
      <c r="B1550">
        <v>27</v>
      </c>
      <c r="C1550">
        <v>37</v>
      </c>
    </row>
    <row r="1551" spans="1:3" hidden="1" x14ac:dyDescent="0.25">
      <c r="A1551" t="s">
        <v>20</v>
      </c>
      <c r="B1551">
        <v>27</v>
      </c>
      <c r="C1551">
        <v>38</v>
      </c>
    </row>
    <row r="1552" spans="1:3" hidden="1" x14ac:dyDescent="0.25">
      <c r="A1552" t="s">
        <v>20</v>
      </c>
      <c r="B1552">
        <v>27</v>
      </c>
      <c r="C1552">
        <v>39</v>
      </c>
    </row>
    <row r="1553" spans="1:4" hidden="1" x14ac:dyDescent="0.25">
      <c r="A1553" t="s">
        <v>20</v>
      </c>
      <c r="B1553">
        <v>27</v>
      </c>
      <c r="C1553">
        <v>40</v>
      </c>
    </row>
    <row r="1554" spans="1:4" hidden="1" x14ac:dyDescent="0.25">
      <c r="A1554" t="s">
        <v>20</v>
      </c>
      <c r="B1554">
        <v>27</v>
      </c>
      <c r="C1554">
        <v>41</v>
      </c>
      <c r="D1554">
        <v>1</v>
      </c>
    </row>
    <row r="1555" spans="1:4" hidden="1" x14ac:dyDescent="0.25">
      <c r="A1555" t="s">
        <v>20</v>
      </c>
      <c r="B1555">
        <v>27</v>
      </c>
      <c r="C1555">
        <v>42</v>
      </c>
    </row>
    <row r="1556" spans="1:4" hidden="1" x14ac:dyDescent="0.25">
      <c r="A1556" t="s">
        <v>20</v>
      </c>
      <c r="B1556">
        <v>27</v>
      </c>
      <c r="C1556">
        <v>43</v>
      </c>
    </row>
    <row r="1557" spans="1:4" hidden="1" x14ac:dyDescent="0.25">
      <c r="A1557" t="s">
        <v>20</v>
      </c>
      <c r="B1557">
        <v>27</v>
      </c>
      <c r="C1557">
        <v>44</v>
      </c>
    </row>
    <row r="1558" spans="1:4" hidden="1" x14ac:dyDescent="0.25">
      <c r="A1558" t="s">
        <v>20</v>
      </c>
      <c r="B1558">
        <v>27</v>
      </c>
      <c r="C1558">
        <v>45</v>
      </c>
    </row>
    <row r="1559" spans="1:4" hidden="1" x14ac:dyDescent="0.25">
      <c r="A1559" t="s">
        <v>20</v>
      </c>
      <c r="B1559">
        <v>27</v>
      </c>
      <c r="C1559">
        <v>46</v>
      </c>
    </row>
    <row r="1560" spans="1:4" hidden="1" x14ac:dyDescent="0.25">
      <c r="A1560" t="s">
        <v>20</v>
      </c>
      <c r="B1560">
        <v>27</v>
      </c>
      <c r="C1560">
        <v>47</v>
      </c>
    </row>
    <row r="1561" spans="1:4" hidden="1" x14ac:dyDescent="0.25">
      <c r="A1561" t="s">
        <v>20</v>
      </c>
      <c r="B1561">
        <v>27</v>
      </c>
      <c r="C1561">
        <v>48</v>
      </c>
    </row>
    <row r="1562" spans="1:4" hidden="1" x14ac:dyDescent="0.25">
      <c r="A1562" t="s">
        <v>20</v>
      </c>
      <c r="B1562">
        <v>27</v>
      </c>
      <c r="C1562">
        <v>49</v>
      </c>
    </row>
    <row r="1563" spans="1:4" hidden="1" x14ac:dyDescent="0.25">
      <c r="A1563" t="s">
        <v>20</v>
      </c>
      <c r="B1563">
        <v>27</v>
      </c>
      <c r="C1563">
        <v>50</v>
      </c>
    </row>
    <row r="1564" spans="1:4" hidden="1" x14ac:dyDescent="0.25">
      <c r="A1564" t="s">
        <v>20</v>
      </c>
      <c r="B1564">
        <v>27</v>
      </c>
      <c r="C1564">
        <v>51</v>
      </c>
    </row>
    <row r="1565" spans="1:4" hidden="1" x14ac:dyDescent="0.25">
      <c r="A1565" t="s">
        <v>20</v>
      </c>
      <c r="B1565">
        <v>27</v>
      </c>
      <c r="C1565">
        <v>52</v>
      </c>
    </row>
    <row r="1566" spans="1:4" hidden="1" x14ac:dyDescent="0.25">
      <c r="A1566" t="s">
        <v>20</v>
      </c>
      <c r="B1566">
        <v>27</v>
      </c>
      <c r="C1566">
        <v>53</v>
      </c>
    </row>
    <row r="1567" spans="1:4" hidden="1" x14ac:dyDescent="0.25">
      <c r="A1567" t="s">
        <v>20</v>
      </c>
      <c r="B1567">
        <v>27</v>
      </c>
      <c r="C1567">
        <v>54</v>
      </c>
    </row>
    <row r="1568" spans="1:4" hidden="1" x14ac:dyDescent="0.25">
      <c r="A1568" t="s">
        <v>20</v>
      </c>
      <c r="B1568">
        <v>27</v>
      </c>
      <c r="C1568">
        <v>55</v>
      </c>
    </row>
    <row r="1569" spans="1:3" hidden="1" x14ac:dyDescent="0.25">
      <c r="A1569" t="s">
        <v>20</v>
      </c>
      <c r="B1569">
        <v>27</v>
      </c>
      <c r="C1569">
        <v>56</v>
      </c>
    </row>
    <row r="1570" spans="1:3" hidden="1" x14ac:dyDescent="0.25">
      <c r="A1570" t="s">
        <v>20</v>
      </c>
      <c r="B1570">
        <v>27</v>
      </c>
      <c r="C1570">
        <v>57</v>
      </c>
    </row>
    <row r="1571" spans="1:3" hidden="1" x14ac:dyDescent="0.25">
      <c r="A1571" t="s">
        <v>20</v>
      </c>
      <c r="B1571">
        <v>27</v>
      </c>
      <c r="C1571">
        <v>58</v>
      </c>
    </row>
    <row r="1572" spans="1:3" hidden="1" x14ac:dyDescent="0.25">
      <c r="A1572" t="s">
        <v>20</v>
      </c>
      <c r="B1572">
        <v>27</v>
      </c>
      <c r="C1572">
        <v>59</v>
      </c>
    </row>
    <row r="1573" spans="1:3" hidden="1" x14ac:dyDescent="0.25">
      <c r="A1573" t="s">
        <v>20</v>
      </c>
      <c r="B1573">
        <v>27</v>
      </c>
      <c r="C1573">
        <v>60</v>
      </c>
    </row>
    <row r="1574" spans="1:3" hidden="1" x14ac:dyDescent="0.25">
      <c r="A1574" t="s">
        <v>20</v>
      </c>
      <c r="B1574">
        <v>27</v>
      </c>
      <c r="C1574">
        <v>61</v>
      </c>
    </row>
    <row r="1575" spans="1:3" hidden="1" x14ac:dyDescent="0.25">
      <c r="A1575" t="s">
        <v>20</v>
      </c>
      <c r="B1575">
        <v>27</v>
      </c>
      <c r="C1575">
        <v>62</v>
      </c>
    </row>
    <row r="1576" spans="1:3" hidden="1" x14ac:dyDescent="0.25">
      <c r="A1576" t="s">
        <v>20</v>
      </c>
      <c r="B1576">
        <v>27</v>
      </c>
      <c r="C1576">
        <v>63</v>
      </c>
    </row>
    <row r="1577" spans="1:3" hidden="1" x14ac:dyDescent="0.25">
      <c r="A1577" t="s">
        <v>20</v>
      </c>
      <c r="B1577">
        <v>27</v>
      </c>
      <c r="C1577">
        <v>64</v>
      </c>
    </row>
    <row r="1578" spans="1:3" hidden="1" x14ac:dyDescent="0.25">
      <c r="A1578" t="s">
        <v>20</v>
      </c>
      <c r="B1578">
        <v>27</v>
      </c>
      <c r="C1578">
        <v>65</v>
      </c>
    </row>
    <row r="1579" spans="1:3" hidden="1" x14ac:dyDescent="0.25">
      <c r="A1579" t="s">
        <v>20</v>
      </c>
      <c r="B1579">
        <v>27</v>
      </c>
      <c r="C1579">
        <v>66</v>
      </c>
    </row>
    <row r="1580" spans="1:3" hidden="1" x14ac:dyDescent="0.25">
      <c r="A1580" t="s">
        <v>20</v>
      </c>
      <c r="B1580">
        <v>27</v>
      </c>
      <c r="C1580">
        <v>67</v>
      </c>
    </row>
    <row r="1581" spans="1:3" hidden="1" x14ac:dyDescent="0.25">
      <c r="A1581" t="s">
        <v>20</v>
      </c>
      <c r="B1581">
        <v>27</v>
      </c>
      <c r="C1581">
        <v>68</v>
      </c>
    </row>
    <row r="1582" spans="1:3" hidden="1" x14ac:dyDescent="0.25">
      <c r="A1582" t="s">
        <v>20</v>
      </c>
      <c r="B1582">
        <v>27</v>
      </c>
      <c r="C1582">
        <v>69</v>
      </c>
    </row>
    <row r="1583" spans="1:3" hidden="1" x14ac:dyDescent="0.25">
      <c r="A1583" t="s">
        <v>20</v>
      </c>
      <c r="B1583">
        <v>27</v>
      </c>
      <c r="C1583">
        <v>70</v>
      </c>
    </row>
    <row r="1584" spans="1:3" hidden="1" x14ac:dyDescent="0.25">
      <c r="A1584" t="s">
        <v>20</v>
      </c>
      <c r="B1584">
        <v>27</v>
      </c>
      <c r="C1584">
        <v>71</v>
      </c>
    </row>
    <row r="1585" spans="1:4" hidden="1" x14ac:dyDescent="0.25">
      <c r="A1585" t="s">
        <v>20</v>
      </c>
      <c r="B1585">
        <v>27</v>
      </c>
      <c r="C1585">
        <v>72</v>
      </c>
    </row>
    <row r="1586" spans="1:4" hidden="1" x14ac:dyDescent="0.25">
      <c r="A1586" t="s">
        <v>20</v>
      </c>
      <c r="B1586">
        <v>27</v>
      </c>
      <c r="C1586">
        <v>73</v>
      </c>
    </row>
    <row r="1587" spans="1:4" hidden="1" x14ac:dyDescent="0.25">
      <c r="A1587" t="s">
        <v>20</v>
      </c>
      <c r="B1587">
        <v>27</v>
      </c>
      <c r="C1587">
        <v>74</v>
      </c>
    </row>
    <row r="1588" spans="1:4" hidden="1" x14ac:dyDescent="0.25">
      <c r="A1588" t="s">
        <v>20</v>
      </c>
      <c r="B1588">
        <v>27</v>
      </c>
      <c r="C1588">
        <v>75</v>
      </c>
    </row>
    <row r="1589" spans="1:4" hidden="1" x14ac:dyDescent="0.25">
      <c r="A1589" t="s">
        <v>20</v>
      </c>
      <c r="B1589">
        <v>27</v>
      </c>
      <c r="C1589">
        <v>76</v>
      </c>
    </row>
    <row r="1590" spans="1:4" hidden="1" x14ac:dyDescent="0.25">
      <c r="A1590" t="s">
        <v>20</v>
      </c>
      <c r="B1590">
        <v>27</v>
      </c>
      <c r="C1590">
        <v>77</v>
      </c>
    </row>
    <row r="1591" spans="1:4" hidden="1" x14ac:dyDescent="0.25">
      <c r="A1591" t="s">
        <v>20</v>
      </c>
      <c r="B1591">
        <v>27</v>
      </c>
      <c r="C1591">
        <v>78</v>
      </c>
    </row>
    <row r="1592" spans="1:4" hidden="1" x14ac:dyDescent="0.25">
      <c r="A1592" t="s">
        <v>20</v>
      </c>
      <c r="B1592">
        <v>27</v>
      </c>
      <c r="C1592">
        <v>79</v>
      </c>
    </row>
    <row r="1593" spans="1:4" hidden="1" x14ac:dyDescent="0.25">
      <c r="A1593" t="s">
        <v>20</v>
      </c>
      <c r="B1593">
        <v>27</v>
      </c>
      <c r="C1593">
        <v>80</v>
      </c>
      <c r="D1593">
        <v>1</v>
      </c>
    </row>
    <row r="1594" spans="1:4" hidden="1" x14ac:dyDescent="0.25">
      <c r="A1594" t="s">
        <v>20</v>
      </c>
      <c r="B1594">
        <v>27</v>
      </c>
      <c r="C1594">
        <v>81</v>
      </c>
    </row>
    <row r="1595" spans="1:4" hidden="1" x14ac:dyDescent="0.25">
      <c r="A1595" t="s">
        <v>20</v>
      </c>
      <c r="B1595">
        <v>27</v>
      </c>
      <c r="C1595">
        <v>82</v>
      </c>
    </row>
    <row r="1596" spans="1:4" hidden="1" x14ac:dyDescent="0.25">
      <c r="A1596" t="s">
        <v>20</v>
      </c>
      <c r="B1596">
        <v>27</v>
      </c>
      <c r="C1596">
        <v>83</v>
      </c>
      <c r="D1596">
        <v>1</v>
      </c>
    </row>
    <row r="1597" spans="1:4" hidden="1" x14ac:dyDescent="0.25">
      <c r="A1597" t="s">
        <v>20</v>
      </c>
      <c r="B1597">
        <v>27</v>
      </c>
      <c r="C1597">
        <v>84</v>
      </c>
    </row>
    <row r="1598" spans="1:4" hidden="1" x14ac:dyDescent="0.25">
      <c r="A1598" t="s">
        <v>20</v>
      </c>
      <c r="B1598">
        <v>28</v>
      </c>
      <c r="C1598">
        <v>1</v>
      </c>
      <c r="D1598">
        <v>1</v>
      </c>
    </row>
    <row r="1599" spans="1:4" hidden="1" x14ac:dyDescent="0.25">
      <c r="A1599" t="s">
        <v>20</v>
      </c>
      <c r="B1599">
        <v>28</v>
      </c>
      <c r="C1599">
        <v>2</v>
      </c>
    </row>
    <row r="1600" spans="1:4" hidden="1" x14ac:dyDescent="0.25">
      <c r="A1600" t="s">
        <v>20</v>
      </c>
      <c r="B1600">
        <v>28</v>
      </c>
      <c r="C1600">
        <v>3</v>
      </c>
    </row>
    <row r="1601" spans="1:4" hidden="1" x14ac:dyDescent="0.25">
      <c r="A1601" t="s">
        <v>20</v>
      </c>
      <c r="B1601">
        <v>28</v>
      </c>
      <c r="C1601">
        <v>4</v>
      </c>
    </row>
    <row r="1602" spans="1:4" hidden="1" x14ac:dyDescent="0.25">
      <c r="A1602" t="s">
        <v>20</v>
      </c>
      <c r="B1602">
        <v>28</v>
      </c>
      <c r="C1602">
        <v>5</v>
      </c>
    </row>
    <row r="1603" spans="1:4" hidden="1" x14ac:dyDescent="0.25">
      <c r="A1603" t="s">
        <v>20</v>
      </c>
      <c r="B1603">
        <v>28</v>
      </c>
      <c r="C1603">
        <v>6</v>
      </c>
    </row>
    <row r="1604" spans="1:4" hidden="1" x14ac:dyDescent="0.25">
      <c r="A1604" t="s">
        <v>20</v>
      </c>
      <c r="B1604">
        <v>28</v>
      </c>
      <c r="C1604">
        <v>7</v>
      </c>
      <c r="D1604">
        <v>1</v>
      </c>
    </row>
    <row r="1605" spans="1:4" hidden="1" x14ac:dyDescent="0.25">
      <c r="A1605" t="s">
        <v>20</v>
      </c>
      <c r="B1605">
        <v>28</v>
      </c>
      <c r="C1605">
        <v>8</v>
      </c>
    </row>
    <row r="1606" spans="1:4" hidden="1" x14ac:dyDescent="0.25">
      <c r="A1606" t="s">
        <v>20</v>
      </c>
      <c r="B1606">
        <v>28</v>
      </c>
      <c r="C1606">
        <v>9</v>
      </c>
    </row>
    <row r="1607" spans="1:4" hidden="1" x14ac:dyDescent="0.25">
      <c r="A1607" t="s">
        <v>20</v>
      </c>
      <c r="B1607">
        <v>28</v>
      </c>
      <c r="C1607">
        <v>10</v>
      </c>
      <c r="D1607">
        <v>1</v>
      </c>
    </row>
    <row r="1608" spans="1:4" hidden="1" x14ac:dyDescent="0.25">
      <c r="A1608" t="s">
        <v>20</v>
      </c>
      <c r="B1608">
        <v>28</v>
      </c>
      <c r="C1608">
        <v>11</v>
      </c>
    </row>
    <row r="1609" spans="1:4" hidden="1" x14ac:dyDescent="0.25">
      <c r="A1609" t="s">
        <v>20</v>
      </c>
      <c r="B1609">
        <v>28</v>
      </c>
      <c r="C1609">
        <v>12</v>
      </c>
    </row>
    <row r="1610" spans="1:4" hidden="1" x14ac:dyDescent="0.25">
      <c r="A1610" t="s">
        <v>20</v>
      </c>
      <c r="B1610">
        <v>28</v>
      </c>
      <c r="C1610">
        <v>13</v>
      </c>
      <c r="D1610">
        <v>1</v>
      </c>
    </row>
    <row r="1611" spans="1:4" hidden="1" x14ac:dyDescent="0.25">
      <c r="A1611" t="s">
        <v>20</v>
      </c>
      <c r="B1611">
        <v>28</v>
      </c>
      <c r="C1611">
        <v>14</v>
      </c>
    </row>
    <row r="1612" spans="1:4" hidden="1" x14ac:dyDescent="0.25">
      <c r="A1612" t="s">
        <v>20</v>
      </c>
      <c r="B1612">
        <v>28</v>
      </c>
      <c r="C1612">
        <v>15</v>
      </c>
    </row>
    <row r="1613" spans="1:4" hidden="1" x14ac:dyDescent="0.25">
      <c r="A1613" t="s">
        <v>20</v>
      </c>
      <c r="B1613">
        <v>28</v>
      </c>
      <c r="C1613">
        <v>16</v>
      </c>
    </row>
    <row r="1614" spans="1:4" hidden="1" x14ac:dyDescent="0.25">
      <c r="A1614" t="s">
        <v>20</v>
      </c>
      <c r="B1614">
        <v>28</v>
      </c>
      <c r="C1614">
        <v>17</v>
      </c>
    </row>
    <row r="1615" spans="1:4" hidden="1" x14ac:dyDescent="0.25">
      <c r="A1615" t="s">
        <v>20</v>
      </c>
      <c r="B1615">
        <v>28</v>
      </c>
      <c r="C1615">
        <v>18</v>
      </c>
    </row>
    <row r="1616" spans="1:4" hidden="1" x14ac:dyDescent="0.25">
      <c r="A1616" t="s">
        <v>20</v>
      </c>
      <c r="B1616">
        <v>28</v>
      </c>
      <c r="C1616">
        <v>19</v>
      </c>
    </row>
    <row r="1617" spans="1:4" hidden="1" x14ac:dyDescent="0.25">
      <c r="A1617" t="s">
        <v>20</v>
      </c>
      <c r="B1617">
        <v>28</v>
      </c>
      <c r="C1617">
        <v>20</v>
      </c>
    </row>
    <row r="1618" spans="1:4" hidden="1" x14ac:dyDescent="0.25">
      <c r="A1618" t="s">
        <v>20</v>
      </c>
      <c r="B1618">
        <v>28</v>
      </c>
      <c r="C1618">
        <v>21</v>
      </c>
    </row>
    <row r="1619" spans="1:4" hidden="1" x14ac:dyDescent="0.25">
      <c r="A1619" t="s">
        <v>20</v>
      </c>
      <c r="B1619">
        <v>28</v>
      </c>
      <c r="C1619">
        <v>22</v>
      </c>
      <c r="D1619">
        <v>1</v>
      </c>
    </row>
    <row r="1620" spans="1:4" hidden="1" x14ac:dyDescent="0.25">
      <c r="A1620" t="s">
        <v>20</v>
      </c>
      <c r="B1620">
        <v>28</v>
      </c>
      <c r="C1620">
        <v>23</v>
      </c>
    </row>
    <row r="1621" spans="1:4" hidden="1" x14ac:dyDescent="0.25">
      <c r="A1621" t="s">
        <v>20</v>
      </c>
      <c r="B1621">
        <v>28</v>
      </c>
      <c r="C1621">
        <v>24</v>
      </c>
    </row>
    <row r="1622" spans="1:4" hidden="1" x14ac:dyDescent="0.25">
      <c r="A1622" t="s">
        <v>20</v>
      </c>
      <c r="B1622">
        <v>28</v>
      </c>
      <c r="C1622">
        <v>25</v>
      </c>
      <c r="D1622">
        <v>1</v>
      </c>
    </row>
    <row r="1623" spans="1:4" hidden="1" x14ac:dyDescent="0.25">
      <c r="A1623" t="s">
        <v>20</v>
      </c>
      <c r="B1623">
        <v>28</v>
      </c>
      <c r="C1623">
        <v>26</v>
      </c>
    </row>
    <row r="1624" spans="1:4" hidden="1" x14ac:dyDescent="0.25">
      <c r="A1624" t="s">
        <v>20</v>
      </c>
      <c r="B1624">
        <v>28</v>
      </c>
      <c r="C1624">
        <v>27</v>
      </c>
    </row>
    <row r="1625" spans="1:4" hidden="1" x14ac:dyDescent="0.25">
      <c r="A1625" t="s">
        <v>20</v>
      </c>
      <c r="B1625">
        <v>28</v>
      </c>
      <c r="C1625">
        <v>28</v>
      </c>
      <c r="D1625">
        <v>1</v>
      </c>
    </row>
    <row r="1626" spans="1:4" hidden="1" x14ac:dyDescent="0.25">
      <c r="A1626" t="s">
        <v>20</v>
      </c>
      <c r="B1626">
        <v>28</v>
      </c>
      <c r="C1626">
        <v>29</v>
      </c>
    </row>
    <row r="1627" spans="1:4" hidden="1" x14ac:dyDescent="0.25">
      <c r="A1627" t="s">
        <v>20</v>
      </c>
      <c r="B1627">
        <v>28</v>
      </c>
      <c r="C1627">
        <v>30</v>
      </c>
    </row>
    <row r="1628" spans="1:4" hidden="1" x14ac:dyDescent="0.25">
      <c r="A1628" t="s">
        <v>20</v>
      </c>
      <c r="B1628">
        <v>28</v>
      </c>
      <c r="C1628">
        <v>31</v>
      </c>
    </row>
    <row r="1629" spans="1:4" hidden="1" x14ac:dyDescent="0.25">
      <c r="A1629" t="s">
        <v>20</v>
      </c>
      <c r="B1629">
        <v>28</v>
      </c>
      <c r="C1629">
        <v>32</v>
      </c>
    </row>
    <row r="1630" spans="1:4" hidden="1" x14ac:dyDescent="0.25">
      <c r="A1630" t="s">
        <v>20</v>
      </c>
      <c r="B1630">
        <v>28</v>
      </c>
      <c r="C1630">
        <v>33</v>
      </c>
    </row>
    <row r="1631" spans="1:4" hidden="1" x14ac:dyDescent="0.25">
      <c r="A1631" t="s">
        <v>20</v>
      </c>
      <c r="B1631">
        <v>28</v>
      </c>
      <c r="C1631">
        <v>34</v>
      </c>
      <c r="D1631">
        <v>1</v>
      </c>
    </row>
    <row r="1632" spans="1:4" hidden="1" x14ac:dyDescent="0.25">
      <c r="A1632" t="s">
        <v>20</v>
      </c>
      <c r="B1632">
        <v>28</v>
      </c>
      <c r="C1632">
        <v>35</v>
      </c>
    </row>
    <row r="1633" spans="1:4" hidden="1" x14ac:dyDescent="0.25">
      <c r="A1633" t="s">
        <v>20</v>
      </c>
      <c r="B1633">
        <v>28</v>
      </c>
      <c r="C1633">
        <v>36</v>
      </c>
    </row>
    <row r="1634" spans="1:4" hidden="1" x14ac:dyDescent="0.25">
      <c r="A1634" t="s">
        <v>20</v>
      </c>
      <c r="B1634">
        <v>28</v>
      </c>
      <c r="C1634">
        <v>37</v>
      </c>
    </row>
    <row r="1635" spans="1:4" hidden="1" x14ac:dyDescent="0.25">
      <c r="A1635" t="s">
        <v>20</v>
      </c>
      <c r="B1635">
        <v>28</v>
      </c>
      <c r="C1635">
        <v>38</v>
      </c>
    </row>
    <row r="1636" spans="1:4" hidden="1" x14ac:dyDescent="0.25">
      <c r="A1636" t="s">
        <v>20</v>
      </c>
      <c r="B1636">
        <v>28</v>
      </c>
      <c r="C1636">
        <v>39</v>
      </c>
    </row>
    <row r="1637" spans="1:4" hidden="1" x14ac:dyDescent="0.25">
      <c r="A1637" t="s">
        <v>20</v>
      </c>
      <c r="B1637">
        <v>28</v>
      </c>
      <c r="C1637">
        <v>40</v>
      </c>
    </row>
    <row r="1638" spans="1:4" hidden="1" x14ac:dyDescent="0.25">
      <c r="A1638" t="s">
        <v>20</v>
      </c>
      <c r="B1638">
        <v>28</v>
      </c>
      <c r="C1638">
        <v>41</v>
      </c>
    </row>
    <row r="1639" spans="1:4" hidden="1" x14ac:dyDescent="0.25">
      <c r="A1639" t="s">
        <v>20</v>
      </c>
      <c r="B1639">
        <v>28</v>
      </c>
      <c r="C1639">
        <v>42</v>
      </c>
    </row>
    <row r="1640" spans="1:4" hidden="1" x14ac:dyDescent="0.25">
      <c r="A1640" t="s">
        <v>20</v>
      </c>
      <c r="B1640">
        <v>28</v>
      </c>
      <c r="C1640">
        <v>43</v>
      </c>
      <c r="D1640">
        <v>1</v>
      </c>
    </row>
    <row r="1641" spans="1:4" hidden="1" x14ac:dyDescent="0.25">
      <c r="A1641" t="s">
        <v>20</v>
      </c>
      <c r="B1641">
        <v>28</v>
      </c>
      <c r="C1641">
        <v>44</v>
      </c>
    </row>
    <row r="1642" spans="1:4" hidden="1" x14ac:dyDescent="0.25">
      <c r="A1642" t="s">
        <v>20</v>
      </c>
      <c r="B1642">
        <v>28</v>
      </c>
      <c r="C1642">
        <v>45</v>
      </c>
    </row>
    <row r="1643" spans="1:4" hidden="1" x14ac:dyDescent="0.25">
      <c r="A1643" t="s">
        <v>20</v>
      </c>
      <c r="B1643">
        <v>28</v>
      </c>
      <c r="C1643">
        <v>46</v>
      </c>
    </row>
    <row r="1644" spans="1:4" hidden="1" x14ac:dyDescent="0.25">
      <c r="A1644" t="s">
        <v>20</v>
      </c>
      <c r="B1644">
        <v>28</v>
      </c>
      <c r="C1644">
        <v>47</v>
      </c>
    </row>
    <row r="1645" spans="1:4" hidden="1" x14ac:dyDescent="0.25">
      <c r="A1645" t="s">
        <v>20</v>
      </c>
      <c r="B1645">
        <v>28</v>
      </c>
      <c r="C1645">
        <v>48</v>
      </c>
    </row>
    <row r="1646" spans="1:4" hidden="1" x14ac:dyDescent="0.25">
      <c r="A1646" t="s">
        <v>20</v>
      </c>
      <c r="B1646">
        <v>28</v>
      </c>
      <c r="C1646">
        <v>49</v>
      </c>
    </row>
    <row r="1647" spans="1:4" hidden="1" x14ac:dyDescent="0.25">
      <c r="A1647" t="s">
        <v>20</v>
      </c>
      <c r="B1647">
        <v>28</v>
      </c>
      <c r="C1647">
        <v>50</v>
      </c>
    </row>
    <row r="1648" spans="1:4" hidden="1" x14ac:dyDescent="0.25">
      <c r="A1648" t="s">
        <v>20</v>
      </c>
      <c r="B1648">
        <v>28</v>
      </c>
      <c r="C1648">
        <v>51</v>
      </c>
    </row>
    <row r="1649" spans="1:4" hidden="1" x14ac:dyDescent="0.25">
      <c r="A1649" t="s">
        <v>20</v>
      </c>
      <c r="B1649">
        <v>28</v>
      </c>
      <c r="C1649">
        <v>52</v>
      </c>
      <c r="D1649">
        <v>1</v>
      </c>
    </row>
    <row r="1650" spans="1:4" hidden="1" x14ac:dyDescent="0.25">
      <c r="A1650" t="s">
        <v>20</v>
      </c>
      <c r="B1650">
        <v>28</v>
      </c>
      <c r="C1650">
        <v>53</v>
      </c>
    </row>
    <row r="1651" spans="1:4" hidden="1" x14ac:dyDescent="0.25">
      <c r="A1651" t="s">
        <v>20</v>
      </c>
      <c r="B1651">
        <v>28</v>
      </c>
      <c r="C1651">
        <v>54</v>
      </c>
    </row>
    <row r="1652" spans="1:4" hidden="1" x14ac:dyDescent="0.25">
      <c r="A1652" t="s">
        <v>20</v>
      </c>
      <c r="B1652">
        <v>28</v>
      </c>
      <c r="C1652">
        <v>55</v>
      </c>
      <c r="D1652">
        <v>1</v>
      </c>
    </row>
    <row r="1653" spans="1:4" hidden="1" x14ac:dyDescent="0.25">
      <c r="A1653" t="s">
        <v>20</v>
      </c>
      <c r="B1653">
        <v>28</v>
      </c>
      <c r="C1653">
        <v>56</v>
      </c>
    </row>
    <row r="1654" spans="1:4" hidden="1" x14ac:dyDescent="0.25">
      <c r="A1654" t="s">
        <v>20</v>
      </c>
      <c r="B1654">
        <v>28</v>
      </c>
      <c r="C1654">
        <v>57</v>
      </c>
    </row>
    <row r="1655" spans="1:4" hidden="1" x14ac:dyDescent="0.25">
      <c r="A1655" t="s">
        <v>20</v>
      </c>
      <c r="B1655">
        <v>28</v>
      </c>
      <c r="C1655">
        <v>58</v>
      </c>
    </row>
    <row r="1656" spans="1:4" hidden="1" x14ac:dyDescent="0.25">
      <c r="A1656" t="s">
        <v>20</v>
      </c>
      <c r="B1656">
        <v>28</v>
      </c>
      <c r="C1656">
        <v>59</v>
      </c>
    </row>
    <row r="1657" spans="1:4" hidden="1" x14ac:dyDescent="0.25">
      <c r="A1657" t="s">
        <v>20</v>
      </c>
      <c r="B1657">
        <v>28</v>
      </c>
      <c r="C1657">
        <v>60</v>
      </c>
    </row>
    <row r="1658" spans="1:4" hidden="1" x14ac:dyDescent="0.25">
      <c r="A1658" t="s">
        <v>20</v>
      </c>
      <c r="B1658">
        <v>28</v>
      </c>
      <c r="C1658">
        <v>61</v>
      </c>
    </row>
    <row r="1659" spans="1:4" hidden="1" x14ac:dyDescent="0.25">
      <c r="A1659" t="s">
        <v>20</v>
      </c>
      <c r="B1659">
        <v>28</v>
      </c>
      <c r="C1659">
        <v>62</v>
      </c>
    </row>
    <row r="1660" spans="1:4" hidden="1" x14ac:dyDescent="0.25">
      <c r="A1660" t="s">
        <v>20</v>
      </c>
      <c r="B1660">
        <v>28</v>
      </c>
      <c r="C1660">
        <v>63</v>
      </c>
    </row>
    <row r="1661" spans="1:4" hidden="1" x14ac:dyDescent="0.25">
      <c r="A1661" t="s">
        <v>20</v>
      </c>
      <c r="B1661">
        <v>28</v>
      </c>
      <c r="C1661">
        <v>64</v>
      </c>
    </row>
    <row r="1662" spans="1:4" hidden="1" x14ac:dyDescent="0.25">
      <c r="A1662" t="s">
        <v>20</v>
      </c>
      <c r="B1662">
        <v>28</v>
      </c>
      <c r="C1662">
        <v>65</v>
      </c>
    </row>
    <row r="1663" spans="1:4" hidden="1" x14ac:dyDescent="0.25">
      <c r="A1663" t="s">
        <v>20</v>
      </c>
      <c r="B1663">
        <v>28</v>
      </c>
      <c r="C1663">
        <v>66</v>
      </c>
    </row>
    <row r="1664" spans="1:4" hidden="1" x14ac:dyDescent="0.25">
      <c r="A1664" t="s">
        <v>20</v>
      </c>
      <c r="B1664">
        <v>28</v>
      </c>
      <c r="C1664">
        <v>67</v>
      </c>
    </row>
    <row r="1665" spans="1:4" hidden="1" x14ac:dyDescent="0.25">
      <c r="A1665" t="s">
        <v>20</v>
      </c>
      <c r="B1665">
        <v>28</v>
      </c>
      <c r="C1665">
        <v>68</v>
      </c>
    </row>
    <row r="1666" spans="1:4" hidden="1" x14ac:dyDescent="0.25">
      <c r="A1666" t="s">
        <v>20</v>
      </c>
      <c r="B1666">
        <v>28</v>
      </c>
      <c r="C1666">
        <v>69</v>
      </c>
    </row>
    <row r="1667" spans="1:4" hidden="1" x14ac:dyDescent="0.25">
      <c r="A1667" t="s">
        <v>20</v>
      </c>
      <c r="B1667">
        <v>28</v>
      </c>
      <c r="C1667">
        <v>70</v>
      </c>
      <c r="D1667">
        <v>1</v>
      </c>
    </row>
    <row r="1668" spans="1:4" hidden="1" x14ac:dyDescent="0.25">
      <c r="A1668" t="s">
        <v>20</v>
      </c>
      <c r="B1668">
        <v>28</v>
      </c>
      <c r="C1668">
        <v>71</v>
      </c>
    </row>
    <row r="1669" spans="1:4" hidden="1" x14ac:dyDescent="0.25">
      <c r="A1669" t="s">
        <v>20</v>
      </c>
      <c r="B1669">
        <v>28</v>
      </c>
      <c r="C1669">
        <v>72</v>
      </c>
    </row>
    <row r="1670" spans="1:4" hidden="1" x14ac:dyDescent="0.25">
      <c r="A1670" t="s">
        <v>20</v>
      </c>
      <c r="B1670">
        <v>28</v>
      </c>
      <c r="C1670">
        <v>73</v>
      </c>
      <c r="D1670">
        <v>1</v>
      </c>
    </row>
    <row r="1671" spans="1:4" hidden="1" x14ac:dyDescent="0.25">
      <c r="A1671" t="s">
        <v>20</v>
      </c>
      <c r="B1671">
        <v>28</v>
      </c>
      <c r="C1671">
        <v>74</v>
      </c>
    </row>
    <row r="1672" spans="1:4" hidden="1" x14ac:dyDescent="0.25">
      <c r="A1672" t="s">
        <v>20</v>
      </c>
      <c r="B1672">
        <v>28</v>
      </c>
      <c r="C1672">
        <v>75</v>
      </c>
    </row>
    <row r="1673" spans="1:4" hidden="1" x14ac:dyDescent="0.25">
      <c r="A1673" t="s">
        <v>20</v>
      </c>
      <c r="B1673">
        <v>28</v>
      </c>
      <c r="C1673">
        <v>76</v>
      </c>
      <c r="D1673">
        <v>1</v>
      </c>
    </row>
    <row r="1674" spans="1:4" hidden="1" x14ac:dyDescent="0.25">
      <c r="A1674" t="s">
        <v>20</v>
      </c>
      <c r="B1674">
        <v>28</v>
      </c>
      <c r="C1674">
        <v>77</v>
      </c>
    </row>
    <row r="1675" spans="1:4" hidden="1" x14ac:dyDescent="0.25">
      <c r="A1675" t="s">
        <v>20</v>
      </c>
      <c r="B1675">
        <v>28</v>
      </c>
      <c r="C1675">
        <v>78</v>
      </c>
    </row>
    <row r="1676" spans="1:4" hidden="1" x14ac:dyDescent="0.25">
      <c r="A1676" t="s">
        <v>20</v>
      </c>
      <c r="B1676">
        <v>28</v>
      </c>
      <c r="C1676">
        <v>79</v>
      </c>
    </row>
    <row r="1677" spans="1:4" hidden="1" x14ac:dyDescent="0.25">
      <c r="A1677" t="s">
        <v>20</v>
      </c>
      <c r="B1677">
        <v>28</v>
      </c>
      <c r="C1677">
        <v>80</v>
      </c>
    </row>
    <row r="1678" spans="1:4" hidden="1" x14ac:dyDescent="0.25">
      <c r="A1678" t="s">
        <v>20</v>
      </c>
      <c r="B1678">
        <v>28</v>
      </c>
      <c r="C1678">
        <v>81</v>
      </c>
    </row>
    <row r="1679" spans="1:4" hidden="1" x14ac:dyDescent="0.25">
      <c r="A1679" t="s">
        <v>20</v>
      </c>
      <c r="B1679">
        <v>28</v>
      </c>
      <c r="C1679">
        <v>82</v>
      </c>
    </row>
    <row r="1680" spans="1:4" hidden="1" x14ac:dyDescent="0.25">
      <c r="A1680" t="s">
        <v>20</v>
      </c>
      <c r="B1680">
        <v>28</v>
      </c>
      <c r="C1680">
        <v>83</v>
      </c>
    </row>
    <row r="1681" spans="1:4" hidden="1" x14ac:dyDescent="0.25">
      <c r="A1681" t="s">
        <v>20</v>
      </c>
      <c r="B1681">
        <v>28</v>
      </c>
      <c r="C1681">
        <v>84</v>
      </c>
    </row>
    <row r="1682" spans="1:4" hidden="1" x14ac:dyDescent="0.25">
      <c r="A1682" t="s">
        <v>20</v>
      </c>
      <c r="B1682">
        <v>29</v>
      </c>
      <c r="C1682">
        <v>1</v>
      </c>
    </row>
    <row r="1683" spans="1:4" hidden="1" x14ac:dyDescent="0.25">
      <c r="A1683" t="s">
        <v>20</v>
      </c>
      <c r="B1683">
        <v>29</v>
      </c>
      <c r="C1683">
        <v>2</v>
      </c>
    </row>
    <row r="1684" spans="1:4" hidden="1" x14ac:dyDescent="0.25">
      <c r="A1684" t="s">
        <v>20</v>
      </c>
      <c r="B1684">
        <v>29</v>
      </c>
      <c r="C1684">
        <v>3</v>
      </c>
      <c r="D1684">
        <v>1</v>
      </c>
    </row>
    <row r="1685" spans="1:4" hidden="1" x14ac:dyDescent="0.25">
      <c r="A1685" t="s">
        <v>20</v>
      </c>
      <c r="B1685">
        <v>29</v>
      </c>
      <c r="C1685">
        <v>4</v>
      </c>
    </row>
    <row r="1686" spans="1:4" hidden="1" x14ac:dyDescent="0.25">
      <c r="A1686" t="s">
        <v>20</v>
      </c>
      <c r="B1686">
        <v>29</v>
      </c>
      <c r="C1686">
        <v>5</v>
      </c>
    </row>
    <row r="1687" spans="1:4" hidden="1" x14ac:dyDescent="0.25">
      <c r="A1687" t="s">
        <v>20</v>
      </c>
      <c r="B1687">
        <v>29</v>
      </c>
      <c r="C1687">
        <v>6</v>
      </c>
      <c r="D1687">
        <v>1</v>
      </c>
    </row>
    <row r="1688" spans="1:4" hidden="1" x14ac:dyDescent="0.25">
      <c r="A1688" t="s">
        <v>20</v>
      </c>
      <c r="B1688">
        <v>29</v>
      </c>
      <c r="C1688">
        <v>7</v>
      </c>
    </row>
    <row r="1689" spans="1:4" hidden="1" x14ac:dyDescent="0.25">
      <c r="A1689" t="s">
        <v>20</v>
      </c>
      <c r="B1689">
        <v>29</v>
      </c>
      <c r="C1689">
        <v>8</v>
      </c>
    </row>
    <row r="1690" spans="1:4" hidden="1" x14ac:dyDescent="0.25">
      <c r="A1690" t="s">
        <v>20</v>
      </c>
      <c r="B1690">
        <v>29</v>
      </c>
      <c r="C1690">
        <v>9</v>
      </c>
      <c r="D1690">
        <v>1</v>
      </c>
    </row>
    <row r="1691" spans="1:4" hidden="1" x14ac:dyDescent="0.25">
      <c r="A1691" t="s">
        <v>20</v>
      </c>
      <c r="B1691">
        <v>29</v>
      </c>
      <c r="C1691">
        <v>10</v>
      </c>
    </row>
    <row r="1692" spans="1:4" hidden="1" x14ac:dyDescent="0.25">
      <c r="A1692" t="s">
        <v>20</v>
      </c>
      <c r="B1692">
        <v>29</v>
      </c>
      <c r="C1692">
        <v>11</v>
      </c>
    </row>
    <row r="1693" spans="1:4" hidden="1" x14ac:dyDescent="0.25">
      <c r="A1693" t="s">
        <v>20</v>
      </c>
      <c r="B1693">
        <v>29</v>
      </c>
      <c r="C1693">
        <v>12</v>
      </c>
    </row>
    <row r="1694" spans="1:4" hidden="1" x14ac:dyDescent="0.25">
      <c r="A1694" t="s">
        <v>20</v>
      </c>
      <c r="B1694">
        <v>29</v>
      </c>
      <c r="C1694">
        <v>13</v>
      </c>
    </row>
    <row r="1695" spans="1:4" hidden="1" x14ac:dyDescent="0.25">
      <c r="A1695" t="s">
        <v>20</v>
      </c>
      <c r="B1695">
        <v>29</v>
      </c>
      <c r="C1695">
        <v>14</v>
      </c>
    </row>
    <row r="1696" spans="1:4" hidden="1" x14ac:dyDescent="0.25">
      <c r="A1696" t="s">
        <v>20</v>
      </c>
      <c r="B1696">
        <v>29</v>
      </c>
      <c r="C1696">
        <v>15</v>
      </c>
      <c r="D1696">
        <v>1</v>
      </c>
    </row>
    <row r="1697" spans="1:4" hidden="1" x14ac:dyDescent="0.25">
      <c r="A1697" t="s">
        <v>20</v>
      </c>
      <c r="B1697">
        <v>29</v>
      </c>
      <c r="C1697">
        <v>16</v>
      </c>
    </row>
    <row r="1698" spans="1:4" hidden="1" x14ac:dyDescent="0.25">
      <c r="A1698" t="s">
        <v>20</v>
      </c>
      <c r="B1698">
        <v>29</v>
      </c>
      <c r="C1698">
        <v>17</v>
      </c>
    </row>
    <row r="1699" spans="1:4" hidden="1" x14ac:dyDescent="0.25">
      <c r="A1699" t="s">
        <v>20</v>
      </c>
      <c r="B1699">
        <v>29</v>
      </c>
      <c r="C1699">
        <v>18</v>
      </c>
    </row>
    <row r="1700" spans="1:4" hidden="1" x14ac:dyDescent="0.25">
      <c r="A1700" t="s">
        <v>20</v>
      </c>
      <c r="B1700">
        <v>29</v>
      </c>
      <c r="C1700">
        <v>19</v>
      </c>
    </row>
    <row r="1701" spans="1:4" hidden="1" x14ac:dyDescent="0.25">
      <c r="A1701" t="s">
        <v>20</v>
      </c>
      <c r="B1701">
        <v>29</v>
      </c>
      <c r="C1701">
        <v>20</v>
      </c>
    </row>
    <row r="1702" spans="1:4" hidden="1" x14ac:dyDescent="0.25">
      <c r="A1702" t="s">
        <v>20</v>
      </c>
      <c r="B1702">
        <v>29</v>
      </c>
      <c r="C1702">
        <v>21</v>
      </c>
      <c r="D1702">
        <v>1</v>
      </c>
    </row>
    <row r="1703" spans="1:4" hidden="1" x14ac:dyDescent="0.25">
      <c r="A1703" t="s">
        <v>20</v>
      </c>
      <c r="B1703">
        <v>29</v>
      </c>
      <c r="C1703">
        <v>22</v>
      </c>
    </row>
    <row r="1704" spans="1:4" hidden="1" x14ac:dyDescent="0.25">
      <c r="A1704" t="s">
        <v>20</v>
      </c>
      <c r="B1704">
        <v>29</v>
      </c>
      <c r="C1704">
        <v>23</v>
      </c>
    </row>
    <row r="1705" spans="1:4" hidden="1" x14ac:dyDescent="0.25">
      <c r="A1705" t="s">
        <v>20</v>
      </c>
      <c r="B1705">
        <v>29</v>
      </c>
      <c r="C1705">
        <v>24</v>
      </c>
    </row>
    <row r="1706" spans="1:4" hidden="1" x14ac:dyDescent="0.25">
      <c r="A1706" t="s">
        <v>20</v>
      </c>
      <c r="B1706">
        <v>29</v>
      </c>
      <c r="C1706">
        <v>25</v>
      </c>
    </row>
    <row r="1707" spans="1:4" hidden="1" x14ac:dyDescent="0.25">
      <c r="A1707" t="s">
        <v>20</v>
      </c>
      <c r="B1707">
        <v>29</v>
      </c>
      <c r="C1707">
        <v>26</v>
      </c>
    </row>
    <row r="1708" spans="1:4" hidden="1" x14ac:dyDescent="0.25">
      <c r="A1708" t="s">
        <v>20</v>
      </c>
      <c r="B1708">
        <v>29</v>
      </c>
      <c r="C1708">
        <v>27</v>
      </c>
      <c r="D1708">
        <v>1</v>
      </c>
    </row>
    <row r="1709" spans="1:4" hidden="1" x14ac:dyDescent="0.25">
      <c r="A1709" t="s">
        <v>20</v>
      </c>
      <c r="B1709">
        <v>29</v>
      </c>
      <c r="C1709">
        <v>28</v>
      </c>
    </row>
    <row r="1710" spans="1:4" hidden="1" x14ac:dyDescent="0.25">
      <c r="A1710" t="s">
        <v>20</v>
      </c>
      <c r="B1710">
        <v>29</v>
      </c>
      <c r="C1710">
        <v>29</v>
      </c>
    </row>
    <row r="1711" spans="1:4" hidden="1" x14ac:dyDescent="0.25">
      <c r="A1711" t="s">
        <v>20</v>
      </c>
      <c r="B1711">
        <v>29</v>
      </c>
      <c r="C1711">
        <v>30</v>
      </c>
    </row>
    <row r="1712" spans="1:4" hidden="1" x14ac:dyDescent="0.25">
      <c r="A1712" t="s">
        <v>20</v>
      </c>
      <c r="B1712">
        <v>29</v>
      </c>
      <c r="C1712">
        <v>31</v>
      </c>
    </row>
    <row r="1713" spans="1:4" hidden="1" x14ac:dyDescent="0.25">
      <c r="A1713" t="s">
        <v>20</v>
      </c>
      <c r="B1713">
        <v>29</v>
      </c>
      <c r="C1713">
        <v>32</v>
      </c>
    </row>
    <row r="1714" spans="1:4" hidden="1" x14ac:dyDescent="0.25">
      <c r="A1714" t="s">
        <v>20</v>
      </c>
      <c r="B1714">
        <v>29</v>
      </c>
      <c r="C1714">
        <v>33</v>
      </c>
    </row>
    <row r="1715" spans="1:4" hidden="1" x14ac:dyDescent="0.25">
      <c r="A1715" t="s">
        <v>20</v>
      </c>
      <c r="B1715">
        <v>29</v>
      </c>
      <c r="C1715">
        <v>34</v>
      </c>
    </row>
    <row r="1716" spans="1:4" hidden="1" x14ac:dyDescent="0.25">
      <c r="A1716" t="s">
        <v>20</v>
      </c>
      <c r="B1716">
        <v>29</v>
      </c>
      <c r="C1716">
        <v>35</v>
      </c>
    </row>
    <row r="1717" spans="1:4" hidden="1" x14ac:dyDescent="0.25">
      <c r="A1717" t="s">
        <v>20</v>
      </c>
      <c r="B1717">
        <v>29</v>
      </c>
      <c r="C1717">
        <v>36</v>
      </c>
    </row>
    <row r="1718" spans="1:4" hidden="1" x14ac:dyDescent="0.25">
      <c r="A1718" t="s">
        <v>20</v>
      </c>
      <c r="B1718">
        <v>29</v>
      </c>
      <c r="C1718">
        <v>37</v>
      </c>
    </row>
    <row r="1719" spans="1:4" hidden="1" x14ac:dyDescent="0.25">
      <c r="A1719" t="s">
        <v>20</v>
      </c>
      <c r="B1719">
        <v>29</v>
      </c>
      <c r="C1719">
        <v>38</v>
      </c>
    </row>
    <row r="1720" spans="1:4" hidden="1" x14ac:dyDescent="0.25">
      <c r="A1720" t="s">
        <v>20</v>
      </c>
      <c r="B1720">
        <v>29</v>
      </c>
      <c r="C1720">
        <v>39</v>
      </c>
      <c r="D1720">
        <v>1</v>
      </c>
    </row>
    <row r="1721" spans="1:4" hidden="1" x14ac:dyDescent="0.25">
      <c r="A1721" t="s">
        <v>20</v>
      </c>
      <c r="B1721">
        <v>29</v>
      </c>
      <c r="C1721">
        <v>40</v>
      </c>
    </row>
    <row r="1722" spans="1:4" hidden="1" x14ac:dyDescent="0.25">
      <c r="A1722" t="s">
        <v>20</v>
      </c>
      <c r="B1722">
        <v>29</v>
      </c>
      <c r="C1722">
        <v>41</v>
      </c>
    </row>
    <row r="1723" spans="1:4" hidden="1" x14ac:dyDescent="0.25">
      <c r="A1723" t="s">
        <v>20</v>
      </c>
      <c r="B1723">
        <v>29</v>
      </c>
      <c r="C1723">
        <v>42</v>
      </c>
      <c r="D1723">
        <v>1</v>
      </c>
    </row>
    <row r="1724" spans="1:4" hidden="1" x14ac:dyDescent="0.25">
      <c r="A1724" t="s">
        <v>20</v>
      </c>
      <c r="B1724">
        <v>29</v>
      </c>
      <c r="C1724">
        <v>43</v>
      </c>
    </row>
    <row r="1725" spans="1:4" hidden="1" x14ac:dyDescent="0.25">
      <c r="A1725" t="s">
        <v>20</v>
      </c>
      <c r="B1725">
        <v>29</v>
      </c>
      <c r="C1725">
        <v>44</v>
      </c>
    </row>
    <row r="1726" spans="1:4" hidden="1" x14ac:dyDescent="0.25">
      <c r="A1726" t="s">
        <v>20</v>
      </c>
      <c r="B1726">
        <v>29</v>
      </c>
      <c r="C1726">
        <v>45</v>
      </c>
      <c r="D1726">
        <v>1</v>
      </c>
    </row>
    <row r="1727" spans="1:4" hidden="1" x14ac:dyDescent="0.25">
      <c r="A1727" t="s">
        <v>20</v>
      </c>
      <c r="B1727">
        <v>29</v>
      </c>
      <c r="C1727">
        <v>46</v>
      </c>
    </row>
    <row r="1728" spans="1:4" hidden="1" x14ac:dyDescent="0.25">
      <c r="A1728" t="s">
        <v>20</v>
      </c>
      <c r="B1728">
        <v>29</v>
      </c>
      <c r="C1728">
        <v>47</v>
      </c>
    </row>
    <row r="1729" spans="1:4" hidden="1" x14ac:dyDescent="0.25">
      <c r="A1729" t="s">
        <v>20</v>
      </c>
      <c r="B1729">
        <v>29</v>
      </c>
      <c r="C1729">
        <v>48</v>
      </c>
    </row>
    <row r="1730" spans="1:4" hidden="1" x14ac:dyDescent="0.25">
      <c r="A1730" t="s">
        <v>20</v>
      </c>
      <c r="B1730">
        <v>29</v>
      </c>
      <c r="C1730">
        <v>49</v>
      </c>
    </row>
    <row r="1731" spans="1:4" hidden="1" x14ac:dyDescent="0.25">
      <c r="A1731" t="s">
        <v>20</v>
      </c>
      <c r="B1731">
        <v>29</v>
      </c>
      <c r="C1731">
        <v>50</v>
      </c>
    </row>
    <row r="1732" spans="1:4" hidden="1" x14ac:dyDescent="0.25">
      <c r="A1732" t="s">
        <v>20</v>
      </c>
      <c r="B1732">
        <v>29</v>
      </c>
      <c r="C1732">
        <v>51</v>
      </c>
    </row>
    <row r="1733" spans="1:4" hidden="1" x14ac:dyDescent="0.25">
      <c r="A1733" t="s">
        <v>20</v>
      </c>
      <c r="B1733">
        <v>29</v>
      </c>
      <c r="C1733">
        <v>52</v>
      </c>
    </row>
    <row r="1734" spans="1:4" hidden="1" x14ac:dyDescent="0.25">
      <c r="A1734" t="s">
        <v>20</v>
      </c>
      <c r="B1734">
        <v>29</v>
      </c>
      <c r="C1734">
        <v>53</v>
      </c>
    </row>
    <row r="1735" spans="1:4" hidden="1" x14ac:dyDescent="0.25">
      <c r="A1735" t="s">
        <v>20</v>
      </c>
      <c r="B1735">
        <v>29</v>
      </c>
      <c r="C1735">
        <v>54</v>
      </c>
      <c r="D1735">
        <v>1</v>
      </c>
    </row>
    <row r="1736" spans="1:4" hidden="1" x14ac:dyDescent="0.25">
      <c r="A1736" t="s">
        <v>20</v>
      </c>
      <c r="B1736">
        <v>29</v>
      </c>
      <c r="C1736">
        <v>55</v>
      </c>
    </row>
    <row r="1737" spans="1:4" hidden="1" x14ac:dyDescent="0.25">
      <c r="A1737" t="s">
        <v>20</v>
      </c>
      <c r="B1737">
        <v>29</v>
      </c>
      <c r="C1737">
        <v>56</v>
      </c>
    </row>
    <row r="1738" spans="1:4" hidden="1" x14ac:dyDescent="0.25">
      <c r="A1738" t="s">
        <v>20</v>
      </c>
      <c r="B1738">
        <v>29</v>
      </c>
      <c r="C1738">
        <v>57</v>
      </c>
      <c r="D1738">
        <v>1</v>
      </c>
    </row>
    <row r="1739" spans="1:4" hidden="1" x14ac:dyDescent="0.25">
      <c r="A1739" t="s">
        <v>20</v>
      </c>
      <c r="B1739">
        <v>29</v>
      </c>
      <c r="C1739">
        <v>58</v>
      </c>
    </row>
    <row r="1740" spans="1:4" hidden="1" x14ac:dyDescent="0.25">
      <c r="A1740" t="s">
        <v>20</v>
      </c>
      <c r="B1740">
        <v>29</v>
      </c>
      <c r="C1740">
        <v>59</v>
      </c>
    </row>
    <row r="1741" spans="1:4" hidden="1" x14ac:dyDescent="0.25">
      <c r="A1741" t="s">
        <v>20</v>
      </c>
      <c r="B1741">
        <v>29</v>
      </c>
      <c r="C1741">
        <v>60</v>
      </c>
      <c r="D1741">
        <v>1</v>
      </c>
    </row>
    <row r="1742" spans="1:4" hidden="1" x14ac:dyDescent="0.25">
      <c r="A1742" t="s">
        <v>20</v>
      </c>
      <c r="B1742">
        <v>29</v>
      </c>
      <c r="C1742">
        <v>61</v>
      </c>
    </row>
    <row r="1743" spans="1:4" hidden="1" x14ac:dyDescent="0.25">
      <c r="A1743" t="s">
        <v>20</v>
      </c>
      <c r="B1743">
        <v>29</v>
      </c>
      <c r="C1743">
        <v>62</v>
      </c>
    </row>
    <row r="1744" spans="1:4" hidden="1" x14ac:dyDescent="0.25">
      <c r="A1744" t="s">
        <v>20</v>
      </c>
      <c r="B1744">
        <v>29</v>
      </c>
      <c r="C1744">
        <v>63</v>
      </c>
    </row>
    <row r="1745" spans="1:4" hidden="1" x14ac:dyDescent="0.25">
      <c r="A1745" t="s">
        <v>20</v>
      </c>
      <c r="B1745">
        <v>29</v>
      </c>
      <c r="C1745">
        <v>64</v>
      </c>
    </row>
    <row r="1746" spans="1:4" hidden="1" x14ac:dyDescent="0.25">
      <c r="A1746" t="s">
        <v>20</v>
      </c>
      <c r="B1746">
        <v>29</v>
      </c>
      <c r="C1746">
        <v>65</v>
      </c>
    </row>
    <row r="1747" spans="1:4" hidden="1" x14ac:dyDescent="0.25">
      <c r="A1747" t="s">
        <v>20</v>
      </c>
      <c r="B1747">
        <v>29</v>
      </c>
      <c r="C1747">
        <v>66</v>
      </c>
    </row>
    <row r="1748" spans="1:4" hidden="1" x14ac:dyDescent="0.25">
      <c r="A1748" t="s">
        <v>20</v>
      </c>
      <c r="B1748">
        <v>29</v>
      </c>
      <c r="C1748">
        <v>67</v>
      </c>
    </row>
    <row r="1749" spans="1:4" hidden="1" x14ac:dyDescent="0.25">
      <c r="A1749" t="s">
        <v>20</v>
      </c>
      <c r="B1749">
        <v>29</v>
      </c>
      <c r="C1749">
        <v>68</v>
      </c>
    </row>
    <row r="1750" spans="1:4" hidden="1" x14ac:dyDescent="0.25">
      <c r="A1750" t="s">
        <v>20</v>
      </c>
      <c r="B1750">
        <v>29</v>
      </c>
      <c r="C1750">
        <v>69</v>
      </c>
    </row>
    <row r="1751" spans="1:4" hidden="1" x14ac:dyDescent="0.25">
      <c r="A1751" t="s">
        <v>20</v>
      </c>
      <c r="B1751">
        <v>29</v>
      </c>
      <c r="C1751">
        <v>70</v>
      </c>
    </row>
    <row r="1752" spans="1:4" hidden="1" x14ac:dyDescent="0.25">
      <c r="A1752" t="s">
        <v>20</v>
      </c>
      <c r="B1752">
        <v>29</v>
      </c>
      <c r="C1752">
        <v>71</v>
      </c>
    </row>
    <row r="1753" spans="1:4" hidden="1" x14ac:dyDescent="0.25">
      <c r="A1753" t="s">
        <v>20</v>
      </c>
      <c r="B1753">
        <v>29</v>
      </c>
      <c r="C1753">
        <v>72</v>
      </c>
    </row>
    <row r="1754" spans="1:4" hidden="1" x14ac:dyDescent="0.25">
      <c r="A1754" t="s">
        <v>20</v>
      </c>
      <c r="B1754">
        <v>29</v>
      </c>
      <c r="C1754">
        <v>73</v>
      </c>
    </row>
    <row r="1755" spans="1:4" hidden="1" x14ac:dyDescent="0.25">
      <c r="A1755" t="s">
        <v>20</v>
      </c>
      <c r="B1755">
        <v>29</v>
      </c>
      <c r="C1755">
        <v>74</v>
      </c>
    </row>
    <row r="1756" spans="1:4" hidden="1" x14ac:dyDescent="0.25">
      <c r="A1756" t="s">
        <v>20</v>
      </c>
      <c r="B1756">
        <v>29</v>
      </c>
      <c r="C1756">
        <v>75</v>
      </c>
      <c r="D1756">
        <v>1</v>
      </c>
    </row>
    <row r="1757" spans="1:4" hidden="1" x14ac:dyDescent="0.25">
      <c r="A1757" t="s">
        <v>20</v>
      </c>
      <c r="B1757">
        <v>29</v>
      </c>
      <c r="C1757">
        <v>76</v>
      </c>
    </row>
    <row r="1758" spans="1:4" hidden="1" x14ac:dyDescent="0.25">
      <c r="A1758" t="s">
        <v>20</v>
      </c>
      <c r="B1758">
        <v>29</v>
      </c>
      <c r="C1758">
        <v>77</v>
      </c>
    </row>
    <row r="1759" spans="1:4" hidden="1" x14ac:dyDescent="0.25">
      <c r="A1759" t="s">
        <v>20</v>
      </c>
      <c r="B1759">
        <v>29</v>
      </c>
      <c r="C1759">
        <v>78</v>
      </c>
      <c r="D1759">
        <v>1</v>
      </c>
    </row>
    <row r="1760" spans="1:4" hidden="1" x14ac:dyDescent="0.25">
      <c r="A1760" t="s">
        <v>20</v>
      </c>
      <c r="B1760">
        <v>29</v>
      </c>
      <c r="C1760">
        <v>79</v>
      </c>
    </row>
    <row r="1761" spans="1:6" hidden="1" x14ac:dyDescent="0.25">
      <c r="A1761" t="s">
        <v>20</v>
      </c>
      <c r="B1761">
        <v>29</v>
      </c>
      <c r="C1761">
        <v>80</v>
      </c>
    </row>
    <row r="1762" spans="1:6" hidden="1" x14ac:dyDescent="0.25">
      <c r="A1762" t="s">
        <v>20</v>
      </c>
      <c r="B1762">
        <v>29</v>
      </c>
      <c r="C1762">
        <v>81</v>
      </c>
      <c r="D1762">
        <v>1</v>
      </c>
    </row>
    <row r="1763" spans="1:6" hidden="1" x14ac:dyDescent="0.25">
      <c r="A1763" t="s">
        <v>20</v>
      </c>
      <c r="B1763">
        <v>29</v>
      </c>
      <c r="C1763">
        <v>82</v>
      </c>
    </row>
    <row r="1764" spans="1:6" hidden="1" x14ac:dyDescent="0.25">
      <c r="A1764" t="s">
        <v>20</v>
      </c>
      <c r="B1764">
        <v>29</v>
      </c>
      <c r="C1764">
        <v>83</v>
      </c>
    </row>
    <row r="1765" spans="1:6" hidden="1" x14ac:dyDescent="0.25">
      <c r="A1765" t="s">
        <v>20</v>
      </c>
      <c r="B1765">
        <v>29</v>
      </c>
      <c r="C1765">
        <v>84</v>
      </c>
      <c r="D1765">
        <v>1</v>
      </c>
    </row>
    <row r="1766" spans="1:6" hidden="1" x14ac:dyDescent="0.25">
      <c r="A1766" t="s">
        <v>20</v>
      </c>
      <c r="B1766">
        <v>30</v>
      </c>
      <c r="C1766">
        <v>1</v>
      </c>
      <c r="E1766">
        <v>21</v>
      </c>
      <c r="F1766">
        <v>17</v>
      </c>
    </row>
    <row r="1767" spans="1:6" hidden="1" x14ac:dyDescent="0.25">
      <c r="A1767" t="s">
        <v>20</v>
      </c>
      <c r="B1767">
        <v>30</v>
      </c>
      <c r="C1767">
        <v>2</v>
      </c>
      <c r="D1767">
        <v>1</v>
      </c>
      <c r="E1767">
        <v>21</v>
      </c>
      <c r="F1767">
        <v>17</v>
      </c>
    </row>
    <row r="1768" spans="1:6" hidden="1" x14ac:dyDescent="0.25">
      <c r="A1768" t="s">
        <v>20</v>
      </c>
      <c r="B1768">
        <v>30</v>
      </c>
      <c r="C1768">
        <v>3</v>
      </c>
      <c r="E1768">
        <v>21</v>
      </c>
      <c r="F1768">
        <v>17</v>
      </c>
    </row>
    <row r="1769" spans="1:6" hidden="1" x14ac:dyDescent="0.25">
      <c r="A1769" t="s">
        <v>20</v>
      </c>
      <c r="B1769">
        <v>30</v>
      </c>
      <c r="C1769">
        <v>4</v>
      </c>
      <c r="E1769">
        <v>21</v>
      </c>
      <c r="F1769">
        <v>17</v>
      </c>
    </row>
    <row r="1770" spans="1:6" hidden="1" x14ac:dyDescent="0.25">
      <c r="A1770" t="s">
        <v>20</v>
      </c>
      <c r="B1770">
        <v>30</v>
      </c>
      <c r="C1770">
        <v>5</v>
      </c>
      <c r="D1770">
        <v>1</v>
      </c>
      <c r="E1770">
        <v>21</v>
      </c>
      <c r="F1770">
        <v>17</v>
      </c>
    </row>
    <row r="1771" spans="1:6" hidden="1" x14ac:dyDescent="0.25">
      <c r="A1771" t="s">
        <v>20</v>
      </c>
      <c r="B1771">
        <v>30</v>
      </c>
      <c r="C1771">
        <v>6</v>
      </c>
      <c r="E1771">
        <v>21</v>
      </c>
      <c r="F1771">
        <v>17</v>
      </c>
    </row>
    <row r="1772" spans="1:6" hidden="1" x14ac:dyDescent="0.25">
      <c r="A1772" t="s">
        <v>20</v>
      </c>
      <c r="B1772">
        <v>30</v>
      </c>
      <c r="C1772">
        <v>7</v>
      </c>
      <c r="E1772">
        <v>21</v>
      </c>
      <c r="F1772">
        <v>17</v>
      </c>
    </row>
    <row r="1773" spans="1:6" hidden="1" x14ac:dyDescent="0.25">
      <c r="A1773" t="s">
        <v>20</v>
      </c>
      <c r="B1773">
        <v>30</v>
      </c>
      <c r="C1773">
        <v>8</v>
      </c>
      <c r="E1773">
        <v>21</v>
      </c>
      <c r="F1773">
        <v>17</v>
      </c>
    </row>
    <row r="1774" spans="1:6" hidden="1" x14ac:dyDescent="0.25">
      <c r="A1774" t="s">
        <v>20</v>
      </c>
      <c r="B1774">
        <v>30</v>
      </c>
      <c r="C1774">
        <v>9</v>
      </c>
      <c r="E1774">
        <v>21</v>
      </c>
      <c r="F1774">
        <v>17</v>
      </c>
    </row>
    <row r="1775" spans="1:6" hidden="1" x14ac:dyDescent="0.25">
      <c r="A1775" t="s">
        <v>20</v>
      </c>
      <c r="B1775">
        <v>30</v>
      </c>
      <c r="C1775">
        <v>10</v>
      </c>
      <c r="E1775">
        <v>21</v>
      </c>
      <c r="F1775">
        <v>17</v>
      </c>
    </row>
    <row r="1776" spans="1:6" hidden="1" x14ac:dyDescent="0.25">
      <c r="A1776" t="s">
        <v>20</v>
      </c>
      <c r="B1776">
        <v>30</v>
      </c>
      <c r="C1776">
        <v>11</v>
      </c>
      <c r="D1776">
        <v>1</v>
      </c>
      <c r="E1776">
        <v>21</v>
      </c>
      <c r="F1776">
        <v>17</v>
      </c>
    </row>
    <row r="1777" spans="1:6" hidden="1" x14ac:dyDescent="0.25">
      <c r="A1777" t="s">
        <v>20</v>
      </c>
      <c r="B1777">
        <v>30</v>
      </c>
      <c r="C1777">
        <v>12</v>
      </c>
      <c r="E1777">
        <v>21</v>
      </c>
      <c r="F1777">
        <v>17</v>
      </c>
    </row>
    <row r="1778" spans="1:6" hidden="1" x14ac:dyDescent="0.25">
      <c r="A1778" t="s">
        <v>20</v>
      </c>
      <c r="B1778">
        <v>30</v>
      </c>
      <c r="C1778">
        <v>13</v>
      </c>
      <c r="E1778">
        <v>21</v>
      </c>
      <c r="F1778">
        <v>17</v>
      </c>
    </row>
    <row r="1779" spans="1:6" hidden="1" x14ac:dyDescent="0.25">
      <c r="A1779" t="s">
        <v>20</v>
      </c>
      <c r="B1779">
        <v>30</v>
      </c>
      <c r="C1779">
        <v>14</v>
      </c>
      <c r="D1779">
        <v>1</v>
      </c>
      <c r="E1779">
        <v>21</v>
      </c>
      <c r="F1779">
        <v>17</v>
      </c>
    </row>
    <row r="1780" spans="1:6" hidden="1" x14ac:dyDescent="0.25">
      <c r="A1780" t="s">
        <v>20</v>
      </c>
      <c r="B1780">
        <v>30</v>
      </c>
      <c r="C1780">
        <v>15</v>
      </c>
      <c r="E1780">
        <v>21</v>
      </c>
      <c r="F1780">
        <v>17</v>
      </c>
    </row>
    <row r="1781" spans="1:6" hidden="1" x14ac:dyDescent="0.25">
      <c r="A1781" t="s">
        <v>20</v>
      </c>
      <c r="B1781">
        <v>30</v>
      </c>
      <c r="C1781">
        <v>16</v>
      </c>
      <c r="D1781">
        <v>1</v>
      </c>
      <c r="E1781">
        <v>21</v>
      </c>
      <c r="F1781">
        <v>17</v>
      </c>
    </row>
    <row r="1782" spans="1:6" hidden="1" x14ac:dyDescent="0.25">
      <c r="A1782" t="s">
        <v>20</v>
      </c>
      <c r="B1782">
        <v>30</v>
      </c>
      <c r="C1782">
        <v>17</v>
      </c>
      <c r="E1782">
        <v>21</v>
      </c>
      <c r="F1782">
        <v>17</v>
      </c>
    </row>
    <row r="1783" spans="1:6" hidden="1" x14ac:dyDescent="0.25">
      <c r="A1783" t="s">
        <v>20</v>
      </c>
      <c r="B1783">
        <v>30</v>
      </c>
      <c r="C1783">
        <v>18</v>
      </c>
      <c r="E1783">
        <v>21</v>
      </c>
      <c r="F1783">
        <v>17</v>
      </c>
    </row>
    <row r="1784" spans="1:6" hidden="1" x14ac:dyDescent="0.25">
      <c r="A1784" t="s">
        <v>20</v>
      </c>
      <c r="B1784">
        <v>30</v>
      </c>
      <c r="C1784">
        <v>19</v>
      </c>
      <c r="E1784">
        <v>21</v>
      </c>
      <c r="F1784">
        <v>17</v>
      </c>
    </row>
    <row r="1785" spans="1:6" hidden="1" x14ac:dyDescent="0.25">
      <c r="A1785" t="s">
        <v>20</v>
      </c>
      <c r="B1785">
        <v>30</v>
      </c>
      <c r="C1785">
        <v>20</v>
      </c>
      <c r="E1785">
        <v>21</v>
      </c>
      <c r="F1785">
        <v>17</v>
      </c>
    </row>
    <row r="1786" spans="1:6" hidden="1" x14ac:dyDescent="0.25">
      <c r="A1786" t="s">
        <v>20</v>
      </c>
      <c r="B1786">
        <v>30</v>
      </c>
      <c r="C1786">
        <v>21</v>
      </c>
      <c r="E1786">
        <v>21</v>
      </c>
      <c r="F1786">
        <v>17</v>
      </c>
    </row>
    <row r="1787" spans="1:6" hidden="1" x14ac:dyDescent="0.25">
      <c r="A1787" t="s">
        <v>20</v>
      </c>
      <c r="B1787">
        <v>30</v>
      </c>
      <c r="C1787">
        <v>22</v>
      </c>
      <c r="E1787">
        <v>21</v>
      </c>
      <c r="F1787">
        <v>17</v>
      </c>
    </row>
    <row r="1788" spans="1:6" hidden="1" x14ac:dyDescent="0.25">
      <c r="A1788" t="s">
        <v>20</v>
      </c>
      <c r="B1788">
        <v>30</v>
      </c>
      <c r="C1788">
        <v>23</v>
      </c>
      <c r="D1788">
        <v>1</v>
      </c>
      <c r="E1788">
        <v>21</v>
      </c>
      <c r="F1788">
        <v>17</v>
      </c>
    </row>
    <row r="1789" spans="1:6" hidden="1" x14ac:dyDescent="0.25">
      <c r="A1789" t="s">
        <v>20</v>
      </c>
      <c r="B1789">
        <v>30</v>
      </c>
      <c r="C1789">
        <v>24</v>
      </c>
      <c r="E1789">
        <v>21</v>
      </c>
      <c r="F1789">
        <v>17</v>
      </c>
    </row>
    <row r="1790" spans="1:6" hidden="1" x14ac:dyDescent="0.25">
      <c r="A1790" t="s">
        <v>20</v>
      </c>
      <c r="B1790">
        <v>30</v>
      </c>
      <c r="C1790">
        <v>25</v>
      </c>
      <c r="E1790">
        <v>21</v>
      </c>
      <c r="F1790">
        <v>17</v>
      </c>
    </row>
    <row r="1791" spans="1:6" hidden="1" x14ac:dyDescent="0.25">
      <c r="A1791" t="s">
        <v>20</v>
      </c>
      <c r="B1791">
        <v>30</v>
      </c>
      <c r="C1791">
        <v>26</v>
      </c>
      <c r="D1791">
        <v>1</v>
      </c>
      <c r="E1791">
        <v>21</v>
      </c>
      <c r="F1791">
        <v>17</v>
      </c>
    </row>
    <row r="1792" spans="1:6" hidden="1" x14ac:dyDescent="0.25">
      <c r="A1792" t="s">
        <v>20</v>
      </c>
      <c r="B1792">
        <v>30</v>
      </c>
      <c r="C1792">
        <v>27</v>
      </c>
      <c r="E1792">
        <v>21</v>
      </c>
      <c r="F1792">
        <v>17</v>
      </c>
    </row>
    <row r="1793" spans="1:6" hidden="1" x14ac:dyDescent="0.25">
      <c r="A1793" t="s">
        <v>20</v>
      </c>
      <c r="B1793">
        <v>30</v>
      </c>
      <c r="C1793">
        <v>28</v>
      </c>
      <c r="E1793">
        <v>21</v>
      </c>
      <c r="F1793">
        <v>17</v>
      </c>
    </row>
    <row r="1794" spans="1:6" hidden="1" x14ac:dyDescent="0.25">
      <c r="A1794" t="s">
        <v>20</v>
      </c>
      <c r="B1794">
        <v>30</v>
      </c>
      <c r="C1794">
        <v>29</v>
      </c>
      <c r="D1794">
        <v>1</v>
      </c>
      <c r="E1794">
        <v>21</v>
      </c>
      <c r="F1794">
        <v>17</v>
      </c>
    </row>
    <row r="1795" spans="1:6" hidden="1" x14ac:dyDescent="0.25">
      <c r="A1795" t="s">
        <v>20</v>
      </c>
      <c r="B1795">
        <v>30</v>
      </c>
      <c r="C1795">
        <v>30</v>
      </c>
      <c r="E1795">
        <v>21</v>
      </c>
      <c r="F1795">
        <v>17</v>
      </c>
    </row>
    <row r="1796" spans="1:6" hidden="1" x14ac:dyDescent="0.25">
      <c r="A1796" t="s">
        <v>20</v>
      </c>
      <c r="B1796">
        <v>30</v>
      </c>
      <c r="C1796">
        <v>31</v>
      </c>
      <c r="E1796">
        <v>21</v>
      </c>
      <c r="F1796">
        <v>17</v>
      </c>
    </row>
    <row r="1797" spans="1:6" hidden="1" x14ac:dyDescent="0.25">
      <c r="A1797" t="s">
        <v>20</v>
      </c>
      <c r="B1797">
        <v>30</v>
      </c>
      <c r="C1797">
        <v>32</v>
      </c>
      <c r="D1797">
        <v>1</v>
      </c>
      <c r="E1797">
        <v>21</v>
      </c>
      <c r="F1797">
        <v>17</v>
      </c>
    </row>
    <row r="1798" spans="1:6" hidden="1" x14ac:dyDescent="0.25">
      <c r="A1798" t="s">
        <v>20</v>
      </c>
      <c r="B1798">
        <v>30</v>
      </c>
      <c r="C1798">
        <v>33</v>
      </c>
      <c r="E1798">
        <v>21</v>
      </c>
      <c r="F1798">
        <v>17</v>
      </c>
    </row>
    <row r="1799" spans="1:6" hidden="1" x14ac:dyDescent="0.25">
      <c r="A1799" t="s">
        <v>20</v>
      </c>
      <c r="B1799">
        <v>30</v>
      </c>
      <c r="C1799">
        <v>34</v>
      </c>
      <c r="E1799">
        <v>21</v>
      </c>
      <c r="F1799">
        <v>17</v>
      </c>
    </row>
    <row r="1800" spans="1:6" hidden="1" x14ac:dyDescent="0.25">
      <c r="A1800" t="s">
        <v>20</v>
      </c>
      <c r="B1800">
        <v>30</v>
      </c>
      <c r="C1800">
        <v>35</v>
      </c>
      <c r="D1800">
        <v>1</v>
      </c>
      <c r="E1800">
        <v>21</v>
      </c>
      <c r="F1800">
        <v>17</v>
      </c>
    </row>
    <row r="1801" spans="1:6" hidden="1" x14ac:dyDescent="0.25">
      <c r="A1801" t="s">
        <v>20</v>
      </c>
      <c r="B1801">
        <v>30</v>
      </c>
      <c r="C1801">
        <v>36</v>
      </c>
      <c r="E1801">
        <v>21</v>
      </c>
      <c r="F1801">
        <v>17</v>
      </c>
    </row>
    <row r="1802" spans="1:6" hidden="1" x14ac:dyDescent="0.25">
      <c r="A1802" t="s">
        <v>20</v>
      </c>
      <c r="B1802">
        <v>30</v>
      </c>
      <c r="C1802">
        <v>37</v>
      </c>
      <c r="E1802">
        <v>21</v>
      </c>
      <c r="F1802">
        <v>17</v>
      </c>
    </row>
    <row r="1803" spans="1:6" hidden="1" x14ac:dyDescent="0.25">
      <c r="A1803" t="s">
        <v>20</v>
      </c>
      <c r="B1803">
        <v>30</v>
      </c>
      <c r="C1803">
        <v>38</v>
      </c>
      <c r="D1803">
        <v>1</v>
      </c>
      <c r="E1803">
        <v>21</v>
      </c>
      <c r="F1803">
        <v>17</v>
      </c>
    </row>
    <row r="1804" spans="1:6" hidden="1" x14ac:dyDescent="0.25">
      <c r="A1804" t="s">
        <v>20</v>
      </c>
      <c r="B1804">
        <v>30</v>
      </c>
      <c r="C1804">
        <v>39</v>
      </c>
      <c r="E1804">
        <v>21</v>
      </c>
      <c r="F1804">
        <v>17</v>
      </c>
    </row>
    <row r="1805" spans="1:6" hidden="1" x14ac:dyDescent="0.25">
      <c r="A1805" t="s">
        <v>20</v>
      </c>
      <c r="B1805">
        <v>30</v>
      </c>
      <c r="C1805">
        <v>40</v>
      </c>
      <c r="E1805">
        <v>21</v>
      </c>
      <c r="F1805">
        <v>17</v>
      </c>
    </row>
    <row r="1806" spans="1:6" hidden="1" x14ac:dyDescent="0.25">
      <c r="A1806" t="s">
        <v>20</v>
      </c>
      <c r="B1806">
        <v>30</v>
      </c>
      <c r="C1806">
        <v>41</v>
      </c>
      <c r="E1806">
        <v>21</v>
      </c>
      <c r="F1806">
        <v>17</v>
      </c>
    </row>
    <row r="1807" spans="1:6" hidden="1" x14ac:dyDescent="0.25">
      <c r="A1807" t="s">
        <v>20</v>
      </c>
      <c r="B1807">
        <v>30</v>
      </c>
      <c r="C1807">
        <v>42</v>
      </c>
      <c r="E1807">
        <v>21</v>
      </c>
      <c r="F1807">
        <v>17</v>
      </c>
    </row>
    <row r="1808" spans="1:6" hidden="1" x14ac:dyDescent="0.25">
      <c r="A1808" t="s">
        <v>20</v>
      </c>
      <c r="B1808">
        <v>30</v>
      </c>
      <c r="C1808">
        <v>43</v>
      </c>
      <c r="E1808">
        <v>21</v>
      </c>
      <c r="F1808">
        <v>17</v>
      </c>
    </row>
    <row r="1809" spans="1:6" hidden="1" x14ac:dyDescent="0.25">
      <c r="A1809" t="s">
        <v>20</v>
      </c>
      <c r="B1809">
        <v>30</v>
      </c>
      <c r="C1809">
        <v>44</v>
      </c>
      <c r="D1809">
        <v>1</v>
      </c>
      <c r="E1809">
        <v>21</v>
      </c>
      <c r="F1809">
        <v>17</v>
      </c>
    </row>
    <row r="1810" spans="1:6" hidden="1" x14ac:dyDescent="0.25">
      <c r="A1810" t="s">
        <v>20</v>
      </c>
      <c r="B1810">
        <v>30</v>
      </c>
      <c r="C1810">
        <v>45</v>
      </c>
      <c r="E1810">
        <v>21</v>
      </c>
      <c r="F1810">
        <v>17</v>
      </c>
    </row>
    <row r="1811" spans="1:6" hidden="1" x14ac:dyDescent="0.25">
      <c r="A1811" t="s">
        <v>20</v>
      </c>
      <c r="B1811">
        <v>30</v>
      </c>
      <c r="C1811">
        <v>46</v>
      </c>
      <c r="E1811">
        <v>21</v>
      </c>
      <c r="F1811">
        <v>17</v>
      </c>
    </row>
    <row r="1812" spans="1:6" hidden="1" x14ac:dyDescent="0.25">
      <c r="A1812" t="s">
        <v>20</v>
      </c>
      <c r="B1812">
        <v>30</v>
      </c>
      <c r="C1812">
        <v>47</v>
      </c>
      <c r="D1812">
        <v>1</v>
      </c>
      <c r="E1812">
        <v>21</v>
      </c>
      <c r="F1812">
        <v>17</v>
      </c>
    </row>
    <row r="1813" spans="1:6" hidden="1" x14ac:dyDescent="0.25">
      <c r="A1813" t="s">
        <v>20</v>
      </c>
      <c r="B1813">
        <v>30</v>
      </c>
      <c r="C1813">
        <v>48</v>
      </c>
      <c r="E1813">
        <v>21</v>
      </c>
      <c r="F1813">
        <v>17</v>
      </c>
    </row>
    <row r="1814" spans="1:6" hidden="1" x14ac:dyDescent="0.25">
      <c r="A1814" t="s">
        <v>20</v>
      </c>
      <c r="B1814">
        <v>30</v>
      </c>
      <c r="C1814">
        <v>49</v>
      </c>
      <c r="E1814">
        <v>21</v>
      </c>
      <c r="F1814">
        <v>17</v>
      </c>
    </row>
    <row r="1815" spans="1:6" hidden="1" x14ac:dyDescent="0.25">
      <c r="A1815" t="s">
        <v>20</v>
      </c>
      <c r="B1815">
        <v>30</v>
      </c>
      <c r="C1815">
        <v>50</v>
      </c>
      <c r="E1815">
        <v>21</v>
      </c>
      <c r="F1815">
        <v>17</v>
      </c>
    </row>
    <row r="1816" spans="1:6" hidden="1" x14ac:dyDescent="0.25">
      <c r="A1816" t="s">
        <v>20</v>
      </c>
      <c r="B1816">
        <v>30</v>
      </c>
      <c r="C1816">
        <v>51</v>
      </c>
      <c r="E1816">
        <v>21</v>
      </c>
      <c r="F1816">
        <v>17</v>
      </c>
    </row>
    <row r="1817" spans="1:6" hidden="1" x14ac:dyDescent="0.25">
      <c r="A1817" t="s">
        <v>20</v>
      </c>
      <c r="B1817">
        <v>30</v>
      </c>
      <c r="C1817">
        <v>52</v>
      </c>
      <c r="E1817">
        <v>21</v>
      </c>
      <c r="F1817">
        <v>17</v>
      </c>
    </row>
    <row r="1818" spans="1:6" hidden="1" x14ac:dyDescent="0.25">
      <c r="A1818" t="s">
        <v>20</v>
      </c>
      <c r="B1818">
        <v>30</v>
      </c>
      <c r="C1818">
        <v>53</v>
      </c>
      <c r="E1818">
        <v>21</v>
      </c>
      <c r="F1818">
        <v>17</v>
      </c>
    </row>
    <row r="1819" spans="1:6" hidden="1" x14ac:dyDescent="0.25">
      <c r="A1819" t="s">
        <v>20</v>
      </c>
      <c r="B1819">
        <v>30</v>
      </c>
      <c r="C1819">
        <v>54</v>
      </c>
      <c r="E1819">
        <v>21</v>
      </c>
      <c r="F1819">
        <v>17</v>
      </c>
    </row>
    <row r="1820" spans="1:6" hidden="1" x14ac:dyDescent="0.25">
      <c r="A1820" t="s">
        <v>20</v>
      </c>
      <c r="B1820">
        <v>30</v>
      </c>
      <c r="C1820">
        <v>55</v>
      </c>
      <c r="E1820">
        <v>21</v>
      </c>
      <c r="F1820">
        <v>17</v>
      </c>
    </row>
    <row r="1821" spans="1:6" hidden="1" x14ac:dyDescent="0.25">
      <c r="A1821" t="s">
        <v>20</v>
      </c>
      <c r="B1821">
        <v>30</v>
      </c>
      <c r="C1821">
        <v>56</v>
      </c>
      <c r="D1821">
        <v>1</v>
      </c>
      <c r="E1821">
        <v>21</v>
      </c>
      <c r="F1821">
        <v>17</v>
      </c>
    </row>
    <row r="1822" spans="1:6" hidden="1" x14ac:dyDescent="0.25">
      <c r="A1822" t="s">
        <v>20</v>
      </c>
      <c r="B1822">
        <v>30</v>
      </c>
      <c r="C1822">
        <v>57</v>
      </c>
      <c r="E1822">
        <v>21</v>
      </c>
      <c r="F1822">
        <v>17</v>
      </c>
    </row>
    <row r="1823" spans="1:6" hidden="1" x14ac:dyDescent="0.25">
      <c r="A1823" t="s">
        <v>20</v>
      </c>
      <c r="B1823">
        <v>30</v>
      </c>
      <c r="C1823">
        <v>58</v>
      </c>
      <c r="D1823">
        <v>1</v>
      </c>
      <c r="E1823">
        <v>21</v>
      </c>
      <c r="F1823">
        <v>17</v>
      </c>
    </row>
    <row r="1824" spans="1:6" hidden="1" x14ac:dyDescent="0.25">
      <c r="A1824" t="s">
        <v>20</v>
      </c>
      <c r="B1824">
        <v>30</v>
      </c>
      <c r="C1824">
        <v>59</v>
      </c>
      <c r="E1824">
        <v>21</v>
      </c>
      <c r="F1824">
        <v>17</v>
      </c>
    </row>
    <row r="1825" spans="1:6" hidden="1" x14ac:dyDescent="0.25">
      <c r="A1825" t="s">
        <v>20</v>
      </c>
      <c r="B1825">
        <v>30</v>
      </c>
      <c r="C1825">
        <v>60</v>
      </c>
      <c r="E1825">
        <v>21</v>
      </c>
      <c r="F1825">
        <v>17</v>
      </c>
    </row>
    <row r="1826" spans="1:6" hidden="1" x14ac:dyDescent="0.25">
      <c r="A1826" t="s">
        <v>20</v>
      </c>
      <c r="B1826">
        <v>30</v>
      </c>
      <c r="C1826">
        <v>61</v>
      </c>
      <c r="E1826">
        <v>21</v>
      </c>
      <c r="F1826">
        <v>17</v>
      </c>
    </row>
    <row r="1827" spans="1:6" hidden="1" x14ac:dyDescent="0.25">
      <c r="A1827" t="s">
        <v>20</v>
      </c>
      <c r="B1827">
        <v>30</v>
      </c>
      <c r="C1827">
        <v>62</v>
      </c>
      <c r="D1827">
        <v>1</v>
      </c>
      <c r="E1827">
        <v>21</v>
      </c>
      <c r="F1827">
        <v>17</v>
      </c>
    </row>
    <row r="1828" spans="1:6" hidden="1" x14ac:dyDescent="0.25">
      <c r="A1828" t="s">
        <v>20</v>
      </c>
      <c r="B1828">
        <v>30</v>
      </c>
      <c r="C1828">
        <v>63</v>
      </c>
      <c r="E1828">
        <v>21</v>
      </c>
      <c r="F1828">
        <v>17</v>
      </c>
    </row>
    <row r="1829" spans="1:6" hidden="1" x14ac:dyDescent="0.25">
      <c r="A1829" t="s">
        <v>20</v>
      </c>
      <c r="B1829">
        <v>30</v>
      </c>
      <c r="C1829">
        <v>64</v>
      </c>
      <c r="D1829">
        <v>1</v>
      </c>
      <c r="E1829">
        <v>21</v>
      </c>
      <c r="F1829">
        <v>17</v>
      </c>
    </row>
    <row r="1830" spans="1:6" hidden="1" x14ac:dyDescent="0.25">
      <c r="A1830" t="s">
        <v>20</v>
      </c>
      <c r="B1830">
        <v>30</v>
      </c>
      <c r="C1830">
        <v>65</v>
      </c>
      <c r="E1830">
        <v>21</v>
      </c>
      <c r="F1830">
        <v>17</v>
      </c>
    </row>
    <row r="1831" spans="1:6" hidden="1" x14ac:dyDescent="0.25">
      <c r="A1831" t="s">
        <v>20</v>
      </c>
      <c r="B1831">
        <v>30</v>
      </c>
      <c r="C1831">
        <v>66</v>
      </c>
      <c r="E1831">
        <v>21</v>
      </c>
      <c r="F1831">
        <v>17</v>
      </c>
    </row>
    <row r="1832" spans="1:6" hidden="1" x14ac:dyDescent="0.25">
      <c r="A1832" t="s">
        <v>20</v>
      </c>
      <c r="B1832">
        <v>30</v>
      </c>
      <c r="C1832">
        <v>67</v>
      </c>
      <c r="E1832">
        <v>21</v>
      </c>
      <c r="F1832">
        <v>17</v>
      </c>
    </row>
    <row r="1833" spans="1:6" hidden="1" x14ac:dyDescent="0.25">
      <c r="A1833" t="s">
        <v>20</v>
      </c>
      <c r="B1833">
        <v>30</v>
      </c>
      <c r="C1833">
        <v>68</v>
      </c>
      <c r="E1833">
        <v>21</v>
      </c>
      <c r="F1833">
        <v>17</v>
      </c>
    </row>
    <row r="1834" spans="1:6" hidden="1" x14ac:dyDescent="0.25">
      <c r="A1834" t="s">
        <v>20</v>
      </c>
      <c r="B1834">
        <v>30</v>
      </c>
      <c r="C1834">
        <v>69</v>
      </c>
      <c r="E1834">
        <v>21</v>
      </c>
      <c r="F1834">
        <v>17</v>
      </c>
    </row>
    <row r="1835" spans="1:6" hidden="1" x14ac:dyDescent="0.25">
      <c r="A1835" t="s">
        <v>20</v>
      </c>
      <c r="B1835">
        <v>30</v>
      </c>
      <c r="C1835">
        <v>70</v>
      </c>
      <c r="E1835">
        <v>21</v>
      </c>
      <c r="F1835">
        <v>17</v>
      </c>
    </row>
    <row r="1836" spans="1:6" hidden="1" x14ac:dyDescent="0.25">
      <c r="A1836" t="s">
        <v>20</v>
      </c>
      <c r="B1836">
        <v>30</v>
      </c>
      <c r="C1836">
        <v>71</v>
      </c>
      <c r="E1836">
        <v>21</v>
      </c>
      <c r="F1836">
        <v>17</v>
      </c>
    </row>
    <row r="1837" spans="1:6" hidden="1" x14ac:dyDescent="0.25">
      <c r="A1837" t="s">
        <v>20</v>
      </c>
      <c r="B1837">
        <v>30</v>
      </c>
      <c r="C1837">
        <v>72</v>
      </c>
      <c r="E1837">
        <v>21</v>
      </c>
      <c r="F1837">
        <v>17</v>
      </c>
    </row>
    <row r="1838" spans="1:6" hidden="1" x14ac:dyDescent="0.25">
      <c r="A1838" t="s">
        <v>20</v>
      </c>
      <c r="B1838">
        <v>30</v>
      </c>
      <c r="C1838">
        <v>73</v>
      </c>
      <c r="E1838">
        <v>21</v>
      </c>
      <c r="F1838">
        <v>17</v>
      </c>
    </row>
    <row r="1839" spans="1:6" hidden="1" x14ac:dyDescent="0.25">
      <c r="A1839" t="s">
        <v>20</v>
      </c>
      <c r="B1839">
        <v>30</v>
      </c>
      <c r="C1839">
        <v>74</v>
      </c>
      <c r="E1839">
        <v>21</v>
      </c>
      <c r="F1839">
        <v>17</v>
      </c>
    </row>
    <row r="1840" spans="1:6" hidden="1" x14ac:dyDescent="0.25">
      <c r="A1840" t="s">
        <v>20</v>
      </c>
      <c r="B1840">
        <v>30</v>
      </c>
      <c r="C1840">
        <v>75</v>
      </c>
      <c r="E1840">
        <v>21</v>
      </c>
      <c r="F1840">
        <v>17</v>
      </c>
    </row>
    <row r="1841" spans="1:6" hidden="1" x14ac:dyDescent="0.25">
      <c r="A1841" t="s">
        <v>20</v>
      </c>
      <c r="B1841">
        <v>30</v>
      </c>
      <c r="C1841">
        <v>76</v>
      </c>
      <c r="E1841">
        <v>21</v>
      </c>
      <c r="F1841">
        <v>17</v>
      </c>
    </row>
    <row r="1842" spans="1:6" hidden="1" x14ac:dyDescent="0.25">
      <c r="A1842" t="s">
        <v>20</v>
      </c>
      <c r="B1842">
        <v>30</v>
      </c>
      <c r="C1842">
        <v>77</v>
      </c>
      <c r="E1842">
        <v>21</v>
      </c>
      <c r="F1842">
        <v>17</v>
      </c>
    </row>
    <row r="1843" spans="1:6" hidden="1" x14ac:dyDescent="0.25">
      <c r="A1843" t="s">
        <v>20</v>
      </c>
      <c r="B1843">
        <v>30</v>
      </c>
      <c r="C1843">
        <v>78</v>
      </c>
      <c r="E1843">
        <v>21</v>
      </c>
      <c r="F1843">
        <v>17</v>
      </c>
    </row>
    <row r="1844" spans="1:6" hidden="1" x14ac:dyDescent="0.25">
      <c r="A1844" t="s">
        <v>20</v>
      </c>
      <c r="B1844">
        <v>30</v>
      </c>
      <c r="C1844">
        <v>79</v>
      </c>
      <c r="E1844">
        <v>21</v>
      </c>
      <c r="F1844">
        <v>17</v>
      </c>
    </row>
    <row r="1845" spans="1:6" hidden="1" x14ac:dyDescent="0.25">
      <c r="A1845" t="s">
        <v>20</v>
      </c>
      <c r="B1845">
        <v>30</v>
      </c>
      <c r="C1845">
        <v>80</v>
      </c>
      <c r="E1845">
        <v>21</v>
      </c>
      <c r="F1845">
        <v>17</v>
      </c>
    </row>
    <row r="1846" spans="1:6" hidden="1" x14ac:dyDescent="0.25">
      <c r="A1846" t="s">
        <v>20</v>
      </c>
      <c r="B1846">
        <v>30</v>
      </c>
      <c r="C1846">
        <v>81</v>
      </c>
      <c r="E1846">
        <v>21</v>
      </c>
      <c r="F1846">
        <v>17</v>
      </c>
    </row>
    <row r="1847" spans="1:6" hidden="1" x14ac:dyDescent="0.25">
      <c r="A1847" t="s">
        <v>20</v>
      </c>
      <c r="B1847">
        <v>30</v>
      </c>
      <c r="C1847">
        <v>82</v>
      </c>
      <c r="E1847">
        <v>21</v>
      </c>
      <c r="F1847">
        <v>17</v>
      </c>
    </row>
    <row r="1848" spans="1:6" hidden="1" x14ac:dyDescent="0.25">
      <c r="A1848" t="s">
        <v>20</v>
      </c>
      <c r="B1848">
        <v>30</v>
      </c>
      <c r="C1848">
        <v>83</v>
      </c>
      <c r="E1848">
        <v>21</v>
      </c>
      <c r="F1848">
        <v>17</v>
      </c>
    </row>
    <row r="1849" spans="1:6" hidden="1" x14ac:dyDescent="0.25">
      <c r="A1849" t="s">
        <v>20</v>
      </c>
      <c r="B1849">
        <v>30</v>
      </c>
      <c r="C1849">
        <v>84</v>
      </c>
      <c r="E1849">
        <v>21</v>
      </c>
      <c r="F1849">
        <v>17</v>
      </c>
    </row>
    <row r="1850" spans="1:6" hidden="1" x14ac:dyDescent="0.25">
      <c r="A1850" t="s">
        <v>20</v>
      </c>
      <c r="B1850">
        <v>31</v>
      </c>
      <c r="C1850">
        <v>1</v>
      </c>
    </row>
    <row r="1851" spans="1:6" hidden="1" x14ac:dyDescent="0.25">
      <c r="A1851" t="s">
        <v>20</v>
      </c>
      <c r="B1851">
        <v>31</v>
      </c>
      <c r="C1851">
        <v>2</v>
      </c>
      <c r="D1851">
        <v>1</v>
      </c>
    </row>
    <row r="1852" spans="1:6" hidden="1" x14ac:dyDescent="0.25">
      <c r="A1852" t="s">
        <v>20</v>
      </c>
      <c r="B1852">
        <v>31</v>
      </c>
      <c r="C1852">
        <v>3</v>
      </c>
    </row>
    <row r="1853" spans="1:6" hidden="1" x14ac:dyDescent="0.25">
      <c r="A1853" t="s">
        <v>20</v>
      </c>
      <c r="B1853">
        <v>31</v>
      </c>
      <c r="C1853">
        <v>4</v>
      </c>
    </row>
    <row r="1854" spans="1:6" hidden="1" x14ac:dyDescent="0.25">
      <c r="A1854" t="s">
        <v>20</v>
      </c>
      <c r="B1854">
        <v>31</v>
      </c>
      <c r="C1854">
        <v>5</v>
      </c>
      <c r="D1854">
        <v>1</v>
      </c>
    </row>
    <row r="1855" spans="1:6" hidden="1" x14ac:dyDescent="0.25">
      <c r="A1855" t="s">
        <v>20</v>
      </c>
      <c r="B1855">
        <v>31</v>
      </c>
      <c r="C1855">
        <v>6</v>
      </c>
    </row>
    <row r="1856" spans="1:6" hidden="1" x14ac:dyDescent="0.25">
      <c r="A1856" t="s">
        <v>20</v>
      </c>
      <c r="B1856">
        <v>31</v>
      </c>
      <c r="C1856">
        <v>7</v>
      </c>
    </row>
    <row r="1857" spans="1:4" hidden="1" x14ac:dyDescent="0.25">
      <c r="A1857" t="s">
        <v>20</v>
      </c>
      <c r="B1857">
        <v>31</v>
      </c>
      <c r="C1857">
        <v>8</v>
      </c>
      <c r="D1857">
        <v>1</v>
      </c>
    </row>
    <row r="1858" spans="1:4" hidden="1" x14ac:dyDescent="0.25">
      <c r="A1858" t="s">
        <v>20</v>
      </c>
      <c r="B1858">
        <v>31</v>
      </c>
      <c r="C1858">
        <v>9</v>
      </c>
    </row>
    <row r="1859" spans="1:4" hidden="1" x14ac:dyDescent="0.25">
      <c r="A1859" t="s">
        <v>20</v>
      </c>
      <c r="B1859">
        <v>31</v>
      </c>
      <c r="C1859">
        <v>10</v>
      </c>
    </row>
    <row r="1860" spans="1:4" hidden="1" x14ac:dyDescent="0.25">
      <c r="A1860" t="s">
        <v>20</v>
      </c>
      <c r="B1860">
        <v>31</v>
      </c>
      <c r="C1860">
        <v>11</v>
      </c>
      <c r="D1860">
        <v>1</v>
      </c>
    </row>
    <row r="1861" spans="1:4" hidden="1" x14ac:dyDescent="0.25">
      <c r="A1861" t="s">
        <v>20</v>
      </c>
      <c r="B1861">
        <v>31</v>
      </c>
      <c r="C1861">
        <v>12</v>
      </c>
    </row>
    <row r="1862" spans="1:4" hidden="1" x14ac:dyDescent="0.25">
      <c r="A1862" t="s">
        <v>20</v>
      </c>
      <c r="B1862">
        <v>31</v>
      </c>
      <c r="C1862">
        <v>13</v>
      </c>
    </row>
    <row r="1863" spans="1:4" hidden="1" x14ac:dyDescent="0.25">
      <c r="A1863" t="s">
        <v>20</v>
      </c>
      <c r="B1863">
        <v>31</v>
      </c>
      <c r="C1863">
        <v>14</v>
      </c>
    </row>
    <row r="1864" spans="1:4" hidden="1" x14ac:dyDescent="0.25">
      <c r="A1864" t="s">
        <v>20</v>
      </c>
      <c r="B1864">
        <v>31</v>
      </c>
      <c r="C1864">
        <v>15</v>
      </c>
    </row>
    <row r="1865" spans="1:4" hidden="1" x14ac:dyDescent="0.25">
      <c r="A1865" t="s">
        <v>20</v>
      </c>
      <c r="B1865">
        <v>31</v>
      </c>
      <c r="C1865">
        <v>16</v>
      </c>
    </row>
    <row r="1866" spans="1:4" hidden="1" x14ac:dyDescent="0.25">
      <c r="A1866" t="s">
        <v>20</v>
      </c>
      <c r="B1866">
        <v>31</v>
      </c>
      <c r="C1866">
        <v>17</v>
      </c>
    </row>
    <row r="1867" spans="1:4" hidden="1" x14ac:dyDescent="0.25">
      <c r="A1867" t="s">
        <v>20</v>
      </c>
      <c r="B1867">
        <v>31</v>
      </c>
      <c r="C1867">
        <v>18</v>
      </c>
    </row>
    <row r="1868" spans="1:4" hidden="1" x14ac:dyDescent="0.25">
      <c r="A1868" t="s">
        <v>20</v>
      </c>
      <c r="B1868">
        <v>31</v>
      </c>
      <c r="C1868">
        <v>19</v>
      </c>
    </row>
    <row r="1869" spans="1:4" hidden="1" x14ac:dyDescent="0.25">
      <c r="A1869" t="s">
        <v>20</v>
      </c>
      <c r="B1869">
        <v>31</v>
      </c>
      <c r="C1869">
        <v>20</v>
      </c>
    </row>
    <row r="1870" spans="1:4" hidden="1" x14ac:dyDescent="0.25">
      <c r="A1870" t="s">
        <v>20</v>
      </c>
      <c r="B1870">
        <v>31</v>
      </c>
      <c r="C1870">
        <v>21</v>
      </c>
    </row>
    <row r="1871" spans="1:4" hidden="1" x14ac:dyDescent="0.25">
      <c r="A1871" t="s">
        <v>20</v>
      </c>
      <c r="B1871">
        <v>31</v>
      </c>
      <c r="C1871">
        <v>22</v>
      </c>
    </row>
    <row r="1872" spans="1:4" hidden="1" x14ac:dyDescent="0.25">
      <c r="A1872" t="s">
        <v>20</v>
      </c>
      <c r="B1872">
        <v>31</v>
      </c>
      <c r="C1872">
        <v>23</v>
      </c>
    </row>
    <row r="1873" spans="1:4" hidden="1" x14ac:dyDescent="0.25">
      <c r="A1873" t="s">
        <v>20</v>
      </c>
      <c r="B1873">
        <v>31</v>
      </c>
      <c r="C1873">
        <v>24</v>
      </c>
    </row>
    <row r="1874" spans="1:4" hidden="1" x14ac:dyDescent="0.25">
      <c r="A1874" t="s">
        <v>20</v>
      </c>
      <c r="B1874">
        <v>31</v>
      </c>
      <c r="C1874">
        <v>25</v>
      </c>
    </row>
    <row r="1875" spans="1:4" hidden="1" x14ac:dyDescent="0.25">
      <c r="A1875" t="s">
        <v>20</v>
      </c>
      <c r="B1875">
        <v>31</v>
      </c>
      <c r="C1875">
        <v>26</v>
      </c>
      <c r="D1875">
        <v>1</v>
      </c>
    </row>
    <row r="1876" spans="1:4" hidden="1" x14ac:dyDescent="0.25">
      <c r="A1876" t="s">
        <v>20</v>
      </c>
      <c r="B1876">
        <v>31</v>
      </c>
      <c r="C1876">
        <v>27</v>
      </c>
    </row>
    <row r="1877" spans="1:4" hidden="1" x14ac:dyDescent="0.25">
      <c r="A1877" t="s">
        <v>20</v>
      </c>
      <c r="B1877">
        <v>31</v>
      </c>
      <c r="C1877">
        <v>28</v>
      </c>
    </row>
    <row r="1878" spans="1:4" hidden="1" x14ac:dyDescent="0.25">
      <c r="A1878" t="s">
        <v>20</v>
      </c>
      <c r="B1878">
        <v>31</v>
      </c>
      <c r="C1878">
        <v>29</v>
      </c>
    </row>
    <row r="1879" spans="1:4" hidden="1" x14ac:dyDescent="0.25">
      <c r="A1879" t="s">
        <v>20</v>
      </c>
      <c r="B1879">
        <v>31</v>
      </c>
      <c r="C1879">
        <v>30</v>
      </c>
    </row>
    <row r="1880" spans="1:4" hidden="1" x14ac:dyDescent="0.25">
      <c r="A1880" t="s">
        <v>20</v>
      </c>
      <c r="B1880">
        <v>31</v>
      </c>
      <c r="C1880">
        <v>31</v>
      </c>
    </row>
    <row r="1881" spans="1:4" hidden="1" x14ac:dyDescent="0.25">
      <c r="A1881" t="s">
        <v>20</v>
      </c>
      <c r="B1881">
        <v>31</v>
      </c>
      <c r="C1881">
        <v>32</v>
      </c>
      <c r="D1881">
        <v>1</v>
      </c>
    </row>
    <row r="1882" spans="1:4" hidden="1" x14ac:dyDescent="0.25">
      <c r="A1882" t="s">
        <v>20</v>
      </c>
      <c r="B1882">
        <v>31</v>
      </c>
      <c r="C1882">
        <v>33</v>
      </c>
    </row>
    <row r="1883" spans="1:4" hidden="1" x14ac:dyDescent="0.25">
      <c r="A1883" t="s">
        <v>20</v>
      </c>
      <c r="B1883">
        <v>31</v>
      </c>
      <c r="C1883">
        <v>34</v>
      </c>
    </row>
    <row r="1884" spans="1:4" hidden="1" x14ac:dyDescent="0.25">
      <c r="A1884" t="s">
        <v>20</v>
      </c>
      <c r="B1884">
        <v>31</v>
      </c>
      <c r="C1884">
        <v>35</v>
      </c>
      <c r="D1884">
        <v>1</v>
      </c>
    </row>
    <row r="1885" spans="1:4" hidden="1" x14ac:dyDescent="0.25">
      <c r="A1885" t="s">
        <v>20</v>
      </c>
      <c r="B1885">
        <v>31</v>
      </c>
      <c r="C1885">
        <v>36</v>
      </c>
    </row>
    <row r="1886" spans="1:4" hidden="1" x14ac:dyDescent="0.25">
      <c r="A1886" t="s">
        <v>20</v>
      </c>
      <c r="B1886">
        <v>31</v>
      </c>
      <c r="C1886">
        <v>37</v>
      </c>
    </row>
    <row r="1887" spans="1:4" hidden="1" x14ac:dyDescent="0.25">
      <c r="A1887" t="s">
        <v>20</v>
      </c>
      <c r="B1887">
        <v>31</v>
      </c>
      <c r="C1887">
        <v>38</v>
      </c>
    </row>
    <row r="1888" spans="1:4" hidden="1" x14ac:dyDescent="0.25">
      <c r="A1888" t="s">
        <v>20</v>
      </c>
      <c r="B1888">
        <v>31</v>
      </c>
      <c r="C1888">
        <v>39</v>
      </c>
    </row>
    <row r="1889" spans="1:4" hidden="1" x14ac:dyDescent="0.25">
      <c r="A1889" t="s">
        <v>20</v>
      </c>
      <c r="B1889">
        <v>31</v>
      </c>
      <c r="C1889">
        <v>40</v>
      </c>
    </row>
    <row r="1890" spans="1:4" hidden="1" x14ac:dyDescent="0.25">
      <c r="A1890" t="s">
        <v>20</v>
      </c>
      <c r="B1890">
        <v>31</v>
      </c>
      <c r="C1890">
        <v>41</v>
      </c>
    </row>
    <row r="1891" spans="1:4" hidden="1" x14ac:dyDescent="0.25">
      <c r="A1891" t="s">
        <v>20</v>
      </c>
      <c r="B1891">
        <v>31</v>
      </c>
      <c r="C1891">
        <v>42</v>
      </c>
    </row>
    <row r="1892" spans="1:4" hidden="1" x14ac:dyDescent="0.25">
      <c r="A1892" t="s">
        <v>20</v>
      </c>
      <c r="B1892">
        <v>31</v>
      </c>
      <c r="C1892">
        <v>43</v>
      </c>
    </row>
    <row r="1893" spans="1:4" hidden="1" x14ac:dyDescent="0.25">
      <c r="A1893" t="s">
        <v>20</v>
      </c>
      <c r="B1893">
        <v>31</v>
      </c>
      <c r="C1893">
        <v>44</v>
      </c>
      <c r="D1893">
        <v>1</v>
      </c>
    </row>
    <row r="1894" spans="1:4" hidden="1" x14ac:dyDescent="0.25">
      <c r="A1894" t="s">
        <v>20</v>
      </c>
      <c r="B1894">
        <v>31</v>
      </c>
      <c r="C1894">
        <v>45</v>
      </c>
    </row>
    <row r="1895" spans="1:4" hidden="1" x14ac:dyDescent="0.25">
      <c r="A1895" t="s">
        <v>20</v>
      </c>
      <c r="B1895">
        <v>31</v>
      </c>
      <c r="C1895">
        <v>46</v>
      </c>
    </row>
    <row r="1896" spans="1:4" hidden="1" x14ac:dyDescent="0.25">
      <c r="A1896" t="s">
        <v>20</v>
      </c>
      <c r="B1896">
        <v>31</v>
      </c>
      <c r="C1896">
        <v>47</v>
      </c>
      <c r="D1896">
        <v>1</v>
      </c>
    </row>
    <row r="1897" spans="1:4" hidden="1" x14ac:dyDescent="0.25">
      <c r="A1897" t="s">
        <v>20</v>
      </c>
      <c r="B1897">
        <v>31</v>
      </c>
      <c r="C1897">
        <v>48</v>
      </c>
    </row>
    <row r="1898" spans="1:4" hidden="1" x14ac:dyDescent="0.25">
      <c r="A1898" t="s">
        <v>20</v>
      </c>
      <c r="B1898">
        <v>31</v>
      </c>
      <c r="C1898">
        <v>49</v>
      </c>
    </row>
    <row r="1899" spans="1:4" hidden="1" x14ac:dyDescent="0.25">
      <c r="A1899" t="s">
        <v>20</v>
      </c>
      <c r="B1899">
        <v>31</v>
      </c>
      <c r="C1899">
        <v>50</v>
      </c>
      <c r="D1899">
        <v>1</v>
      </c>
    </row>
    <row r="1900" spans="1:4" hidden="1" x14ac:dyDescent="0.25">
      <c r="A1900" t="s">
        <v>20</v>
      </c>
      <c r="B1900">
        <v>31</v>
      </c>
      <c r="C1900">
        <v>51</v>
      </c>
    </row>
    <row r="1901" spans="1:4" hidden="1" x14ac:dyDescent="0.25">
      <c r="A1901" t="s">
        <v>20</v>
      </c>
      <c r="B1901">
        <v>31</v>
      </c>
      <c r="C1901">
        <v>52</v>
      </c>
    </row>
    <row r="1902" spans="1:4" hidden="1" x14ac:dyDescent="0.25">
      <c r="A1902" t="s">
        <v>20</v>
      </c>
      <c r="B1902">
        <v>31</v>
      </c>
      <c r="C1902">
        <v>53</v>
      </c>
      <c r="D1902">
        <v>1</v>
      </c>
    </row>
    <row r="1903" spans="1:4" hidden="1" x14ac:dyDescent="0.25">
      <c r="A1903" t="s">
        <v>20</v>
      </c>
      <c r="B1903">
        <v>31</v>
      </c>
      <c r="C1903">
        <v>54</v>
      </c>
    </row>
    <row r="1904" spans="1:4" hidden="1" x14ac:dyDescent="0.25">
      <c r="A1904" t="s">
        <v>20</v>
      </c>
      <c r="B1904">
        <v>31</v>
      </c>
      <c r="C1904">
        <v>55</v>
      </c>
    </row>
    <row r="1905" spans="1:4" hidden="1" x14ac:dyDescent="0.25">
      <c r="A1905" t="s">
        <v>20</v>
      </c>
      <c r="B1905">
        <v>31</v>
      </c>
      <c r="C1905">
        <v>56</v>
      </c>
      <c r="D1905">
        <v>1</v>
      </c>
    </row>
    <row r="1906" spans="1:4" hidden="1" x14ac:dyDescent="0.25">
      <c r="A1906" t="s">
        <v>20</v>
      </c>
      <c r="B1906">
        <v>31</v>
      </c>
      <c r="C1906">
        <v>57</v>
      </c>
    </row>
    <row r="1907" spans="1:4" hidden="1" x14ac:dyDescent="0.25">
      <c r="A1907" t="s">
        <v>20</v>
      </c>
      <c r="B1907">
        <v>31</v>
      </c>
      <c r="C1907">
        <v>58</v>
      </c>
    </row>
    <row r="1908" spans="1:4" hidden="1" x14ac:dyDescent="0.25">
      <c r="A1908" t="s">
        <v>20</v>
      </c>
      <c r="B1908">
        <v>31</v>
      </c>
      <c r="C1908">
        <v>59</v>
      </c>
    </row>
    <row r="1909" spans="1:4" hidden="1" x14ac:dyDescent="0.25">
      <c r="A1909" t="s">
        <v>20</v>
      </c>
      <c r="B1909">
        <v>31</v>
      </c>
      <c r="C1909">
        <v>60</v>
      </c>
    </row>
    <row r="1910" spans="1:4" hidden="1" x14ac:dyDescent="0.25">
      <c r="A1910" t="s">
        <v>20</v>
      </c>
      <c r="B1910">
        <v>31</v>
      </c>
      <c r="C1910">
        <v>61</v>
      </c>
    </row>
    <row r="1911" spans="1:4" hidden="1" x14ac:dyDescent="0.25">
      <c r="A1911" t="s">
        <v>20</v>
      </c>
      <c r="B1911">
        <v>31</v>
      </c>
      <c r="C1911">
        <v>62</v>
      </c>
      <c r="D1911">
        <v>1</v>
      </c>
    </row>
    <row r="1912" spans="1:4" hidden="1" x14ac:dyDescent="0.25">
      <c r="A1912" t="s">
        <v>20</v>
      </c>
      <c r="B1912">
        <v>31</v>
      </c>
      <c r="C1912">
        <v>63</v>
      </c>
    </row>
    <row r="1913" spans="1:4" hidden="1" x14ac:dyDescent="0.25">
      <c r="A1913" t="s">
        <v>20</v>
      </c>
      <c r="B1913">
        <v>31</v>
      </c>
      <c r="C1913">
        <v>64</v>
      </c>
    </row>
    <row r="1914" spans="1:4" hidden="1" x14ac:dyDescent="0.25">
      <c r="A1914" t="s">
        <v>20</v>
      </c>
      <c r="B1914">
        <v>31</v>
      </c>
      <c r="C1914">
        <v>65</v>
      </c>
    </row>
    <row r="1915" spans="1:4" hidden="1" x14ac:dyDescent="0.25">
      <c r="A1915" t="s">
        <v>20</v>
      </c>
      <c r="B1915">
        <v>31</v>
      </c>
      <c r="C1915">
        <v>66</v>
      </c>
    </row>
    <row r="1916" spans="1:4" hidden="1" x14ac:dyDescent="0.25">
      <c r="A1916" t="s">
        <v>20</v>
      </c>
      <c r="B1916">
        <v>31</v>
      </c>
      <c r="C1916">
        <v>67</v>
      </c>
    </row>
    <row r="1917" spans="1:4" hidden="1" x14ac:dyDescent="0.25">
      <c r="A1917" t="s">
        <v>20</v>
      </c>
      <c r="B1917">
        <v>31</v>
      </c>
      <c r="C1917">
        <v>68</v>
      </c>
      <c r="D1917">
        <v>1</v>
      </c>
    </row>
    <row r="1918" spans="1:4" hidden="1" x14ac:dyDescent="0.25">
      <c r="A1918" t="s">
        <v>20</v>
      </c>
      <c r="B1918">
        <v>31</v>
      </c>
      <c r="C1918">
        <v>69</v>
      </c>
    </row>
    <row r="1919" spans="1:4" hidden="1" x14ac:dyDescent="0.25">
      <c r="A1919" t="s">
        <v>20</v>
      </c>
      <c r="B1919">
        <v>31</v>
      </c>
      <c r="C1919">
        <v>70</v>
      </c>
    </row>
    <row r="1920" spans="1:4" hidden="1" x14ac:dyDescent="0.25">
      <c r="A1920" t="s">
        <v>20</v>
      </c>
      <c r="B1920">
        <v>31</v>
      </c>
      <c r="C1920">
        <v>71</v>
      </c>
    </row>
    <row r="1921" spans="1:6" hidden="1" x14ac:dyDescent="0.25">
      <c r="A1921" t="s">
        <v>20</v>
      </c>
      <c r="B1921">
        <v>31</v>
      </c>
      <c r="C1921">
        <v>72</v>
      </c>
    </row>
    <row r="1922" spans="1:6" hidden="1" x14ac:dyDescent="0.25">
      <c r="A1922" t="s">
        <v>20</v>
      </c>
      <c r="B1922">
        <v>31</v>
      </c>
      <c r="C1922">
        <v>73</v>
      </c>
    </row>
    <row r="1923" spans="1:6" hidden="1" x14ac:dyDescent="0.25">
      <c r="A1923" t="s">
        <v>20</v>
      </c>
      <c r="B1923">
        <v>31</v>
      </c>
      <c r="C1923">
        <v>74</v>
      </c>
      <c r="D1923">
        <v>1</v>
      </c>
    </row>
    <row r="1924" spans="1:6" hidden="1" x14ac:dyDescent="0.25">
      <c r="A1924" t="s">
        <v>20</v>
      </c>
      <c r="B1924">
        <v>31</v>
      </c>
      <c r="C1924">
        <v>75</v>
      </c>
    </row>
    <row r="1925" spans="1:6" hidden="1" x14ac:dyDescent="0.25">
      <c r="A1925" t="s">
        <v>20</v>
      </c>
      <c r="B1925">
        <v>31</v>
      </c>
      <c r="C1925">
        <v>76</v>
      </c>
    </row>
    <row r="1926" spans="1:6" hidden="1" x14ac:dyDescent="0.25">
      <c r="A1926" t="s">
        <v>20</v>
      </c>
      <c r="B1926">
        <v>31</v>
      </c>
      <c r="C1926">
        <v>77</v>
      </c>
      <c r="D1926">
        <v>1</v>
      </c>
    </row>
    <row r="1927" spans="1:6" hidden="1" x14ac:dyDescent="0.25">
      <c r="A1927" t="s">
        <v>20</v>
      </c>
      <c r="B1927">
        <v>31</v>
      </c>
      <c r="C1927">
        <v>78</v>
      </c>
    </row>
    <row r="1928" spans="1:6" hidden="1" x14ac:dyDescent="0.25">
      <c r="A1928" t="s">
        <v>20</v>
      </c>
      <c r="B1928">
        <v>31</v>
      </c>
      <c r="C1928">
        <v>79</v>
      </c>
    </row>
    <row r="1929" spans="1:6" hidden="1" x14ac:dyDescent="0.25">
      <c r="A1929" t="s">
        <v>20</v>
      </c>
      <c r="B1929">
        <v>31</v>
      </c>
      <c r="C1929">
        <v>80</v>
      </c>
    </row>
    <row r="1930" spans="1:6" hidden="1" x14ac:dyDescent="0.25">
      <c r="A1930" t="s">
        <v>20</v>
      </c>
      <c r="B1930">
        <v>31</v>
      </c>
      <c r="C1930">
        <v>81</v>
      </c>
    </row>
    <row r="1931" spans="1:6" hidden="1" x14ac:dyDescent="0.25">
      <c r="A1931" t="s">
        <v>20</v>
      </c>
      <c r="B1931">
        <v>31</v>
      </c>
      <c r="C1931">
        <v>82</v>
      </c>
    </row>
    <row r="1932" spans="1:6" hidden="1" x14ac:dyDescent="0.25">
      <c r="A1932" t="s">
        <v>20</v>
      </c>
      <c r="B1932">
        <v>31</v>
      </c>
      <c r="C1932">
        <v>83</v>
      </c>
    </row>
    <row r="1933" spans="1:6" hidden="1" x14ac:dyDescent="0.25">
      <c r="A1933" t="s">
        <v>20</v>
      </c>
      <c r="B1933">
        <v>31</v>
      </c>
      <c r="C1933">
        <v>84</v>
      </c>
    </row>
    <row r="1934" spans="1:6" hidden="1" x14ac:dyDescent="0.25">
      <c r="A1934" t="s">
        <v>20</v>
      </c>
      <c r="B1934">
        <v>32</v>
      </c>
      <c r="C1934">
        <v>1</v>
      </c>
      <c r="E1934">
        <v>74</v>
      </c>
      <c r="F1934">
        <v>7</v>
      </c>
    </row>
    <row r="1935" spans="1:6" hidden="1" x14ac:dyDescent="0.25">
      <c r="A1935" t="s">
        <v>20</v>
      </c>
      <c r="B1935">
        <v>32</v>
      </c>
      <c r="C1935">
        <v>2</v>
      </c>
      <c r="E1935">
        <v>74</v>
      </c>
      <c r="F1935">
        <v>7</v>
      </c>
    </row>
    <row r="1936" spans="1:6" hidden="1" x14ac:dyDescent="0.25">
      <c r="A1936" t="s">
        <v>20</v>
      </c>
      <c r="B1936">
        <v>32</v>
      </c>
      <c r="C1936">
        <v>3</v>
      </c>
      <c r="E1936">
        <v>74</v>
      </c>
      <c r="F1936">
        <v>7</v>
      </c>
    </row>
    <row r="1937" spans="1:6" hidden="1" x14ac:dyDescent="0.25">
      <c r="A1937" t="s">
        <v>20</v>
      </c>
      <c r="B1937">
        <v>32</v>
      </c>
      <c r="C1937">
        <v>4</v>
      </c>
      <c r="E1937">
        <v>74</v>
      </c>
      <c r="F1937">
        <v>7</v>
      </c>
    </row>
    <row r="1938" spans="1:6" hidden="1" x14ac:dyDescent="0.25">
      <c r="A1938" t="s">
        <v>20</v>
      </c>
      <c r="B1938">
        <v>32</v>
      </c>
      <c r="C1938">
        <v>5</v>
      </c>
      <c r="E1938">
        <v>74</v>
      </c>
      <c r="F1938">
        <v>7</v>
      </c>
    </row>
    <row r="1939" spans="1:6" hidden="1" x14ac:dyDescent="0.25">
      <c r="A1939" t="s">
        <v>20</v>
      </c>
      <c r="B1939">
        <v>32</v>
      </c>
      <c r="C1939">
        <v>6</v>
      </c>
      <c r="E1939">
        <v>74</v>
      </c>
      <c r="F1939">
        <v>7</v>
      </c>
    </row>
    <row r="1940" spans="1:6" hidden="1" x14ac:dyDescent="0.25">
      <c r="A1940" t="s">
        <v>20</v>
      </c>
      <c r="B1940">
        <v>32</v>
      </c>
      <c r="C1940">
        <v>7</v>
      </c>
      <c r="E1940">
        <v>74</v>
      </c>
      <c r="F1940">
        <v>7</v>
      </c>
    </row>
    <row r="1941" spans="1:6" hidden="1" x14ac:dyDescent="0.25">
      <c r="A1941" t="s">
        <v>20</v>
      </c>
      <c r="B1941">
        <v>32</v>
      </c>
      <c r="C1941">
        <v>8</v>
      </c>
      <c r="E1941">
        <v>74</v>
      </c>
      <c r="F1941">
        <v>7</v>
      </c>
    </row>
    <row r="1942" spans="1:6" hidden="1" x14ac:dyDescent="0.25">
      <c r="A1942" t="s">
        <v>20</v>
      </c>
      <c r="B1942">
        <v>32</v>
      </c>
      <c r="C1942">
        <v>9</v>
      </c>
      <c r="E1942">
        <v>74</v>
      </c>
      <c r="F1942">
        <v>7</v>
      </c>
    </row>
    <row r="1943" spans="1:6" hidden="1" x14ac:dyDescent="0.25">
      <c r="A1943" t="s">
        <v>20</v>
      </c>
      <c r="B1943">
        <v>32</v>
      </c>
      <c r="C1943">
        <v>10</v>
      </c>
      <c r="E1943">
        <v>74</v>
      </c>
      <c r="F1943">
        <v>7</v>
      </c>
    </row>
    <row r="1944" spans="1:6" hidden="1" x14ac:dyDescent="0.25">
      <c r="A1944" t="s">
        <v>20</v>
      </c>
      <c r="B1944">
        <v>32</v>
      </c>
      <c r="C1944">
        <v>11</v>
      </c>
      <c r="E1944">
        <v>74</v>
      </c>
      <c r="F1944">
        <v>7</v>
      </c>
    </row>
    <row r="1945" spans="1:6" hidden="1" x14ac:dyDescent="0.25">
      <c r="A1945" t="s">
        <v>20</v>
      </c>
      <c r="B1945">
        <v>32</v>
      </c>
      <c r="C1945">
        <v>12</v>
      </c>
      <c r="E1945">
        <v>74</v>
      </c>
      <c r="F1945">
        <v>7</v>
      </c>
    </row>
    <row r="1946" spans="1:6" hidden="1" x14ac:dyDescent="0.25">
      <c r="A1946" t="s">
        <v>20</v>
      </c>
      <c r="B1946">
        <v>32</v>
      </c>
      <c r="C1946">
        <v>13</v>
      </c>
      <c r="D1946">
        <v>1</v>
      </c>
      <c r="E1946">
        <v>74</v>
      </c>
      <c r="F1946">
        <v>7</v>
      </c>
    </row>
    <row r="1947" spans="1:6" hidden="1" x14ac:dyDescent="0.25">
      <c r="A1947" t="s">
        <v>20</v>
      </c>
      <c r="B1947">
        <v>32</v>
      </c>
      <c r="C1947">
        <v>14</v>
      </c>
      <c r="E1947">
        <v>74</v>
      </c>
      <c r="F1947">
        <v>7</v>
      </c>
    </row>
    <row r="1948" spans="1:6" hidden="1" x14ac:dyDescent="0.25">
      <c r="A1948" t="s">
        <v>20</v>
      </c>
      <c r="B1948">
        <v>32</v>
      </c>
      <c r="C1948">
        <v>15</v>
      </c>
      <c r="E1948">
        <v>74</v>
      </c>
      <c r="F1948">
        <v>7</v>
      </c>
    </row>
    <row r="1949" spans="1:6" hidden="1" x14ac:dyDescent="0.25">
      <c r="A1949" t="s">
        <v>20</v>
      </c>
      <c r="B1949">
        <v>32</v>
      </c>
      <c r="C1949">
        <v>16</v>
      </c>
      <c r="E1949">
        <v>74</v>
      </c>
      <c r="F1949">
        <v>7</v>
      </c>
    </row>
    <row r="1950" spans="1:6" hidden="1" x14ac:dyDescent="0.25">
      <c r="A1950" t="s">
        <v>20</v>
      </c>
      <c r="B1950">
        <v>32</v>
      </c>
      <c r="C1950">
        <v>17</v>
      </c>
      <c r="E1950">
        <v>74</v>
      </c>
      <c r="F1950">
        <v>7</v>
      </c>
    </row>
    <row r="1951" spans="1:6" hidden="1" x14ac:dyDescent="0.25">
      <c r="A1951" t="s">
        <v>20</v>
      </c>
      <c r="B1951">
        <v>32</v>
      </c>
      <c r="C1951">
        <v>18</v>
      </c>
      <c r="E1951">
        <v>74</v>
      </c>
      <c r="F1951">
        <v>7</v>
      </c>
    </row>
    <row r="1952" spans="1:6" hidden="1" x14ac:dyDescent="0.25">
      <c r="A1952" t="s">
        <v>20</v>
      </c>
      <c r="B1952">
        <v>32</v>
      </c>
      <c r="C1952">
        <v>19</v>
      </c>
      <c r="E1952">
        <v>74</v>
      </c>
      <c r="F1952">
        <v>7</v>
      </c>
    </row>
    <row r="1953" spans="1:6" hidden="1" x14ac:dyDescent="0.25">
      <c r="A1953" t="s">
        <v>20</v>
      </c>
      <c r="B1953">
        <v>32</v>
      </c>
      <c r="C1953">
        <v>20</v>
      </c>
      <c r="E1953">
        <v>74</v>
      </c>
      <c r="F1953">
        <v>7</v>
      </c>
    </row>
    <row r="1954" spans="1:6" hidden="1" x14ac:dyDescent="0.25">
      <c r="A1954" t="s">
        <v>20</v>
      </c>
      <c r="B1954">
        <v>32</v>
      </c>
      <c r="C1954">
        <v>21</v>
      </c>
      <c r="E1954">
        <v>74</v>
      </c>
      <c r="F1954">
        <v>7</v>
      </c>
    </row>
    <row r="1955" spans="1:6" hidden="1" x14ac:dyDescent="0.25">
      <c r="A1955" t="s">
        <v>20</v>
      </c>
      <c r="B1955">
        <v>32</v>
      </c>
      <c r="C1955">
        <v>22</v>
      </c>
      <c r="E1955">
        <v>74</v>
      </c>
      <c r="F1955">
        <v>7</v>
      </c>
    </row>
    <row r="1956" spans="1:6" hidden="1" x14ac:dyDescent="0.25">
      <c r="A1956" t="s">
        <v>20</v>
      </c>
      <c r="B1956">
        <v>32</v>
      </c>
      <c r="C1956">
        <v>23</v>
      </c>
      <c r="E1956">
        <v>74</v>
      </c>
      <c r="F1956">
        <v>7</v>
      </c>
    </row>
    <row r="1957" spans="1:6" hidden="1" x14ac:dyDescent="0.25">
      <c r="A1957" t="s">
        <v>20</v>
      </c>
      <c r="B1957">
        <v>32</v>
      </c>
      <c r="C1957">
        <v>24</v>
      </c>
      <c r="E1957">
        <v>74</v>
      </c>
      <c r="F1957">
        <v>7</v>
      </c>
    </row>
    <row r="1958" spans="1:6" hidden="1" x14ac:dyDescent="0.25">
      <c r="A1958" t="s">
        <v>20</v>
      </c>
      <c r="B1958">
        <v>32</v>
      </c>
      <c r="C1958">
        <v>25</v>
      </c>
      <c r="D1958">
        <v>1</v>
      </c>
      <c r="E1958">
        <v>74</v>
      </c>
      <c r="F1958">
        <v>7</v>
      </c>
    </row>
    <row r="1959" spans="1:6" hidden="1" x14ac:dyDescent="0.25">
      <c r="A1959" t="s">
        <v>20</v>
      </c>
      <c r="B1959">
        <v>32</v>
      </c>
      <c r="C1959">
        <v>26</v>
      </c>
      <c r="E1959">
        <v>74</v>
      </c>
      <c r="F1959">
        <v>7</v>
      </c>
    </row>
    <row r="1960" spans="1:6" hidden="1" x14ac:dyDescent="0.25">
      <c r="A1960" t="s">
        <v>20</v>
      </c>
      <c r="B1960">
        <v>32</v>
      </c>
      <c r="C1960">
        <v>27</v>
      </c>
      <c r="E1960">
        <v>74</v>
      </c>
      <c r="F1960">
        <v>7</v>
      </c>
    </row>
    <row r="1961" spans="1:6" hidden="1" x14ac:dyDescent="0.25">
      <c r="A1961" t="s">
        <v>20</v>
      </c>
      <c r="B1961">
        <v>32</v>
      </c>
      <c r="C1961">
        <v>28</v>
      </c>
      <c r="D1961">
        <v>1</v>
      </c>
      <c r="E1961">
        <v>74</v>
      </c>
      <c r="F1961">
        <v>7</v>
      </c>
    </row>
    <row r="1962" spans="1:6" hidden="1" x14ac:dyDescent="0.25">
      <c r="A1962" t="s">
        <v>20</v>
      </c>
      <c r="B1962">
        <v>32</v>
      </c>
      <c r="C1962">
        <v>29</v>
      </c>
      <c r="E1962">
        <v>74</v>
      </c>
      <c r="F1962">
        <v>7</v>
      </c>
    </row>
    <row r="1963" spans="1:6" hidden="1" x14ac:dyDescent="0.25">
      <c r="A1963" t="s">
        <v>20</v>
      </c>
      <c r="B1963">
        <v>32</v>
      </c>
      <c r="C1963">
        <v>30</v>
      </c>
      <c r="E1963">
        <v>74</v>
      </c>
      <c r="F1963">
        <v>7</v>
      </c>
    </row>
    <row r="1964" spans="1:6" hidden="1" x14ac:dyDescent="0.25">
      <c r="A1964" t="s">
        <v>20</v>
      </c>
      <c r="B1964">
        <v>32</v>
      </c>
      <c r="C1964">
        <v>31</v>
      </c>
      <c r="E1964">
        <v>74</v>
      </c>
      <c r="F1964">
        <v>7</v>
      </c>
    </row>
    <row r="1965" spans="1:6" hidden="1" x14ac:dyDescent="0.25">
      <c r="A1965" t="s">
        <v>20</v>
      </c>
      <c r="B1965">
        <v>32</v>
      </c>
      <c r="C1965">
        <v>32</v>
      </c>
      <c r="E1965">
        <v>74</v>
      </c>
      <c r="F1965">
        <v>7</v>
      </c>
    </row>
    <row r="1966" spans="1:6" hidden="1" x14ac:dyDescent="0.25">
      <c r="A1966" t="s">
        <v>20</v>
      </c>
      <c r="B1966">
        <v>32</v>
      </c>
      <c r="C1966">
        <v>33</v>
      </c>
      <c r="E1966">
        <v>74</v>
      </c>
      <c r="F1966">
        <v>7</v>
      </c>
    </row>
    <row r="1967" spans="1:6" hidden="1" x14ac:dyDescent="0.25">
      <c r="A1967" t="s">
        <v>20</v>
      </c>
      <c r="B1967">
        <v>32</v>
      </c>
      <c r="C1967">
        <v>34</v>
      </c>
      <c r="E1967">
        <v>74</v>
      </c>
      <c r="F1967">
        <v>7</v>
      </c>
    </row>
    <row r="1968" spans="1:6" hidden="1" x14ac:dyDescent="0.25">
      <c r="A1968" t="s">
        <v>20</v>
      </c>
      <c r="B1968">
        <v>32</v>
      </c>
      <c r="C1968">
        <v>35</v>
      </c>
      <c r="E1968">
        <v>74</v>
      </c>
      <c r="F1968">
        <v>7</v>
      </c>
    </row>
    <row r="1969" spans="1:6" hidden="1" x14ac:dyDescent="0.25">
      <c r="A1969" t="s">
        <v>20</v>
      </c>
      <c r="B1969">
        <v>32</v>
      </c>
      <c r="C1969">
        <v>36</v>
      </c>
      <c r="E1969">
        <v>74</v>
      </c>
      <c r="F1969">
        <v>7</v>
      </c>
    </row>
    <row r="1970" spans="1:6" hidden="1" x14ac:dyDescent="0.25">
      <c r="A1970" t="s">
        <v>20</v>
      </c>
      <c r="B1970">
        <v>32</v>
      </c>
      <c r="C1970">
        <v>37</v>
      </c>
      <c r="E1970">
        <v>74</v>
      </c>
      <c r="F1970">
        <v>7</v>
      </c>
    </row>
    <row r="1971" spans="1:6" hidden="1" x14ac:dyDescent="0.25">
      <c r="A1971" t="s">
        <v>20</v>
      </c>
      <c r="B1971">
        <v>32</v>
      </c>
      <c r="C1971">
        <v>38</v>
      </c>
      <c r="E1971">
        <v>74</v>
      </c>
      <c r="F1971">
        <v>7</v>
      </c>
    </row>
    <row r="1972" spans="1:6" hidden="1" x14ac:dyDescent="0.25">
      <c r="A1972" t="s">
        <v>20</v>
      </c>
      <c r="B1972">
        <v>32</v>
      </c>
      <c r="C1972">
        <v>39</v>
      </c>
      <c r="E1972">
        <v>74</v>
      </c>
      <c r="F1972">
        <v>7</v>
      </c>
    </row>
    <row r="1973" spans="1:6" hidden="1" x14ac:dyDescent="0.25">
      <c r="A1973" t="s">
        <v>20</v>
      </c>
      <c r="B1973">
        <v>32</v>
      </c>
      <c r="C1973">
        <v>40</v>
      </c>
      <c r="E1973">
        <v>74</v>
      </c>
      <c r="F1973">
        <v>7</v>
      </c>
    </row>
    <row r="1974" spans="1:6" hidden="1" x14ac:dyDescent="0.25">
      <c r="A1974" t="s">
        <v>20</v>
      </c>
      <c r="B1974">
        <v>32</v>
      </c>
      <c r="C1974">
        <v>41</v>
      </c>
      <c r="E1974">
        <v>74</v>
      </c>
      <c r="F1974">
        <v>7</v>
      </c>
    </row>
    <row r="1975" spans="1:6" hidden="1" x14ac:dyDescent="0.25">
      <c r="A1975" t="s">
        <v>20</v>
      </c>
      <c r="B1975">
        <v>32</v>
      </c>
      <c r="C1975">
        <v>42</v>
      </c>
      <c r="E1975">
        <v>74</v>
      </c>
      <c r="F1975">
        <v>7</v>
      </c>
    </row>
    <row r="1976" spans="1:6" hidden="1" x14ac:dyDescent="0.25">
      <c r="A1976" t="s">
        <v>20</v>
      </c>
      <c r="B1976">
        <v>32</v>
      </c>
      <c r="C1976">
        <v>43</v>
      </c>
      <c r="E1976">
        <v>74</v>
      </c>
      <c r="F1976">
        <v>7</v>
      </c>
    </row>
    <row r="1977" spans="1:6" hidden="1" x14ac:dyDescent="0.25">
      <c r="A1977" t="s">
        <v>20</v>
      </c>
      <c r="B1977">
        <v>32</v>
      </c>
      <c r="C1977">
        <v>44</v>
      </c>
      <c r="E1977">
        <v>74</v>
      </c>
      <c r="F1977">
        <v>7</v>
      </c>
    </row>
    <row r="1978" spans="1:6" hidden="1" x14ac:dyDescent="0.25">
      <c r="A1978" t="s">
        <v>20</v>
      </c>
      <c r="B1978">
        <v>32</v>
      </c>
      <c r="C1978">
        <v>45</v>
      </c>
      <c r="E1978">
        <v>74</v>
      </c>
      <c r="F1978">
        <v>7</v>
      </c>
    </row>
    <row r="1979" spans="1:6" hidden="1" x14ac:dyDescent="0.25">
      <c r="A1979" t="s">
        <v>20</v>
      </c>
      <c r="B1979">
        <v>32</v>
      </c>
      <c r="C1979">
        <v>46</v>
      </c>
      <c r="E1979">
        <v>74</v>
      </c>
      <c r="F1979">
        <v>7</v>
      </c>
    </row>
    <row r="1980" spans="1:6" hidden="1" x14ac:dyDescent="0.25">
      <c r="A1980" t="s">
        <v>20</v>
      </c>
      <c r="B1980">
        <v>32</v>
      </c>
      <c r="C1980">
        <v>47</v>
      </c>
      <c r="E1980">
        <v>74</v>
      </c>
      <c r="F1980">
        <v>7</v>
      </c>
    </row>
    <row r="1981" spans="1:6" hidden="1" x14ac:dyDescent="0.25">
      <c r="A1981" t="s">
        <v>20</v>
      </c>
      <c r="B1981">
        <v>32</v>
      </c>
      <c r="C1981">
        <v>48</v>
      </c>
      <c r="E1981">
        <v>74</v>
      </c>
      <c r="F1981">
        <v>7</v>
      </c>
    </row>
    <row r="1982" spans="1:6" hidden="1" x14ac:dyDescent="0.25">
      <c r="A1982" t="s">
        <v>20</v>
      </c>
      <c r="B1982">
        <v>32</v>
      </c>
      <c r="C1982">
        <v>49</v>
      </c>
      <c r="D1982">
        <v>1</v>
      </c>
      <c r="E1982">
        <v>74</v>
      </c>
      <c r="F1982">
        <v>7</v>
      </c>
    </row>
    <row r="1983" spans="1:6" hidden="1" x14ac:dyDescent="0.25">
      <c r="A1983" t="s">
        <v>20</v>
      </c>
      <c r="B1983">
        <v>32</v>
      </c>
      <c r="C1983">
        <v>50</v>
      </c>
      <c r="E1983">
        <v>74</v>
      </c>
      <c r="F1983">
        <v>7</v>
      </c>
    </row>
    <row r="1984" spans="1:6" hidden="1" x14ac:dyDescent="0.25">
      <c r="A1984" t="s">
        <v>20</v>
      </c>
      <c r="B1984">
        <v>32</v>
      </c>
      <c r="C1984">
        <v>51</v>
      </c>
      <c r="E1984">
        <v>74</v>
      </c>
      <c r="F1984">
        <v>7</v>
      </c>
    </row>
    <row r="1985" spans="1:6" hidden="1" x14ac:dyDescent="0.25">
      <c r="A1985" t="s">
        <v>20</v>
      </c>
      <c r="B1985">
        <v>32</v>
      </c>
      <c r="C1985">
        <v>52</v>
      </c>
      <c r="E1985">
        <v>74</v>
      </c>
      <c r="F1985">
        <v>7</v>
      </c>
    </row>
    <row r="1986" spans="1:6" hidden="1" x14ac:dyDescent="0.25">
      <c r="A1986" t="s">
        <v>20</v>
      </c>
      <c r="B1986">
        <v>32</v>
      </c>
      <c r="C1986">
        <v>53</v>
      </c>
      <c r="E1986">
        <v>74</v>
      </c>
      <c r="F1986">
        <v>7</v>
      </c>
    </row>
    <row r="1987" spans="1:6" hidden="1" x14ac:dyDescent="0.25">
      <c r="A1987" t="s">
        <v>20</v>
      </c>
      <c r="B1987">
        <v>32</v>
      </c>
      <c r="C1987">
        <v>54</v>
      </c>
      <c r="E1987">
        <v>74</v>
      </c>
      <c r="F1987">
        <v>7</v>
      </c>
    </row>
    <row r="1988" spans="1:6" hidden="1" x14ac:dyDescent="0.25">
      <c r="A1988" t="s">
        <v>20</v>
      </c>
      <c r="B1988">
        <v>32</v>
      </c>
      <c r="C1988">
        <v>55</v>
      </c>
      <c r="E1988">
        <v>74</v>
      </c>
      <c r="F1988">
        <v>7</v>
      </c>
    </row>
    <row r="1989" spans="1:6" hidden="1" x14ac:dyDescent="0.25">
      <c r="A1989" t="s">
        <v>20</v>
      </c>
      <c r="B1989">
        <v>32</v>
      </c>
      <c r="C1989">
        <v>56</v>
      </c>
      <c r="E1989">
        <v>74</v>
      </c>
      <c r="F1989">
        <v>7</v>
      </c>
    </row>
    <row r="1990" spans="1:6" hidden="1" x14ac:dyDescent="0.25">
      <c r="A1990" t="s">
        <v>20</v>
      </c>
      <c r="B1990">
        <v>32</v>
      </c>
      <c r="C1990">
        <v>57</v>
      </c>
      <c r="E1990">
        <v>74</v>
      </c>
      <c r="F1990">
        <v>7</v>
      </c>
    </row>
    <row r="1991" spans="1:6" hidden="1" x14ac:dyDescent="0.25">
      <c r="A1991" t="s">
        <v>20</v>
      </c>
      <c r="B1991">
        <v>32</v>
      </c>
      <c r="C1991">
        <v>58</v>
      </c>
      <c r="E1991">
        <v>74</v>
      </c>
      <c r="F1991">
        <v>7</v>
      </c>
    </row>
    <row r="1992" spans="1:6" hidden="1" x14ac:dyDescent="0.25">
      <c r="A1992" t="s">
        <v>20</v>
      </c>
      <c r="B1992">
        <v>32</v>
      </c>
      <c r="C1992">
        <v>59</v>
      </c>
      <c r="E1992">
        <v>74</v>
      </c>
      <c r="F1992">
        <v>7</v>
      </c>
    </row>
    <row r="1993" spans="1:6" hidden="1" x14ac:dyDescent="0.25">
      <c r="A1993" t="s">
        <v>20</v>
      </c>
      <c r="B1993">
        <v>32</v>
      </c>
      <c r="C1993">
        <v>60</v>
      </c>
      <c r="E1993">
        <v>74</v>
      </c>
      <c r="F1993">
        <v>7</v>
      </c>
    </row>
    <row r="1994" spans="1:6" hidden="1" x14ac:dyDescent="0.25">
      <c r="A1994" t="s">
        <v>20</v>
      </c>
      <c r="B1994">
        <v>32</v>
      </c>
      <c r="C1994">
        <v>61</v>
      </c>
      <c r="E1994">
        <v>74</v>
      </c>
      <c r="F1994">
        <v>7</v>
      </c>
    </row>
    <row r="1995" spans="1:6" hidden="1" x14ac:dyDescent="0.25">
      <c r="A1995" t="s">
        <v>20</v>
      </c>
      <c r="B1995">
        <v>32</v>
      </c>
      <c r="C1995">
        <v>62</v>
      </c>
      <c r="E1995">
        <v>74</v>
      </c>
      <c r="F1995">
        <v>7</v>
      </c>
    </row>
    <row r="1996" spans="1:6" hidden="1" x14ac:dyDescent="0.25">
      <c r="A1996" t="s">
        <v>20</v>
      </c>
      <c r="B1996">
        <v>32</v>
      </c>
      <c r="C1996">
        <v>63</v>
      </c>
      <c r="E1996">
        <v>74</v>
      </c>
      <c r="F1996">
        <v>7</v>
      </c>
    </row>
    <row r="1997" spans="1:6" hidden="1" x14ac:dyDescent="0.25">
      <c r="A1997" t="s">
        <v>20</v>
      </c>
      <c r="B1997">
        <v>32</v>
      </c>
      <c r="C1997">
        <v>64</v>
      </c>
      <c r="E1997">
        <v>74</v>
      </c>
      <c r="F1997">
        <v>7</v>
      </c>
    </row>
    <row r="1998" spans="1:6" hidden="1" x14ac:dyDescent="0.25">
      <c r="A1998" t="s">
        <v>20</v>
      </c>
      <c r="B1998">
        <v>32</v>
      </c>
      <c r="C1998">
        <v>65</v>
      </c>
      <c r="E1998">
        <v>74</v>
      </c>
      <c r="F1998">
        <v>7</v>
      </c>
    </row>
    <row r="1999" spans="1:6" hidden="1" x14ac:dyDescent="0.25">
      <c r="A1999" t="s">
        <v>20</v>
      </c>
      <c r="B1999">
        <v>32</v>
      </c>
      <c r="C1999">
        <v>66</v>
      </c>
      <c r="E1999">
        <v>74</v>
      </c>
      <c r="F1999">
        <v>7</v>
      </c>
    </row>
    <row r="2000" spans="1:6" hidden="1" x14ac:dyDescent="0.25">
      <c r="A2000" t="s">
        <v>20</v>
      </c>
      <c r="B2000">
        <v>32</v>
      </c>
      <c r="C2000">
        <v>67</v>
      </c>
      <c r="D2000">
        <v>1</v>
      </c>
      <c r="E2000">
        <v>74</v>
      </c>
      <c r="F2000">
        <v>7</v>
      </c>
    </row>
    <row r="2001" spans="1:6" hidden="1" x14ac:dyDescent="0.25">
      <c r="A2001" t="s">
        <v>20</v>
      </c>
      <c r="B2001">
        <v>32</v>
      </c>
      <c r="C2001">
        <v>68</v>
      </c>
      <c r="E2001">
        <v>74</v>
      </c>
      <c r="F2001">
        <v>7</v>
      </c>
    </row>
    <row r="2002" spans="1:6" hidden="1" x14ac:dyDescent="0.25">
      <c r="A2002" t="s">
        <v>20</v>
      </c>
      <c r="B2002">
        <v>32</v>
      </c>
      <c r="C2002">
        <v>69</v>
      </c>
      <c r="E2002">
        <v>74</v>
      </c>
      <c r="F2002">
        <v>7</v>
      </c>
    </row>
    <row r="2003" spans="1:6" hidden="1" x14ac:dyDescent="0.25">
      <c r="A2003" t="s">
        <v>20</v>
      </c>
      <c r="B2003">
        <v>32</v>
      </c>
      <c r="C2003">
        <v>70</v>
      </c>
      <c r="D2003">
        <v>1</v>
      </c>
      <c r="E2003">
        <v>74</v>
      </c>
      <c r="F2003">
        <v>7</v>
      </c>
    </row>
    <row r="2004" spans="1:6" hidden="1" x14ac:dyDescent="0.25">
      <c r="A2004" t="s">
        <v>20</v>
      </c>
      <c r="B2004">
        <v>32</v>
      </c>
      <c r="C2004">
        <v>71</v>
      </c>
      <c r="E2004">
        <v>74</v>
      </c>
      <c r="F2004">
        <v>7</v>
      </c>
    </row>
    <row r="2005" spans="1:6" hidden="1" x14ac:dyDescent="0.25">
      <c r="A2005" t="s">
        <v>20</v>
      </c>
      <c r="B2005">
        <v>32</v>
      </c>
      <c r="C2005">
        <v>72</v>
      </c>
      <c r="E2005">
        <v>74</v>
      </c>
      <c r="F2005">
        <v>7</v>
      </c>
    </row>
    <row r="2006" spans="1:6" hidden="1" x14ac:dyDescent="0.25">
      <c r="A2006" t="s">
        <v>20</v>
      </c>
      <c r="B2006">
        <v>32</v>
      </c>
      <c r="C2006">
        <v>73</v>
      </c>
      <c r="D2006">
        <v>1</v>
      </c>
      <c r="E2006">
        <v>74</v>
      </c>
      <c r="F2006">
        <v>7</v>
      </c>
    </row>
    <row r="2007" spans="1:6" hidden="1" x14ac:dyDescent="0.25">
      <c r="A2007" t="s">
        <v>20</v>
      </c>
      <c r="B2007">
        <v>32</v>
      </c>
      <c r="C2007">
        <v>74</v>
      </c>
      <c r="E2007">
        <v>74</v>
      </c>
      <c r="F2007">
        <v>7</v>
      </c>
    </row>
    <row r="2008" spans="1:6" hidden="1" x14ac:dyDescent="0.25">
      <c r="A2008" t="s">
        <v>20</v>
      </c>
      <c r="B2008">
        <v>32</v>
      </c>
      <c r="C2008">
        <v>75</v>
      </c>
      <c r="E2008">
        <v>74</v>
      </c>
      <c r="F2008">
        <v>7</v>
      </c>
    </row>
    <row r="2009" spans="1:6" hidden="1" x14ac:dyDescent="0.25">
      <c r="A2009" t="s">
        <v>20</v>
      </c>
      <c r="B2009">
        <v>32</v>
      </c>
      <c r="C2009">
        <v>76</v>
      </c>
      <c r="E2009">
        <v>74</v>
      </c>
      <c r="F2009">
        <v>7</v>
      </c>
    </row>
    <row r="2010" spans="1:6" hidden="1" x14ac:dyDescent="0.25">
      <c r="A2010" t="s">
        <v>20</v>
      </c>
      <c r="B2010">
        <v>32</v>
      </c>
      <c r="C2010">
        <v>77</v>
      </c>
      <c r="E2010">
        <v>74</v>
      </c>
      <c r="F2010">
        <v>7</v>
      </c>
    </row>
    <row r="2011" spans="1:6" hidden="1" x14ac:dyDescent="0.25">
      <c r="A2011" t="s">
        <v>20</v>
      </c>
      <c r="B2011">
        <v>32</v>
      </c>
      <c r="C2011">
        <v>78</v>
      </c>
      <c r="E2011">
        <v>74</v>
      </c>
      <c r="F2011">
        <v>7</v>
      </c>
    </row>
    <row r="2012" spans="1:6" hidden="1" x14ac:dyDescent="0.25">
      <c r="A2012" t="s">
        <v>20</v>
      </c>
      <c r="B2012">
        <v>32</v>
      </c>
      <c r="C2012">
        <v>79</v>
      </c>
      <c r="E2012">
        <v>74</v>
      </c>
      <c r="F2012">
        <v>7</v>
      </c>
    </row>
    <row r="2013" spans="1:6" hidden="1" x14ac:dyDescent="0.25">
      <c r="A2013" t="s">
        <v>20</v>
      </c>
      <c r="B2013">
        <v>32</v>
      </c>
      <c r="C2013">
        <v>80</v>
      </c>
      <c r="E2013">
        <v>74</v>
      </c>
      <c r="F2013">
        <v>7</v>
      </c>
    </row>
    <row r="2014" spans="1:6" hidden="1" x14ac:dyDescent="0.25">
      <c r="A2014" t="s">
        <v>20</v>
      </c>
      <c r="B2014">
        <v>32</v>
      </c>
      <c r="C2014">
        <v>81</v>
      </c>
      <c r="E2014">
        <v>74</v>
      </c>
      <c r="F2014">
        <v>7</v>
      </c>
    </row>
    <row r="2015" spans="1:6" hidden="1" x14ac:dyDescent="0.25">
      <c r="A2015" t="s">
        <v>20</v>
      </c>
      <c r="B2015">
        <v>32</v>
      </c>
      <c r="C2015">
        <v>82</v>
      </c>
      <c r="E2015">
        <v>74</v>
      </c>
      <c r="F2015">
        <v>7</v>
      </c>
    </row>
    <row r="2016" spans="1:6" hidden="1" x14ac:dyDescent="0.25">
      <c r="A2016" t="s">
        <v>20</v>
      </c>
      <c r="B2016">
        <v>32</v>
      </c>
      <c r="C2016">
        <v>83</v>
      </c>
      <c r="E2016">
        <v>74</v>
      </c>
      <c r="F2016">
        <v>7</v>
      </c>
    </row>
    <row r="2017" spans="1:6" hidden="1" x14ac:dyDescent="0.25">
      <c r="A2017" t="s">
        <v>20</v>
      </c>
      <c r="B2017">
        <v>32</v>
      </c>
      <c r="C2017">
        <v>84</v>
      </c>
      <c r="E2017">
        <v>74</v>
      </c>
      <c r="F2017">
        <v>7</v>
      </c>
    </row>
    <row r="2018" spans="1:6" hidden="1" x14ac:dyDescent="0.25">
      <c r="A2018" t="s">
        <v>20</v>
      </c>
      <c r="B2018">
        <v>36</v>
      </c>
      <c r="C2018">
        <v>1</v>
      </c>
      <c r="D2018">
        <v>1</v>
      </c>
    </row>
    <row r="2019" spans="1:6" hidden="1" x14ac:dyDescent="0.25">
      <c r="A2019" t="s">
        <v>20</v>
      </c>
      <c r="B2019">
        <v>36</v>
      </c>
      <c r="C2019">
        <v>2</v>
      </c>
    </row>
    <row r="2020" spans="1:6" hidden="1" x14ac:dyDescent="0.25">
      <c r="A2020" t="s">
        <v>20</v>
      </c>
      <c r="B2020">
        <v>36</v>
      </c>
      <c r="C2020">
        <v>3</v>
      </c>
    </row>
    <row r="2021" spans="1:6" hidden="1" x14ac:dyDescent="0.25">
      <c r="A2021" t="s">
        <v>20</v>
      </c>
      <c r="B2021">
        <v>36</v>
      </c>
      <c r="C2021">
        <v>4</v>
      </c>
      <c r="D2021">
        <v>1</v>
      </c>
    </row>
    <row r="2022" spans="1:6" hidden="1" x14ac:dyDescent="0.25">
      <c r="A2022" t="s">
        <v>20</v>
      </c>
      <c r="B2022">
        <v>36</v>
      </c>
      <c r="C2022">
        <v>5</v>
      </c>
    </row>
    <row r="2023" spans="1:6" hidden="1" x14ac:dyDescent="0.25">
      <c r="A2023" t="s">
        <v>20</v>
      </c>
      <c r="B2023">
        <v>36</v>
      </c>
      <c r="C2023">
        <v>6</v>
      </c>
    </row>
    <row r="2024" spans="1:6" hidden="1" x14ac:dyDescent="0.25">
      <c r="A2024" t="s">
        <v>20</v>
      </c>
      <c r="B2024">
        <v>36</v>
      </c>
      <c r="C2024">
        <v>7</v>
      </c>
      <c r="D2024">
        <v>1</v>
      </c>
    </row>
    <row r="2025" spans="1:6" hidden="1" x14ac:dyDescent="0.25">
      <c r="A2025" t="s">
        <v>20</v>
      </c>
      <c r="B2025">
        <v>36</v>
      </c>
      <c r="C2025">
        <v>8</v>
      </c>
    </row>
    <row r="2026" spans="1:6" hidden="1" x14ac:dyDescent="0.25">
      <c r="A2026" t="s">
        <v>20</v>
      </c>
      <c r="B2026">
        <v>36</v>
      </c>
      <c r="C2026">
        <v>9</v>
      </c>
    </row>
    <row r="2027" spans="1:6" hidden="1" x14ac:dyDescent="0.25">
      <c r="A2027" t="s">
        <v>20</v>
      </c>
      <c r="B2027">
        <v>36</v>
      </c>
      <c r="C2027">
        <v>10</v>
      </c>
      <c r="D2027">
        <v>1</v>
      </c>
    </row>
    <row r="2028" spans="1:6" hidden="1" x14ac:dyDescent="0.25">
      <c r="A2028" t="s">
        <v>20</v>
      </c>
      <c r="B2028">
        <v>36</v>
      </c>
      <c r="C2028">
        <v>11</v>
      </c>
    </row>
    <row r="2029" spans="1:6" hidden="1" x14ac:dyDescent="0.25">
      <c r="A2029" t="s">
        <v>20</v>
      </c>
      <c r="B2029">
        <v>36</v>
      </c>
      <c r="C2029">
        <v>12</v>
      </c>
    </row>
    <row r="2030" spans="1:6" hidden="1" x14ac:dyDescent="0.25">
      <c r="A2030" t="s">
        <v>20</v>
      </c>
      <c r="B2030">
        <v>36</v>
      </c>
      <c r="C2030">
        <v>13</v>
      </c>
    </row>
    <row r="2031" spans="1:6" hidden="1" x14ac:dyDescent="0.25">
      <c r="A2031" t="s">
        <v>20</v>
      </c>
      <c r="B2031">
        <v>36</v>
      </c>
      <c r="C2031">
        <v>14</v>
      </c>
    </row>
    <row r="2032" spans="1:6" hidden="1" x14ac:dyDescent="0.25">
      <c r="A2032" t="s">
        <v>20</v>
      </c>
      <c r="B2032">
        <v>36</v>
      </c>
      <c r="C2032">
        <v>15</v>
      </c>
    </row>
    <row r="2033" spans="1:4" hidden="1" x14ac:dyDescent="0.25">
      <c r="A2033" t="s">
        <v>20</v>
      </c>
      <c r="B2033">
        <v>36</v>
      </c>
      <c r="C2033">
        <v>16</v>
      </c>
      <c r="D2033">
        <v>1</v>
      </c>
    </row>
    <row r="2034" spans="1:4" hidden="1" x14ac:dyDescent="0.25">
      <c r="A2034" t="s">
        <v>20</v>
      </c>
      <c r="B2034">
        <v>36</v>
      </c>
      <c r="C2034">
        <v>17</v>
      </c>
    </row>
    <row r="2035" spans="1:4" hidden="1" x14ac:dyDescent="0.25">
      <c r="A2035" t="s">
        <v>20</v>
      </c>
      <c r="B2035">
        <v>36</v>
      </c>
      <c r="C2035">
        <v>18</v>
      </c>
    </row>
    <row r="2036" spans="1:4" hidden="1" x14ac:dyDescent="0.25">
      <c r="A2036" t="s">
        <v>20</v>
      </c>
      <c r="B2036">
        <v>36</v>
      </c>
      <c r="C2036">
        <v>19</v>
      </c>
    </row>
    <row r="2037" spans="1:4" hidden="1" x14ac:dyDescent="0.25">
      <c r="A2037" t="s">
        <v>20</v>
      </c>
      <c r="B2037">
        <v>36</v>
      </c>
      <c r="C2037">
        <v>20</v>
      </c>
    </row>
    <row r="2038" spans="1:4" hidden="1" x14ac:dyDescent="0.25">
      <c r="A2038" t="s">
        <v>20</v>
      </c>
      <c r="B2038">
        <v>36</v>
      </c>
      <c r="C2038">
        <v>21</v>
      </c>
    </row>
    <row r="2039" spans="1:4" hidden="1" x14ac:dyDescent="0.25">
      <c r="A2039" t="s">
        <v>20</v>
      </c>
      <c r="B2039">
        <v>36</v>
      </c>
      <c r="C2039">
        <v>22</v>
      </c>
      <c r="D2039">
        <v>1</v>
      </c>
    </row>
    <row r="2040" spans="1:4" hidden="1" x14ac:dyDescent="0.25">
      <c r="A2040" t="s">
        <v>20</v>
      </c>
      <c r="B2040">
        <v>36</v>
      </c>
      <c r="C2040">
        <v>23</v>
      </c>
    </row>
    <row r="2041" spans="1:4" hidden="1" x14ac:dyDescent="0.25">
      <c r="A2041" t="s">
        <v>20</v>
      </c>
      <c r="B2041">
        <v>36</v>
      </c>
      <c r="C2041">
        <v>24</v>
      </c>
    </row>
    <row r="2042" spans="1:4" hidden="1" x14ac:dyDescent="0.25">
      <c r="A2042" t="s">
        <v>20</v>
      </c>
      <c r="B2042">
        <v>36</v>
      </c>
      <c r="C2042">
        <v>25</v>
      </c>
      <c r="D2042">
        <v>1</v>
      </c>
    </row>
    <row r="2043" spans="1:4" hidden="1" x14ac:dyDescent="0.25">
      <c r="A2043" t="s">
        <v>20</v>
      </c>
      <c r="B2043">
        <v>36</v>
      </c>
      <c r="C2043">
        <v>26</v>
      </c>
    </row>
    <row r="2044" spans="1:4" hidden="1" x14ac:dyDescent="0.25">
      <c r="A2044" t="s">
        <v>20</v>
      </c>
      <c r="B2044">
        <v>36</v>
      </c>
      <c r="C2044">
        <v>27</v>
      </c>
    </row>
    <row r="2045" spans="1:4" hidden="1" x14ac:dyDescent="0.25">
      <c r="A2045" t="s">
        <v>20</v>
      </c>
      <c r="B2045">
        <v>36</v>
      </c>
      <c r="C2045">
        <v>28</v>
      </c>
      <c r="D2045">
        <v>1</v>
      </c>
    </row>
    <row r="2046" spans="1:4" hidden="1" x14ac:dyDescent="0.25">
      <c r="A2046" t="s">
        <v>20</v>
      </c>
      <c r="B2046">
        <v>36</v>
      </c>
      <c r="C2046">
        <v>29</v>
      </c>
    </row>
    <row r="2047" spans="1:4" hidden="1" x14ac:dyDescent="0.25">
      <c r="A2047" t="s">
        <v>20</v>
      </c>
      <c r="B2047">
        <v>36</v>
      </c>
      <c r="C2047">
        <v>30</v>
      </c>
    </row>
    <row r="2048" spans="1:4" hidden="1" x14ac:dyDescent="0.25">
      <c r="A2048" t="s">
        <v>20</v>
      </c>
      <c r="B2048">
        <v>36</v>
      </c>
      <c r="C2048">
        <v>31</v>
      </c>
      <c r="D2048">
        <v>1</v>
      </c>
    </row>
    <row r="2049" spans="1:4" hidden="1" x14ac:dyDescent="0.25">
      <c r="A2049" t="s">
        <v>20</v>
      </c>
      <c r="B2049">
        <v>36</v>
      </c>
      <c r="C2049">
        <v>32</v>
      </c>
    </row>
    <row r="2050" spans="1:4" hidden="1" x14ac:dyDescent="0.25">
      <c r="A2050" t="s">
        <v>20</v>
      </c>
      <c r="B2050">
        <v>36</v>
      </c>
      <c r="C2050">
        <v>33</v>
      </c>
    </row>
    <row r="2051" spans="1:4" hidden="1" x14ac:dyDescent="0.25">
      <c r="A2051" t="s">
        <v>20</v>
      </c>
      <c r="B2051">
        <v>36</v>
      </c>
      <c r="C2051">
        <v>34</v>
      </c>
      <c r="D2051">
        <v>1</v>
      </c>
    </row>
    <row r="2052" spans="1:4" hidden="1" x14ac:dyDescent="0.25">
      <c r="A2052" t="s">
        <v>20</v>
      </c>
      <c r="B2052">
        <v>36</v>
      </c>
      <c r="C2052">
        <v>35</v>
      </c>
    </row>
    <row r="2053" spans="1:4" hidden="1" x14ac:dyDescent="0.25">
      <c r="A2053" t="s">
        <v>20</v>
      </c>
      <c r="B2053">
        <v>36</v>
      </c>
      <c r="C2053">
        <v>36</v>
      </c>
    </row>
    <row r="2054" spans="1:4" hidden="1" x14ac:dyDescent="0.25">
      <c r="A2054" t="s">
        <v>20</v>
      </c>
      <c r="B2054">
        <v>36</v>
      </c>
      <c r="C2054">
        <v>37</v>
      </c>
      <c r="D2054">
        <v>1</v>
      </c>
    </row>
    <row r="2055" spans="1:4" hidden="1" x14ac:dyDescent="0.25">
      <c r="A2055" t="s">
        <v>20</v>
      </c>
      <c r="B2055">
        <v>36</v>
      </c>
      <c r="C2055">
        <v>38</v>
      </c>
    </row>
    <row r="2056" spans="1:4" hidden="1" x14ac:dyDescent="0.25">
      <c r="A2056" t="s">
        <v>20</v>
      </c>
      <c r="B2056">
        <v>36</v>
      </c>
      <c r="C2056">
        <v>39</v>
      </c>
    </row>
    <row r="2057" spans="1:4" hidden="1" x14ac:dyDescent="0.25">
      <c r="A2057" t="s">
        <v>20</v>
      </c>
      <c r="B2057">
        <v>36</v>
      </c>
      <c r="C2057">
        <v>40</v>
      </c>
      <c r="D2057">
        <v>1</v>
      </c>
    </row>
    <row r="2058" spans="1:4" hidden="1" x14ac:dyDescent="0.25">
      <c r="A2058" t="s">
        <v>20</v>
      </c>
      <c r="B2058">
        <v>36</v>
      </c>
      <c r="C2058">
        <v>41</v>
      </c>
    </row>
    <row r="2059" spans="1:4" hidden="1" x14ac:dyDescent="0.25">
      <c r="A2059" t="s">
        <v>20</v>
      </c>
      <c r="B2059">
        <v>36</v>
      </c>
      <c r="C2059">
        <v>42</v>
      </c>
    </row>
    <row r="2060" spans="1:4" hidden="1" x14ac:dyDescent="0.25">
      <c r="A2060" t="s">
        <v>20</v>
      </c>
      <c r="B2060">
        <v>36</v>
      </c>
      <c r="C2060">
        <v>43</v>
      </c>
    </row>
    <row r="2061" spans="1:4" hidden="1" x14ac:dyDescent="0.25">
      <c r="A2061" t="s">
        <v>20</v>
      </c>
      <c r="B2061">
        <v>36</v>
      </c>
      <c r="C2061">
        <v>44</v>
      </c>
    </row>
    <row r="2062" spans="1:4" hidden="1" x14ac:dyDescent="0.25">
      <c r="A2062" t="s">
        <v>20</v>
      </c>
      <c r="B2062">
        <v>36</v>
      </c>
      <c r="C2062">
        <v>45</v>
      </c>
    </row>
    <row r="2063" spans="1:4" hidden="1" x14ac:dyDescent="0.25">
      <c r="A2063" t="s">
        <v>20</v>
      </c>
      <c r="B2063">
        <v>36</v>
      </c>
      <c r="C2063">
        <v>46</v>
      </c>
      <c r="D2063">
        <v>1</v>
      </c>
    </row>
    <row r="2064" spans="1:4" hidden="1" x14ac:dyDescent="0.25">
      <c r="A2064" t="s">
        <v>20</v>
      </c>
      <c r="B2064">
        <v>36</v>
      </c>
      <c r="C2064">
        <v>47</v>
      </c>
    </row>
    <row r="2065" spans="1:4" hidden="1" x14ac:dyDescent="0.25">
      <c r="A2065" t="s">
        <v>20</v>
      </c>
      <c r="B2065">
        <v>36</v>
      </c>
      <c r="C2065">
        <v>48</v>
      </c>
    </row>
    <row r="2066" spans="1:4" hidden="1" x14ac:dyDescent="0.25">
      <c r="A2066" t="s">
        <v>20</v>
      </c>
      <c r="B2066">
        <v>36</v>
      </c>
      <c r="C2066">
        <v>49</v>
      </c>
      <c r="D2066">
        <v>1</v>
      </c>
    </row>
    <row r="2067" spans="1:4" hidden="1" x14ac:dyDescent="0.25">
      <c r="A2067" t="s">
        <v>20</v>
      </c>
      <c r="B2067">
        <v>36</v>
      </c>
      <c r="C2067">
        <v>50</v>
      </c>
    </row>
    <row r="2068" spans="1:4" hidden="1" x14ac:dyDescent="0.25">
      <c r="A2068" t="s">
        <v>20</v>
      </c>
      <c r="B2068">
        <v>36</v>
      </c>
      <c r="C2068">
        <v>51</v>
      </c>
    </row>
    <row r="2069" spans="1:4" hidden="1" x14ac:dyDescent="0.25">
      <c r="A2069" t="s">
        <v>20</v>
      </c>
      <c r="B2069">
        <v>36</v>
      </c>
      <c r="C2069">
        <v>52</v>
      </c>
      <c r="D2069">
        <v>1</v>
      </c>
    </row>
    <row r="2070" spans="1:4" hidden="1" x14ac:dyDescent="0.25">
      <c r="A2070" t="s">
        <v>20</v>
      </c>
      <c r="B2070">
        <v>36</v>
      </c>
      <c r="C2070">
        <v>53</v>
      </c>
    </row>
    <row r="2071" spans="1:4" hidden="1" x14ac:dyDescent="0.25">
      <c r="A2071" t="s">
        <v>20</v>
      </c>
      <c r="B2071">
        <v>36</v>
      </c>
      <c r="C2071">
        <v>54</v>
      </c>
    </row>
    <row r="2072" spans="1:4" hidden="1" x14ac:dyDescent="0.25">
      <c r="A2072" t="s">
        <v>20</v>
      </c>
      <c r="B2072">
        <v>36</v>
      </c>
      <c r="C2072">
        <v>55</v>
      </c>
      <c r="D2072">
        <v>1</v>
      </c>
    </row>
    <row r="2073" spans="1:4" hidden="1" x14ac:dyDescent="0.25">
      <c r="A2073" t="s">
        <v>20</v>
      </c>
      <c r="B2073">
        <v>36</v>
      </c>
      <c r="C2073">
        <v>56</v>
      </c>
    </row>
    <row r="2074" spans="1:4" hidden="1" x14ac:dyDescent="0.25">
      <c r="A2074" t="s">
        <v>20</v>
      </c>
      <c r="B2074">
        <v>36</v>
      </c>
      <c r="C2074">
        <v>57</v>
      </c>
    </row>
    <row r="2075" spans="1:4" hidden="1" x14ac:dyDescent="0.25">
      <c r="A2075" t="s">
        <v>20</v>
      </c>
      <c r="B2075">
        <v>36</v>
      </c>
      <c r="C2075">
        <v>58</v>
      </c>
      <c r="D2075">
        <v>1</v>
      </c>
    </row>
    <row r="2076" spans="1:4" hidden="1" x14ac:dyDescent="0.25">
      <c r="A2076" t="s">
        <v>20</v>
      </c>
      <c r="B2076">
        <v>36</v>
      </c>
      <c r="C2076">
        <v>59</v>
      </c>
    </row>
    <row r="2077" spans="1:4" hidden="1" x14ac:dyDescent="0.25">
      <c r="A2077" t="s">
        <v>20</v>
      </c>
      <c r="B2077">
        <v>36</v>
      </c>
      <c r="C2077">
        <v>60</v>
      </c>
    </row>
    <row r="2078" spans="1:4" hidden="1" x14ac:dyDescent="0.25">
      <c r="A2078" t="s">
        <v>20</v>
      </c>
      <c r="B2078">
        <v>36</v>
      </c>
      <c r="C2078">
        <v>61</v>
      </c>
    </row>
    <row r="2079" spans="1:4" hidden="1" x14ac:dyDescent="0.25">
      <c r="A2079" t="s">
        <v>20</v>
      </c>
      <c r="B2079">
        <v>36</v>
      </c>
      <c r="C2079">
        <v>62</v>
      </c>
    </row>
    <row r="2080" spans="1:4" hidden="1" x14ac:dyDescent="0.25">
      <c r="A2080" t="s">
        <v>20</v>
      </c>
      <c r="B2080">
        <v>36</v>
      </c>
      <c r="C2080">
        <v>63</v>
      </c>
    </row>
    <row r="2081" spans="1:4" hidden="1" x14ac:dyDescent="0.25">
      <c r="A2081" t="s">
        <v>20</v>
      </c>
      <c r="B2081">
        <v>36</v>
      </c>
      <c r="C2081">
        <v>64</v>
      </c>
    </row>
    <row r="2082" spans="1:4" hidden="1" x14ac:dyDescent="0.25">
      <c r="A2082" t="s">
        <v>20</v>
      </c>
      <c r="B2082">
        <v>36</v>
      </c>
      <c r="C2082">
        <v>65</v>
      </c>
    </row>
    <row r="2083" spans="1:4" hidden="1" x14ac:dyDescent="0.25">
      <c r="A2083" t="s">
        <v>20</v>
      </c>
      <c r="B2083">
        <v>36</v>
      </c>
      <c r="C2083">
        <v>66</v>
      </c>
    </row>
    <row r="2084" spans="1:4" hidden="1" x14ac:dyDescent="0.25">
      <c r="A2084" t="s">
        <v>20</v>
      </c>
      <c r="B2084">
        <v>36</v>
      </c>
      <c r="C2084">
        <v>67</v>
      </c>
      <c r="D2084">
        <v>1</v>
      </c>
    </row>
    <row r="2085" spans="1:4" hidden="1" x14ac:dyDescent="0.25">
      <c r="A2085" t="s">
        <v>20</v>
      </c>
      <c r="B2085">
        <v>36</v>
      </c>
      <c r="C2085">
        <v>68</v>
      </c>
    </row>
    <row r="2086" spans="1:4" hidden="1" x14ac:dyDescent="0.25">
      <c r="A2086" t="s">
        <v>20</v>
      </c>
      <c r="B2086">
        <v>36</v>
      </c>
      <c r="C2086">
        <v>69</v>
      </c>
    </row>
    <row r="2087" spans="1:4" hidden="1" x14ac:dyDescent="0.25">
      <c r="A2087" t="s">
        <v>20</v>
      </c>
      <c r="B2087">
        <v>36</v>
      </c>
      <c r="C2087">
        <v>70</v>
      </c>
      <c r="D2087">
        <v>1</v>
      </c>
    </row>
    <row r="2088" spans="1:4" hidden="1" x14ac:dyDescent="0.25">
      <c r="A2088" t="s">
        <v>20</v>
      </c>
      <c r="B2088">
        <v>36</v>
      </c>
      <c r="C2088">
        <v>71</v>
      </c>
    </row>
    <row r="2089" spans="1:4" hidden="1" x14ac:dyDescent="0.25">
      <c r="A2089" t="s">
        <v>20</v>
      </c>
      <c r="B2089">
        <v>36</v>
      </c>
      <c r="C2089">
        <v>72</v>
      </c>
    </row>
    <row r="2090" spans="1:4" hidden="1" x14ac:dyDescent="0.25">
      <c r="A2090" t="s">
        <v>20</v>
      </c>
      <c r="B2090">
        <v>36</v>
      </c>
      <c r="C2090">
        <v>73</v>
      </c>
      <c r="D2090">
        <v>1</v>
      </c>
    </row>
    <row r="2091" spans="1:4" hidden="1" x14ac:dyDescent="0.25">
      <c r="A2091" t="s">
        <v>20</v>
      </c>
      <c r="B2091">
        <v>36</v>
      </c>
      <c r="C2091">
        <v>74</v>
      </c>
    </row>
    <row r="2092" spans="1:4" hidden="1" x14ac:dyDescent="0.25">
      <c r="A2092" t="s">
        <v>20</v>
      </c>
      <c r="B2092">
        <v>36</v>
      </c>
      <c r="C2092">
        <v>75</v>
      </c>
    </row>
    <row r="2093" spans="1:4" hidden="1" x14ac:dyDescent="0.25">
      <c r="A2093" t="s">
        <v>20</v>
      </c>
      <c r="B2093">
        <v>36</v>
      </c>
      <c r="C2093">
        <v>76</v>
      </c>
      <c r="D2093">
        <v>1</v>
      </c>
    </row>
    <row r="2094" spans="1:4" hidden="1" x14ac:dyDescent="0.25">
      <c r="A2094" t="s">
        <v>20</v>
      </c>
      <c r="B2094">
        <v>36</v>
      </c>
      <c r="C2094">
        <v>77</v>
      </c>
    </row>
    <row r="2095" spans="1:4" hidden="1" x14ac:dyDescent="0.25">
      <c r="A2095" t="s">
        <v>20</v>
      </c>
      <c r="B2095">
        <v>36</v>
      </c>
      <c r="C2095">
        <v>78</v>
      </c>
    </row>
    <row r="2096" spans="1:4" hidden="1" x14ac:dyDescent="0.25">
      <c r="A2096" t="s">
        <v>20</v>
      </c>
      <c r="B2096">
        <v>36</v>
      </c>
      <c r="C2096">
        <v>79</v>
      </c>
      <c r="D2096">
        <v>1</v>
      </c>
    </row>
    <row r="2097" spans="1:4" hidden="1" x14ac:dyDescent="0.25">
      <c r="A2097" t="s">
        <v>20</v>
      </c>
      <c r="B2097">
        <v>36</v>
      </c>
      <c r="C2097">
        <v>80</v>
      </c>
    </row>
    <row r="2098" spans="1:4" hidden="1" x14ac:dyDescent="0.25">
      <c r="A2098" t="s">
        <v>20</v>
      </c>
      <c r="B2098">
        <v>36</v>
      </c>
      <c r="C2098">
        <v>81</v>
      </c>
    </row>
    <row r="2099" spans="1:4" hidden="1" x14ac:dyDescent="0.25">
      <c r="A2099" t="s">
        <v>20</v>
      </c>
      <c r="B2099">
        <v>36</v>
      </c>
      <c r="C2099">
        <v>82</v>
      </c>
    </row>
    <row r="2100" spans="1:4" hidden="1" x14ac:dyDescent="0.25">
      <c r="A2100" t="s">
        <v>20</v>
      </c>
      <c r="B2100">
        <v>36</v>
      </c>
      <c r="C2100">
        <v>83</v>
      </c>
    </row>
    <row r="2101" spans="1:4" hidden="1" x14ac:dyDescent="0.25">
      <c r="A2101" t="s">
        <v>20</v>
      </c>
      <c r="B2101">
        <v>36</v>
      </c>
      <c r="C2101">
        <v>84</v>
      </c>
    </row>
    <row r="2102" spans="1:4" hidden="1" x14ac:dyDescent="0.25">
      <c r="A2102" t="s">
        <v>20</v>
      </c>
      <c r="B2102">
        <v>37</v>
      </c>
      <c r="C2102">
        <v>1</v>
      </c>
      <c r="D2102">
        <v>1</v>
      </c>
    </row>
    <row r="2103" spans="1:4" hidden="1" x14ac:dyDescent="0.25">
      <c r="A2103" t="s">
        <v>20</v>
      </c>
      <c r="B2103">
        <v>37</v>
      </c>
      <c r="C2103">
        <v>2</v>
      </c>
    </row>
    <row r="2104" spans="1:4" hidden="1" x14ac:dyDescent="0.25">
      <c r="A2104" t="s">
        <v>20</v>
      </c>
      <c r="B2104">
        <v>37</v>
      </c>
      <c r="C2104">
        <v>3</v>
      </c>
    </row>
    <row r="2105" spans="1:4" hidden="1" x14ac:dyDescent="0.25">
      <c r="A2105" t="s">
        <v>20</v>
      </c>
      <c r="B2105">
        <v>37</v>
      </c>
      <c r="C2105">
        <v>4</v>
      </c>
      <c r="D2105">
        <v>1</v>
      </c>
    </row>
    <row r="2106" spans="1:4" hidden="1" x14ac:dyDescent="0.25">
      <c r="A2106" t="s">
        <v>20</v>
      </c>
      <c r="B2106">
        <v>37</v>
      </c>
      <c r="C2106">
        <v>5</v>
      </c>
    </row>
    <row r="2107" spans="1:4" hidden="1" x14ac:dyDescent="0.25">
      <c r="A2107" t="s">
        <v>20</v>
      </c>
      <c r="B2107">
        <v>37</v>
      </c>
      <c r="C2107">
        <v>6</v>
      </c>
    </row>
    <row r="2108" spans="1:4" hidden="1" x14ac:dyDescent="0.25">
      <c r="A2108" t="s">
        <v>20</v>
      </c>
      <c r="B2108">
        <v>37</v>
      </c>
      <c r="C2108">
        <v>7</v>
      </c>
      <c r="D2108">
        <v>1</v>
      </c>
    </row>
    <row r="2109" spans="1:4" hidden="1" x14ac:dyDescent="0.25">
      <c r="A2109" t="s">
        <v>20</v>
      </c>
      <c r="B2109">
        <v>37</v>
      </c>
      <c r="C2109">
        <v>8</v>
      </c>
    </row>
    <row r="2110" spans="1:4" hidden="1" x14ac:dyDescent="0.25">
      <c r="A2110" t="s">
        <v>20</v>
      </c>
      <c r="B2110">
        <v>37</v>
      </c>
      <c r="C2110">
        <v>9</v>
      </c>
    </row>
    <row r="2111" spans="1:4" hidden="1" x14ac:dyDescent="0.25">
      <c r="A2111" t="s">
        <v>20</v>
      </c>
      <c r="B2111">
        <v>37</v>
      </c>
      <c r="C2111">
        <v>10</v>
      </c>
      <c r="D2111">
        <v>1</v>
      </c>
    </row>
    <row r="2112" spans="1:4" hidden="1" x14ac:dyDescent="0.25">
      <c r="A2112" t="s">
        <v>20</v>
      </c>
      <c r="B2112">
        <v>37</v>
      </c>
      <c r="C2112">
        <v>11</v>
      </c>
    </row>
    <row r="2113" spans="1:4" hidden="1" x14ac:dyDescent="0.25">
      <c r="A2113" t="s">
        <v>20</v>
      </c>
      <c r="B2113">
        <v>37</v>
      </c>
      <c r="C2113">
        <v>12</v>
      </c>
    </row>
    <row r="2114" spans="1:4" hidden="1" x14ac:dyDescent="0.25">
      <c r="A2114" t="s">
        <v>20</v>
      </c>
      <c r="B2114">
        <v>37</v>
      </c>
      <c r="C2114">
        <v>13</v>
      </c>
      <c r="D2114">
        <v>1</v>
      </c>
    </row>
    <row r="2115" spans="1:4" hidden="1" x14ac:dyDescent="0.25">
      <c r="A2115" t="s">
        <v>20</v>
      </c>
      <c r="B2115">
        <v>37</v>
      </c>
      <c r="C2115">
        <v>14</v>
      </c>
    </row>
    <row r="2116" spans="1:4" hidden="1" x14ac:dyDescent="0.25">
      <c r="A2116" t="s">
        <v>20</v>
      </c>
      <c r="B2116">
        <v>37</v>
      </c>
      <c r="C2116">
        <v>15</v>
      </c>
    </row>
    <row r="2117" spans="1:4" hidden="1" x14ac:dyDescent="0.25">
      <c r="A2117" t="s">
        <v>20</v>
      </c>
      <c r="B2117">
        <v>37</v>
      </c>
      <c r="C2117">
        <v>16</v>
      </c>
    </row>
    <row r="2118" spans="1:4" hidden="1" x14ac:dyDescent="0.25">
      <c r="A2118" t="s">
        <v>20</v>
      </c>
      <c r="B2118">
        <v>37</v>
      </c>
      <c r="C2118">
        <v>17</v>
      </c>
    </row>
    <row r="2119" spans="1:4" hidden="1" x14ac:dyDescent="0.25">
      <c r="A2119" t="s">
        <v>20</v>
      </c>
      <c r="B2119">
        <v>37</v>
      </c>
      <c r="C2119">
        <v>18</v>
      </c>
    </row>
    <row r="2120" spans="1:4" hidden="1" x14ac:dyDescent="0.25">
      <c r="A2120" t="s">
        <v>20</v>
      </c>
      <c r="B2120">
        <v>37</v>
      </c>
      <c r="C2120">
        <v>19</v>
      </c>
    </row>
    <row r="2121" spans="1:4" hidden="1" x14ac:dyDescent="0.25">
      <c r="A2121" t="s">
        <v>20</v>
      </c>
      <c r="B2121">
        <v>37</v>
      </c>
      <c r="C2121">
        <v>20</v>
      </c>
    </row>
    <row r="2122" spans="1:4" hidden="1" x14ac:dyDescent="0.25">
      <c r="A2122" t="s">
        <v>20</v>
      </c>
      <c r="B2122">
        <v>37</v>
      </c>
      <c r="C2122">
        <v>21</v>
      </c>
    </row>
    <row r="2123" spans="1:4" hidden="1" x14ac:dyDescent="0.25">
      <c r="A2123" t="s">
        <v>20</v>
      </c>
      <c r="B2123">
        <v>37</v>
      </c>
      <c r="C2123">
        <v>22</v>
      </c>
      <c r="D2123">
        <v>1</v>
      </c>
    </row>
    <row r="2124" spans="1:4" hidden="1" x14ac:dyDescent="0.25">
      <c r="A2124" t="s">
        <v>20</v>
      </c>
      <c r="B2124">
        <v>37</v>
      </c>
      <c r="C2124">
        <v>23</v>
      </c>
    </row>
    <row r="2125" spans="1:4" hidden="1" x14ac:dyDescent="0.25">
      <c r="A2125" t="s">
        <v>20</v>
      </c>
      <c r="B2125">
        <v>37</v>
      </c>
      <c r="C2125">
        <v>24</v>
      </c>
    </row>
    <row r="2126" spans="1:4" hidden="1" x14ac:dyDescent="0.25">
      <c r="A2126" t="s">
        <v>20</v>
      </c>
      <c r="B2126">
        <v>37</v>
      </c>
      <c r="C2126">
        <v>25</v>
      </c>
      <c r="D2126">
        <v>1</v>
      </c>
    </row>
    <row r="2127" spans="1:4" hidden="1" x14ac:dyDescent="0.25">
      <c r="A2127" t="s">
        <v>20</v>
      </c>
      <c r="B2127">
        <v>37</v>
      </c>
      <c r="C2127">
        <v>26</v>
      </c>
    </row>
    <row r="2128" spans="1:4" hidden="1" x14ac:dyDescent="0.25">
      <c r="A2128" t="s">
        <v>20</v>
      </c>
      <c r="B2128">
        <v>37</v>
      </c>
      <c r="C2128">
        <v>27</v>
      </c>
    </row>
    <row r="2129" spans="1:4" hidden="1" x14ac:dyDescent="0.25">
      <c r="A2129" t="s">
        <v>20</v>
      </c>
      <c r="B2129">
        <v>37</v>
      </c>
      <c r="C2129">
        <v>28</v>
      </c>
    </row>
    <row r="2130" spans="1:4" hidden="1" x14ac:dyDescent="0.25">
      <c r="A2130" t="s">
        <v>20</v>
      </c>
      <c r="B2130">
        <v>37</v>
      </c>
      <c r="C2130">
        <v>29</v>
      </c>
    </row>
    <row r="2131" spans="1:4" hidden="1" x14ac:dyDescent="0.25">
      <c r="A2131" t="s">
        <v>20</v>
      </c>
      <c r="B2131">
        <v>37</v>
      </c>
      <c r="C2131">
        <v>30</v>
      </c>
    </row>
    <row r="2132" spans="1:4" hidden="1" x14ac:dyDescent="0.25">
      <c r="A2132" t="s">
        <v>20</v>
      </c>
      <c r="B2132">
        <v>37</v>
      </c>
      <c r="C2132">
        <v>31</v>
      </c>
      <c r="D2132">
        <v>1</v>
      </c>
    </row>
    <row r="2133" spans="1:4" hidden="1" x14ac:dyDescent="0.25">
      <c r="A2133" t="s">
        <v>20</v>
      </c>
      <c r="B2133">
        <v>37</v>
      </c>
      <c r="C2133">
        <v>32</v>
      </c>
    </row>
    <row r="2134" spans="1:4" hidden="1" x14ac:dyDescent="0.25">
      <c r="A2134" t="s">
        <v>20</v>
      </c>
      <c r="B2134">
        <v>37</v>
      </c>
      <c r="C2134">
        <v>33</v>
      </c>
    </row>
    <row r="2135" spans="1:4" hidden="1" x14ac:dyDescent="0.25">
      <c r="A2135" t="s">
        <v>20</v>
      </c>
      <c r="B2135">
        <v>37</v>
      </c>
      <c r="C2135">
        <v>34</v>
      </c>
      <c r="D2135">
        <v>1</v>
      </c>
    </row>
    <row r="2136" spans="1:4" hidden="1" x14ac:dyDescent="0.25">
      <c r="A2136" t="s">
        <v>20</v>
      </c>
      <c r="B2136">
        <v>37</v>
      </c>
      <c r="C2136">
        <v>35</v>
      </c>
    </row>
    <row r="2137" spans="1:4" hidden="1" x14ac:dyDescent="0.25">
      <c r="A2137" t="s">
        <v>20</v>
      </c>
      <c r="B2137">
        <v>37</v>
      </c>
      <c r="C2137">
        <v>36</v>
      </c>
    </row>
    <row r="2138" spans="1:4" hidden="1" x14ac:dyDescent="0.25">
      <c r="A2138" t="s">
        <v>20</v>
      </c>
      <c r="B2138">
        <v>37</v>
      </c>
      <c r="C2138">
        <v>37</v>
      </c>
    </row>
    <row r="2139" spans="1:4" hidden="1" x14ac:dyDescent="0.25">
      <c r="A2139" t="s">
        <v>20</v>
      </c>
      <c r="B2139">
        <v>37</v>
      </c>
      <c r="C2139">
        <v>38</v>
      </c>
    </row>
    <row r="2140" spans="1:4" hidden="1" x14ac:dyDescent="0.25">
      <c r="A2140" t="s">
        <v>20</v>
      </c>
      <c r="B2140">
        <v>37</v>
      </c>
      <c r="C2140">
        <v>39</v>
      </c>
    </row>
    <row r="2141" spans="1:4" hidden="1" x14ac:dyDescent="0.25">
      <c r="A2141" t="s">
        <v>20</v>
      </c>
      <c r="B2141">
        <v>37</v>
      </c>
      <c r="C2141">
        <v>40</v>
      </c>
    </row>
    <row r="2142" spans="1:4" hidden="1" x14ac:dyDescent="0.25">
      <c r="A2142" t="s">
        <v>20</v>
      </c>
      <c r="B2142">
        <v>37</v>
      </c>
      <c r="C2142">
        <v>41</v>
      </c>
    </row>
    <row r="2143" spans="1:4" hidden="1" x14ac:dyDescent="0.25">
      <c r="A2143" t="s">
        <v>20</v>
      </c>
      <c r="B2143">
        <v>37</v>
      </c>
      <c r="C2143">
        <v>42</v>
      </c>
    </row>
    <row r="2144" spans="1:4" hidden="1" x14ac:dyDescent="0.25">
      <c r="A2144" t="s">
        <v>20</v>
      </c>
      <c r="B2144">
        <v>37</v>
      </c>
      <c r="C2144">
        <v>43</v>
      </c>
    </row>
    <row r="2145" spans="1:4" hidden="1" x14ac:dyDescent="0.25">
      <c r="A2145" t="s">
        <v>20</v>
      </c>
      <c r="B2145">
        <v>37</v>
      </c>
      <c r="C2145">
        <v>44</v>
      </c>
    </row>
    <row r="2146" spans="1:4" hidden="1" x14ac:dyDescent="0.25">
      <c r="A2146" t="s">
        <v>20</v>
      </c>
      <c r="B2146">
        <v>37</v>
      </c>
      <c r="C2146">
        <v>45</v>
      </c>
    </row>
    <row r="2147" spans="1:4" hidden="1" x14ac:dyDescent="0.25">
      <c r="A2147" t="s">
        <v>20</v>
      </c>
      <c r="B2147">
        <v>37</v>
      </c>
      <c r="C2147">
        <v>46</v>
      </c>
      <c r="D2147">
        <v>1</v>
      </c>
    </row>
    <row r="2148" spans="1:4" hidden="1" x14ac:dyDescent="0.25">
      <c r="A2148" t="s">
        <v>20</v>
      </c>
      <c r="B2148">
        <v>37</v>
      </c>
      <c r="C2148">
        <v>47</v>
      </c>
    </row>
    <row r="2149" spans="1:4" hidden="1" x14ac:dyDescent="0.25">
      <c r="A2149" t="s">
        <v>20</v>
      </c>
      <c r="B2149">
        <v>37</v>
      </c>
      <c r="C2149">
        <v>48</v>
      </c>
    </row>
    <row r="2150" spans="1:4" hidden="1" x14ac:dyDescent="0.25">
      <c r="A2150" t="s">
        <v>20</v>
      </c>
      <c r="B2150">
        <v>37</v>
      </c>
      <c r="C2150">
        <v>49</v>
      </c>
      <c r="D2150">
        <v>1</v>
      </c>
    </row>
    <row r="2151" spans="1:4" hidden="1" x14ac:dyDescent="0.25">
      <c r="A2151" t="s">
        <v>20</v>
      </c>
      <c r="B2151">
        <v>37</v>
      </c>
      <c r="C2151">
        <v>50</v>
      </c>
    </row>
    <row r="2152" spans="1:4" hidden="1" x14ac:dyDescent="0.25">
      <c r="A2152" t="s">
        <v>20</v>
      </c>
      <c r="B2152">
        <v>37</v>
      </c>
      <c r="C2152">
        <v>51</v>
      </c>
    </row>
    <row r="2153" spans="1:4" hidden="1" x14ac:dyDescent="0.25">
      <c r="A2153" t="s">
        <v>20</v>
      </c>
      <c r="B2153">
        <v>37</v>
      </c>
      <c r="C2153">
        <v>52</v>
      </c>
      <c r="D2153">
        <v>1</v>
      </c>
    </row>
    <row r="2154" spans="1:4" hidden="1" x14ac:dyDescent="0.25">
      <c r="A2154" t="s">
        <v>20</v>
      </c>
      <c r="B2154">
        <v>37</v>
      </c>
      <c r="C2154">
        <v>53</v>
      </c>
    </row>
    <row r="2155" spans="1:4" hidden="1" x14ac:dyDescent="0.25">
      <c r="A2155" t="s">
        <v>20</v>
      </c>
      <c r="B2155">
        <v>37</v>
      </c>
      <c r="C2155">
        <v>54</v>
      </c>
    </row>
    <row r="2156" spans="1:4" hidden="1" x14ac:dyDescent="0.25">
      <c r="A2156" t="s">
        <v>20</v>
      </c>
      <c r="B2156">
        <v>37</v>
      </c>
      <c r="C2156">
        <v>55</v>
      </c>
      <c r="D2156">
        <v>1</v>
      </c>
    </row>
    <row r="2157" spans="1:4" hidden="1" x14ac:dyDescent="0.25">
      <c r="A2157" t="s">
        <v>20</v>
      </c>
      <c r="B2157">
        <v>37</v>
      </c>
      <c r="C2157">
        <v>56</v>
      </c>
    </row>
    <row r="2158" spans="1:4" hidden="1" x14ac:dyDescent="0.25">
      <c r="A2158" t="s">
        <v>20</v>
      </c>
      <c r="B2158">
        <v>37</v>
      </c>
      <c r="C2158">
        <v>57</v>
      </c>
    </row>
    <row r="2159" spans="1:4" hidden="1" x14ac:dyDescent="0.25">
      <c r="A2159" t="s">
        <v>20</v>
      </c>
      <c r="B2159">
        <v>37</v>
      </c>
      <c r="C2159">
        <v>58</v>
      </c>
      <c r="D2159">
        <v>1</v>
      </c>
    </row>
    <row r="2160" spans="1:4" hidden="1" x14ac:dyDescent="0.25">
      <c r="A2160" t="s">
        <v>20</v>
      </c>
      <c r="B2160">
        <v>37</v>
      </c>
      <c r="C2160">
        <v>59</v>
      </c>
    </row>
    <row r="2161" spans="1:4" hidden="1" x14ac:dyDescent="0.25">
      <c r="A2161" t="s">
        <v>20</v>
      </c>
      <c r="B2161">
        <v>37</v>
      </c>
      <c r="C2161">
        <v>60</v>
      </c>
    </row>
    <row r="2162" spans="1:4" hidden="1" x14ac:dyDescent="0.25">
      <c r="A2162" t="s">
        <v>20</v>
      </c>
      <c r="B2162">
        <v>37</v>
      </c>
      <c r="C2162">
        <v>61</v>
      </c>
    </row>
    <row r="2163" spans="1:4" hidden="1" x14ac:dyDescent="0.25">
      <c r="A2163" t="s">
        <v>20</v>
      </c>
      <c r="B2163">
        <v>37</v>
      </c>
      <c r="C2163">
        <v>62</v>
      </c>
      <c r="D2163">
        <v>1</v>
      </c>
    </row>
    <row r="2164" spans="1:4" hidden="1" x14ac:dyDescent="0.25">
      <c r="A2164" t="s">
        <v>20</v>
      </c>
      <c r="B2164">
        <v>37</v>
      </c>
      <c r="C2164">
        <v>63</v>
      </c>
    </row>
    <row r="2165" spans="1:4" hidden="1" x14ac:dyDescent="0.25">
      <c r="A2165" t="s">
        <v>20</v>
      </c>
      <c r="B2165">
        <v>37</v>
      </c>
      <c r="C2165">
        <v>64</v>
      </c>
    </row>
    <row r="2166" spans="1:4" hidden="1" x14ac:dyDescent="0.25">
      <c r="A2166" t="s">
        <v>20</v>
      </c>
      <c r="B2166">
        <v>37</v>
      </c>
      <c r="C2166">
        <v>65</v>
      </c>
    </row>
    <row r="2167" spans="1:4" hidden="1" x14ac:dyDescent="0.25">
      <c r="A2167" t="s">
        <v>20</v>
      </c>
      <c r="B2167">
        <v>37</v>
      </c>
      <c r="C2167">
        <v>66</v>
      </c>
    </row>
    <row r="2168" spans="1:4" hidden="1" x14ac:dyDescent="0.25">
      <c r="A2168" t="s">
        <v>20</v>
      </c>
      <c r="B2168">
        <v>37</v>
      </c>
      <c r="C2168">
        <v>67</v>
      </c>
      <c r="D2168">
        <v>1</v>
      </c>
    </row>
    <row r="2169" spans="1:4" hidden="1" x14ac:dyDescent="0.25">
      <c r="A2169" t="s">
        <v>20</v>
      </c>
      <c r="B2169">
        <v>37</v>
      </c>
      <c r="C2169">
        <v>68</v>
      </c>
    </row>
    <row r="2170" spans="1:4" hidden="1" x14ac:dyDescent="0.25">
      <c r="A2170" t="s">
        <v>20</v>
      </c>
      <c r="B2170">
        <v>37</v>
      </c>
      <c r="C2170">
        <v>69</v>
      </c>
    </row>
    <row r="2171" spans="1:4" hidden="1" x14ac:dyDescent="0.25">
      <c r="A2171" t="s">
        <v>20</v>
      </c>
      <c r="B2171">
        <v>37</v>
      </c>
      <c r="C2171">
        <v>70</v>
      </c>
      <c r="D2171">
        <v>1</v>
      </c>
    </row>
    <row r="2172" spans="1:4" hidden="1" x14ac:dyDescent="0.25">
      <c r="A2172" t="s">
        <v>20</v>
      </c>
      <c r="B2172">
        <v>37</v>
      </c>
      <c r="C2172">
        <v>71</v>
      </c>
    </row>
    <row r="2173" spans="1:4" hidden="1" x14ac:dyDescent="0.25">
      <c r="A2173" t="s">
        <v>20</v>
      </c>
      <c r="B2173">
        <v>37</v>
      </c>
      <c r="C2173">
        <v>72</v>
      </c>
    </row>
    <row r="2174" spans="1:4" hidden="1" x14ac:dyDescent="0.25">
      <c r="A2174" t="s">
        <v>20</v>
      </c>
      <c r="B2174">
        <v>37</v>
      </c>
      <c r="C2174">
        <v>73</v>
      </c>
      <c r="D2174">
        <v>1</v>
      </c>
    </row>
    <row r="2175" spans="1:4" hidden="1" x14ac:dyDescent="0.25">
      <c r="A2175" t="s">
        <v>20</v>
      </c>
      <c r="B2175">
        <v>37</v>
      </c>
      <c r="C2175">
        <v>74</v>
      </c>
    </row>
    <row r="2176" spans="1:4" hidden="1" x14ac:dyDescent="0.25">
      <c r="A2176" t="s">
        <v>20</v>
      </c>
      <c r="B2176">
        <v>37</v>
      </c>
      <c r="C2176">
        <v>75</v>
      </c>
    </row>
    <row r="2177" spans="1:4" hidden="1" x14ac:dyDescent="0.25">
      <c r="A2177" t="s">
        <v>20</v>
      </c>
      <c r="B2177">
        <v>37</v>
      </c>
      <c r="C2177">
        <v>76</v>
      </c>
      <c r="D2177">
        <v>1</v>
      </c>
    </row>
    <row r="2178" spans="1:4" hidden="1" x14ac:dyDescent="0.25">
      <c r="A2178" t="s">
        <v>20</v>
      </c>
      <c r="B2178">
        <v>37</v>
      </c>
      <c r="C2178">
        <v>77</v>
      </c>
    </row>
    <row r="2179" spans="1:4" hidden="1" x14ac:dyDescent="0.25">
      <c r="A2179" t="s">
        <v>20</v>
      </c>
      <c r="B2179">
        <v>37</v>
      </c>
      <c r="C2179">
        <v>78</v>
      </c>
    </row>
    <row r="2180" spans="1:4" hidden="1" x14ac:dyDescent="0.25">
      <c r="A2180" t="s">
        <v>20</v>
      </c>
      <c r="B2180">
        <v>37</v>
      </c>
      <c r="C2180">
        <v>79</v>
      </c>
      <c r="D2180">
        <v>1</v>
      </c>
    </row>
    <row r="2181" spans="1:4" hidden="1" x14ac:dyDescent="0.25">
      <c r="A2181" t="s">
        <v>20</v>
      </c>
      <c r="B2181">
        <v>37</v>
      </c>
      <c r="C2181">
        <v>80</v>
      </c>
    </row>
    <row r="2182" spans="1:4" hidden="1" x14ac:dyDescent="0.25">
      <c r="A2182" t="s">
        <v>20</v>
      </c>
      <c r="B2182">
        <v>37</v>
      </c>
      <c r="C2182">
        <v>81</v>
      </c>
    </row>
    <row r="2183" spans="1:4" hidden="1" x14ac:dyDescent="0.25">
      <c r="A2183" t="s">
        <v>20</v>
      </c>
      <c r="B2183">
        <v>37</v>
      </c>
      <c r="C2183">
        <v>82</v>
      </c>
    </row>
    <row r="2184" spans="1:4" hidden="1" x14ac:dyDescent="0.25">
      <c r="A2184" t="s">
        <v>20</v>
      </c>
      <c r="B2184">
        <v>37</v>
      </c>
      <c r="C2184">
        <v>83</v>
      </c>
    </row>
    <row r="2185" spans="1:4" hidden="1" x14ac:dyDescent="0.25">
      <c r="A2185" t="s">
        <v>20</v>
      </c>
      <c r="B2185">
        <v>37</v>
      </c>
      <c r="C2185">
        <v>84</v>
      </c>
    </row>
    <row r="2186" spans="1:4" hidden="1" x14ac:dyDescent="0.25">
      <c r="A2186" t="s">
        <v>20</v>
      </c>
      <c r="B2186">
        <v>38</v>
      </c>
      <c r="C2186">
        <v>1</v>
      </c>
    </row>
    <row r="2187" spans="1:4" hidden="1" x14ac:dyDescent="0.25">
      <c r="A2187" t="s">
        <v>20</v>
      </c>
      <c r="B2187">
        <v>38</v>
      </c>
      <c r="C2187">
        <v>2</v>
      </c>
      <c r="D2187">
        <v>1</v>
      </c>
    </row>
    <row r="2188" spans="1:4" hidden="1" x14ac:dyDescent="0.25">
      <c r="A2188" t="s">
        <v>20</v>
      </c>
      <c r="B2188">
        <v>38</v>
      </c>
      <c r="C2188">
        <v>3</v>
      </c>
    </row>
    <row r="2189" spans="1:4" hidden="1" x14ac:dyDescent="0.25">
      <c r="A2189" t="s">
        <v>20</v>
      </c>
      <c r="B2189">
        <v>38</v>
      </c>
      <c r="C2189">
        <v>4</v>
      </c>
    </row>
    <row r="2190" spans="1:4" hidden="1" x14ac:dyDescent="0.25">
      <c r="A2190" t="s">
        <v>20</v>
      </c>
      <c r="B2190">
        <v>38</v>
      </c>
      <c r="C2190">
        <v>5</v>
      </c>
    </row>
    <row r="2191" spans="1:4" hidden="1" x14ac:dyDescent="0.25">
      <c r="A2191" t="s">
        <v>20</v>
      </c>
      <c r="B2191">
        <v>38</v>
      </c>
      <c r="C2191">
        <v>6</v>
      </c>
    </row>
    <row r="2192" spans="1:4" hidden="1" x14ac:dyDescent="0.25">
      <c r="A2192" t="s">
        <v>20</v>
      </c>
      <c r="B2192">
        <v>38</v>
      </c>
      <c r="C2192">
        <v>7</v>
      </c>
    </row>
    <row r="2193" spans="1:4" hidden="1" x14ac:dyDescent="0.25">
      <c r="A2193" t="s">
        <v>20</v>
      </c>
      <c r="B2193">
        <v>38</v>
      </c>
      <c r="C2193">
        <v>8</v>
      </c>
    </row>
    <row r="2194" spans="1:4" hidden="1" x14ac:dyDescent="0.25">
      <c r="A2194" t="s">
        <v>20</v>
      </c>
      <c r="B2194">
        <v>38</v>
      </c>
      <c r="C2194">
        <v>9</v>
      </c>
    </row>
    <row r="2195" spans="1:4" hidden="1" x14ac:dyDescent="0.25">
      <c r="A2195" t="s">
        <v>20</v>
      </c>
      <c r="B2195">
        <v>38</v>
      </c>
      <c r="C2195">
        <v>10</v>
      </c>
    </row>
    <row r="2196" spans="1:4" hidden="1" x14ac:dyDescent="0.25">
      <c r="A2196" t="s">
        <v>20</v>
      </c>
      <c r="B2196">
        <v>38</v>
      </c>
      <c r="C2196">
        <v>11</v>
      </c>
    </row>
    <row r="2197" spans="1:4" hidden="1" x14ac:dyDescent="0.25">
      <c r="A2197" t="s">
        <v>20</v>
      </c>
      <c r="B2197">
        <v>38</v>
      </c>
      <c r="C2197">
        <v>12</v>
      </c>
    </row>
    <row r="2198" spans="1:4" hidden="1" x14ac:dyDescent="0.25">
      <c r="A2198" t="s">
        <v>20</v>
      </c>
      <c r="B2198">
        <v>38</v>
      </c>
      <c r="C2198">
        <v>13</v>
      </c>
    </row>
    <row r="2199" spans="1:4" hidden="1" x14ac:dyDescent="0.25">
      <c r="A2199" t="s">
        <v>20</v>
      </c>
      <c r="B2199">
        <v>38</v>
      </c>
      <c r="C2199">
        <v>14</v>
      </c>
      <c r="D2199">
        <v>1</v>
      </c>
    </row>
    <row r="2200" spans="1:4" hidden="1" x14ac:dyDescent="0.25">
      <c r="A2200" t="s">
        <v>20</v>
      </c>
      <c r="B2200">
        <v>38</v>
      </c>
      <c r="C2200">
        <v>15</v>
      </c>
    </row>
    <row r="2201" spans="1:4" hidden="1" x14ac:dyDescent="0.25">
      <c r="A2201" t="s">
        <v>20</v>
      </c>
      <c r="B2201">
        <v>38</v>
      </c>
      <c r="C2201">
        <v>16</v>
      </c>
    </row>
    <row r="2202" spans="1:4" hidden="1" x14ac:dyDescent="0.25">
      <c r="A2202" t="s">
        <v>20</v>
      </c>
      <c r="B2202">
        <v>38</v>
      </c>
      <c r="C2202">
        <v>17</v>
      </c>
      <c r="D2202">
        <v>1</v>
      </c>
    </row>
    <row r="2203" spans="1:4" hidden="1" x14ac:dyDescent="0.25">
      <c r="A2203" t="s">
        <v>20</v>
      </c>
      <c r="B2203">
        <v>38</v>
      </c>
      <c r="C2203">
        <v>18</v>
      </c>
    </row>
    <row r="2204" spans="1:4" hidden="1" x14ac:dyDescent="0.25">
      <c r="A2204" t="s">
        <v>20</v>
      </c>
      <c r="B2204">
        <v>38</v>
      </c>
      <c r="C2204">
        <v>19</v>
      </c>
    </row>
    <row r="2205" spans="1:4" hidden="1" x14ac:dyDescent="0.25">
      <c r="A2205" t="s">
        <v>20</v>
      </c>
      <c r="B2205">
        <v>38</v>
      </c>
      <c r="C2205">
        <v>20</v>
      </c>
    </row>
    <row r="2206" spans="1:4" hidden="1" x14ac:dyDescent="0.25">
      <c r="A2206" t="s">
        <v>20</v>
      </c>
      <c r="B2206">
        <v>38</v>
      </c>
      <c r="C2206">
        <v>21</v>
      </c>
    </row>
    <row r="2207" spans="1:4" hidden="1" x14ac:dyDescent="0.25">
      <c r="A2207" t="s">
        <v>20</v>
      </c>
      <c r="B2207">
        <v>38</v>
      </c>
      <c r="C2207">
        <v>22</v>
      </c>
    </row>
    <row r="2208" spans="1:4" hidden="1" x14ac:dyDescent="0.25">
      <c r="A2208" t="s">
        <v>20</v>
      </c>
      <c r="B2208">
        <v>38</v>
      </c>
      <c r="C2208">
        <v>23</v>
      </c>
      <c r="D2208">
        <v>1</v>
      </c>
    </row>
    <row r="2209" spans="1:4" hidden="1" x14ac:dyDescent="0.25">
      <c r="A2209" t="s">
        <v>20</v>
      </c>
      <c r="B2209">
        <v>38</v>
      </c>
      <c r="C2209">
        <v>24</v>
      </c>
    </row>
    <row r="2210" spans="1:4" hidden="1" x14ac:dyDescent="0.25">
      <c r="A2210" t="s">
        <v>20</v>
      </c>
      <c r="B2210">
        <v>38</v>
      </c>
      <c r="C2210">
        <v>25</v>
      </c>
    </row>
    <row r="2211" spans="1:4" hidden="1" x14ac:dyDescent="0.25">
      <c r="A2211" t="s">
        <v>20</v>
      </c>
      <c r="B2211">
        <v>38</v>
      </c>
      <c r="C2211">
        <v>26</v>
      </c>
      <c r="D2211">
        <v>1</v>
      </c>
    </row>
    <row r="2212" spans="1:4" hidden="1" x14ac:dyDescent="0.25">
      <c r="A2212" t="s">
        <v>20</v>
      </c>
      <c r="B2212">
        <v>38</v>
      </c>
      <c r="C2212">
        <v>27</v>
      </c>
    </row>
    <row r="2213" spans="1:4" hidden="1" x14ac:dyDescent="0.25">
      <c r="A2213" t="s">
        <v>20</v>
      </c>
      <c r="B2213">
        <v>38</v>
      </c>
      <c r="C2213">
        <v>28</v>
      </c>
    </row>
    <row r="2214" spans="1:4" hidden="1" x14ac:dyDescent="0.25">
      <c r="A2214" t="s">
        <v>20</v>
      </c>
      <c r="B2214">
        <v>38</v>
      </c>
      <c r="C2214">
        <v>29</v>
      </c>
      <c r="D2214">
        <v>1</v>
      </c>
    </row>
    <row r="2215" spans="1:4" hidden="1" x14ac:dyDescent="0.25">
      <c r="A2215" t="s">
        <v>20</v>
      </c>
      <c r="B2215">
        <v>38</v>
      </c>
      <c r="C2215">
        <v>30</v>
      </c>
    </row>
    <row r="2216" spans="1:4" hidden="1" x14ac:dyDescent="0.25">
      <c r="A2216" t="s">
        <v>20</v>
      </c>
      <c r="B2216">
        <v>38</v>
      </c>
      <c r="C2216">
        <v>31</v>
      </c>
    </row>
    <row r="2217" spans="1:4" hidden="1" x14ac:dyDescent="0.25">
      <c r="A2217" t="s">
        <v>20</v>
      </c>
      <c r="B2217">
        <v>38</v>
      </c>
      <c r="C2217">
        <v>32</v>
      </c>
    </row>
    <row r="2218" spans="1:4" hidden="1" x14ac:dyDescent="0.25">
      <c r="A2218" t="s">
        <v>20</v>
      </c>
      <c r="B2218">
        <v>38</v>
      </c>
      <c r="C2218">
        <v>33</v>
      </c>
    </row>
    <row r="2219" spans="1:4" hidden="1" x14ac:dyDescent="0.25">
      <c r="A2219" t="s">
        <v>20</v>
      </c>
      <c r="B2219">
        <v>38</v>
      </c>
      <c r="C2219">
        <v>34</v>
      </c>
    </row>
    <row r="2220" spans="1:4" hidden="1" x14ac:dyDescent="0.25">
      <c r="A2220" t="s">
        <v>20</v>
      </c>
      <c r="B2220">
        <v>38</v>
      </c>
      <c r="C2220">
        <v>35</v>
      </c>
      <c r="D2220">
        <v>1</v>
      </c>
    </row>
    <row r="2221" spans="1:4" hidden="1" x14ac:dyDescent="0.25">
      <c r="A2221" t="s">
        <v>20</v>
      </c>
      <c r="B2221">
        <v>38</v>
      </c>
      <c r="C2221">
        <v>36</v>
      </c>
    </row>
    <row r="2222" spans="1:4" hidden="1" x14ac:dyDescent="0.25">
      <c r="A2222" t="s">
        <v>20</v>
      </c>
      <c r="B2222">
        <v>38</v>
      </c>
      <c r="C2222">
        <v>37</v>
      </c>
    </row>
    <row r="2223" spans="1:4" hidden="1" x14ac:dyDescent="0.25">
      <c r="A2223" t="s">
        <v>20</v>
      </c>
      <c r="B2223">
        <v>38</v>
      </c>
      <c r="C2223">
        <v>38</v>
      </c>
      <c r="D2223">
        <v>1</v>
      </c>
    </row>
    <row r="2224" spans="1:4" hidden="1" x14ac:dyDescent="0.25">
      <c r="A2224" t="s">
        <v>20</v>
      </c>
      <c r="B2224">
        <v>38</v>
      </c>
      <c r="C2224">
        <v>39</v>
      </c>
    </row>
    <row r="2225" spans="1:4" hidden="1" x14ac:dyDescent="0.25">
      <c r="A2225" t="s">
        <v>20</v>
      </c>
      <c r="B2225">
        <v>38</v>
      </c>
      <c r="C2225">
        <v>40</v>
      </c>
    </row>
    <row r="2226" spans="1:4" hidden="1" x14ac:dyDescent="0.25">
      <c r="A2226" t="s">
        <v>20</v>
      </c>
      <c r="B2226">
        <v>38</v>
      </c>
      <c r="C2226">
        <v>41</v>
      </c>
      <c r="D2226">
        <v>1</v>
      </c>
    </row>
    <row r="2227" spans="1:4" hidden="1" x14ac:dyDescent="0.25">
      <c r="A2227" t="s">
        <v>20</v>
      </c>
      <c r="B2227">
        <v>38</v>
      </c>
      <c r="C2227">
        <v>42</v>
      </c>
    </row>
    <row r="2228" spans="1:4" hidden="1" x14ac:dyDescent="0.25">
      <c r="A2228" t="s">
        <v>20</v>
      </c>
      <c r="B2228">
        <v>38</v>
      </c>
      <c r="C2228">
        <v>43</v>
      </c>
    </row>
    <row r="2229" spans="1:4" hidden="1" x14ac:dyDescent="0.25">
      <c r="A2229" t="s">
        <v>20</v>
      </c>
      <c r="B2229">
        <v>38</v>
      </c>
      <c r="C2229">
        <v>44</v>
      </c>
    </row>
    <row r="2230" spans="1:4" hidden="1" x14ac:dyDescent="0.25">
      <c r="A2230" t="s">
        <v>20</v>
      </c>
      <c r="B2230">
        <v>38</v>
      </c>
      <c r="C2230">
        <v>45</v>
      </c>
    </row>
    <row r="2231" spans="1:4" hidden="1" x14ac:dyDescent="0.25">
      <c r="A2231" t="s">
        <v>20</v>
      </c>
      <c r="B2231">
        <v>38</v>
      </c>
      <c r="C2231">
        <v>46</v>
      </c>
    </row>
    <row r="2232" spans="1:4" hidden="1" x14ac:dyDescent="0.25">
      <c r="A2232" t="s">
        <v>20</v>
      </c>
      <c r="B2232">
        <v>38</v>
      </c>
      <c r="C2232">
        <v>47</v>
      </c>
    </row>
    <row r="2233" spans="1:4" hidden="1" x14ac:dyDescent="0.25">
      <c r="A2233" t="s">
        <v>20</v>
      </c>
      <c r="B2233">
        <v>38</v>
      </c>
      <c r="C2233">
        <v>48</v>
      </c>
    </row>
    <row r="2234" spans="1:4" hidden="1" x14ac:dyDescent="0.25">
      <c r="A2234" t="s">
        <v>20</v>
      </c>
      <c r="B2234">
        <v>38</v>
      </c>
      <c r="C2234">
        <v>49</v>
      </c>
    </row>
    <row r="2235" spans="1:4" hidden="1" x14ac:dyDescent="0.25">
      <c r="A2235" t="s">
        <v>20</v>
      </c>
      <c r="B2235">
        <v>38</v>
      </c>
      <c r="C2235">
        <v>50</v>
      </c>
    </row>
    <row r="2236" spans="1:4" hidden="1" x14ac:dyDescent="0.25">
      <c r="A2236" t="s">
        <v>20</v>
      </c>
      <c r="B2236">
        <v>38</v>
      </c>
      <c r="C2236">
        <v>51</v>
      </c>
    </row>
    <row r="2237" spans="1:4" hidden="1" x14ac:dyDescent="0.25">
      <c r="A2237" t="s">
        <v>20</v>
      </c>
      <c r="B2237">
        <v>38</v>
      </c>
      <c r="C2237">
        <v>52</v>
      </c>
    </row>
    <row r="2238" spans="1:4" hidden="1" x14ac:dyDescent="0.25">
      <c r="A2238" t="s">
        <v>20</v>
      </c>
      <c r="B2238">
        <v>38</v>
      </c>
      <c r="C2238">
        <v>53</v>
      </c>
      <c r="D2238">
        <v>1</v>
      </c>
    </row>
    <row r="2239" spans="1:4" hidden="1" x14ac:dyDescent="0.25">
      <c r="A2239" t="s">
        <v>20</v>
      </c>
      <c r="B2239">
        <v>38</v>
      </c>
      <c r="C2239">
        <v>54</v>
      </c>
    </row>
    <row r="2240" spans="1:4" hidden="1" x14ac:dyDescent="0.25">
      <c r="A2240" t="s">
        <v>20</v>
      </c>
      <c r="B2240">
        <v>38</v>
      </c>
      <c r="C2240">
        <v>55</v>
      </c>
    </row>
    <row r="2241" spans="1:4" hidden="1" x14ac:dyDescent="0.25">
      <c r="A2241" t="s">
        <v>20</v>
      </c>
      <c r="B2241">
        <v>38</v>
      </c>
      <c r="C2241">
        <v>56</v>
      </c>
      <c r="D2241">
        <v>1</v>
      </c>
    </row>
    <row r="2242" spans="1:4" hidden="1" x14ac:dyDescent="0.25">
      <c r="A2242" t="s">
        <v>20</v>
      </c>
      <c r="B2242">
        <v>38</v>
      </c>
      <c r="C2242">
        <v>57</v>
      </c>
    </row>
    <row r="2243" spans="1:4" hidden="1" x14ac:dyDescent="0.25">
      <c r="A2243" t="s">
        <v>20</v>
      </c>
      <c r="B2243">
        <v>38</v>
      </c>
      <c r="C2243">
        <v>58</v>
      </c>
    </row>
    <row r="2244" spans="1:4" hidden="1" x14ac:dyDescent="0.25">
      <c r="A2244" t="s">
        <v>20</v>
      </c>
      <c r="B2244">
        <v>38</v>
      </c>
      <c r="C2244">
        <v>59</v>
      </c>
      <c r="D2244">
        <v>1</v>
      </c>
    </row>
    <row r="2245" spans="1:4" hidden="1" x14ac:dyDescent="0.25">
      <c r="A2245" t="s">
        <v>20</v>
      </c>
      <c r="B2245">
        <v>38</v>
      </c>
      <c r="C2245">
        <v>60</v>
      </c>
    </row>
    <row r="2246" spans="1:4" hidden="1" x14ac:dyDescent="0.25">
      <c r="A2246" t="s">
        <v>20</v>
      </c>
      <c r="B2246">
        <v>38</v>
      </c>
      <c r="C2246">
        <v>61</v>
      </c>
    </row>
    <row r="2247" spans="1:4" hidden="1" x14ac:dyDescent="0.25">
      <c r="A2247" t="s">
        <v>20</v>
      </c>
      <c r="B2247">
        <v>38</v>
      </c>
      <c r="C2247">
        <v>62</v>
      </c>
      <c r="D2247">
        <v>1</v>
      </c>
    </row>
    <row r="2248" spans="1:4" hidden="1" x14ac:dyDescent="0.25">
      <c r="A2248" t="s">
        <v>20</v>
      </c>
      <c r="B2248">
        <v>38</v>
      </c>
      <c r="C2248">
        <v>63</v>
      </c>
    </row>
    <row r="2249" spans="1:4" hidden="1" x14ac:dyDescent="0.25">
      <c r="A2249" t="s">
        <v>20</v>
      </c>
      <c r="B2249">
        <v>38</v>
      </c>
      <c r="C2249">
        <v>64</v>
      </c>
    </row>
    <row r="2250" spans="1:4" hidden="1" x14ac:dyDescent="0.25">
      <c r="A2250" t="s">
        <v>20</v>
      </c>
      <c r="B2250">
        <v>38</v>
      </c>
      <c r="C2250">
        <v>65</v>
      </c>
    </row>
    <row r="2251" spans="1:4" hidden="1" x14ac:dyDescent="0.25">
      <c r="A2251" t="s">
        <v>20</v>
      </c>
      <c r="B2251">
        <v>38</v>
      </c>
      <c r="C2251">
        <v>66</v>
      </c>
    </row>
    <row r="2252" spans="1:4" hidden="1" x14ac:dyDescent="0.25">
      <c r="A2252" t="s">
        <v>20</v>
      </c>
      <c r="B2252">
        <v>38</v>
      </c>
      <c r="C2252">
        <v>67</v>
      </c>
    </row>
    <row r="2253" spans="1:4" hidden="1" x14ac:dyDescent="0.25">
      <c r="A2253" t="s">
        <v>20</v>
      </c>
      <c r="B2253">
        <v>38</v>
      </c>
      <c r="C2253">
        <v>68</v>
      </c>
    </row>
    <row r="2254" spans="1:4" hidden="1" x14ac:dyDescent="0.25">
      <c r="A2254" t="s">
        <v>20</v>
      </c>
      <c r="B2254">
        <v>38</v>
      </c>
      <c r="C2254">
        <v>69</v>
      </c>
    </row>
    <row r="2255" spans="1:4" hidden="1" x14ac:dyDescent="0.25">
      <c r="A2255" t="s">
        <v>20</v>
      </c>
      <c r="B2255">
        <v>38</v>
      </c>
      <c r="C2255">
        <v>70</v>
      </c>
    </row>
    <row r="2256" spans="1:4" hidden="1" x14ac:dyDescent="0.25">
      <c r="A2256" t="s">
        <v>20</v>
      </c>
      <c r="B2256">
        <v>38</v>
      </c>
      <c r="C2256">
        <v>71</v>
      </c>
    </row>
    <row r="2257" spans="1:6" hidden="1" x14ac:dyDescent="0.25">
      <c r="A2257" t="s">
        <v>20</v>
      </c>
      <c r="B2257">
        <v>38</v>
      </c>
      <c r="C2257">
        <v>72</v>
      </c>
    </row>
    <row r="2258" spans="1:6" hidden="1" x14ac:dyDescent="0.25">
      <c r="A2258" t="s">
        <v>20</v>
      </c>
      <c r="B2258">
        <v>38</v>
      </c>
      <c r="C2258">
        <v>73</v>
      </c>
    </row>
    <row r="2259" spans="1:6" hidden="1" x14ac:dyDescent="0.25">
      <c r="A2259" t="s">
        <v>20</v>
      </c>
      <c r="B2259">
        <v>38</v>
      </c>
      <c r="C2259">
        <v>74</v>
      </c>
    </row>
    <row r="2260" spans="1:6" hidden="1" x14ac:dyDescent="0.25">
      <c r="A2260" t="s">
        <v>20</v>
      </c>
      <c r="B2260">
        <v>38</v>
      </c>
      <c r="C2260">
        <v>75</v>
      </c>
    </row>
    <row r="2261" spans="1:6" hidden="1" x14ac:dyDescent="0.25">
      <c r="A2261" t="s">
        <v>20</v>
      </c>
      <c r="B2261">
        <v>38</v>
      </c>
      <c r="C2261">
        <v>76</v>
      </c>
    </row>
    <row r="2262" spans="1:6" hidden="1" x14ac:dyDescent="0.25">
      <c r="A2262" t="s">
        <v>20</v>
      </c>
      <c r="B2262">
        <v>38</v>
      </c>
      <c r="C2262">
        <v>77</v>
      </c>
      <c r="D2262">
        <v>1</v>
      </c>
    </row>
    <row r="2263" spans="1:6" hidden="1" x14ac:dyDescent="0.25">
      <c r="A2263" t="s">
        <v>20</v>
      </c>
      <c r="B2263">
        <v>38</v>
      </c>
      <c r="C2263">
        <v>78</v>
      </c>
    </row>
    <row r="2264" spans="1:6" hidden="1" x14ac:dyDescent="0.25">
      <c r="A2264" t="s">
        <v>20</v>
      </c>
      <c r="B2264">
        <v>38</v>
      </c>
      <c r="C2264">
        <v>79</v>
      </c>
    </row>
    <row r="2265" spans="1:6" hidden="1" x14ac:dyDescent="0.25">
      <c r="A2265" t="s">
        <v>20</v>
      </c>
      <c r="B2265">
        <v>38</v>
      </c>
      <c r="C2265">
        <v>80</v>
      </c>
      <c r="D2265">
        <v>1</v>
      </c>
    </row>
    <row r="2266" spans="1:6" hidden="1" x14ac:dyDescent="0.25">
      <c r="A2266" t="s">
        <v>20</v>
      </c>
      <c r="B2266">
        <v>38</v>
      </c>
      <c r="C2266">
        <v>81</v>
      </c>
    </row>
    <row r="2267" spans="1:6" hidden="1" x14ac:dyDescent="0.25">
      <c r="A2267" t="s">
        <v>20</v>
      </c>
      <c r="B2267">
        <v>38</v>
      </c>
      <c r="C2267">
        <v>82</v>
      </c>
    </row>
    <row r="2268" spans="1:6" hidden="1" x14ac:dyDescent="0.25">
      <c r="A2268" t="s">
        <v>20</v>
      </c>
      <c r="B2268">
        <v>38</v>
      </c>
      <c r="C2268">
        <v>83</v>
      </c>
      <c r="D2268">
        <v>1</v>
      </c>
    </row>
    <row r="2269" spans="1:6" hidden="1" x14ac:dyDescent="0.25">
      <c r="A2269" t="s">
        <v>20</v>
      </c>
      <c r="B2269">
        <v>38</v>
      </c>
      <c r="C2269">
        <v>84</v>
      </c>
    </row>
    <row r="2270" spans="1:6" hidden="1" x14ac:dyDescent="0.25">
      <c r="A2270" t="s">
        <v>20</v>
      </c>
      <c r="B2270">
        <v>40</v>
      </c>
      <c r="C2270">
        <v>1</v>
      </c>
      <c r="E2270">
        <v>82</v>
      </c>
      <c r="F2270">
        <v>5</v>
      </c>
    </row>
    <row r="2271" spans="1:6" hidden="1" x14ac:dyDescent="0.25">
      <c r="A2271" t="s">
        <v>20</v>
      </c>
      <c r="B2271">
        <v>40</v>
      </c>
      <c r="C2271">
        <v>2</v>
      </c>
      <c r="E2271">
        <v>82</v>
      </c>
      <c r="F2271">
        <v>5</v>
      </c>
    </row>
    <row r="2272" spans="1:6" hidden="1" x14ac:dyDescent="0.25">
      <c r="A2272" t="s">
        <v>20</v>
      </c>
      <c r="B2272">
        <v>40</v>
      </c>
      <c r="C2272">
        <v>3</v>
      </c>
      <c r="E2272">
        <v>82</v>
      </c>
      <c r="F2272">
        <v>5</v>
      </c>
    </row>
    <row r="2273" spans="1:6" hidden="1" x14ac:dyDescent="0.25">
      <c r="A2273" t="s">
        <v>20</v>
      </c>
      <c r="B2273">
        <v>40</v>
      </c>
      <c r="C2273">
        <v>4</v>
      </c>
      <c r="E2273">
        <v>82</v>
      </c>
      <c r="F2273">
        <v>5</v>
      </c>
    </row>
    <row r="2274" spans="1:6" hidden="1" x14ac:dyDescent="0.25">
      <c r="A2274" t="s">
        <v>20</v>
      </c>
      <c r="B2274">
        <v>40</v>
      </c>
      <c r="C2274">
        <v>5</v>
      </c>
      <c r="E2274">
        <v>82</v>
      </c>
      <c r="F2274">
        <v>5</v>
      </c>
    </row>
    <row r="2275" spans="1:6" hidden="1" x14ac:dyDescent="0.25">
      <c r="A2275" t="s">
        <v>20</v>
      </c>
      <c r="B2275">
        <v>40</v>
      </c>
      <c r="C2275">
        <v>6</v>
      </c>
      <c r="E2275">
        <v>82</v>
      </c>
      <c r="F2275">
        <v>5</v>
      </c>
    </row>
    <row r="2276" spans="1:6" hidden="1" x14ac:dyDescent="0.25">
      <c r="A2276" t="s">
        <v>20</v>
      </c>
      <c r="B2276">
        <v>40</v>
      </c>
      <c r="C2276">
        <v>7</v>
      </c>
      <c r="E2276">
        <v>82</v>
      </c>
      <c r="F2276">
        <v>5</v>
      </c>
    </row>
    <row r="2277" spans="1:6" hidden="1" x14ac:dyDescent="0.25">
      <c r="A2277" t="s">
        <v>20</v>
      </c>
      <c r="B2277">
        <v>40</v>
      </c>
      <c r="C2277">
        <v>8</v>
      </c>
      <c r="E2277">
        <v>82</v>
      </c>
      <c r="F2277">
        <v>5</v>
      </c>
    </row>
    <row r="2278" spans="1:6" hidden="1" x14ac:dyDescent="0.25">
      <c r="A2278" t="s">
        <v>20</v>
      </c>
      <c r="B2278">
        <v>40</v>
      </c>
      <c r="C2278">
        <v>9</v>
      </c>
      <c r="E2278">
        <v>82</v>
      </c>
      <c r="F2278">
        <v>5</v>
      </c>
    </row>
    <row r="2279" spans="1:6" hidden="1" x14ac:dyDescent="0.25">
      <c r="A2279" t="s">
        <v>20</v>
      </c>
      <c r="B2279">
        <v>40</v>
      </c>
      <c r="C2279">
        <v>10</v>
      </c>
      <c r="E2279">
        <v>82</v>
      </c>
      <c r="F2279">
        <v>5</v>
      </c>
    </row>
    <row r="2280" spans="1:6" hidden="1" x14ac:dyDescent="0.25">
      <c r="A2280" t="s">
        <v>20</v>
      </c>
      <c r="B2280">
        <v>40</v>
      </c>
      <c r="C2280">
        <v>11</v>
      </c>
      <c r="E2280">
        <v>82</v>
      </c>
      <c r="F2280">
        <v>5</v>
      </c>
    </row>
    <row r="2281" spans="1:6" hidden="1" x14ac:dyDescent="0.25">
      <c r="A2281" t="s">
        <v>20</v>
      </c>
      <c r="B2281">
        <v>40</v>
      </c>
      <c r="C2281">
        <v>12</v>
      </c>
      <c r="E2281">
        <v>82</v>
      </c>
      <c r="F2281">
        <v>5</v>
      </c>
    </row>
    <row r="2282" spans="1:6" hidden="1" x14ac:dyDescent="0.25">
      <c r="A2282" t="s">
        <v>20</v>
      </c>
      <c r="B2282">
        <v>40</v>
      </c>
      <c r="C2282">
        <v>13</v>
      </c>
      <c r="D2282">
        <v>1</v>
      </c>
      <c r="E2282">
        <v>82</v>
      </c>
      <c r="F2282">
        <v>5</v>
      </c>
    </row>
    <row r="2283" spans="1:6" hidden="1" x14ac:dyDescent="0.25">
      <c r="A2283" t="s">
        <v>20</v>
      </c>
      <c r="B2283">
        <v>40</v>
      </c>
      <c r="C2283">
        <v>14</v>
      </c>
      <c r="E2283">
        <v>82</v>
      </c>
      <c r="F2283">
        <v>5</v>
      </c>
    </row>
    <row r="2284" spans="1:6" hidden="1" x14ac:dyDescent="0.25">
      <c r="A2284" t="s">
        <v>20</v>
      </c>
      <c r="B2284">
        <v>40</v>
      </c>
      <c r="C2284">
        <v>15</v>
      </c>
      <c r="E2284">
        <v>82</v>
      </c>
      <c r="F2284">
        <v>5</v>
      </c>
    </row>
    <row r="2285" spans="1:6" hidden="1" x14ac:dyDescent="0.25">
      <c r="A2285" t="s">
        <v>20</v>
      </c>
      <c r="B2285">
        <v>40</v>
      </c>
      <c r="C2285">
        <v>16</v>
      </c>
      <c r="D2285">
        <v>1</v>
      </c>
      <c r="E2285">
        <v>82</v>
      </c>
      <c r="F2285">
        <v>5</v>
      </c>
    </row>
    <row r="2286" spans="1:6" hidden="1" x14ac:dyDescent="0.25">
      <c r="A2286" t="s">
        <v>20</v>
      </c>
      <c r="B2286">
        <v>40</v>
      </c>
      <c r="C2286">
        <v>17</v>
      </c>
      <c r="E2286">
        <v>82</v>
      </c>
      <c r="F2286">
        <v>5</v>
      </c>
    </row>
    <row r="2287" spans="1:6" hidden="1" x14ac:dyDescent="0.25">
      <c r="A2287" t="s">
        <v>20</v>
      </c>
      <c r="B2287">
        <v>40</v>
      </c>
      <c r="C2287">
        <v>18</v>
      </c>
      <c r="E2287">
        <v>82</v>
      </c>
      <c r="F2287">
        <v>5</v>
      </c>
    </row>
    <row r="2288" spans="1:6" hidden="1" x14ac:dyDescent="0.25">
      <c r="A2288" t="s">
        <v>20</v>
      </c>
      <c r="B2288">
        <v>40</v>
      </c>
      <c r="C2288">
        <v>19</v>
      </c>
      <c r="E2288">
        <v>82</v>
      </c>
      <c r="F2288">
        <v>5</v>
      </c>
    </row>
    <row r="2289" spans="1:6" hidden="1" x14ac:dyDescent="0.25">
      <c r="A2289" t="s">
        <v>20</v>
      </c>
      <c r="B2289">
        <v>40</v>
      </c>
      <c r="C2289">
        <v>20</v>
      </c>
      <c r="E2289">
        <v>82</v>
      </c>
      <c r="F2289">
        <v>5</v>
      </c>
    </row>
    <row r="2290" spans="1:6" hidden="1" x14ac:dyDescent="0.25">
      <c r="A2290" t="s">
        <v>20</v>
      </c>
      <c r="B2290">
        <v>40</v>
      </c>
      <c r="C2290">
        <v>21</v>
      </c>
      <c r="E2290">
        <v>82</v>
      </c>
      <c r="F2290">
        <v>5</v>
      </c>
    </row>
    <row r="2291" spans="1:6" hidden="1" x14ac:dyDescent="0.25">
      <c r="A2291" t="s">
        <v>20</v>
      </c>
      <c r="B2291">
        <v>40</v>
      </c>
      <c r="C2291">
        <v>22</v>
      </c>
      <c r="E2291">
        <v>82</v>
      </c>
      <c r="F2291">
        <v>5</v>
      </c>
    </row>
    <row r="2292" spans="1:6" hidden="1" x14ac:dyDescent="0.25">
      <c r="A2292" t="s">
        <v>20</v>
      </c>
      <c r="B2292">
        <v>40</v>
      </c>
      <c r="C2292">
        <v>23</v>
      </c>
      <c r="E2292">
        <v>82</v>
      </c>
      <c r="F2292">
        <v>5</v>
      </c>
    </row>
    <row r="2293" spans="1:6" hidden="1" x14ac:dyDescent="0.25">
      <c r="A2293" t="s">
        <v>20</v>
      </c>
      <c r="B2293">
        <v>40</v>
      </c>
      <c r="C2293">
        <v>24</v>
      </c>
      <c r="E2293">
        <v>82</v>
      </c>
      <c r="F2293">
        <v>5</v>
      </c>
    </row>
    <row r="2294" spans="1:6" hidden="1" x14ac:dyDescent="0.25">
      <c r="A2294" t="s">
        <v>20</v>
      </c>
      <c r="B2294">
        <v>40</v>
      </c>
      <c r="C2294">
        <v>25</v>
      </c>
      <c r="E2294">
        <v>82</v>
      </c>
      <c r="F2294">
        <v>5</v>
      </c>
    </row>
    <row r="2295" spans="1:6" hidden="1" x14ac:dyDescent="0.25">
      <c r="A2295" t="s">
        <v>20</v>
      </c>
      <c r="B2295">
        <v>40</v>
      </c>
      <c r="C2295">
        <v>26</v>
      </c>
      <c r="E2295">
        <v>82</v>
      </c>
      <c r="F2295">
        <v>5</v>
      </c>
    </row>
    <row r="2296" spans="1:6" hidden="1" x14ac:dyDescent="0.25">
      <c r="A2296" t="s">
        <v>20</v>
      </c>
      <c r="B2296">
        <v>40</v>
      </c>
      <c r="C2296">
        <v>27</v>
      </c>
      <c r="E2296">
        <v>82</v>
      </c>
      <c r="F2296">
        <v>5</v>
      </c>
    </row>
    <row r="2297" spans="1:6" hidden="1" x14ac:dyDescent="0.25">
      <c r="A2297" t="s">
        <v>20</v>
      </c>
      <c r="B2297">
        <v>40</v>
      </c>
      <c r="C2297">
        <v>28</v>
      </c>
      <c r="E2297">
        <v>82</v>
      </c>
      <c r="F2297">
        <v>5</v>
      </c>
    </row>
    <row r="2298" spans="1:6" hidden="1" x14ac:dyDescent="0.25">
      <c r="A2298" t="s">
        <v>20</v>
      </c>
      <c r="B2298">
        <v>40</v>
      </c>
      <c r="C2298">
        <v>29</v>
      </c>
      <c r="E2298">
        <v>82</v>
      </c>
      <c r="F2298">
        <v>5</v>
      </c>
    </row>
    <row r="2299" spans="1:6" hidden="1" x14ac:dyDescent="0.25">
      <c r="A2299" t="s">
        <v>20</v>
      </c>
      <c r="B2299">
        <v>40</v>
      </c>
      <c r="C2299">
        <v>30</v>
      </c>
      <c r="E2299">
        <v>82</v>
      </c>
      <c r="F2299">
        <v>5</v>
      </c>
    </row>
    <row r="2300" spans="1:6" hidden="1" x14ac:dyDescent="0.25">
      <c r="A2300" t="s">
        <v>20</v>
      </c>
      <c r="B2300">
        <v>40</v>
      </c>
      <c r="C2300">
        <v>31</v>
      </c>
      <c r="E2300">
        <v>82</v>
      </c>
      <c r="F2300">
        <v>5</v>
      </c>
    </row>
    <row r="2301" spans="1:6" hidden="1" x14ac:dyDescent="0.25">
      <c r="A2301" t="s">
        <v>20</v>
      </c>
      <c r="B2301">
        <v>40</v>
      </c>
      <c r="C2301">
        <v>32</v>
      </c>
      <c r="E2301">
        <v>82</v>
      </c>
      <c r="F2301">
        <v>5</v>
      </c>
    </row>
    <row r="2302" spans="1:6" hidden="1" x14ac:dyDescent="0.25">
      <c r="A2302" t="s">
        <v>20</v>
      </c>
      <c r="B2302">
        <v>40</v>
      </c>
      <c r="C2302">
        <v>33</v>
      </c>
      <c r="E2302">
        <v>82</v>
      </c>
      <c r="F2302">
        <v>5</v>
      </c>
    </row>
    <row r="2303" spans="1:6" hidden="1" x14ac:dyDescent="0.25">
      <c r="A2303" t="s">
        <v>20</v>
      </c>
      <c r="B2303">
        <v>40</v>
      </c>
      <c r="C2303">
        <v>34</v>
      </c>
      <c r="D2303">
        <v>1</v>
      </c>
      <c r="E2303">
        <v>82</v>
      </c>
      <c r="F2303">
        <v>5</v>
      </c>
    </row>
    <row r="2304" spans="1:6" hidden="1" x14ac:dyDescent="0.25">
      <c r="A2304" t="s">
        <v>20</v>
      </c>
      <c r="B2304">
        <v>40</v>
      </c>
      <c r="C2304">
        <v>35</v>
      </c>
      <c r="E2304">
        <v>82</v>
      </c>
      <c r="F2304">
        <v>5</v>
      </c>
    </row>
    <row r="2305" spans="1:6" hidden="1" x14ac:dyDescent="0.25">
      <c r="A2305" t="s">
        <v>20</v>
      </c>
      <c r="B2305">
        <v>40</v>
      </c>
      <c r="C2305">
        <v>36</v>
      </c>
      <c r="E2305">
        <v>82</v>
      </c>
      <c r="F2305">
        <v>5</v>
      </c>
    </row>
    <row r="2306" spans="1:6" hidden="1" x14ac:dyDescent="0.25">
      <c r="A2306" t="s">
        <v>20</v>
      </c>
      <c r="B2306">
        <v>40</v>
      </c>
      <c r="C2306">
        <v>37</v>
      </c>
      <c r="E2306">
        <v>82</v>
      </c>
      <c r="F2306">
        <v>5</v>
      </c>
    </row>
    <row r="2307" spans="1:6" hidden="1" x14ac:dyDescent="0.25">
      <c r="A2307" t="s">
        <v>20</v>
      </c>
      <c r="B2307">
        <v>40</v>
      </c>
      <c r="C2307">
        <v>38</v>
      </c>
      <c r="E2307">
        <v>82</v>
      </c>
      <c r="F2307">
        <v>5</v>
      </c>
    </row>
    <row r="2308" spans="1:6" hidden="1" x14ac:dyDescent="0.25">
      <c r="A2308" t="s">
        <v>20</v>
      </c>
      <c r="B2308">
        <v>40</v>
      </c>
      <c r="C2308">
        <v>39</v>
      </c>
      <c r="E2308">
        <v>82</v>
      </c>
      <c r="F2308">
        <v>5</v>
      </c>
    </row>
    <row r="2309" spans="1:6" hidden="1" x14ac:dyDescent="0.25">
      <c r="A2309" t="s">
        <v>20</v>
      </c>
      <c r="B2309">
        <v>40</v>
      </c>
      <c r="C2309">
        <v>40</v>
      </c>
      <c r="E2309">
        <v>82</v>
      </c>
      <c r="F2309">
        <v>5</v>
      </c>
    </row>
    <row r="2310" spans="1:6" hidden="1" x14ac:dyDescent="0.25">
      <c r="A2310" t="s">
        <v>20</v>
      </c>
      <c r="B2310">
        <v>40</v>
      </c>
      <c r="C2310">
        <v>41</v>
      </c>
      <c r="E2310">
        <v>82</v>
      </c>
      <c r="F2310">
        <v>5</v>
      </c>
    </row>
    <row r="2311" spans="1:6" hidden="1" x14ac:dyDescent="0.25">
      <c r="A2311" t="s">
        <v>20</v>
      </c>
      <c r="B2311">
        <v>40</v>
      </c>
      <c r="C2311">
        <v>42</v>
      </c>
      <c r="E2311">
        <v>82</v>
      </c>
      <c r="F2311">
        <v>5</v>
      </c>
    </row>
    <row r="2312" spans="1:6" hidden="1" x14ac:dyDescent="0.25">
      <c r="A2312" t="s">
        <v>20</v>
      </c>
      <c r="B2312">
        <v>40</v>
      </c>
      <c r="C2312">
        <v>43</v>
      </c>
      <c r="E2312">
        <v>82</v>
      </c>
      <c r="F2312">
        <v>5</v>
      </c>
    </row>
    <row r="2313" spans="1:6" hidden="1" x14ac:dyDescent="0.25">
      <c r="A2313" t="s">
        <v>20</v>
      </c>
      <c r="B2313">
        <v>40</v>
      </c>
      <c r="C2313">
        <v>44</v>
      </c>
      <c r="E2313">
        <v>82</v>
      </c>
      <c r="F2313">
        <v>5</v>
      </c>
    </row>
    <row r="2314" spans="1:6" hidden="1" x14ac:dyDescent="0.25">
      <c r="A2314" t="s">
        <v>20</v>
      </c>
      <c r="B2314">
        <v>40</v>
      </c>
      <c r="C2314">
        <v>45</v>
      </c>
      <c r="E2314">
        <v>82</v>
      </c>
      <c r="F2314">
        <v>5</v>
      </c>
    </row>
    <row r="2315" spans="1:6" hidden="1" x14ac:dyDescent="0.25">
      <c r="A2315" t="s">
        <v>20</v>
      </c>
      <c r="B2315">
        <v>40</v>
      </c>
      <c r="C2315">
        <v>46</v>
      </c>
      <c r="E2315">
        <v>82</v>
      </c>
      <c r="F2315">
        <v>5</v>
      </c>
    </row>
    <row r="2316" spans="1:6" hidden="1" x14ac:dyDescent="0.25">
      <c r="A2316" t="s">
        <v>20</v>
      </c>
      <c r="B2316">
        <v>40</v>
      </c>
      <c r="C2316">
        <v>47</v>
      </c>
      <c r="E2316">
        <v>82</v>
      </c>
      <c r="F2316">
        <v>5</v>
      </c>
    </row>
    <row r="2317" spans="1:6" hidden="1" x14ac:dyDescent="0.25">
      <c r="A2317" t="s">
        <v>20</v>
      </c>
      <c r="B2317">
        <v>40</v>
      </c>
      <c r="C2317">
        <v>48</v>
      </c>
      <c r="E2317">
        <v>82</v>
      </c>
      <c r="F2317">
        <v>5</v>
      </c>
    </row>
    <row r="2318" spans="1:6" hidden="1" x14ac:dyDescent="0.25">
      <c r="A2318" t="s">
        <v>20</v>
      </c>
      <c r="B2318">
        <v>40</v>
      </c>
      <c r="C2318">
        <v>49</v>
      </c>
      <c r="E2318">
        <v>82</v>
      </c>
      <c r="F2318">
        <v>5</v>
      </c>
    </row>
    <row r="2319" spans="1:6" hidden="1" x14ac:dyDescent="0.25">
      <c r="A2319" t="s">
        <v>20</v>
      </c>
      <c r="B2319">
        <v>40</v>
      </c>
      <c r="C2319">
        <v>50</v>
      </c>
      <c r="E2319">
        <v>82</v>
      </c>
      <c r="F2319">
        <v>5</v>
      </c>
    </row>
    <row r="2320" spans="1:6" hidden="1" x14ac:dyDescent="0.25">
      <c r="A2320" t="s">
        <v>20</v>
      </c>
      <c r="B2320">
        <v>40</v>
      </c>
      <c r="C2320">
        <v>51</v>
      </c>
      <c r="E2320">
        <v>82</v>
      </c>
      <c r="F2320">
        <v>5</v>
      </c>
    </row>
    <row r="2321" spans="1:6" hidden="1" x14ac:dyDescent="0.25">
      <c r="A2321" t="s">
        <v>20</v>
      </c>
      <c r="B2321">
        <v>40</v>
      </c>
      <c r="C2321">
        <v>52</v>
      </c>
      <c r="E2321">
        <v>82</v>
      </c>
      <c r="F2321">
        <v>5</v>
      </c>
    </row>
    <row r="2322" spans="1:6" hidden="1" x14ac:dyDescent="0.25">
      <c r="A2322" t="s">
        <v>20</v>
      </c>
      <c r="B2322">
        <v>40</v>
      </c>
      <c r="C2322">
        <v>53</v>
      </c>
      <c r="E2322">
        <v>82</v>
      </c>
      <c r="F2322">
        <v>5</v>
      </c>
    </row>
    <row r="2323" spans="1:6" hidden="1" x14ac:dyDescent="0.25">
      <c r="A2323" t="s">
        <v>20</v>
      </c>
      <c r="B2323">
        <v>40</v>
      </c>
      <c r="C2323">
        <v>54</v>
      </c>
      <c r="E2323">
        <v>82</v>
      </c>
      <c r="F2323">
        <v>5</v>
      </c>
    </row>
    <row r="2324" spans="1:6" hidden="1" x14ac:dyDescent="0.25">
      <c r="A2324" t="s">
        <v>20</v>
      </c>
      <c r="B2324">
        <v>40</v>
      </c>
      <c r="C2324">
        <v>55</v>
      </c>
      <c r="E2324">
        <v>82</v>
      </c>
      <c r="F2324">
        <v>5</v>
      </c>
    </row>
    <row r="2325" spans="1:6" hidden="1" x14ac:dyDescent="0.25">
      <c r="A2325" t="s">
        <v>20</v>
      </c>
      <c r="B2325">
        <v>40</v>
      </c>
      <c r="C2325">
        <v>56</v>
      </c>
      <c r="E2325">
        <v>82</v>
      </c>
      <c r="F2325">
        <v>5</v>
      </c>
    </row>
    <row r="2326" spans="1:6" hidden="1" x14ac:dyDescent="0.25">
      <c r="A2326" t="s">
        <v>20</v>
      </c>
      <c r="B2326">
        <v>40</v>
      </c>
      <c r="C2326">
        <v>57</v>
      </c>
      <c r="E2326">
        <v>82</v>
      </c>
      <c r="F2326">
        <v>5</v>
      </c>
    </row>
    <row r="2327" spans="1:6" hidden="1" x14ac:dyDescent="0.25">
      <c r="A2327" t="s">
        <v>20</v>
      </c>
      <c r="B2327">
        <v>40</v>
      </c>
      <c r="C2327">
        <v>58</v>
      </c>
      <c r="D2327">
        <v>1</v>
      </c>
      <c r="E2327">
        <v>82</v>
      </c>
      <c r="F2327">
        <v>5</v>
      </c>
    </row>
    <row r="2328" spans="1:6" hidden="1" x14ac:dyDescent="0.25">
      <c r="A2328" t="s">
        <v>20</v>
      </c>
      <c r="B2328">
        <v>40</v>
      </c>
      <c r="C2328">
        <v>59</v>
      </c>
      <c r="E2328">
        <v>82</v>
      </c>
      <c r="F2328">
        <v>5</v>
      </c>
    </row>
    <row r="2329" spans="1:6" hidden="1" x14ac:dyDescent="0.25">
      <c r="A2329" t="s">
        <v>20</v>
      </c>
      <c r="B2329">
        <v>40</v>
      </c>
      <c r="C2329">
        <v>60</v>
      </c>
      <c r="E2329">
        <v>82</v>
      </c>
      <c r="F2329">
        <v>5</v>
      </c>
    </row>
    <row r="2330" spans="1:6" hidden="1" x14ac:dyDescent="0.25">
      <c r="A2330" t="s">
        <v>20</v>
      </c>
      <c r="B2330">
        <v>40</v>
      </c>
      <c r="C2330">
        <v>61</v>
      </c>
      <c r="D2330">
        <v>1</v>
      </c>
      <c r="E2330">
        <v>82</v>
      </c>
      <c r="F2330">
        <v>5</v>
      </c>
    </row>
    <row r="2331" spans="1:6" hidden="1" x14ac:dyDescent="0.25">
      <c r="A2331" t="s">
        <v>20</v>
      </c>
      <c r="B2331">
        <v>40</v>
      </c>
      <c r="C2331">
        <v>62</v>
      </c>
      <c r="E2331">
        <v>82</v>
      </c>
      <c r="F2331">
        <v>5</v>
      </c>
    </row>
    <row r="2332" spans="1:6" hidden="1" x14ac:dyDescent="0.25">
      <c r="A2332" t="s">
        <v>20</v>
      </c>
      <c r="B2332">
        <v>40</v>
      </c>
      <c r="C2332">
        <v>63</v>
      </c>
      <c r="E2332">
        <v>82</v>
      </c>
      <c r="F2332">
        <v>5</v>
      </c>
    </row>
    <row r="2333" spans="1:6" hidden="1" x14ac:dyDescent="0.25">
      <c r="A2333" t="s">
        <v>20</v>
      </c>
      <c r="B2333">
        <v>40</v>
      </c>
      <c r="C2333">
        <v>64</v>
      </c>
      <c r="E2333">
        <v>82</v>
      </c>
      <c r="F2333">
        <v>5</v>
      </c>
    </row>
    <row r="2334" spans="1:6" hidden="1" x14ac:dyDescent="0.25">
      <c r="A2334" t="s">
        <v>20</v>
      </c>
      <c r="B2334">
        <v>40</v>
      </c>
      <c r="C2334">
        <v>65</v>
      </c>
      <c r="E2334">
        <v>82</v>
      </c>
      <c r="F2334">
        <v>5</v>
      </c>
    </row>
    <row r="2335" spans="1:6" hidden="1" x14ac:dyDescent="0.25">
      <c r="A2335" t="s">
        <v>20</v>
      </c>
      <c r="B2335">
        <v>40</v>
      </c>
      <c r="C2335">
        <v>66</v>
      </c>
      <c r="E2335">
        <v>82</v>
      </c>
      <c r="F2335">
        <v>5</v>
      </c>
    </row>
    <row r="2336" spans="1:6" hidden="1" x14ac:dyDescent="0.25">
      <c r="A2336" t="s">
        <v>20</v>
      </c>
      <c r="B2336">
        <v>40</v>
      </c>
      <c r="C2336">
        <v>67</v>
      </c>
      <c r="E2336">
        <v>82</v>
      </c>
      <c r="F2336">
        <v>5</v>
      </c>
    </row>
    <row r="2337" spans="1:6" hidden="1" x14ac:dyDescent="0.25">
      <c r="A2337" t="s">
        <v>20</v>
      </c>
      <c r="B2337">
        <v>40</v>
      </c>
      <c r="C2337">
        <v>68</v>
      </c>
      <c r="E2337">
        <v>82</v>
      </c>
      <c r="F2337">
        <v>5</v>
      </c>
    </row>
    <row r="2338" spans="1:6" hidden="1" x14ac:dyDescent="0.25">
      <c r="A2338" t="s">
        <v>20</v>
      </c>
      <c r="B2338">
        <v>40</v>
      </c>
      <c r="C2338">
        <v>69</v>
      </c>
      <c r="E2338">
        <v>82</v>
      </c>
      <c r="F2338">
        <v>5</v>
      </c>
    </row>
    <row r="2339" spans="1:6" hidden="1" x14ac:dyDescent="0.25">
      <c r="A2339" t="s">
        <v>20</v>
      </c>
      <c r="B2339">
        <v>40</v>
      </c>
      <c r="C2339">
        <v>70</v>
      </c>
      <c r="E2339">
        <v>82</v>
      </c>
      <c r="F2339">
        <v>5</v>
      </c>
    </row>
    <row r="2340" spans="1:6" hidden="1" x14ac:dyDescent="0.25">
      <c r="A2340" t="s">
        <v>20</v>
      </c>
      <c r="B2340">
        <v>40</v>
      </c>
      <c r="C2340">
        <v>71</v>
      </c>
      <c r="E2340">
        <v>82</v>
      </c>
      <c r="F2340">
        <v>5</v>
      </c>
    </row>
    <row r="2341" spans="1:6" hidden="1" x14ac:dyDescent="0.25">
      <c r="A2341" t="s">
        <v>20</v>
      </c>
      <c r="B2341">
        <v>40</v>
      </c>
      <c r="C2341">
        <v>72</v>
      </c>
      <c r="E2341">
        <v>82</v>
      </c>
      <c r="F2341">
        <v>5</v>
      </c>
    </row>
    <row r="2342" spans="1:6" hidden="1" x14ac:dyDescent="0.25">
      <c r="A2342" t="s">
        <v>20</v>
      </c>
      <c r="B2342">
        <v>40</v>
      </c>
      <c r="C2342">
        <v>73</v>
      </c>
      <c r="E2342">
        <v>82</v>
      </c>
      <c r="F2342">
        <v>5</v>
      </c>
    </row>
    <row r="2343" spans="1:6" hidden="1" x14ac:dyDescent="0.25">
      <c r="A2343" t="s">
        <v>20</v>
      </c>
      <c r="B2343">
        <v>40</v>
      </c>
      <c r="C2343">
        <v>74</v>
      </c>
      <c r="E2343">
        <v>82</v>
      </c>
      <c r="F2343">
        <v>5</v>
      </c>
    </row>
    <row r="2344" spans="1:6" hidden="1" x14ac:dyDescent="0.25">
      <c r="A2344" t="s">
        <v>20</v>
      </c>
      <c r="B2344">
        <v>40</v>
      </c>
      <c r="C2344">
        <v>75</v>
      </c>
      <c r="E2344">
        <v>82</v>
      </c>
      <c r="F2344">
        <v>5</v>
      </c>
    </row>
    <row r="2345" spans="1:6" hidden="1" x14ac:dyDescent="0.25">
      <c r="A2345" t="s">
        <v>20</v>
      </c>
      <c r="B2345">
        <v>40</v>
      </c>
      <c r="C2345">
        <v>76</v>
      </c>
      <c r="E2345">
        <v>82</v>
      </c>
      <c r="F2345">
        <v>5</v>
      </c>
    </row>
    <row r="2346" spans="1:6" hidden="1" x14ac:dyDescent="0.25">
      <c r="A2346" t="s">
        <v>20</v>
      </c>
      <c r="B2346">
        <v>40</v>
      </c>
      <c r="C2346">
        <v>77</v>
      </c>
      <c r="E2346">
        <v>82</v>
      </c>
      <c r="F2346">
        <v>5</v>
      </c>
    </row>
    <row r="2347" spans="1:6" hidden="1" x14ac:dyDescent="0.25">
      <c r="A2347" t="s">
        <v>20</v>
      </c>
      <c r="B2347">
        <v>40</v>
      </c>
      <c r="C2347">
        <v>78</v>
      </c>
      <c r="E2347">
        <v>82</v>
      </c>
      <c r="F2347">
        <v>5</v>
      </c>
    </row>
    <row r="2348" spans="1:6" hidden="1" x14ac:dyDescent="0.25">
      <c r="A2348" t="s">
        <v>20</v>
      </c>
      <c r="B2348">
        <v>40</v>
      </c>
      <c r="C2348">
        <v>79</v>
      </c>
      <c r="D2348">
        <v>1</v>
      </c>
      <c r="E2348">
        <v>82</v>
      </c>
      <c r="F2348">
        <v>5</v>
      </c>
    </row>
    <row r="2349" spans="1:6" hidden="1" x14ac:dyDescent="0.25">
      <c r="A2349" t="s">
        <v>20</v>
      </c>
      <c r="B2349">
        <v>40</v>
      </c>
      <c r="C2349">
        <v>80</v>
      </c>
      <c r="E2349">
        <v>82</v>
      </c>
      <c r="F2349">
        <v>5</v>
      </c>
    </row>
    <row r="2350" spans="1:6" hidden="1" x14ac:dyDescent="0.25">
      <c r="A2350" t="s">
        <v>20</v>
      </c>
      <c r="B2350">
        <v>40</v>
      </c>
      <c r="C2350">
        <v>81</v>
      </c>
      <c r="E2350">
        <v>82</v>
      </c>
      <c r="F2350">
        <v>5</v>
      </c>
    </row>
    <row r="2351" spans="1:6" hidden="1" x14ac:dyDescent="0.25">
      <c r="A2351" t="s">
        <v>20</v>
      </c>
      <c r="B2351">
        <v>40</v>
      </c>
      <c r="C2351">
        <v>82</v>
      </c>
      <c r="E2351">
        <v>82</v>
      </c>
      <c r="F2351">
        <v>5</v>
      </c>
    </row>
    <row r="2352" spans="1:6" hidden="1" x14ac:dyDescent="0.25">
      <c r="A2352" t="s">
        <v>20</v>
      </c>
      <c r="B2352">
        <v>40</v>
      </c>
      <c r="C2352">
        <v>83</v>
      </c>
      <c r="E2352">
        <v>82</v>
      </c>
      <c r="F2352">
        <v>5</v>
      </c>
    </row>
    <row r="2353" spans="1:6" hidden="1" x14ac:dyDescent="0.25">
      <c r="A2353" t="s">
        <v>20</v>
      </c>
      <c r="B2353">
        <v>40</v>
      </c>
      <c r="C2353">
        <v>84</v>
      </c>
      <c r="E2353">
        <v>82</v>
      </c>
      <c r="F2353">
        <v>5</v>
      </c>
    </row>
    <row r="2354" spans="1:6" hidden="1" x14ac:dyDescent="0.25">
      <c r="A2354" t="s">
        <v>20</v>
      </c>
      <c r="B2354">
        <v>41</v>
      </c>
      <c r="C2354">
        <v>1</v>
      </c>
    </row>
    <row r="2355" spans="1:6" hidden="1" x14ac:dyDescent="0.25">
      <c r="A2355" t="s">
        <v>20</v>
      </c>
      <c r="B2355">
        <v>41</v>
      </c>
      <c r="C2355">
        <v>2</v>
      </c>
    </row>
    <row r="2356" spans="1:6" hidden="1" x14ac:dyDescent="0.25">
      <c r="A2356" t="s">
        <v>20</v>
      </c>
      <c r="B2356">
        <v>41</v>
      </c>
      <c r="C2356">
        <v>3</v>
      </c>
    </row>
    <row r="2357" spans="1:6" hidden="1" x14ac:dyDescent="0.25">
      <c r="A2357" t="s">
        <v>20</v>
      </c>
      <c r="B2357">
        <v>41</v>
      </c>
      <c r="C2357">
        <v>4</v>
      </c>
    </row>
    <row r="2358" spans="1:6" hidden="1" x14ac:dyDescent="0.25">
      <c r="A2358" t="s">
        <v>20</v>
      </c>
      <c r="B2358">
        <v>41</v>
      </c>
      <c r="C2358">
        <v>5</v>
      </c>
    </row>
    <row r="2359" spans="1:6" hidden="1" x14ac:dyDescent="0.25">
      <c r="A2359" t="s">
        <v>20</v>
      </c>
      <c r="B2359">
        <v>41</v>
      </c>
      <c r="C2359">
        <v>6</v>
      </c>
    </row>
    <row r="2360" spans="1:6" hidden="1" x14ac:dyDescent="0.25">
      <c r="A2360" t="s">
        <v>20</v>
      </c>
      <c r="B2360">
        <v>41</v>
      </c>
      <c r="C2360">
        <v>7</v>
      </c>
    </row>
    <row r="2361" spans="1:6" hidden="1" x14ac:dyDescent="0.25">
      <c r="A2361" t="s">
        <v>20</v>
      </c>
      <c r="B2361">
        <v>41</v>
      </c>
      <c r="C2361">
        <v>8</v>
      </c>
    </row>
    <row r="2362" spans="1:6" hidden="1" x14ac:dyDescent="0.25">
      <c r="A2362" t="s">
        <v>20</v>
      </c>
      <c r="B2362">
        <v>41</v>
      </c>
      <c r="C2362">
        <v>9</v>
      </c>
    </row>
    <row r="2363" spans="1:6" hidden="1" x14ac:dyDescent="0.25">
      <c r="A2363" t="s">
        <v>20</v>
      </c>
      <c r="B2363">
        <v>41</v>
      </c>
      <c r="C2363">
        <v>10</v>
      </c>
    </row>
    <row r="2364" spans="1:6" hidden="1" x14ac:dyDescent="0.25">
      <c r="A2364" t="s">
        <v>20</v>
      </c>
      <c r="B2364">
        <v>41</v>
      </c>
      <c r="C2364">
        <v>11</v>
      </c>
    </row>
    <row r="2365" spans="1:6" hidden="1" x14ac:dyDescent="0.25">
      <c r="A2365" t="s">
        <v>20</v>
      </c>
      <c r="B2365">
        <v>41</v>
      </c>
      <c r="C2365">
        <v>12</v>
      </c>
    </row>
    <row r="2366" spans="1:6" hidden="1" x14ac:dyDescent="0.25">
      <c r="A2366" t="s">
        <v>20</v>
      </c>
      <c r="B2366">
        <v>41</v>
      </c>
      <c r="C2366">
        <v>13</v>
      </c>
    </row>
    <row r="2367" spans="1:6" hidden="1" x14ac:dyDescent="0.25">
      <c r="A2367" t="s">
        <v>20</v>
      </c>
      <c r="B2367">
        <v>41</v>
      </c>
      <c r="C2367">
        <v>14</v>
      </c>
    </row>
    <row r="2368" spans="1:6" hidden="1" x14ac:dyDescent="0.25">
      <c r="A2368" t="s">
        <v>20</v>
      </c>
      <c r="B2368">
        <v>41</v>
      </c>
      <c r="C2368">
        <v>15</v>
      </c>
    </row>
    <row r="2369" spans="1:3" hidden="1" x14ac:dyDescent="0.25">
      <c r="A2369" t="s">
        <v>20</v>
      </c>
      <c r="B2369">
        <v>41</v>
      </c>
      <c r="C2369">
        <v>16</v>
      </c>
    </row>
    <row r="2370" spans="1:3" hidden="1" x14ac:dyDescent="0.25">
      <c r="A2370" t="s">
        <v>20</v>
      </c>
      <c r="B2370">
        <v>41</v>
      </c>
      <c r="C2370">
        <v>17</v>
      </c>
    </row>
    <row r="2371" spans="1:3" hidden="1" x14ac:dyDescent="0.25">
      <c r="A2371" t="s">
        <v>20</v>
      </c>
      <c r="B2371">
        <v>41</v>
      </c>
      <c r="C2371">
        <v>18</v>
      </c>
    </row>
    <row r="2372" spans="1:3" hidden="1" x14ac:dyDescent="0.25">
      <c r="A2372" t="s">
        <v>20</v>
      </c>
      <c r="B2372">
        <v>41</v>
      </c>
      <c r="C2372">
        <v>19</v>
      </c>
    </row>
    <row r="2373" spans="1:3" hidden="1" x14ac:dyDescent="0.25">
      <c r="A2373" t="s">
        <v>20</v>
      </c>
      <c r="B2373">
        <v>41</v>
      </c>
      <c r="C2373">
        <v>20</v>
      </c>
    </row>
    <row r="2374" spans="1:3" hidden="1" x14ac:dyDescent="0.25">
      <c r="A2374" t="s">
        <v>20</v>
      </c>
      <c r="B2374">
        <v>41</v>
      </c>
      <c r="C2374">
        <v>21</v>
      </c>
    </row>
    <row r="2375" spans="1:3" hidden="1" x14ac:dyDescent="0.25">
      <c r="A2375" t="s">
        <v>20</v>
      </c>
      <c r="B2375">
        <v>41</v>
      </c>
      <c r="C2375">
        <v>22</v>
      </c>
    </row>
    <row r="2376" spans="1:3" hidden="1" x14ac:dyDescent="0.25">
      <c r="A2376" t="s">
        <v>20</v>
      </c>
      <c r="B2376">
        <v>41</v>
      </c>
      <c r="C2376">
        <v>23</v>
      </c>
    </row>
    <row r="2377" spans="1:3" hidden="1" x14ac:dyDescent="0.25">
      <c r="A2377" t="s">
        <v>20</v>
      </c>
      <c r="B2377">
        <v>41</v>
      </c>
      <c r="C2377">
        <v>24</v>
      </c>
    </row>
    <row r="2378" spans="1:3" hidden="1" x14ac:dyDescent="0.25">
      <c r="A2378" t="s">
        <v>20</v>
      </c>
      <c r="B2378">
        <v>41</v>
      </c>
      <c r="C2378">
        <v>25</v>
      </c>
    </row>
    <row r="2379" spans="1:3" hidden="1" x14ac:dyDescent="0.25">
      <c r="A2379" t="s">
        <v>20</v>
      </c>
      <c r="B2379">
        <v>41</v>
      </c>
      <c r="C2379">
        <v>26</v>
      </c>
    </row>
    <row r="2380" spans="1:3" hidden="1" x14ac:dyDescent="0.25">
      <c r="A2380" t="s">
        <v>20</v>
      </c>
      <c r="B2380">
        <v>41</v>
      </c>
      <c r="C2380">
        <v>27</v>
      </c>
    </row>
    <row r="2381" spans="1:3" hidden="1" x14ac:dyDescent="0.25">
      <c r="A2381" t="s">
        <v>20</v>
      </c>
      <c r="B2381">
        <v>41</v>
      </c>
      <c r="C2381">
        <v>28</v>
      </c>
    </row>
    <row r="2382" spans="1:3" hidden="1" x14ac:dyDescent="0.25">
      <c r="A2382" t="s">
        <v>20</v>
      </c>
      <c r="B2382">
        <v>41</v>
      </c>
      <c r="C2382">
        <v>29</v>
      </c>
    </row>
    <row r="2383" spans="1:3" hidden="1" x14ac:dyDescent="0.25">
      <c r="A2383" t="s">
        <v>20</v>
      </c>
      <c r="B2383">
        <v>41</v>
      </c>
      <c r="C2383">
        <v>30</v>
      </c>
    </row>
    <row r="2384" spans="1:3" hidden="1" x14ac:dyDescent="0.25">
      <c r="A2384" t="s">
        <v>20</v>
      </c>
      <c r="B2384">
        <v>41</v>
      </c>
      <c r="C2384">
        <v>31</v>
      </c>
    </row>
    <row r="2385" spans="1:3" hidden="1" x14ac:dyDescent="0.25">
      <c r="A2385" t="s">
        <v>20</v>
      </c>
      <c r="B2385">
        <v>41</v>
      </c>
      <c r="C2385">
        <v>32</v>
      </c>
    </row>
    <row r="2386" spans="1:3" hidden="1" x14ac:dyDescent="0.25">
      <c r="A2386" t="s">
        <v>20</v>
      </c>
      <c r="B2386">
        <v>41</v>
      </c>
      <c r="C2386">
        <v>33</v>
      </c>
    </row>
    <row r="2387" spans="1:3" hidden="1" x14ac:dyDescent="0.25">
      <c r="A2387" t="s">
        <v>20</v>
      </c>
      <c r="B2387">
        <v>41</v>
      </c>
      <c r="C2387">
        <v>34</v>
      </c>
    </row>
    <row r="2388" spans="1:3" hidden="1" x14ac:dyDescent="0.25">
      <c r="A2388" t="s">
        <v>20</v>
      </c>
      <c r="B2388">
        <v>41</v>
      </c>
      <c r="C2388">
        <v>35</v>
      </c>
    </row>
    <row r="2389" spans="1:3" hidden="1" x14ac:dyDescent="0.25">
      <c r="A2389" t="s">
        <v>20</v>
      </c>
      <c r="B2389">
        <v>41</v>
      </c>
      <c r="C2389">
        <v>36</v>
      </c>
    </row>
    <row r="2390" spans="1:3" hidden="1" x14ac:dyDescent="0.25">
      <c r="A2390" t="s">
        <v>20</v>
      </c>
      <c r="B2390">
        <v>41</v>
      </c>
      <c r="C2390">
        <v>37</v>
      </c>
    </row>
    <row r="2391" spans="1:3" hidden="1" x14ac:dyDescent="0.25">
      <c r="A2391" t="s">
        <v>20</v>
      </c>
      <c r="B2391">
        <v>41</v>
      </c>
      <c r="C2391">
        <v>38</v>
      </c>
    </row>
    <row r="2392" spans="1:3" hidden="1" x14ac:dyDescent="0.25">
      <c r="A2392" t="s">
        <v>20</v>
      </c>
      <c r="B2392">
        <v>41</v>
      </c>
      <c r="C2392">
        <v>39</v>
      </c>
    </row>
    <row r="2393" spans="1:3" hidden="1" x14ac:dyDescent="0.25">
      <c r="A2393" t="s">
        <v>20</v>
      </c>
      <c r="B2393">
        <v>41</v>
      </c>
      <c r="C2393">
        <v>40</v>
      </c>
    </row>
    <row r="2394" spans="1:3" hidden="1" x14ac:dyDescent="0.25">
      <c r="A2394" t="s">
        <v>20</v>
      </c>
      <c r="B2394">
        <v>41</v>
      </c>
      <c r="C2394">
        <v>41</v>
      </c>
    </row>
    <row r="2395" spans="1:3" hidden="1" x14ac:dyDescent="0.25">
      <c r="A2395" t="s">
        <v>20</v>
      </c>
      <c r="B2395">
        <v>41</v>
      </c>
      <c r="C2395">
        <v>42</v>
      </c>
    </row>
    <row r="2396" spans="1:3" hidden="1" x14ac:dyDescent="0.25">
      <c r="A2396" t="s">
        <v>20</v>
      </c>
      <c r="B2396">
        <v>41</v>
      </c>
      <c r="C2396">
        <v>43</v>
      </c>
    </row>
    <row r="2397" spans="1:3" hidden="1" x14ac:dyDescent="0.25">
      <c r="A2397" t="s">
        <v>20</v>
      </c>
      <c r="B2397">
        <v>41</v>
      </c>
      <c r="C2397">
        <v>44</v>
      </c>
    </row>
    <row r="2398" spans="1:3" hidden="1" x14ac:dyDescent="0.25">
      <c r="A2398" t="s">
        <v>20</v>
      </c>
      <c r="B2398">
        <v>41</v>
      </c>
      <c r="C2398">
        <v>45</v>
      </c>
    </row>
    <row r="2399" spans="1:3" hidden="1" x14ac:dyDescent="0.25">
      <c r="A2399" t="s">
        <v>20</v>
      </c>
      <c r="B2399">
        <v>41</v>
      </c>
      <c r="C2399">
        <v>46</v>
      </c>
    </row>
    <row r="2400" spans="1:3" hidden="1" x14ac:dyDescent="0.25">
      <c r="A2400" t="s">
        <v>20</v>
      </c>
      <c r="B2400">
        <v>41</v>
      </c>
      <c r="C2400">
        <v>47</v>
      </c>
    </row>
    <row r="2401" spans="1:3" hidden="1" x14ac:dyDescent="0.25">
      <c r="A2401" t="s">
        <v>20</v>
      </c>
      <c r="B2401">
        <v>41</v>
      </c>
      <c r="C2401">
        <v>48</v>
      </c>
    </row>
    <row r="2402" spans="1:3" hidden="1" x14ac:dyDescent="0.25">
      <c r="A2402" t="s">
        <v>20</v>
      </c>
      <c r="B2402">
        <v>41</v>
      </c>
      <c r="C2402">
        <v>49</v>
      </c>
    </row>
    <row r="2403" spans="1:3" hidden="1" x14ac:dyDescent="0.25">
      <c r="A2403" t="s">
        <v>20</v>
      </c>
      <c r="B2403">
        <v>41</v>
      </c>
      <c r="C2403">
        <v>50</v>
      </c>
    </row>
    <row r="2404" spans="1:3" hidden="1" x14ac:dyDescent="0.25">
      <c r="A2404" t="s">
        <v>20</v>
      </c>
      <c r="B2404">
        <v>41</v>
      </c>
      <c r="C2404">
        <v>51</v>
      </c>
    </row>
    <row r="2405" spans="1:3" hidden="1" x14ac:dyDescent="0.25">
      <c r="A2405" t="s">
        <v>20</v>
      </c>
      <c r="B2405">
        <v>41</v>
      </c>
      <c r="C2405">
        <v>52</v>
      </c>
    </row>
    <row r="2406" spans="1:3" hidden="1" x14ac:dyDescent="0.25">
      <c r="A2406" t="s">
        <v>20</v>
      </c>
      <c r="B2406">
        <v>41</v>
      </c>
      <c r="C2406">
        <v>53</v>
      </c>
    </row>
    <row r="2407" spans="1:3" hidden="1" x14ac:dyDescent="0.25">
      <c r="A2407" t="s">
        <v>20</v>
      </c>
      <c r="B2407">
        <v>41</v>
      </c>
      <c r="C2407">
        <v>54</v>
      </c>
    </row>
    <row r="2408" spans="1:3" hidden="1" x14ac:dyDescent="0.25">
      <c r="A2408" t="s">
        <v>20</v>
      </c>
      <c r="B2408">
        <v>41</v>
      </c>
      <c r="C2408">
        <v>55</v>
      </c>
    </row>
    <row r="2409" spans="1:3" hidden="1" x14ac:dyDescent="0.25">
      <c r="A2409" t="s">
        <v>20</v>
      </c>
      <c r="B2409">
        <v>41</v>
      </c>
      <c r="C2409">
        <v>56</v>
      </c>
    </row>
    <row r="2410" spans="1:3" hidden="1" x14ac:dyDescent="0.25">
      <c r="A2410" t="s">
        <v>20</v>
      </c>
      <c r="B2410">
        <v>41</v>
      </c>
      <c r="C2410">
        <v>57</v>
      </c>
    </row>
    <row r="2411" spans="1:3" hidden="1" x14ac:dyDescent="0.25">
      <c r="A2411" t="s">
        <v>20</v>
      </c>
      <c r="B2411">
        <v>41</v>
      </c>
      <c r="C2411">
        <v>58</v>
      </c>
    </row>
    <row r="2412" spans="1:3" hidden="1" x14ac:dyDescent="0.25">
      <c r="A2412" t="s">
        <v>20</v>
      </c>
      <c r="B2412">
        <v>41</v>
      </c>
      <c r="C2412">
        <v>59</v>
      </c>
    </row>
    <row r="2413" spans="1:3" hidden="1" x14ac:dyDescent="0.25">
      <c r="A2413" t="s">
        <v>20</v>
      </c>
      <c r="B2413">
        <v>41</v>
      </c>
      <c r="C2413">
        <v>60</v>
      </c>
    </row>
    <row r="2414" spans="1:3" hidden="1" x14ac:dyDescent="0.25">
      <c r="A2414" t="s">
        <v>20</v>
      </c>
      <c r="B2414">
        <v>41</v>
      </c>
      <c r="C2414">
        <v>61</v>
      </c>
    </row>
    <row r="2415" spans="1:3" hidden="1" x14ac:dyDescent="0.25">
      <c r="A2415" t="s">
        <v>20</v>
      </c>
      <c r="B2415">
        <v>41</v>
      </c>
      <c r="C2415">
        <v>62</v>
      </c>
    </row>
    <row r="2416" spans="1:3" hidden="1" x14ac:dyDescent="0.25">
      <c r="A2416" t="s">
        <v>20</v>
      </c>
      <c r="B2416">
        <v>41</v>
      </c>
      <c r="C2416">
        <v>63</v>
      </c>
    </row>
    <row r="2417" spans="1:3" hidden="1" x14ac:dyDescent="0.25">
      <c r="A2417" t="s">
        <v>20</v>
      </c>
      <c r="B2417">
        <v>41</v>
      </c>
      <c r="C2417">
        <v>64</v>
      </c>
    </row>
    <row r="2418" spans="1:3" hidden="1" x14ac:dyDescent="0.25">
      <c r="A2418" t="s">
        <v>20</v>
      </c>
      <c r="B2418">
        <v>41</v>
      </c>
      <c r="C2418">
        <v>65</v>
      </c>
    </row>
    <row r="2419" spans="1:3" hidden="1" x14ac:dyDescent="0.25">
      <c r="A2419" t="s">
        <v>20</v>
      </c>
      <c r="B2419">
        <v>41</v>
      </c>
      <c r="C2419">
        <v>66</v>
      </c>
    </row>
    <row r="2420" spans="1:3" hidden="1" x14ac:dyDescent="0.25">
      <c r="A2420" t="s">
        <v>20</v>
      </c>
      <c r="B2420">
        <v>41</v>
      </c>
      <c r="C2420">
        <v>67</v>
      </c>
    </row>
    <row r="2421" spans="1:3" hidden="1" x14ac:dyDescent="0.25">
      <c r="A2421" t="s">
        <v>20</v>
      </c>
      <c r="B2421">
        <v>41</v>
      </c>
      <c r="C2421">
        <v>68</v>
      </c>
    </row>
    <row r="2422" spans="1:3" hidden="1" x14ac:dyDescent="0.25">
      <c r="A2422" t="s">
        <v>20</v>
      </c>
      <c r="B2422">
        <v>41</v>
      </c>
      <c r="C2422">
        <v>69</v>
      </c>
    </row>
    <row r="2423" spans="1:3" hidden="1" x14ac:dyDescent="0.25">
      <c r="A2423" t="s">
        <v>20</v>
      </c>
      <c r="B2423">
        <v>41</v>
      </c>
      <c r="C2423">
        <v>70</v>
      </c>
    </row>
    <row r="2424" spans="1:3" hidden="1" x14ac:dyDescent="0.25">
      <c r="A2424" t="s">
        <v>20</v>
      </c>
      <c r="B2424">
        <v>41</v>
      </c>
      <c r="C2424">
        <v>71</v>
      </c>
    </row>
    <row r="2425" spans="1:3" hidden="1" x14ac:dyDescent="0.25">
      <c r="A2425" t="s">
        <v>20</v>
      </c>
      <c r="B2425">
        <v>41</v>
      </c>
      <c r="C2425">
        <v>72</v>
      </c>
    </row>
    <row r="2426" spans="1:3" hidden="1" x14ac:dyDescent="0.25">
      <c r="A2426" t="s">
        <v>20</v>
      </c>
      <c r="B2426">
        <v>41</v>
      </c>
      <c r="C2426">
        <v>73</v>
      </c>
    </row>
    <row r="2427" spans="1:3" hidden="1" x14ac:dyDescent="0.25">
      <c r="A2427" t="s">
        <v>20</v>
      </c>
      <c r="B2427">
        <v>41</v>
      </c>
      <c r="C2427">
        <v>74</v>
      </c>
    </row>
    <row r="2428" spans="1:3" hidden="1" x14ac:dyDescent="0.25">
      <c r="A2428" t="s">
        <v>20</v>
      </c>
      <c r="B2428">
        <v>41</v>
      </c>
      <c r="C2428">
        <v>75</v>
      </c>
    </row>
    <row r="2429" spans="1:3" hidden="1" x14ac:dyDescent="0.25">
      <c r="A2429" t="s">
        <v>20</v>
      </c>
      <c r="B2429">
        <v>41</v>
      </c>
      <c r="C2429">
        <v>76</v>
      </c>
    </row>
    <row r="2430" spans="1:3" hidden="1" x14ac:dyDescent="0.25">
      <c r="A2430" t="s">
        <v>20</v>
      </c>
      <c r="B2430">
        <v>41</v>
      </c>
      <c r="C2430">
        <v>77</v>
      </c>
    </row>
    <row r="2431" spans="1:3" hidden="1" x14ac:dyDescent="0.25">
      <c r="A2431" t="s">
        <v>20</v>
      </c>
      <c r="B2431">
        <v>41</v>
      </c>
      <c r="C2431">
        <v>78</v>
      </c>
    </row>
    <row r="2432" spans="1:3" hidden="1" x14ac:dyDescent="0.25">
      <c r="A2432" t="s">
        <v>20</v>
      </c>
      <c r="B2432">
        <v>41</v>
      </c>
      <c r="C2432">
        <v>79</v>
      </c>
    </row>
    <row r="2433" spans="1:4" hidden="1" x14ac:dyDescent="0.25">
      <c r="A2433" t="s">
        <v>20</v>
      </c>
      <c r="B2433">
        <v>41</v>
      </c>
      <c r="C2433">
        <v>80</v>
      </c>
    </row>
    <row r="2434" spans="1:4" hidden="1" x14ac:dyDescent="0.25">
      <c r="A2434" t="s">
        <v>20</v>
      </c>
      <c r="B2434">
        <v>41</v>
      </c>
      <c r="C2434">
        <v>81</v>
      </c>
    </row>
    <row r="2435" spans="1:4" hidden="1" x14ac:dyDescent="0.25">
      <c r="A2435" t="s">
        <v>20</v>
      </c>
      <c r="B2435">
        <v>41</v>
      </c>
      <c r="C2435">
        <v>82</v>
      </c>
    </row>
    <row r="2436" spans="1:4" hidden="1" x14ac:dyDescent="0.25">
      <c r="A2436" t="s">
        <v>20</v>
      </c>
      <c r="B2436">
        <v>41</v>
      </c>
      <c r="C2436">
        <v>83</v>
      </c>
    </row>
    <row r="2437" spans="1:4" hidden="1" x14ac:dyDescent="0.25">
      <c r="A2437" t="s">
        <v>20</v>
      </c>
      <c r="B2437">
        <v>41</v>
      </c>
      <c r="C2437">
        <v>84</v>
      </c>
    </row>
    <row r="2438" spans="1:4" hidden="1" x14ac:dyDescent="0.25">
      <c r="A2438" t="s">
        <v>20</v>
      </c>
      <c r="B2438">
        <v>42</v>
      </c>
      <c r="C2438">
        <v>1</v>
      </c>
      <c r="D2438">
        <v>1</v>
      </c>
    </row>
    <row r="2439" spans="1:4" hidden="1" x14ac:dyDescent="0.25">
      <c r="A2439" t="s">
        <v>20</v>
      </c>
      <c r="B2439">
        <v>42</v>
      </c>
      <c r="C2439">
        <v>2</v>
      </c>
    </row>
    <row r="2440" spans="1:4" hidden="1" x14ac:dyDescent="0.25">
      <c r="A2440" t="s">
        <v>20</v>
      </c>
      <c r="B2440">
        <v>42</v>
      </c>
      <c r="C2440">
        <v>3</v>
      </c>
    </row>
    <row r="2441" spans="1:4" hidden="1" x14ac:dyDescent="0.25">
      <c r="A2441" t="s">
        <v>20</v>
      </c>
      <c r="B2441">
        <v>42</v>
      </c>
      <c r="C2441">
        <v>4</v>
      </c>
    </row>
    <row r="2442" spans="1:4" hidden="1" x14ac:dyDescent="0.25">
      <c r="A2442" t="s">
        <v>20</v>
      </c>
      <c r="B2442">
        <v>42</v>
      </c>
      <c r="C2442">
        <v>5</v>
      </c>
    </row>
    <row r="2443" spans="1:4" hidden="1" x14ac:dyDescent="0.25">
      <c r="A2443" t="s">
        <v>20</v>
      </c>
      <c r="B2443">
        <v>42</v>
      </c>
      <c r="C2443">
        <v>6</v>
      </c>
    </row>
    <row r="2444" spans="1:4" hidden="1" x14ac:dyDescent="0.25">
      <c r="A2444" t="s">
        <v>20</v>
      </c>
      <c r="B2444">
        <v>42</v>
      </c>
      <c r="C2444">
        <v>7</v>
      </c>
    </row>
    <row r="2445" spans="1:4" hidden="1" x14ac:dyDescent="0.25">
      <c r="A2445" t="s">
        <v>20</v>
      </c>
      <c r="B2445">
        <v>42</v>
      </c>
      <c r="C2445">
        <v>8</v>
      </c>
    </row>
    <row r="2446" spans="1:4" hidden="1" x14ac:dyDescent="0.25">
      <c r="A2446" t="s">
        <v>20</v>
      </c>
      <c r="B2446">
        <v>42</v>
      </c>
      <c r="C2446">
        <v>9</v>
      </c>
    </row>
    <row r="2447" spans="1:4" hidden="1" x14ac:dyDescent="0.25">
      <c r="A2447" t="s">
        <v>20</v>
      </c>
      <c r="B2447">
        <v>42</v>
      </c>
      <c r="C2447">
        <v>10</v>
      </c>
      <c r="D2447">
        <v>1</v>
      </c>
    </row>
    <row r="2448" spans="1:4" hidden="1" x14ac:dyDescent="0.25">
      <c r="A2448" t="s">
        <v>20</v>
      </c>
      <c r="B2448">
        <v>42</v>
      </c>
      <c r="C2448">
        <v>11</v>
      </c>
    </row>
    <row r="2449" spans="1:4" hidden="1" x14ac:dyDescent="0.25">
      <c r="A2449" t="s">
        <v>20</v>
      </c>
      <c r="B2449">
        <v>42</v>
      </c>
      <c r="C2449">
        <v>12</v>
      </c>
    </row>
    <row r="2450" spans="1:4" hidden="1" x14ac:dyDescent="0.25">
      <c r="A2450" t="s">
        <v>20</v>
      </c>
      <c r="B2450">
        <v>42</v>
      </c>
      <c r="C2450">
        <v>13</v>
      </c>
      <c r="D2450">
        <v>1</v>
      </c>
    </row>
    <row r="2451" spans="1:4" hidden="1" x14ac:dyDescent="0.25">
      <c r="A2451" t="s">
        <v>20</v>
      </c>
      <c r="B2451">
        <v>42</v>
      </c>
      <c r="C2451">
        <v>14</v>
      </c>
    </row>
    <row r="2452" spans="1:4" hidden="1" x14ac:dyDescent="0.25">
      <c r="A2452" t="s">
        <v>20</v>
      </c>
      <c r="B2452">
        <v>42</v>
      </c>
      <c r="C2452">
        <v>15</v>
      </c>
    </row>
    <row r="2453" spans="1:4" hidden="1" x14ac:dyDescent="0.25">
      <c r="A2453" t="s">
        <v>20</v>
      </c>
      <c r="B2453">
        <v>42</v>
      </c>
      <c r="C2453">
        <v>16</v>
      </c>
      <c r="D2453">
        <v>1</v>
      </c>
    </row>
    <row r="2454" spans="1:4" hidden="1" x14ac:dyDescent="0.25">
      <c r="A2454" t="s">
        <v>20</v>
      </c>
      <c r="B2454">
        <v>42</v>
      </c>
      <c r="C2454">
        <v>17</v>
      </c>
    </row>
    <row r="2455" spans="1:4" hidden="1" x14ac:dyDescent="0.25">
      <c r="A2455" t="s">
        <v>20</v>
      </c>
      <c r="B2455">
        <v>42</v>
      </c>
      <c r="C2455">
        <v>18</v>
      </c>
    </row>
    <row r="2456" spans="1:4" hidden="1" x14ac:dyDescent="0.25">
      <c r="A2456" t="s">
        <v>20</v>
      </c>
      <c r="B2456">
        <v>42</v>
      </c>
      <c r="C2456">
        <v>19</v>
      </c>
    </row>
    <row r="2457" spans="1:4" hidden="1" x14ac:dyDescent="0.25">
      <c r="A2457" t="s">
        <v>20</v>
      </c>
      <c r="B2457">
        <v>42</v>
      </c>
      <c r="C2457">
        <v>20</v>
      </c>
    </row>
    <row r="2458" spans="1:4" hidden="1" x14ac:dyDescent="0.25">
      <c r="A2458" t="s">
        <v>20</v>
      </c>
      <c r="B2458">
        <v>42</v>
      </c>
      <c r="C2458">
        <v>21</v>
      </c>
    </row>
    <row r="2459" spans="1:4" hidden="1" x14ac:dyDescent="0.25">
      <c r="A2459" t="s">
        <v>20</v>
      </c>
      <c r="B2459">
        <v>42</v>
      </c>
      <c r="C2459">
        <v>22</v>
      </c>
      <c r="D2459">
        <v>1</v>
      </c>
    </row>
    <row r="2460" spans="1:4" hidden="1" x14ac:dyDescent="0.25">
      <c r="A2460" t="s">
        <v>20</v>
      </c>
      <c r="B2460">
        <v>42</v>
      </c>
      <c r="C2460">
        <v>23</v>
      </c>
    </row>
    <row r="2461" spans="1:4" hidden="1" x14ac:dyDescent="0.25">
      <c r="A2461" t="s">
        <v>20</v>
      </c>
      <c r="B2461">
        <v>42</v>
      </c>
      <c r="C2461">
        <v>24</v>
      </c>
    </row>
    <row r="2462" spans="1:4" hidden="1" x14ac:dyDescent="0.25">
      <c r="A2462" t="s">
        <v>20</v>
      </c>
      <c r="B2462">
        <v>42</v>
      </c>
      <c r="C2462">
        <v>25</v>
      </c>
    </row>
    <row r="2463" spans="1:4" hidden="1" x14ac:dyDescent="0.25">
      <c r="A2463" t="s">
        <v>20</v>
      </c>
      <c r="B2463">
        <v>42</v>
      </c>
      <c r="C2463">
        <v>26</v>
      </c>
    </row>
    <row r="2464" spans="1:4" hidden="1" x14ac:dyDescent="0.25">
      <c r="A2464" t="s">
        <v>20</v>
      </c>
      <c r="B2464">
        <v>42</v>
      </c>
      <c r="C2464">
        <v>27</v>
      </c>
    </row>
    <row r="2465" spans="1:4" hidden="1" x14ac:dyDescent="0.25">
      <c r="A2465" t="s">
        <v>20</v>
      </c>
      <c r="B2465">
        <v>42</v>
      </c>
      <c r="C2465">
        <v>28</v>
      </c>
      <c r="D2465">
        <v>1</v>
      </c>
    </row>
    <row r="2466" spans="1:4" hidden="1" x14ac:dyDescent="0.25">
      <c r="A2466" t="s">
        <v>20</v>
      </c>
      <c r="B2466">
        <v>42</v>
      </c>
      <c r="C2466">
        <v>29</v>
      </c>
    </row>
    <row r="2467" spans="1:4" hidden="1" x14ac:dyDescent="0.25">
      <c r="A2467" t="s">
        <v>20</v>
      </c>
      <c r="B2467">
        <v>42</v>
      </c>
      <c r="C2467">
        <v>30</v>
      </c>
    </row>
    <row r="2468" spans="1:4" hidden="1" x14ac:dyDescent="0.25">
      <c r="A2468" t="s">
        <v>20</v>
      </c>
      <c r="B2468">
        <v>42</v>
      </c>
      <c r="C2468">
        <v>31</v>
      </c>
    </row>
    <row r="2469" spans="1:4" hidden="1" x14ac:dyDescent="0.25">
      <c r="A2469" t="s">
        <v>20</v>
      </c>
      <c r="B2469">
        <v>42</v>
      </c>
      <c r="C2469">
        <v>32</v>
      </c>
    </row>
    <row r="2470" spans="1:4" hidden="1" x14ac:dyDescent="0.25">
      <c r="A2470" t="s">
        <v>20</v>
      </c>
      <c r="B2470">
        <v>42</v>
      </c>
      <c r="C2470">
        <v>33</v>
      </c>
    </row>
    <row r="2471" spans="1:4" hidden="1" x14ac:dyDescent="0.25">
      <c r="A2471" t="s">
        <v>20</v>
      </c>
      <c r="B2471">
        <v>42</v>
      </c>
      <c r="C2471">
        <v>34</v>
      </c>
      <c r="D2471">
        <v>1</v>
      </c>
    </row>
    <row r="2472" spans="1:4" hidden="1" x14ac:dyDescent="0.25">
      <c r="A2472" t="s">
        <v>20</v>
      </c>
      <c r="B2472">
        <v>42</v>
      </c>
      <c r="C2472">
        <v>35</v>
      </c>
    </row>
    <row r="2473" spans="1:4" hidden="1" x14ac:dyDescent="0.25">
      <c r="A2473" t="s">
        <v>20</v>
      </c>
      <c r="B2473">
        <v>42</v>
      </c>
      <c r="C2473">
        <v>36</v>
      </c>
    </row>
    <row r="2474" spans="1:4" hidden="1" x14ac:dyDescent="0.25">
      <c r="A2474" t="s">
        <v>20</v>
      </c>
      <c r="B2474">
        <v>42</v>
      </c>
      <c r="C2474">
        <v>37</v>
      </c>
      <c r="D2474">
        <v>1</v>
      </c>
    </row>
    <row r="2475" spans="1:4" hidden="1" x14ac:dyDescent="0.25">
      <c r="A2475" t="s">
        <v>20</v>
      </c>
      <c r="B2475">
        <v>42</v>
      </c>
      <c r="C2475">
        <v>38</v>
      </c>
    </row>
    <row r="2476" spans="1:4" hidden="1" x14ac:dyDescent="0.25">
      <c r="A2476" t="s">
        <v>20</v>
      </c>
      <c r="B2476">
        <v>42</v>
      </c>
      <c r="C2476">
        <v>39</v>
      </c>
    </row>
    <row r="2477" spans="1:4" hidden="1" x14ac:dyDescent="0.25">
      <c r="A2477" t="s">
        <v>20</v>
      </c>
      <c r="B2477">
        <v>42</v>
      </c>
      <c r="C2477">
        <v>40</v>
      </c>
    </row>
    <row r="2478" spans="1:4" hidden="1" x14ac:dyDescent="0.25">
      <c r="A2478" t="s">
        <v>20</v>
      </c>
      <c r="B2478">
        <v>42</v>
      </c>
      <c r="C2478">
        <v>41</v>
      </c>
    </row>
    <row r="2479" spans="1:4" hidden="1" x14ac:dyDescent="0.25">
      <c r="A2479" t="s">
        <v>20</v>
      </c>
      <c r="B2479">
        <v>42</v>
      </c>
      <c r="C2479">
        <v>42</v>
      </c>
    </row>
    <row r="2480" spans="1:4" hidden="1" x14ac:dyDescent="0.25">
      <c r="A2480" t="s">
        <v>20</v>
      </c>
      <c r="B2480">
        <v>42</v>
      </c>
      <c r="C2480">
        <v>43</v>
      </c>
    </row>
    <row r="2481" spans="1:4" hidden="1" x14ac:dyDescent="0.25">
      <c r="A2481" t="s">
        <v>20</v>
      </c>
      <c r="B2481">
        <v>42</v>
      </c>
      <c r="C2481">
        <v>44</v>
      </c>
    </row>
    <row r="2482" spans="1:4" hidden="1" x14ac:dyDescent="0.25">
      <c r="A2482" t="s">
        <v>20</v>
      </c>
      <c r="B2482">
        <v>42</v>
      </c>
      <c r="C2482">
        <v>45</v>
      </c>
    </row>
    <row r="2483" spans="1:4" hidden="1" x14ac:dyDescent="0.25">
      <c r="A2483" t="s">
        <v>20</v>
      </c>
      <c r="B2483">
        <v>42</v>
      </c>
      <c r="C2483">
        <v>46</v>
      </c>
      <c r="D2483">
        <v>1</v>
      </c>
    </row>
    <row r="2484" spans="1:4" hidden="1" x14ac:dyDescent="0.25">
      <c r="A2484" t="s">
        <v>20</v>
      </c>
      <c r="B2484">
        <v>42</v>
      </c>
      <c r="C2484">
        <v>47</v>
      </c>
    </row>
    <row r="2485" spans="1:4" hidden="1" x14ac:dyDescent="0.25">
      <c r="A2485" t="s">
        <v>20</v>
      </c>
      <c r="B2485">
        <v>42</v>
      </c>
      <c r="C2485">
        <v>48</v>
      </c>
    </row>
    <row r="2486" spans="1:4" hidden="1" x14ac:dyDescent="0.25">
      <c r="A2486" t="s">
        <v>20</v>
      </c>
      <c r="B2486">
        <v>42</v>
      </c>
      <c r="C2486">
        <v>49</v>
      </c>
      <c r="D2486">
        <v>1</v>
      </c>
    </row>
    <row r="2487" spans="1:4" hidden="1" x14ac:dyDescent="0.25">
      <c r="A2487" t="s">
        <v>20</v>
      </c>
      <c r="B2487">
        <v>42</v>
      </c>
      <c r="C2487">
        <v>50</v>
      </c>
    </row>
    <row r="2488" spans="1:4" hidden="1" x14ac:dyDescent="0.25">
      <c r="A2488" t="s">
        <v>20</v>
      </c>
      <c r="B2488">
        <v>42</v>
      </c>
      <c r="C2488">
        <v>51</v>
      </c>
    </row>
    <row r="2489" spans="1:4" hidden="1" x14ac:dyDescent="0.25">
      <c r="A2489" t="s">
        <v>20</v>
      </c>
      <c r="B2489">
        <v>42</v>
      </c>
      <c r="C2489">
        <v>52</v>
      </c>
      <c r="D2489">
        <v>1</v>
      </c>
    </row>
    <row r="2490" spans="1:4" hidden="1" x14ac:dyDescent="0.25">
      <c r="A2490" t="s">
        <v>20</v>
      </c>
      <c r="B2490">
        <v>42</v>
      </c>
      <c r="C2490">
        <v>53</v>
      </c>
    </row>
    <row r="2491" spans="1:4" hidden="1" x14ac:dyDescent="0.25">
      <c r="A2491" t="s">
        <v>20</v>
      </c>
      <c r="B2491">
        <v>42</v>
      </c>
      <c r="C2491">
        <v>54</v>
      </c>
    </row>
    <row r="2492" spans="1:4" hidden="1" x14ac:dyDescent="0.25">
      <c r="A2492" t="s">
        <v>20</v>
      </c>
      <c r="B2492">
        <v>42</v>
      </c>
      <c r="C2492">
        <v>55</v>
      </c>
      <c r="D2492">
        <v>1</v>
      </c>
    </row>
    <row r="2493" spans="1:4" hidden="1" x14ac:dyDescent="0.25">
      <c r="A2493" t="s">
        <v>20</v>
      </c>
      <c r="B2493">
        <v>42</v>
      </c>
      <c r="C2493">
        <v>56</v>
      </c>
    </row>
    <row r="2494" spans="1:4" hidden="1" x14ac:dyDescent="0.25">
      <c r="A2494" t="s">
        <v>20</v>
      </c>
      <c r="B2494">
        <v>42</v>
      </c>
      <c r="C2494">
        <v>57</v>
      </c>
    </row>
    <row r="2495" spans="1:4" hidden="1" x14ac:dyDescent="0.25">
      <c r="A2495" t="s">
        <v>20</v>
      </c>
      <c r="B2495">
        <v>42</v>
      </c>
      <c r="C2495">
        <v>58</v>
      </c>
    </row>
    <row r="2496" spans="1:4" hidden="1" x14ac:dyDescent="0.25">
      <c r="A2496" t="s">
        <v>20</v>
      </c>
      <c r="B2496">
        <v>42</v>
      </c>
      <c r="C2496">
        <v>59</v>
      </c>
    </row>
    <row r="2497" spans="1:4" hidden="1" x14ac:dyDescent="0.25">
      <c r="A2497" t="s">
        <v>20</v>
      </c>
      <c r="B2497">
        <v>42</v>
      </c>
      <c r="C2497">
        <v>60</v>
      </c>
    </row>
    <row r="2498" spans="1:4" hidden="1" x14ac:dyDescent="0.25">
      <c r="A2498" t="s">
        <v>20</v>
      </c>
      <c r="B2498">
        <v>42</v>
      </c>
      <c r="C2498">
        <v>61</v>
      </c>
    </row>
    <row r="2499" spans="1:4" hidden="1" x14ac:dyDescent="0.25">
      <c r="A2499" t="s">
        <v>20</v>
      </c>
      <c r="B2499">
        <v>42</v>
      </c>
      <c r="C2499">
        <v>62</v>
      </c>
      <c r="D2499">
        <v>1</v>
      </c>
    </row>
    <row r="2500" spans="1:4" hidden="1" x14ac:dyDescent="0.25">
      <c r="A2500" t="s">
        <v>20</v>
      </c>
      <c r="B2500">
        <v>42</v>
      </c>
      <c r="C2500">
        <v>63</v>
      </c>
    </row>
    <row r="2501" spans="1:4" hidden="1" x14ac:dyDescent="0.25">
      <c r="A2501" t="s">
        <v>20</v>
      </c>
      <c r="B2501">
        <v>42</v>
      </c>
      <c r="C2501">
        <v>64</v>
      </c>
      <c r="D2501">
        <v>1</v>
      </c>
    </row>
    <row r="2502" spans="1:4" hidden="1" x14ac:dyDescent="0.25">
      <c r="A2502" t="s">
        <v>20</v>
      </c>
      <c r="B2502">
        <v>42</v>
      </c>
      <c r="C2502">
        <v>65</v>
      </c>
    </row>
    <row r="2503" spans="1:4" hidden="1" x14ac:dyDescent="0.25">
      <c r="A2503" t="s">
        <v>20</v>
      </c>
      <c r="B2503">
        <v>42</v>
      </c>
      <c r="C2503">
        <v>66</v>
      </c>
    </row>
    <row r="2504" spans="1:4" hidden="1" x14ac:dyDescent="0.25">
      <c r="A2504" t="s">
        <v>20</v>
      </c>
      <c r="B2504">
        <v>42</v>
      </c>
      <c r="C2504">
        <v>67</v>
      </c>
      <c r="D2504">
        <v>1</v>
      </c>
    </row>
    <row r="2505" spans="1:4" hidden="1" x14ac:dyDescent="0.25">
      <c r="A2505" t="s">
        <v>20</v>
      </c>
      <c r="B2505">
        <v>42</v>
      </c>
      <c r="C2505">
        <v>68</v>
      </c>
    </row>
    <row r="2506" spans="1:4" hidden="1" x14ac:dyDescent="0.25">
      <c r="A2506" t="s">
        <v>20</v>
      </c>
      <c r="B2506">
        <v>42</v>
      </c>
      <c r="C2506">
        <v>69</v>
      </c>
    </row>
    <row r="2507" spans="1:4" hidden="1" x14ac:dyDescent="0.25">
      <c r="A2507" t="s">
        <v>20</v>
      </c>
      <c r="B2507">
        <v>42</v>
      </c>
      <c r="C2507">
        <v>70</v>
      </c>
      <c r="D2507">
        <v>1</v>
      </c>
    </row>
    <row r="2508" spans="1:4" hidden="1" x14ac:dyDescent="0.25">
      <c r="A2508" t="s">
        <v>20</v>
      </c>
      <c r="B2508">
        <v>42</v>
      </c>
      <c r="C2508">
        <v>71</v>
      </c>
    </row>
    <row r="2509" spans="1:4" hidden="1" x14ac:dyDescent="0.25">
      <c r="A2509" t="s">
        <v>20</v>
      </c>
      <c r="B2509">
        <v>42</v>
      </c>
      <c r="C2509">
        <v>72</v>
      </c>
    </row>
    <row r="2510" spans="1:4" hidden="1" x14ac:dyDescent="0.25">
      <c r="A2510" t="s">
        <v>20</v>
      </c>
      <c r="B2510">
        <v>42</v>
      </c>
      <c r="C2510">
        <v>73</v>
      </c>
    </row>
    <row r="2511" spans="1:4" hidden="1" x14ac:dyDescent="0.25">
      <c r="A2511" t="s">
        <v>20</v>
      </c>
      <c r="B2511">
        <v>42</v>
      </c>
      <c r="C2511">
        <v>74</v>
      </c>
    </row>
    <row r="2512" spans="1:4" hidden="1" x14ac:dyDescent="0.25">
      <c r="A2512" t="s">
        <v>20</v>
      </c>
      <c r="B2512">
        <v>42</v>
      </c>
      <c r="C2512">
        <v>75</v>
      </c>
    </row>
    <row r="2513" spans="1:6" hidden="1" x14ac:dyDescent="0.25">
      <c r="A2513" t="s">
        <v>20</v>
      </c>
      <c r="B2513">
        <v>42</v>
      </c>
      <c r="C2513">
        <v>76</v>
      </c>
      <c r="D2513">
        <v>1</v>
      </c>
    </row>
    <row r="2514" spans="1:6" hidden="1" x14ac:dyDescent="0.25">
      <c r="A2514" t="s">
        <v>20</v>
      </c>
      <c r="B2514">
        <v>42</v>
      </c>
      <c r="C2514">
        <v>77</v>
      </c>
    </row>
    <row r="2515" spans="1:6" hidden="1" x14ac:dyDescent="0.25">
      <c r="A2515" t="s">
        <v>20</v>
      </c>
      <c r="B2515">
        <v>42</v>
      </c>
      <c r="C2515">
        <v>78</v>
      </c>
    </row>
    <row r="2516" spans="1:6" hidden="1" x14ac:dyDescent="0.25">
      <c r="A2516" t="s">
        <v>20</v>
      </c>
      <c r="B2516">
        <v>42</v>
      </c>
      <c r="C2516">
        <v>79</v>
      </c>
      <c r="D2516">
        <v>1</v>
      </c>
    </row>
    <row r="2517" spans="1:6" hidden="1" x14ac:dyDescent="0.25">
      <c r="A2517" t="s">
        <v>20</v>
      </c>
      <c r="B2517">
        <v>42</v>
      </c>
      <c r="C2517">
        <v>80</v>
      </c>
    </row>
    <row r="2518" spans="1:6" hidden="1" x14ac:dyDescent="0.25">
      <c r="A2518" t="s">
        <v>20</v>
      </c>
      <c r="B2518">
        <v>42</v>
      </c>
      <c r="C2518">
        <v>81</v>
      </c>
    </row>
    <row r="2519" spans="1:6" hidden="1" x14ac:dyDescent="0.25">
      <c r="A2519" t="s">
        <v>20</v>
      </c>
      <c r="B2519">
        <v>42</v>
      </c>
      <c r="C2519">
        <v>82</v>
      </c>
      <c r="D2519">
        <v>1</v>
      </c>
    </row>
    <row r="2520" spans="1:6" hidden="1" x14ac:dyDescent="0.25">
      <c r="A2520" t="s">
        <v>20</v>
      </c>
      <c r="B2520">
        <v>42</v>
      </c>
      <c r="C2520">
        <v>83</v>
      </c>
    </row>
    <row r="2521" spans="1:6" hidden="1" x14ac:dyDescent="0.25">
      <c r="A2521" t="s">
        <v>20</v>
      </c>
      <c r="B2521">
        <v>42</v>
      </c>
      <c r="C2521">
        <v>84</v>
      </c>
    </row>
    <row r="2522" spans="1:6" hidden="1" x14ac:dyDescent="0.25">
      <c r="A2522" t="s">
        <v>20</v>
      </c>
      <c r="B2522">
        <v>43</v>
      </c>
      <c r="C2522">
        <v>1</v>
      </c>
      <c r="D2522">
        <v>1</v>
      </c>
      <c r="E2522">
        <v>4</v>
      </c>
      <c r="F2522">
        <v>4</v>
      </c>
    </row>
    <row r="2523" spans="1:6" hidden="1" x14ac:dyDescent="0.25">
      <c r="A2523" t="s">
        <v>20</v>
      </c>
      <c r="B2523">
        <v>43</v>
      </c>
      <c r="C2523">
        <v>2</v>
      </c>
      <c r="E2523">
        <v>4</v>
      </c>
      <c r="F2523">
        <v>4</v>
      </c>
    </row>
    <row r="2524" spans="1:6" hidden="1" x14ac:dyDescent="0.25">
      <c r="A2524" t="s">
        <v>20</v>
      </c>
      <c r="B2524">
        <v>43</v>
      </c>
      <c r="C2524">
        <v>3</v>
      </c>
      <c r="E2524">
        <v>4</v>
      </c>
      <c r="F2524">
        <v>4</v>
      </c>
    </row>
    <row r="2525" spans="1:6" hidden="1" x14ac:dyDescent="0.25">
      <c r="A2525" t="s">
        <v>20</v>
      </c>
      <c r="B2525">
        <v>43</v>
      </c>
      <c r="C2525">
        <v>4</v>
      </c>
      <c r="D2525">
        <v>1</v>
      </c>
      <c r="E2525">
        <v>4</v>
      </c>
      <c r="F2525">
        <v>4</v>
      </c>
    </row>
    <row r="2526" spans="1:6" hidden="1" x14ac:dyDescent="0.25">
      <c r="A2526" t="s">
        <v>20</v>
      </c>
      <c r="B2526">
        <v>43</v>
      </c>
      <c r="C2526">
        <v>5</v>
      </c>
      <c r="D2526">
        <v>1</v>
      </c>
      <c r="E2526">
        <v>4</v>
      </c>
      <c r="F2526">
        <v>4</v>
      </c>
    </row>
    <row r="2527" spans="1:6" hidden="1" x14ac:dyDescent="0.25">
      <c r="A2527" t="s">
        <v>20</v>
      </c>
      <c r="B2527">
        <v>43</v>
      </c>
      <c r="C2527">
        <v>6</v>
      </c>
      <c r="E2527">
        <v>4</v>
      </c>
      <c r="F2527">
        <v>4</v>
      </c>
    </row>
    <row r="2528" spans="1:6" hidden="1" x14ac:dyDescent="0.25">
      <c r="A2528" t="s">
        <v>20</v>
      </c>
      <c r="B2528">
        <v>43</v>
      </c>
      <c r="C2528">
        <v>7</v>
      </c>
      <c r="D2528">
        <v>1</v>
      </c>
      <c r="E2528">
        <v>4</v>
      </c>
      <c r="F2528">
        <v>4</v>
      </c>
    </row>
    <row r="2529" spans="1:6" hidden="1" x14ac:dyDescent="0.25">
      <c r="A2529" t="s">
        <v>20</v>
      </c>
      <c r="B2529">
        <v>43</v>
      </c>
      <c r="C2529">
        <v>8</v>
      </c>
      <c r="D2529">
        <v>1</v>
      </c>
      <c r="E2529">
        <v>4</v>
      </c>
      <c r="F2529">
        <v>4</v>
      </c>
    </row>
    <row r="2530" spans="1:6" hidden="1" x14ac:dyDescent="0.25">
      <c r="A2530" t="s">
        <v>20</v>
      </c>
      <c r="B2530">
        <v>43</v>
      </c>
      <c r="C2530">
        <v>9</v>
      </c>
      <c r="E2530">
        <v>4</v>
      </c>
      <c r="F2530">
        <v>4</v>
      </c>
    </row>
    <row r="2531" spans="1:6" hidden="1" x14ac:dyDescent="0.25">
      <c r="A2531" t="s">
        <v>20</v>
      </c>
      <c r="B2531">
        <v>43</v>
      </c>
      <c r="C2531">
        <v>10</v>
      </c>
      <c r="D2531">
        <v>1</v>
      </c>
      <c r="E2531">
        <v>4</v>
      </c>
      <c r="F2531">
        <v>4</v>
      </c>
    </row>
    <row r="2532" spans="1:6" hidden="1" x14ac:dyDescent="0.25">
      <c r="A2532" t="s">
        <v>20</v>
      </c>
      <c r="B2532">
        <v>43</v>
      </c>
      <c r="C2532">
        <v>11</v>
      </c>
      <c r="D2532">
        <v>1</v>
      </c>
      <c r="E2532">
        <v>4</v>
      </c>
      <c r="F2532">
        <v>4</v>
      </c>
    </row>
    <row r="2533" spans="1:6" hidden="1" x14ac:dyDescent="0.25">
      <c r="A2533" t="s">
        <v>20</v>
      </c>
      <c r="B2533">
        <v>43</v>
      </c>
      <c r="C2533">
        <v>12</v>
      </c>
      <c r="E2533">
        <v>4</v>
      </c>
      <c r="F2533">
        <v>4</v>
      </c>
    </row>
    <row r="2534" spans="1:6" hidden="1" x14ac:dyDescent="0.25">
      <c r="A2534" t="s">
        <v>20</v>
      </c>
      <c r="B2534">
        <v>43</v>
      </c>
      <c r="C2534">
        <v>13</v>
      </c>
      <c r="D2534">
        <v>1</v>
      </c>
      <c r="E2534">
        <v>4</v>
      </c>
      <c r="F2534">
        <v>4</v>
      </c>
    </row>
    <row r="2535" spans="1:6" hidden="1" x14ac:dyDescent="0.25">
      <c r="A2535" t="s">
        <v>20</v>
      </c>
      <c r="B2535">
        <v>43</v>
      </c>
      <c r="C2535">
        <v>14</v>
      </c>
      <c r="E2535">
        <v>4</v>
      </c>
      <c r="F2535">
        <v>4</v>
      </c>
    </row>
    <row r="2536" spans="1:6" hidden="1" x14ac:dyDescent="0.25">
      <c r="A2536" t="s">
        <v>20</v>
      </c>
      <c r="B2536">
        <v>43</v>
      </c>
      <c r="C2536">
        <v>15</v>
      </c>
      <c r="E2536">
        <v>4</v>
      </c>
      <c r="F2536">
        <v>4</v>
      </c>
    </row>
    <row r="2537" spans="1:6" hidden="1" x14ac:dyDescent="0.25">
      <c r="A2537" t="s">
        <v>20</v>
      </c>
      <c r="B2537">
        <v>43</v>
      </c>
      <c r="C2537">
        <v>16</v>
      </c>
      <c r="D2537">
        <v>1</v>
      </c>
      <c r="E2537">
        <v>4</v>
      </c>
      <c r="F2537">
        <v>4</v>
      </c>
    </row>
    <row r="2538" spans="1:6" hidden="1" x14ac:dyDescent="0.25">
      <c r="A2538" t="s">
        <v>20</v>
      </c>
      <c r="B2538">
        <v>43</v>
      </c>
      <c r="C2538">
        <v>17</v>
      </c>
      <c r="E2538">
        <v>4</v>
      </c>
      <c r="F2538">
        <v>4</v>
      </c>
    </row>
    <row r="2539" spans="1:6" hidden="1" x14ac:dyDescent="0.25">
      <c r="A2539" t="s">
        <v>20</v>
      </c>
      <c r="B2539">
        <v>43</v>
      </c>
      <c r="C2539">
        <v>18</v>
      </c>
      <c r="E2539">
        <v>4</v>
      </c>
      <c r="F2539">
        <v>4</v>
      </c>
    </row>
    <row r="2540" spans="1:6" hidden="1" x14ac:dyDescent="0.25">
      <c r="A2540" t="s">
        <v>20</v>
      </c>
      <c r="B2540">
        <v>43</v>
      </c>
      <c r="C2540">
        <v>19</v>
      </c>
      <c r="E2540">
        <v>4</v>
      </c>
      <c r="F2540">
        <v>4</v>
      </c>
    </row>
    <row r="2541" spans="1:6" hidden="1" x14ac:dyDescent="0.25">
      <c r="A2541" t="s">
        <v>20</v>
      </c>
      <c r="B2541">
        <v>43</v>
      </c>
      <c r="C2541">
        <v>20</v>
      </c>
      <c r="D2541">
        <v>1</v>
      </c>
      <c r="E2541">
        <v>4</v>
      </c>
      <c r="F2541">
        <v>4</v>
      </c>
    </row>
    <row r="2542" spans="1:6" hidden="1" x14ac:dyDescent="0.25">
      <c r="A2542" t="s">
        <v>20</v>
      </c>
      <c r="B2542">
        <v>43</v>
      </c>
      <c r="C2542">
        <v>21</v>
      </c>
      <c r="E2542">
        <v>4</v>
      </c>
      <c r="F2542">
        <v>4</v>
      </c>
    </row>
    <row r="2543" spans="1:6" hidden="1" x14ac:dyDescent="0.25">
      <c r="A2543" t="s">
        <v>20</v>
      </c>
      <c r="B2543">
        <v>43</v>
      </c>
      <c r="C2543">
        <v>22</v>
      </c>
      <c r="D2543">
        <v>1</v>
      </c>
      <c r="E2543">
        <v>4</v>
      </c>
      <c r="F2543">
        <v>4</v>
      </c>
    </row>
    <row r="2544" spans="1:6" hidden="1" x14ac:dyDescent="0.25">
      <c r="A2544" t="s">
        <v>20</v>
      </c>
      <c r="B2544">
        <v>43</v>
      </c>
      <c r="C2544">
        <v>23</v>
      </c>
      <c r="E2544">
        <v>4</v>
      </c>
      <c r="F2544">
        <v>4</v>
      </c>
    </row>
    <row r="2545" spans="1:6" hidden="1" x14ac:dyDescent="0.25">
      <c r="A2545" t="s">
        <v>20</v>
      </c>
      <c r="B2545">
        <v>43</v>
      </c>
      <c r="C2545">
        <v>24</v>
      </c>
      <c r="E2545">
        <v>4</v>
      </c>
      <c r="F2545">
        <v>4</v>
      </c>
    </row>
    <row r="2546" spans="1:6" hidden="1" x14ac:dyDescent="0.25">
      <c r="A2546" t="s">
        <v>20</v>
      </c>
      <c r="B2546">
        <v>43</v>
      </c>
      <c r="C2546">
        <v>25</v>
      </c>
      <c r="E2546">
        <v>4</v>
      </c>
      <c r="F2546">
        <v>4</v>
      </c>
    </row>
    <row r="2547" spans="1:6" hidden="1" x14ac:dyDescent="0.25">
      <c r="A2547" t="s">
        <v>20</v>
      </c>
      <c r="B2547">
        <v>43</v>
      </c>
      <c r="C2547">
        <v>26</v>
      </c>
      <c r="E2547">
        <v>4</v>
      </c>
      <c r="F2547">
        <v>4</v>
      </c>
    </row>
    <row r="2548" spans="1:6" hidden="1" x14ac:dyDescent="0.25">
      <c r="A2548" t="s">
        <v>20</v>
      </c>
      <c r="B2548">
        <v>43</v>
      </c>
      <c r="C2548">
        <v>27</v>
      </c>
      <c r="E2548">
        <v>4</v>
      </c>
      <c r="F2548">
        <v>4</v>
      </c>
    </row>
    <row r="2549" spans="1:6" hidden="1" x14ac:dyDescent="0.25">
      <c r="A2549" t="s">
        <v>20</v>
      </c>
      <c r="B2549">
        <v>43</v>
      </c>
      <c r="C2549">
        <v>28</v>
      </c>
      <c r="E2549">
        <v>4</v>
      </c>
      <c r="F2549">
        <v>4</v>
      </c>
    </row>
    <row r="2550" spans="1:6" hidden="1" x14ac:dyDescent="0.25">
      <c r="A2550" t="s">
        <v>20</v>
      </c>
      <c r="B2550">
        <v>43</v>
      </c>
      <c r="C2550">
        <v>29</v>
      </c>
      <c r="E2550">
        <v>4</v>
      </c>
      <c r="F2550">
        <v>4</v>
      </c>
    </row>
    <row r="2551" spans="1:6" hidden="1" x14ac:dyDescent="0.25">
      <c r="A2551" t="s">
        <v>20</v>
      </c>
      <c r="B2551">
        <v>43</v>
      </c>
      <c r="C2551">
        <v>30</v>
      </c>
      <c r="E2551">
        <v>4</v>
      </c>
      <c r="F2551">
        <v>4</v>
      </c>
    </row>
    <row r="2552" spans="1:6" hidden="1" x14ac:dyDescent="0.25">
      <c r="A2552" t="s">
        <v>20</v>
      </c>
      <c r="B2552">
        <v>43</v>
      </c>
      <c r="C2552">
        <v>31</v>
      </c>
      <c r="E2552">
        <v>4</v>
      </c>
      <c r="F2552">
        <v>4</v>
      </c>
    </row>
    <row r="2553" spans="1:6" hidden="1" x14ac:dyDescent="0.25">
      <c r="A2553" t="s">
        <v>20</v>
      </c>
      <c r="B2553">
        <v>43</v>
      </c>
      <c r="C2553">
        <v>32</v>
      </c>
      <c r="E2553">
        <v>4</v>
      </c>
      <c r="F2553">
        <v>4</v>
      </c>
    </row>
    <row r="2554" spans="1:6" hidden="1" x14ac:dyDescent="0.25">
      <c r="A2554" t="s">
        <v>20</v>
      </c>
      <c r="B2554">
        <v>43</v>
      </c>
      <c r="C2554">
        <v>33</v>
      </c>
      <c r="E2554">
        <v>4</v>
      </c>
      <c r="F2554">
        <v>4</v>
      </c>
    </row>
    <row r="2555" spans="1:6" hidden="1" x14ac:dyDescent="0.25">
      <c r="A2555" t="s">
        <v>20</v>
      </c>
      <c r="B2555">
        <v>43</v>
      </c>
      <c r="C2555">
        <v>34</v>
      </c>
      <c r="E2555">
        <v>4</v>
      </c>
      <c r="F2555">
        <v>4</v>
      </c>
    </row>
    <row r="2556" spans="1:6" hidden="1" x14ac:dyDescent="0.25">
      <c r="A2556" t="s">
        <v>20</v>
      </c>
      <c r="B2556">
        <v>43</v>
      </c>
      <c r="C2556">
        <v>35</v>
      </c>
      <c r="E2556">
        <v>4</v>
      </c>
      <c r="F2556">
        <v>4</v>
      </c>
    </row>
    <row r="2557" spans="1:6" hidden="1" x14ac:dyDescent="0.25">
      <c r="A2557" t="s">
        <v>20</v>
      </c>
      <c r="B2557">
        <v>43</v>
      </c>
      <c r="C2557">
        <v>36</v>
      </c>
      <c r="E2557">
        <v>4</v>
      </c>
      <c r="F2557">
        <v>4</v>
      </c>
    </row>
    <row r="2558" spans="1:6" hidden="1" x14ac:dyDescent="0.25">
      <c r="A2558" t="s">
        <v>20</v>
      </c>
      <c r="B2558">
        <v>43</v>
      </c>
      <c r="C2558">
        <v>37</v>
      </c>
      <c r="E2558">
        <v>4</v>
      </c>
      <c r="F2558">
        <v>4</v>
      </c>
    </row>
    <row r="2559" spans="1:6" hidden="1" x14ac:dyDescent="0.25">
      <c r="A2559" t="s">
        <v>20</v>
      </c>
      <c r="B2559">
        <v>43</v>
      </c>
      <c r="C2559">
        <v>38</v>
      </c>
      <c r="E2559">
        <v>4</v>
      </c>
      <c r="F2559">
        <v>4</v>
      </c>
    </row>
    <row r="2560" spans="1:6" hidden="1" x14ac:dyDescent="0.25">
      <c r="A2560" t="s">
        <v>20</v>
      </c>
      <c r="B2560">
        <v>43</v>
      </c>
      <c r="C2560">
        <v>39</v>
      </c>
      <c r="E2560">
        <v>4</v>
      </c>
      <c r="F2560">
        <v>4</v>
      </c>
    </row>
    <row r="2561" spans="1:6" hidden="1" x14ac:dyDescent="0.25">
      <c r="A2561" t="s">
        <v>20</v>
      </c>
      <c r="B2561">
        <v>43</v>
      </c>
      <c r="C2561">
        <v>40</v>
      </c>
      <c r="E2561">
        <v>4</v>
      </c>
      <c r="F2561">
        <v>4</v>
      </c>
    </row>
    <row r="2562" spans="1:6" hidden="1" x14ac:dyDescent="0.25">
      <c r="A2562" t="s">
        <v>20</v>
      </c>
      <c r="B2562">
        <v>43</v>
      </c>
      <c r="C2562">
        <v>41</v>
      </c>
      <c r="E2562">
        <v>4</v>
      </c>
      <c r="F2562">
        <v>4</v>
      </c>
    </row>
    <row r="2563" spans="1:6" hidden="1" x14ac:dyDescent="0.25">
      <c r="A2563" t="s">
        <v>20</v>
      </c>
      <c r="B2563">
        <v>43</v>
      </c>
      <c r="C2563">
        <v>42</v>
      </c>
      <c r="E2563">
        <v>4</v>
      </c>
      <c r="F2563">
        <v>4</v>
      </c>
    </row>
    <row r="2564" spans="1:6" hidden="1" x14ac:dyDescent="0.25">
      <c r="A2564" t="s">
        <v>20</v>
      </c>
      <c r="B2564">
        <v>43</v>
      </c>
      <c r="C2564">
        <v>43</v>
      </c>
      <c r="E2564">
        <v>4</v>
      </c>
      <c r="F2564">
        <v>4</v>
      </c>
    </row>
    <row r="2565" spans="1:6" hidden="1" x14ac:dyDescent="0.25">
      <c r="A2565" t="s">
        <v>20</v>
      </c>
      <c r="B2565">
        <v>43</v>
      </c>
      <c r="C2565">
        <v>44</v>
      </c>
      <c r="E2565">
        <v>4</v>
      </c>
      <c r="F2565">
        <v>4</v>
      </c>
    </row>
    <row r="2566" spans="1:6" hidden="1" x14ac:dyDescent="0.25">
      <c r="A2566" t="s">
        <v>20</v>
      </c>
      <c r="B2566">
        <v>43</v>
      </c>
      <c r="C2566">
        <v>45</v>
      </c>
      <c r="E2566">
        <v>4</v>
      </c>
      <c r="F2566">
        <v>4</v>
      </c>
    </row>
    <row r="2567" spans="1:6" hidden="1" x14ac:dyDescent="0.25">
      <c r="A2567" t="s">
        <v>20</v>
      </c>
      <c r="B2567">
        <v>43</v>
      </c>
      <c r="C2567">
        <v>46</v>
      </c>
      <c r="E2567">
        <v>4</v>
      </c>
      <c r="F2567">
        <v>4</v>
      </c>
    </row>
    <row r="2568" spans="1:6" hidden="1" x14ac:dyDescent="0.25">
      <c r="A2568" t="s">
        <v>20</v>
      </c>
      <c r="B2568">
        <v>43</v>
      </c>
      <c r="C2568">
        <v>47</v>
      </c>
      <c r="E2568">
        <v>4</v>
      </c>
      <c r="F2568">
        <v>4</v>
      </c>
    </row>
    <row r="2569" spans="1:6" hidden="1" x14ac:dyDescent="0.25">
      <c r="A2569" t="s">
        <v>20</v>
      </c>
      <c r="B2569">
        <v>43</v>
      </c>
      <c r="C2569">
        <v>48</v>
      </c>
      <c r="E2569">
        <v>4</v>
      </c>
      <c r="F2569">
        <v>4</v>
      </c>
    </row>
    <row r="2570" spans="1:6" hidden="1" x14ac:dyDescent="0.25">
      <c r="A2570" t="s">
        <v>20</v>
      </c>
      <c r="B2570">
        <v>43</v>
      </c>
      <c r="C2570">
        <v>49</v>
      </c>
      <c r="E2570">
        <v>4</v>
      </c>
      <c r="F2570">
        <v>4</v>
      </c>
    </row>
    <row r="2571" spans="1:6" hidden="1" x14ac:dyDescent="0.25">
      <c r="A2571" t="s">
        <v>20</v>
      </c>
      <c r="B2571">
        <v>43</v>
      </c>
      <c r="C2571">
        <v>50</v>
      </c>
      <c r="E2571">
        <v>4</v>
      </c>
      <c r="F2571">
        <v>4</v>
      </c>
    </row>
    <row r="2572" spans="1:6" hidden="1" x14ac:dyDescent="0.25">
      <c r="A2572" t="s">
        <v>20</v>
      </c>
      <c r="B2572">
        <v>43</v>
      </c>
      <c r="C2572">
        <v>51</v>
      </c>
      <c r="E2572">
        <v>4</v>
      </c>
      <c r="F2572">
        <v>4</v>
      </c>
    </row>
    <row r="2573" spans="1:6" hidden="1" x14ac:dyDescent="0.25">
      <c r="A2573" t="s">
        <v>20</v>
      </c>
      <c r="B2573">
        <v>43</v>
      </c>
      <c r="C2573">
        <v>52</v>
      </c>
      <c r="E2573">
        <v>4</v>
      </c>
      <c r="F2573">
        <v>4</v>
      </c>
    </row>
    <row r="2574" spans="1:6" hidden="1" x14ac:dyDescent="0.25">
      <c r="A2574" t="s">
        <v>20</v>
      </c>
      <c r="B2574">
        <v>43</v>
      </c>
      <c r="C2574">
        <v>53</v>
      </c>
      <c r="E2574">
        <v>4</v>
      </c>
      <c r="F2574">
        <v>4</v>
      </c>
    </row>
    <row r="2575" spans="1:6" hidden="1" x14ac:dyDescent="0.25">
      <c r="A2575" t="s">
        <v>20</v>
      </c>
      <c r="B2575">
        <v>43</v>
      </c>
      <c r="C2575">
        <v>54</v>
      </c>
      <c r="E2575">
        <v>4</v>
      </c>
      <c r="F2575">
        <v>4</v>
      </c>
    </row>
    <row r="2576" spans="1:6" hidden="1" x14ac:dyDescent="0.25">
      <c r="A2576" t="s">
        <v>20</v>
      </c>
      <c r="B2576">
        <v>43</v>
      </c>
      <c r="C2576">
        <v>55</v>
      </c>
      <c r="E2576">
        <v>4</v>
      </c>
      <c r="F2576">
        <v>4</v>
      </c>
    </row>
    <row r="2577" spans="1:6" hidden="1" x14ac:dyDescent="0.25">
      <c r="A2577" t="s">
        <v>20</v>
      </c>
      <c r="B2577">
        <v>43</v>
      </c>
      <c r="C2577">
        <v>56</v>
      </c>
      <c r="E2577">
        <v>4</v>
      </c>
      <c r="F2577">
        <v>4</v>
      </c>
    </row>
    <row r="2578" spans="1:6" hidden="1" x14ac:dyDescent="0.25">
      <c r="A2578" t="s">
        <v>20</v>
      </c>
      <c r="B2578">
        <v>43</v>
      </c>
      <c r="C2578">
        <v>57</v>
      </c>
      <c r="E2578">
        <v>4</v>
      </c>
      <c r="F2578">
        <v>4</v>
      </c>
    </row>
    <row r="2579" spans="1:6" hidden="1" x14ac:dyDescent="0.25">
      <c r="A2579" t="s">
        <v>20</v>
      </c>
      <c r="B2579">
        <v>43</v>
      </c>
      <c r="C2579">
        <v>58</v>
      </c>
      <c r="D2579">
        <v>1</v>
      </c>
      <c r="E2579">
        <v>4</v>
      </c>
      <c r="F2579">
        <v>4</v>
      </c>
    </row>
    <row r="2580" spans="1:6" hidden="1" x14ac:dyDescent="0.25">
      <c r="A2580" t="s">
        <v>20</v>
      </c>
      <c r="B2580">
        <v>43</v>
      </c>
      <c r="C2580">
        <v>59</v>
      </c>
      <c r="E2580">
        <v>4</v>
      </c>
      <c r="F2580">
        <v>4</v>
      </c>
    </row>
    <row r="2581" spans="1:6" hidden="1" x14ac:dyDescent="0.25">
      <c r="A2581" t="s">
        <v>20</v>
      </c>
      <c r="B2581">
        <v>43</v>
      </c>
      <c r="C2581">
        <v>60</v>
      </c>
      <c r="E2581">
        <v>4</v>
      </c>
      <c r="F2581">
        <v>4</v>
      </c>
    </row>
    <row r="2582" spans="1:6" hidden="1" x14ac:dyDescent="0.25">
      <c r="A2582" t="s">
        <v>20</v>
      </c>
      <c r="B2582">
        <v>43</v>
      </c>
      <c r="C2582">
        <v>61</v>
      </c>
      <c r="E2582">
        <v>4</v>
      </c>
      <c r="F2582">
        <v>4</v>
      </c>
    </row>
    <row r="2583" spans="1:6" hidden="1" x14ac:dyDescent="0.25">
      <c r="A2583" t="s">
        <v>20</v>
      </c>
      <c r="B2583">
        <v>43</v>
      </c>
      <c r="C2583">
        <v>62</v>
      </c>
      <c r="D2583">
        <v>1</v>
      </c>
      <c r="E2583">
        <v>4</v>
      </c>
      <c r="F2583">
        <v>4</v>
      </c>
    </row>
    <row r="2584" spans="1:6" hidden="1" x14ac:dyDescent="0.25">
      <c r="A2584" t="s">
        <v>20</v>
      </c>
      <c r="B2584">
        <v>43</v>
      </c>
      <c r="C2584">
        <v>63</v>
      </c>
      <c r="E2584">
        <v>4</v>
      </c>
      <c r="F2584">
        <v>4</v>
      </c>
    </row>
    <row r="2585" spans="1:6" hidden="1" x14ac:dyDescent="0.25">
      <c r="A2585" t="s">
        <v>20</v>
      </c>
      <c r="B2585">
        <v>43</v>
      </c>
      <c r="C2585">
        <v>64</v>
      </c>
      <c r="E2585">
        <v>4</v>
      </c>
      <c r="F2585">
        <v>4</v>
      </c>
    </row>
    <row r="2586" spans="1:6" hidden="1" x14ac:dyDescent="0.25">
      <c r="A2586" t="s">
        <v>20</v>
      </c>
      <c r="B2586">
        <v>43</v>
      </c>
      <c r="C2586">
        <v>65</v>
      </c>
      <c r="D2586">
        <v>1</v>
      </c>
      <c r="E2586">
        <v>4</v>
      </c>
      <c r="F2586">
        <v>4</v>
      </c>
    </row>
    <row r="2587" spans="1:6" hidden="1" x14ac:dyDescent="0.25">
      <c r="A2587" t="s">
        <v>20</v>
      </c>
      <c r="B2587">
        <v>43</v>
      </c>
      <c r="C2587">
        <v>66</v>
      </c>
      <c r="E2587">
        <v>4</v>
      </c>
      <c r="F2587">
        <v>4</v>
      </c>
    </row>
    <row r="2588" spans="1:6" hidden="1" x14ac:dyDescent="0.25">
      <c r="A2588" t="s">
        <v>20</v>
      </c>
      <c r="B2588">
        <v>43</v>
      </c>
      <c r="C2588">
        <v>67</v>
      </c>
      <c r="D2588">
        <v>1</v>
      </c>
      <c r="E2588">
        <v>4</v>
      </c>
      <c r="F2588">
        <v>4</v>
      </c>
    </row>
    <row r="2589" spans="1:6" hidden="1" x14ac:dyDescent="0.25">
      <c r="A2589" t="s">
        <v>20</v>
      </c>
      <c r="B2589">
        <v>43</v>
      </c>
      <c r="C2589">
        <v>68</v>
      </c>
      <c r="E2589">
        <v>4</v>
      </c>
      <c r="F2589">
        <v>4</v>
      </c>
    </row>
    <row r="2590" spans="1:6" hidden="1" x14ac:dyDescent="0.25">
      <c r="A2590" t="s">
        <v>20</v>
      </c>
      <c r="B2590">
        <v>43</v>
      </c>
      <c r="C2590">
        <v>69</v>
      </c>
      <c r="E2590">
        <v>4</v>
      </c>
      <c r="F2590">
        <v>4</v>
      </c>
    </row>
    <row r="2591" spans="1:6" hidden="1" x14ac:dyDescent="0.25">
      <c r="A2591" t="s">
        <v>20</v>
      </c>
      <c r="B2591">
        <v>43</v>
      </c>
      <c r="C2591">
        <v>70</v>
      </c>
      <c r="D2591">
        <v>1</v>
      </c>
      <c r="E2591">
        <v>4</v>
      </c>
      <c r="F2591">
        <v>4</v>
      </c>
    </row>
    <row r="2592" spans="1:6" hidden="1" x14ac:dyDescent="0.25">
      <c r="A2592" t="s">
        <v>20</v>
      </c>
      <c r="B2592">
        <v>43</v>
      </c>
      <c r="C2592">
        <v>71</v>
      </c>
      <c r="E2592">
        <v>4</v>
      </c>
      <c r="F2592">
        <v>4</v>
      </c>
    </row>
    <row r="2593" spans="1:6" hidden="1" x14ac:dyDescent="0.25">
      <c r="A2593" t="s">
        <v>20</v>
      </c>
      <c r="B2593">
        <v>43</v>
      </c>
      <c r="C2593">
        <v>72</v>
      </c>
      <c r="E2593">
        <v>4</v>
      </c>
      <c r="F2593">
        <v>4</v>
      </c>
    </row>
    <row r="2594" spans="1:6" hidden="1" x14ac:dyDescent="0.25">
      <c r="A2594" t="s">
        <v>20</v>
      </c>
      <c r="B2594">
        <v>43</v>
      </c>
      <c r="C2594">
        <v>73</v>
      </c>
      <c r="D2594">
        <v>1</v>
      </c>
      <c r="E2594">
        <v>4</v>
      </c>
      <c r="F2594">
        <v>4</v>
      </c>
    </row>
    <row r="2595" spans="1:6" hidden="1" x14ac:dyDescent="0.25">
      <c r="A2595" t="s">
        <v>20</v>
      </c>
      <c r="B2595">
        <v>43</v>
      </c>
      <c r="C2595">
        <v>74</v>
      </c>
      <c r="E2595">
        <v>4</v>
      </c>
      <c r="F2595">
        <v>4</v>
      </c>
    </row>
    <row r="2596" spans="1:6" hidden="1" x14ac:dyDescent="0.25">
      <c r="A2596" t="s">
        <v>20</v>
      </c>
      <c r="B2596">
        <v>43</v>
      </c>
      <c r="C2596">
        <v>75</v>
      </c>
      <c r="E2596">
        <v>4</v>
      </c>
      <c r="F2596">
        <v>4</v>
      </c>
    </row>
    <row r="2597" spans="1:6" hidden="1" x14ac:dyDescent="0.25">
      <c r="A2597" t="s">
        <v>20</v>
      </c>
      <c r="B2597">
        <v>43</v>
      </c>
      <c r="C2597">
        <v>76</v>
      </c>
      <c r="D2597">
        <v>1</v>
      </c>
      <c r="E2597">
        <v>4</v>
      </c>
      <c r="F2597">
        <v>4</v>
      </c>
    </row>
    <row r="2598" spans="1:6" hidden="1" x14ac:dyDescent="0.25">
      <c r="A2598" t="s">
        <v>20</v>
      </c>
      <c r="B2598">
        <v>43</v>
      </c>
      <c r="C2598">
        <v>77</v>
      </c>
      <c r="E2598">
        <v>4</v>
      </c>
      <c r="F2598">
        <v>4</v>
      </c>
    </row>
    <row r="2599" spans="1:6" hidden="1" x14ac:dyDescent="0.25">
      <c r="A2599" t="s">
        <v>20</v>
      </c>
      <c r="B2599">
        <v>43</v>
      </c>
      <c r="C2599">
        <v>78</v>
      </c>
      <c r="E2599">
        <v>4</v>
      </c>
      <c r="F2599">
        <v>4</v>
      </c>
    </row>
    <row r="2600" spans="1:6" hidden="1" x14ac:dyDescent="0.25">
      <c r="A2600" t="s">
        <v>20</v>
      </c>
      <c r="B2600">
        <v>43</v>
      </c>
      <c r="C2600">
        <v>79</v>
      </c>
      <c r="D2600">
        <v>1</v>
      </c>
      <c r="E2600">
        <v>4</v>
      </c>
      <c r="F2600">
        <v>4</v>
      </c>
    </row>
    <row r="2601" spans="1:6" hidden="1" x14ac:dyDescent="0.25">
      <c r="A2601" t="s">
        <v>20</v>
      </c>
      <c r="B2601">
        <v>43</v>
      </c>
      <c r="C2601">
        <v>80</v>
      </c>
      <c r="E2601">
        <v>4</v>
      </c>
      <c r="F2601">
        <v>4</v>
      </c>
    </row>
    <row r="2602" spans="1:6" hidden="1" x14ac:dyDescent="0.25">
      <c r="A2602" t="s">
        <v>20</v>
      </c>
      <c r="B2602">
        <v>43</v>
      </c>
      <c r="C2602">
        <v>81</v>
      </c>
      <c r="E2602">
        <v>4</v>
      </c>
      <c r="F2602">
        <v>4</v>
      </c>
    </row>
    <row r="2603" spans="1:6" hidden="1" x14ac:dyDescent="0.25">
      <c r="A2603" t="s">
        <v>20</v>
      </c>
      <c r="B2603">
        <v>43</v>
      </c>
      <c r="C2603">
        <v>82</v>
      </c>
      <c r="D2603">
        <v>1</v>
      </c>
      <c r="E2603">
        <v>4</v>
      </c>
      <c r="F2603">
        <v>4</v>
      </c>
    </row>
    <row r="2604" spans="1:6" hidden="1" x14ac:dyDescent="0.25">
      <c r="A2604" t="s">
        <v>20</v>
      </c>
      <c r="B2604">
        <v>43</v>
      </c>
      <c r="C2604">
        <v>83</v>
      </c>
      <c r="E2604">
        <v>4</v>
      </c>
      <c r="F2604">
        <v>4</v>
      </c>
    </row>
    <row r="2605" spans="1:6" hidden="1" x14ac:dyDescent="0.25">
      <c r="A2605" t="s">
        <v>20</v>
      </c>
      <c r="B2605">
        <v>43</v>
      </c>
      <c r="C2605">
        <v>84</v>
      </c>
      <c r="E2605">
        <v>4</v>
      </c>
      <c r="F2605">
        <v>4</v>
      </c>
    </row>
    <row r="2606" spans="1:6" hidden="1" x14ac:dyDescent="0.25">
      <c r="A2606" t="s">
        <v>20</v>
      </c>
      <c r="B2606">
        <v>44</v>
      </c>
      <c r="C2606">
        <v>1</v>
      </c>
    </row>
    <row r="2607" spans="1:6" hidden="1" x14ac:dyDescent="0.25">
      <c r="A2607" t="s">
        <v>20</v>
      </c>
      <c r="B2607">
        <v>44</v>
      </c>
      <c r="C2607">
        <v>2</v>
      </c>
    </row>
    <row r="2608" spans="1:6" hidden="1" x14ac:dyDescent="0.25">
      <c r="A2608" t="s">
        <v>20</v>
      </c>
      <c r="B2608">
        <v>44</v>
      </c>
      <c r="C2608">
        <v>3</v>
      </c>
    </row>
    <row r="2609" spans="1:4" hidden="1" x14ac:dyDescent="0.25">
      <c r="A2609" t="s">
        <v>20</v>
      </c>
      <c r="B2609">
        <v>44</v>
      </c>
      <c r="C2609">
        <v>4</v>
      </c>
    </row>
    <row r="2610" spans="1:4" hidden="1" x14ac:dyDescent="0.25">
      <c r="A2610" t="s">
        <v>20</v>
      </c>
      <c r="B2610">
        <v>44</v>
      </c>
      <c r="C2610">
        <v>5</v>
      </c>
    </row>
    <row r="2611" spans="1:4" hidden="1" x14ac:dyDescent="0.25">
      <c r="A2611" t="s">
        <v>20</v>
      </c>
      <c r="B2611">
        <v>44</v>
      </c>
      <c r="C2611">
        <v>6</v>
      </c>
    </row>
    <row r="2612" spans="1:4" hidden="1" x14ac:dyDescent="0.25">
      <c r="A2612" t="s">
        <v>20</v>
      </c>
      <c r="B2612">
        <v>44</v>
      </c>
      <c r="C2612">
        <v>7</v>
      </c>
    </row>
    <row r="2613" spans="1:4" hidden="1" x14ac:dyDescent="0.25">
      <c r="A2613" t="s">
        <v>20</v>
      </c>
      <c r="B2613">
        <v>44</v>
      </c>
      <c r="C2613">
        <v>8</v>
      </c>
    </row>
    <row r="2614" spans="1:4" hidden="1" x14ac:dyDescent="0.25">
      <c r="A2614" t="s">
        <v>20</v>
      </c>
      <c r="B2614">
        <v>44</v>
      </c>
      <c r="C2614">
        <v>9</v>
      </c>
    </row>
    <row r="2615" spans="1:4" hidden="1" x14ac:dyDescent="0.25">
      <c r="A2615" t="s">
        <v>20</v>
      </c>
      <c r="B2615">
        <v>44</v>
      </c>
      <c r="C2615">
        <v>10</v>
      </c>
    </row>
    <row r="2616" spans="1:4" hidden="1" x14ac:dyDescent="0.25">
      <c r="A2616" t="s">
        <v>20</v>
      </c>
      <c r="B2616">
        <v>44</v>
      </c>
      <c r="C2616">
        <v>11</v>
      </c>
    </row>
    <row r="2617" spans="1:4" hidden="1" x14ac:dyDescent="0.25">
      <c r="A2617" t="s">
        <v>20</v>
      </c>
      <c r="B2617">
        <v>44</v>
      </c>
      <c r="C2617">
        <v>12</v>
      </c>
    </row>
    <row r="2618" spans="1:4" hidden="1" x14ac:dyDescent="0.25">
      <c r="A2618" t="s">
        <v>20</v>
      </c>
      <c r="B2618">
        <v>44</v>
      </c>
      <c r="C2618">
        <v>13</v>
      </c>
      <c r="D2618">
        <v>1</v>
      </c>
    </row>
    <row r="2619" spans="1:4" hidden="1" x14ac:dyDescent="0.25">
      <c r="A2619" t="s">
        <v>20</v>
      </c>
      <c r="B2619">
        <v>44</v>
      </c>
      <c r="C2619">
        <v>14</v>
      </c>
    </row>
    <row r="2620" spans="1:4" hidden="1" x14ac:dyDescent="0.25">
      <c r="A2620" t="s">
        <v>20</v>
      </c>
      <c r="B2620">
        <v>44</v>
      </c>
      <c r="C2620">
        <v>15</v>
      </c>
    </row>
    <row r="2621" spans="1:4" hidden="1" x14ac:dyDescent="0.25">
      <c r="A2621" t="s">
        <v>20</v>
      </c>
      <c r="B2621">
        <v>44</v>
      </c>
      <c r="C2621">
        <v>16</v>
      </c>
      <c r="D2621">
        <v>1</v>
      </c>
    </row>
    <row r="2622" spans="1:4" hidden="1" x14ac:dyDescent="0.25">
      <c r="A2622" t="s">
        <v>20</v>
      </c>
      <c r="B2622">
        <v>44</v>
      </c>
      <c r="C2622">
        <v>17</v>
      </c>
    </row>
    <row r="2623" spans="1:4" hidden="1" x14ac:dyDescent="0.25">
      <c r="A2623" t="s">
        <v>20</v>
      </c>
      <c r="B2623">
        <v>44</v>
      </c>
      <c r="C2623">
        <v>18</v>
      </c>
    </row>
    <row r="2624" spans="1:4" hidden="1" x14ac:dyDescent="0.25">
      <c r="A2624" t="s">
        <v>20</v>
      </c>
      <c r="B2624">
        <v>44</v>
      </c>
      <c r="C2624">
        <v>19</v>
      </c>
      <c r="D2624">
        <v>1</v>
      </c>
    </row>
    <row r="2625" spans="1:4" hidden="1" x14ac:dyDescent="0.25">
      <c r="A2625" t="s">
        <v>20</v>
      </c>
      <c r="B2625">
        <v>44</v>
      </c>
      <c r="C2625">
        <v>20</v>
      </c>
    </row>
    <row r="2626" spans="1:4" hidden="1" x14ac:dyDescent="0.25">
      <c r="A2626" t="s">
        <v>20</v>
      </c>
      <c r="B2626">
        <v>44</v>
      </c>
      <c r="C2626">
        <v>21</v>
      </c>
    </row>
    <row r="2627" spans="1:4" hidden="1" x14ac:dyDescent="0.25">
      <c r="A2627" t="s">
        <v>20</v>
      </c>
      <c r="B2627">
        <v>44</v>
      </c>
      <c r="C2627">
        <v>22</v>
      </c>
      <c r="D2627">
        <v>1</v>
      </c>
    </row>
    <row r="2628" spans="1:4" hidden="1" x14ac:dyDescent="0.25">
      <c r="A2628" t="s">
        <v>20</v>
      </c>
      <c r="B2628">
        <v>44</v>
      </c>
      <c r="C2628">
        <v>23</v>
      </c>
    </row>
    <row r="2629" spans="1:4" hidden="1" x14ac:dyDescent="0.25">
      <c r="A2629" t="s">
        <v>20</v>
      </c>
      <c r="B2629">
        <v>44</v>
      </c>
      <c r="C2629">
        <v>24</v>
      </c>
    </row>
    <row r="2630" spans="1:4" hidden="1" x14ac:dyDescent="0.25">
      <c r="A2630" t="s">
        <v>20</v>
      </c>
      <c r="B2630">
        <v>44</v>
      </c>
      <c r="C2630">
        <v>25</v>
      </c>
    </row>
    <row r="2631" spans="1:4" hidden="1" x14ac:dyDescent="0.25">
      <c r="A2631" t="s">
        <v>20</v>
      </c>
      <c r="B2631">
        <v>44</v>
      </c>
      <c r="C2631">
        <v>26</v>
      </c>
    </row>
    <row r="2632" spans="1:4" hidden="1" x14ac:dyDescent="0.25">
      <c r="A2632" t="s">
        <v>20</v>
      </c>
      <c r="B2632">
        <v>44</v>
      </c>
      <c r="C2632">
        <v>27</v>
      </c>
    </row>
    <row r="2633" spans="1:4" hidden="1" x14ac:dyDescent="0.25">
      <c r="A2633" t="s">
        <v>20</v>
      </c>
      <c r="B2633">
        <v>44</v>
      </c>
      <c r="C2633">
        <v>28</v>
      </c>
    </row>
    <row r="2634" spans="1:4" hidden="1" x14ac:dyDescent="0.25">
      <c r="A2634" t="s">
        <v>20</v>
      </c>
      <c r="B2634">
        <v>44</v>
      </c>
      <c r="C2634">
        <v>29</v>
      </c>
    </row>
    <row r="2635" spans="1:4" hidden="1" x14ac:dyDescent="0.25">
      <c r="A2635" t="s">
        <v>20</v>
      </c>
      <c r="B2635">
        <v>44</v>
      </c>
      <c r="C2635">
        <v>30</v>
      </c>
    </row>
    <row r="2636" spans="1:4" hidden="1" x14ac:dyDescent="0.25">
      <c r="A2636" t="s">
        <v>20</v>
      </c>
      <c r="B2636">
        <v>44</v>
      </c>
      <c r="C2636">
        <v>31</v>
      </c>
    </row>
    <row r="2637" spans="1:4" hidden="1" x14ac:dyDescent="0.25">
      <c r="A2637" t="s">
        <v>20</v>
      </c>
      <c r="B2637">
        <v>44</v>
      </c>
      <c r="C2637">
        <v>32</v>
      </c>
    </row>
    <row r="2638" spans="1:4" hidden="1" x14ac:dyDescent="0.25">
      <c r="A2638" t="s">
        <v>20</v>
      </c>
      <c r="B2638">
        <v>44</v>
      </c>
      <c r="C2638">
        <v>33</v>
      </c>
    </row>
    <row r="2639" spans="1:4" hidden="1" x14ac:dyDescent="0.25">
      <c r="A2639" t="s">
        <v>20</v>
      </c>
      <c r="B2639">
        <v>44</v>
      </c>
      <c r="C2639">
        <v>34</v>
      </c>
    </row>
    <row r="2640" spans="1:4" hidden="1" x14ac:dyDescent="0.25">
      <c r="A2640" t="s">
        <v>20</v>
      </c>
      <c r="B2640">
        <v>44</v>
      </c>
      <c r="C2640">
        <v>35</v>
      </c>
    </row>
    <row r="2641" spans="1:4" hidden="1" x14ac:dyDescent="0.25">
      <c r="A2641" t="s">
        <v>20</v>
      </c>
      <c r="B2641">
        <v>44</v>
      </c>
      <c r="C2641">
        <v>36</v>
      </c>
    </row>
    <row r="2642" spans="1:4" hidden="1" x14ac:dyDescent="0.25">
      <c r="A2642" t="s">
        <v>20</v>
      </c>
      <c r="B2642">
        <v>44</v>
      </c>
      <c r="C2642">
        <v>37</v>
      </c>
    </row>
    <row r="2643" spans="1:4" hidden="1" x14ac:dyDescent="0.25">
      <c r="A2643" t="s">
        <v>20</v>
      </c>
      <c r="B2643">
        <v>44</v>
      </c>
      <c r="C2643">
        <v>38</v>
      </c>
    </row>
    <row r="2644" spans="1:4" hidden="1" x14ac:dyDescent="0.25">
      <c r="A2644" t="s">
        <v>20</v>
      </c>
      <c r="B2644">
        <v>44</v>
      </c>
      <c r="C2644">
        <v>39</v>
      </c>
    </row>
    <row r="2645" spans="1:4" hidden="1" x14ac:dyDescent="0.25">
      <c r="A2645" t="s">
        <v>20</v>
      </c>
      <c r="B2645">
        <v>44</v>
      </c>
      <c r="C2645">
        <v>40</v>
      </c>
      <c r="D2645">
        <v>1</v>
      </c>
    </row>
    <row r="2646" spans="1:4" hidden="1" x14ac:dyDescent="0.25">
      <c r="A2646" t="s">
        <v>20</v>
      </c>
      <c r="B2646">
        <v>44</v>
      </c>
      <c r="C2646">
        <v>41</v>
      </c>
    </row>
    <row r="2647" spans="1:4" hidden="1" x14ac:dyDescent="0.25">
      <c r="A2647" t="s">
        <v>20</v>
      </c>
      <c r="B2647">
        <v>44</v>
      </c>
      <c r="C2647">
        <v>42</v>
      </c>
    </row>
    <row r="2648" spans="1:4" hidden="1" x14ac:dyDescent="0.25">
      <c r="A2648" t="s">
        <v>20</v>
      </c>
      <c r="B2648">
        <v>44</v>
      </c>
      <c r="C2648">
        <v>43</v>
      </c>
    </row>
    <row r="2649" spans="1:4" hidden="1" x14ac:dyDescent="0.25">
      <c r="A2649" t="s">
        <v>20</v>
      </c>
      <c r="B2649">
        <v>44</v>
      </c>
      <c r="C2649">
        <v>44</v>
      </c>
    </row>
    <row r="2650" spans="1:4" hidden="1" x14ac:dyDescent="0.25">
      <c r="A2650" t="s">
        <v>20</v>
      </c>
      <c r="B2650">
        <v>44</v>
      </c>
      <c r="C2650">
        <v>45</v>
      </c>
    </row>
    <row r="2651" spans="1:4" hidden="1" x14ac:dyDescent="0.25">
      <c r="A2651" t="s">
        <v>20</v>
      </c>
      <c r="B2651">
        <v>44</v>
      </c>
      <c r="C2651">
        <v>46</v>
      </c>
    </row>
    <row r="2652" spans="1:4" hidden="1" x14ac:dyDescent="0.25">
      <c r="A2652" t="s">
        <v>20</v>
      </c>
      <c r="B2652">
        <v>44</v>
      </c>
      <c r="C2652">
        <v>47</v>
      </c>
    </row>
    <row r="2653" spans="1:4" hidden="1" x14ac:dyDescent="0.25">
      <c r="A2653" t="s">
        <v>20</v>
      </c>
      <c r="B2653">
        <v>44</v>
      </c>
      <c r="C2653">
        <v>48</v>
      </c>
    </row>
    <row r="2654" spans="1:4" hidden="1" x14ac:dyDescent="0.25">
      <c r="A2654" t="s">
        <v>20</v>
      </c>
      <c r="B2654">
        <v>44</v>
      </c>
      <c r="C2654">
        <v>49</v>
      </c>
    </row>
    <row r="2655" spans="1:4" hidden="1" x14ac:dyDescent="0.25">
      <c r="A2655" t="s">
        <v>20</v>
      </c>
      <c r="B2655">
        <v>44</v>
      </c>
      <c r="C2655">
        <v>50</v>
      </c>
    </row>
    <row r="2656" spans="1:4" hidden="1" x14ac:dyDescent="0.25">
      <c r="A2656" t="s">
        <v>20</v>
      </c>
      <c r="B2656">
        <v>44</v>
      </c>
      <c r="C2656">
        <v>51</v>
      </c>
    </row>
    <row r="2657" spans="1:4" hidden="1" x14ac:dyDescent="0.25">
      <c r="A2657" t="s">
        <v>20</v>
      </c>
      <c r="B2657">
        <v>44</v>
      </c>
      <c r="C2657">
        <v>52</v>
      </c>
    </row>
    <row r="2658" spans="1:4" hidden="1" x14ac:dyDescent="0.25">
      <c r="A2658" t="s">
        <v>20</v>
      </c>
      <c r="B2658">
        <v>44</v>
      </c>
      <c r="C2658">
        <v>53</v>
      </c>
    </row>
    <row r="2659" spans="1:4" hidden="1" x14ac:dyDescent="0.25">
      <c r="A2659" t="s">
        <v>20</v>
      </c>
      <c r="B2659">
        <v>44</v>
      </c>
      <c r="C2659">
        <v>54</v>
      </c>
    </row>
    <row r="2660" spans="1:4" hidden="1" x14ac:dyDescent="0.25">
      <c r="A2660" t="s">
        <v>20</v>
      </c>
      <c r="B2660">
        <v>44</v>
      </c>
      <c r="C2660">
        <v>55</v>
      </c>
      <c r="D2660">
        <v>1</v>
      </c>
    </row>
    <row r="2661" spans="1:4" hidden="1" x14ac:dyDescent="0.25">
      <c r="A2661" t="s">
        <v>20</v>
      </c>
      <c r="B2661">
        <v>44</v>
      </c>
      <c r="C2661">
        <v>56</v>
      </c>
    </row>
    <row r="2662" spans="1:4" hidden="1" x14ac:dyDescent="0.25">
      <c r="A2662" t="s">
        <v>20</v>
      </c>
      <c r="B2662">
        <v>44</v>
      </c>
      <c r="C2662">
        <v>57</v>
      </c>
    </row>
    <row r="2663" spans="1:4" hidden="1" x14ac:dyDescent="0.25">
      <c r="A2663" t="s">
        <v>20</v>
      </c>
      <c r="B2663">
        <v>44</v>
      </c>
      <c r="C2663">
        <v>58</v>
      </c>
      <c r="D2663">
        <v>1</v>
      </c>
    </row>
    <row r="2664" spans="1:4" hidden="1" x14ac:dyDescent="0.25">
      <c r="A2664" t="s">
        <v>20</v>
      </c>
      <c r="B2664">
        <v>44</v>
      </c>
      <c r="C2664">
        <v>59</v>
      </c>
    </row>
    <row r="2665" spans="1:4" hidden="1" x14ac:dyDescent="0.25">
      <c r="A2665" t="s">
        <v>20</v>
      </c>
      <c r="B2665">
        <v>44</v>
      </c>
      <c r="C2665">
        <v>60</v>
      </c>
    </row>
    <row r="2666" spans="1:4" hidden="1" x14ac:dyDescent="0.25">
      <c r="A2666" t="s">
        <v>20</v>
      </c>
      <c r="B2666">
        <v>44</v>
      </c>
      <c r="C2666">
        <v>61</v>
      </c>
      <c r="D2666">
        <v>1</v>
      </c>
    </row>
    <row r="2667" spans="1:4" hidden="1" x14ac:dyDescent="0.25">
      <c r="A2667" t="s">
        <v>20</v>
      </c>
      <c r="B2667">
        <v>44</v>
      </c>
      <c r="C2667">
        <v>62</v>
      </c>
    </row>
    <row r="2668" spans="1:4" hidden="1" x14ac:dyDescent="0.25">
      <c r="A2668" t="s">
        <v>20</v>
      </c>
      <c r="B2668">
        <v>44</v>
      </c>
      <c r="C2668">
        <v>63</v>
      </c>
    </row>
    <row r="2669" spans="1:4" hidden="1" x14ac:dyDescent="0.25">
      <c r="A2669" t="s">
        <v>20</v>
      </c>
      <c r="B2669">
        <v>44</v>
      </c>
      <c r="C2669">
        <v>64</v>
      </c>
      <c r="D2669">
        <v>1</v>
      </c>
    </row>
    <row r="2670" spans="1:4" hidden="1" x14ac:dyDescent="0.25">
      <c r="A2670" t="s">
        <v>20</v>
      </c>
      <c r="B2670">
        <v>44</v>
      </c>
      <c r="C2670">
        <v>65</v>
      </c>
    </row>
    <row r="2671" spans="1:4" hidden="1" x14ac:dyDescent="0.25">
      <c r="A2671" t="s">
        <v>20</v>
      </c>
      <c r="B2671">
        <v>44</v>
      </c>
      <c r="C2671">
        <v>66</v>
      </c>
    </row>
    <row r="2672" spans="1:4" hidden="1" x14ac:dyDescent="0.25">
      <c r="A2672" t="s">
        <v>20</v>
      </c>
      <c r="B2672">
        <v>44</v>
      </c>
      <c r="C2672">
        <v>67</v>
      </c>
    </row>
    <row r="2673" spans="1:3" hidden="1" x14ac:dyDescent="0.25">
      <c r="A2673" t="s">
        <v>20</v>
      </c>
      <c r="B2673">
        <v>44</v>
      </c>
      <c r="C2673">
        <v>68</v>
      </c>
    </row>
    <row r="2674" spans="1:3" hidden="1" x14ac:dyDescent="0.25">
      <c r="A2674" t="s">
        <v>20</v>
      </c>
      <c r="B2674">
        <v>44</v>
      </c>
      <c r="C2674">
        <v>69</v>
      </c>
    </row>
    <row r="2675" spans="1:3" hidden="1" x14ac:dyDescent="0.25">
      <c r="A2675" t="s">
        <v>20</v>
      </c>
      <c r="B2675">
        <v>44</v>
      </c>
      <c r="C2675">
        <v>70</v>
      </c>
    </row>
    <row r="2676" spans="1:3" hidden="1" x14ac:dyDescent="0.25">
      <c r="A2676" t="s">
        <v>20</v>
      </c>
      <c r="B2676">
        <v>44</v>
      </c>
      <c r="C2676">
        <v>71</v>
      </c>
    </row>
    <row r="2677" spans="1:3" hidden="1" x14ac:dyDescent="0.25">
      <c r="A2677" t="s">
        <v>20</v>
      </c>
      <c r="B2677">
        <v>44</v>
      </c>
      <c r="C2677">
        <v>72</v>
      </c>
    </row>
    <row r="2678" spans="1:3" hidden="1" x14ac:dyDescent="0.25">
      <c r="A2678" t="s">
        <v>20</v>
      </c>
      <c r="B2678">
        <v>44</v>
      </c>
      <c r="C2678">
        <v>73</v>
      </c>
    </row>
    <row r="2679" spans="1:3" hidden="1" x14ac:dyDescent="0.25">
      <c r="A2679" t="s">
        <v>20</v>
      </c>
      <c r="B2679">
        <v>44</v>
      </c>
      <c r="C2679">
        <v>74</v>
      </c>
    </row>
    <row r="2680" spans="1:3" hidden="1" x14ac:dyDescent="0.25">
      <c r="A2680" t="s">
        <v>20</v>
      </c>
      <c r="B2680">
        <v>44</v>
      </c>
      <c r="C2680">
        <v>75</v>
      </c>
    </row>
    <row r="2681" spans="1:3" hidden="1" x14ac:dyDescent="0.25">
      <c r="A2681" t="s">
        <v>20</v>
      </c>
      <c r="B2681">
        <v>44</v>
      </c>
      <c r="C2681">
        <v>76</v>
      </c>
    </row>
    <row r="2682" spans="1:3" hidden="1" x14ac:dyDescent="0.25">
      <c r="A2682" t="s">
        <v>20</v>
      </c>
      <c r="B2682">
        <v>44</v>
      </c>
      <c r="C2682">
        <v>77</v>
      </c>
    </row>
    <row r="2683" spans="1:3" hidden="1" x14ac:dyDescent="0.25">
      <c r="A2683" t="s">
        <v>20</v>
      </c>
      <c r="B2683">
        <v>44</v>
      </c>
      <c r="C2683">
        <v>78</v>
      </c>
    </row>
    <row r="2684" spans="1:3" hidden="1" x14ac:dyDescent="0.25">
      <c r="A2684" t="s">
        <v>20</v>
      </c>
      <c r="B2684">
        <v>44</v>
      </c>
      <c r="C2684">
        <v>79</v>
      </c>
    </row>
    <row r="2685" spans="1:3" hidden="1" x14ac:dyDescent="0.25">
      <c r="A2685" t="s">
        <v>20</v>
      </c>
      <c r="B2685">
        <v>44</v>
      </c>
      <c r="C2685">
        <v>80</v>
      </c>
    </row>
    <row r="2686" spans="1:3" hidden="1" x14ac:dyDescent="0.25">
      <c r="A2686" t="s">
        <v>20</v>
      </c>
      <c r="B2686">
        <v>44</v>
      </c>
      <c r="C2686">
        <v>81</v>
      </c>
    </row>
    <row r="2687" spans="1:3" hidden="1" x14ac:dyDescent="0.25">
      <c r="A2687" t="s">
        <v>20</v>
      </c>
      <c r="B2687">
        <v>44</v>
      </c>
      <c r="C2687">
        <v>82</v>
      </c>
    </row>
    <row r="2688" spans="1:3" hidden="1" x14ac:dyDescent="0.25">
      <c r="A2688" t="s">
        <v>20</v>
      </c>
      <c r="B2688">
        <v>44</v>
      </c>
      <c r="C2688">
        <v>83</v>
      </c>
    </row>
    <row r="2689" spans="1:4" hidden="1" x14ac:dyDescent="0.25">
      <c r="A2689" t="s">
        <v>20</v>
      </c>
      <c r="B2689">
        <v>44</v>
      </c>
      <c r="C2689">
        <v>84</v>
      </c>
    </row>
    <row r="2690" spans="1:4" hidden="1" x14ac:dyDescent="0.25">
      <c r="A2690" t="s">
        <v>20</v>
      </c>
      <c r="B2690">
        <v>46</v>
      </c>
      <c r="C2690">
        <v>1</v>
      </c>
      <c r="D2690">
        <v>1</v>
      </c>
    </row>
    <row r="2691" spans="1:4" hidden="1" x14ac:dyDescent="0.25">
      <c r="A2691" t="s">
        <v>20</v>
      </c>
      <c r="B2691">
        <v>46</v>
      </c>
      <c r="C2691">
        <v>2</v>
      </c>
    </row>
    <row r="2692" spans="1:4" hidden="1" x14ac:dyDescent="0.25">
      <c r="A2692" t="s">
        <v>20</v>
      </c>
      <c r="B2692">
        <v>46</v>
      </c>
      <c r="C2692">
        <v>3</v>
      </c>
    </row>
    <row r="2693" spans="1:4" hidden="1" x14ac:dyDescent="0.25">
      <c r="A2693" t="s">
        <v>20</v>
      </c>
      <c r="B2693">
        <v>46</v>
      </c>
      <c r="C2693">
        <v>4</v>
      </c>
      <c r="D2693">
        <v>1</v>
      </c>
    </row>
    <row r="2694" spans="1:4" hidden="1" x14ac:dyDescent="0.25">
      <c r="A2694" t="s">
        <v>20</v>
      </c>
      <c r="B2694">
        <v>46</v>
      </c>
      <c r="C2694">
        <v>5</v>
      </c>
    </row>
    <row r="2695" spans="1:4" hidden="1" x14ac:dyDescent="0.25">
      <c r="A2695" t="s">
        <v>20</v>
      </c>
      <c r="B2695">
        <v>46</v>
      </c>
      <c r="C2695">
        <v>6</v>
      </c>
    </row>
    <row r="2696" spans="1:4" hidden="1" x14ac:dyDescent="0.25">
      <c r="A2696" t="s">
        <v>20</v>
      </c>
      <c r="B2696">
        <v>46</v>
      </c>
      <c r="C2696">
        <v>7</v>
      </c>
      <c r="D2696">
        <v>1</v>
      </c>
    </row>
    <row r="2697" spans="1:4" hidden="1" x14ac:dyDescent="0.25">
      <c r="A2697" t="s">
        <v>20</v>
      </c>
      <c r="B2697">
        <v>46</v>
      </c>
      <c r="C2697">
        <v>8</v>
      </c>
    </row>
    <row r="2698" spans="1:4" hidden="1" x14ac:dyDescent="0.25">
      <c r="A2698" t="s">
        <v>20</v>
      </c>
      <c r="B2698">
        <v>46</v>
      </c>
      <c r="C2698">
        <v>9</v>
      </c>
    </row>
    <row r="2699" spans="1:4" hidden="1" x14ac:dyDescent="0.25">
      <c r="A2699" t="s">
        <v>20</v>
      </c>
      <c r="B2699">
        <v>46</v>
      </c>
      <c r="C2699">
        <v>10</v>
      </c>
      <c r="D2699">
        <v>1</v>
      </c>
    </row>
    <row r="2700" spans="1:4" hidden="1" x14ac:dyDescent="0.25">
      <c r="A2700" t="s">
        <v>20</v>
      </c>
      <c r="B2700">
        <v>46</v>
      </c>
      <c r="C2700">
        <v>11</v>
      </c>
    </row>
    <row r="2701" spans="1:4" hidden="1" x14ac:dyDescent="0.25">
      <c r="A2701" t="s">
        <v>20</v>
      </c>
      <c r="B2701">
        <v>46</v>
      </c>
      <c r="C2701">
        <v>12</v>
      </c>
    </row>
    <row r="2702" spans="1:4" hidden="1" x14ac:dyDescent="0.25">
      <c r="A2702" t="s">
        <v>20</v>
      </c>
      <c r="B2702">
        <v>46</v>
      </c>
      <c r="C2702">
        <v>13</v>
      </c>
      <c r="D2702">
        <v>1</v>
      </c>
    </row>
    <row r="2703" spans="1:4" hidden="1" x14ac:dyDescent="0.25">
      <c r="A2703" t="s">
        <v>20</v>
      </c>
      <c r="B2703">
        <v>46</v>
      </c>
      <c r="C2703">
        <v>14</v>
      </c>
    </row>
    <row r="2704" spans="1:4" hidden="1" x14ac:dyDescent="0.25">
      <c r="A2704" t="s">
        <v>20</v>
      </c>
      <c r="B2704">
        <v>46</v>
      </c>
      <c r="C2704">
        <v>15</v>
      </c>
    </row>
    <row r="2705" spans="1:4" hidden="1" x14ac:dyDescent="0.25">
      <c r="A2705" t="s">
        <v>20</v>
      </c>
      <c r="B2705">
        <v>46</v>
      </c>
      <c r="C2705">
        <v>16</v>
      </c>
    </row>
    <row r="2706" spans="1:4" hidden="1" x14ac:dyDescent="0.25">
      <c r="A2706" t="s">
        <v>20</v>
      </c>
      <c r="B2706">
        <v>46</v>
      </c>
      <c r="C2706">
        <v>17</v>
      </c>
    </row>
    <row r="2707" spans="1:4" hidden="1" x14ac:dyDescent="0.25">
      <c r="A2707" t="s">
        <v>20</v>
      </c>
      <c r="B2707">
        <v>46</v>
      </c>
      <c r="C2707">
        <v>18</v>
      </c>
    </row>
    <row r="2708" spans="1:4" hidden="1" x14ac:dyDescent="0.25">
      <c r="A2708" t="s">
        <v>20</v>
      </c>
      <c r="B2708">
        <v>46</v>
      </c>
      <c r="C2708">
        <v>19</v>
      </c>
    </row>
    <row r="2709" spans="1:4" hidden="1" x14ac:dyDescent="0.25">
      <c r="A2709" t="s">
        <v>20</v>
      </c>
      <c r="B2709">
        <v>46</v>
      </c>
      <c r="C2709">
        <v>20</v>
      </c>
    </row>
    <row r="2710" spans="1:4" hidden="1" x14ac:dyDescent="0.25">
      <c r="A2710" t="s">
        <v>20</v>
      </c>
      <c r="B2710">
        <v>46</v>
      </c>
      <c r="C2710">
        <v>21</v>
      </c>
    </row>
    <row r="2711" spans="1:4" hidden="1" x14ac:dyDescent="0.25">
      <c r="A2711" t="s">
        <v>20</v>
      </c>
      <c r="B2711">
        <v>46</v>
      </c>
      <c r="C2711">
        <v>22</v>
      </c>
      <c r="D2711">
        <v>1</v>
      </c>
    </row>
    <row r="2712" spans="1:4" hidden="1" x14ac:dyDescent="0.25">
      <c r="A2712" t="s">
        <v>20</v>
      </c>
      <c r="B2712">
        <v>46</v>
      </c>
      <c r="C2712">
        <v>23</v>
      </c>
    </row>
    <row r="2713" spans="1:4" hidden="1" x14ac:dyDescent="0.25">
      <c r="A2713" t="s">
        <v>20</v>
      </c>
      <c r="B2713">
        <v>46</v>
      </c>
      <c r="C2713">
        <v>24</v>
      </c>
    </row>
    <row r="2714" spans="1:4" hidden="1" x14ac:dyDescent="0.25">
      <c r="A2714" t="s">
        <v>20</v>
      </c>
      <c r="B2714">
        <v>46</v>
      </c>
      <c r="C2714">
        <v>25</v>
      </c>
    </row>
    <row r="2715" spans="1:4" hidden="1" x14ac:dyDescent="0.25">
      <c r="A2715" t="s">
        <v>20</v>
      </c>
      <c r="B2715">
        <v>46</v>
      </c>
      <c r="C2715">
        <v>26</v>
      </c>
    </row>
    <row r="2716" spans="1:4" hidden="1" x14ac:dyDescent="0.25">
      <c r="A2716" t="s">
        <v>20</v>
      </c>
      <c r="B2716">
        <v>46</v>
      </c>
      <c r="C2716">
        <v>27</v>
      </c>
    </row>
    <row r="2717" spans="1:4" hidden="1" x14ac:dyDescent="0.25">
      <c r="A2717" t="s">
        <v>20</v>
      </c>
      <c r="B2717">
        <v>46</v>
      </c>
      <c r="C2717">
        <v>28</v>
      </c>
      <c r="D2717">
        <v>1</v>
      </c>
    </row>
    <row r="2718" spans="1:4" hidden="1" x14ac:dyDescent="0.25">
      <c r="A2718" t="s">
        <v>20</v>
      </c>
      <c r="B2718">
        <v>46</v>
      </c>
      <c r="C2718">
        <v>29</v>
      </c>
    </row>
    <row r="2719" spans="1:4" hidden="1" x14ac:dyDescent="0.25">
      <c r="A2719" t="s">
        <v>20</v>
      </c>
      <c r="B2719">
        <v>46</v>
      </c>
      <c r="C2719">
        <v>30</v>
      </c>
    </row>
    <row r="2720" spans="1:4" hidden="1" x14ac:dyDescent="0.25">
      <c r="A2720" t="s">
        <v>20</v>
      </c>
      <c r="B2720">
        <v>46</v>
      </c>
      <c r="C2720">
        <v>31</v>
      </c>
      <c r="D2720">
        <v>1</v>
      </c>
    </row>
    <row r="2721" spans="1:4" hidden="1" x14ac:dyDescent="0.25">
      <c r="A2721" t="s">
        <v>20</v>
      </c>
      <c r="B2721">
        <v>46</v>
      </c>
      <c r="C2721">
        <v>32</v>
      </c>
    </row>
    <row r="2722" spans="1:4" hidden="1" x14ac:dyDescent="0.25">
      <c r="A2722" t="s">
        <v>20</v>
      </c>
      <c r="B2722">
        <v>46</v>
      </c>
      <c r="C2722">
        <v>33</v>
      </c>
    </row>
    <row r="2723" spans="1:4" hidden="1" x14ac:dyDescent="0.25">
      <c r="A2723" t="s">
        <v>20</v>
      </c>
      <c r="B2723">
        <v>46</v>
      </c>
      <c r="C2723">
        <v>34</v>
      </c>
      <c r="D2723">
        <v>1</v>
      </c>
    </row>
    <row r="2724" spans="1:4" hidden="1" x14ac:dyDescent="0.25">
      <c r="A2724" t="s">
        <v>20</v>
      </c>
      <c r="B2724">
        <v>46</v>
      </c>
      <c r="C2724">
        <v>35</v>
      </c>
    </row>
    <row r="2725" spans="1:4" hidden="1" x14ac:dyDescent="0.25">
      <c r="A2725" t="s">
        <v>20</v>
      </c>
      <c r="B2725">
        <v>46</v>
      </c>
      <c r="C2725">
        <v>36</v>
      </c>
    </row>
    <row r="2726" spans="1:4" hidden="1" x14ac:dyDescent="0.25">
      <c r="A2726" t="s">
        <v>20</v>
      </c>
      <c r="B2726">
        <v>46</v>
      </c>
      <c r="C2726">
        <v>37</v>
      </c>
    </row>
    <row r="2727" spans="1:4" hidden="1" x14ac:dyDescent="0.25">
      <c r="A2727" t="s">
        <v>20</v>
      </c>
      <c r="B2727">
        <v>46</v>
      </c>
      <c r="C2727">
        <v>38</v>
      </c>
    </row>
    <row r="2728" spans="1:4" hidden="1" x14ac:dyDescent="0.25">
      <c r="A2728" t="s">
        <v>20</v>
      </c>
      <c r="B2728">
        <v>46</v>
      </c>
      <c r="C2728">
        <v>39</v>
      </c>
    </row>
    <row r="2729" spans="1:4" hidden="1" x14ac:dyDescent="0.25">
      <c r="A2729" t="s">
        <v>20</v>
      </c>
      <c r="B2729">
        <v>46</v>
      </c>
      <c r="C2729">
        <v>40</v>
      </c>
    </row>
    <row r="2730" spans="1:4" hidden="1" x14ac:dyDescent="0.25">
      <c r="A2730" t="s">
        <v>20</v>
      </c>
      <c r="B2730">
        <v>46</v>
      </c>
      <c r="C2730">
        <v>41</v>
      </c>
    </row>
    <row r="2731" spans="1:4" hidden="1" x14ac:dyDescent="0.25">
      <c r="A2731" t="s">
        <v>20</v>
      </c>
      <c r="B2731">
        <v>46</v>
      </c>
      <c r="C2731">
        <v>42</v>
      </c>
    </row>
    <row r="2732" spans="1:4" hidden="1" x14ac:dyDescent="0.25">
      <c r="A2732" t="s">
        <v>20</v>
      </c>
      <c r="B2732">
        <v>46</v>
      </c>
      <c r="C2732">
        <v>43</v>
      </c>
    </row>
    <row r="2733" spans="1:4" hidden="1" x14ac:dyDescent="0.25">
      <c r="A2733" t="s">
        <v>20</v>
      </c>
      <c r="B2733">
        <v>46</v>
      </c>
      <c r="C2733">
        <v>44</v>
      </c>
    </row>
    <row r="2734" spans="1:4" hidden="1" x14ac:dyDescent="0.25">
      <c r="A2734" t="s">
        <v>20</v>
      </c>
      <c r="B2734">
        <v>46</v>
      </c>
      <c r="C2734">
        <v>45</v>
      </c>
    </row>
    <row r="2735" spans="1:4" hidden="1" x14ac:dyDescent="0.25">
      <c r="A2735" t="s">
        <v>20</v>
      </c>
      <c r="B2735">
        <v>46</v>
      </c>
      <c r="C2735">
        <v>46</v>
      </c>
      <c r="D2735">
        <v>1</v>
      </c>
    </row>
    <row r="2736" spans="1:4" hidden="1" x14ac:dyDescent="0.25">
      <c r="A2736" t="s">
        <v>20</v>
      </c>
      <c r="B2736">
        <v>46</v>
      </c>
      <c r="C2736">
        <v>47</v>
      </c>
    </row>
    <row r="2737" spans="1:4" hidden="1" x14ac:dyDescent="0.25">
      <c r="A2737" t="s">
        <v>20</v>
      </c>
      <c r="B2737">
        <v>46</v>
      </c>
      <c r="C2737">
        <v>48</v>
      </c>
    </row>
    <row r="2738" spans="1:4" hidden="1" x14ac:dyDescent="0.25">
      <c r="A2738" t="s">
        <v>20</v>
      </c>
      <c r="B2738">
        <v>46</v>
      </c>
      <c r="C2738">
        <v>49</v>
      </c>
      <c r="D2738">
        <v>1</v>
      </c>
    </row>
    <row r="2739" spans="1:4" hidden="1" x14ac:dyDescent="0.25">
      <c r="A2739" t="s">
        <v>20</v>
      </c>
      <c r="B2739">
        <v>46</v>
      </c>
      <c r="C2739">
        <v>50</v>
      </c>
    </row>
    <row r="2740" spans="1:4" hidden="1" x14ac:dyDescent="0.25">
      <c r="A2740" t="s">
        <v>20</v>
      </c>
      <c r="B2740">
        <v>46</v>
      </c>
      <c r="C2740">
        <v>51</v>
      </c>
    </row>
    <row r="2741" spans="1:4" hidden="1" x14ac:dyDescent="0.25">
      <c r="A2741" t="s">
        <v>20</v>
      </c>
      <c r="B2741">
        <v>46</v>
      </c>
      <c r="C2741">
        <v>52</v>
      </c>
      <c r="D2741">
        <v>1</v>
      </c>
    </row>
    <row r="2742" spans="1:4" hidden="1" x14ac:dyDescent="0.25">
      <c r="A2742" t="s">
        <v>20</v>
      </c>
      <c r="B2742">
        <v>46</v>
      </c>
      <c r="C2742">
        <v>53</v>
      </c>
    </row>
    <row r="2743" spans="1:4" hidden="1" x14ac:dyDescent="0.25">
      <c r="A2743" t="s">
        <v>20</v>
      </c>
      <c r="B2743">
        <v>46</v>
      </c>
      <c r="C2743">
        <v>54</v>
      </c>
    </row>
    <row r="2744" spans="1:4" hidden="1" x14ac:dyDescent="0.25">
      <c r="A2744" t="s">
        <v>20</v>
      </c>
      <c r="B2744">
        <v>46</v>
      </c>
      <c r="C2744">
        <v>55</v>
      </c>
      <c r="D2744">
        <v>1</v>
      </c>
    </row>
    <row r="2745" spans="1:4" hidden="1" x14ac:dyDescent="0.25">
      <c r="A2745" t="s">
        <v>20</v>
      </c>
      <c r="B2745">
        <v>46</v>
      </c>
      <c r="C2745">
        <v>56</v>
      </c>
    </row>
    <row r="2746" spans="1:4" hidden="1" x14ac:dyDescent="0.25">
      <c r="A2746" t="s">
        <v>20</v>
      </c>
      <c r="B2746">
        <v>46</v>
      </c>
      <c r="C2746">
        <v>57</v>
      </c>
    </row>
    <row r="2747" spans="1:4" hidden="1" x14ac:dyDescent="0.25">
      <c r="A2747" t="s">
        <v>20</v>
      </c>
      <c r="B2747">
        <v>46</v>
      </c>
      <c r="C2747">
        <v>58</v>
      </c>
    </row>
    <row r="2748" spans="1:4" hidden="1" x14ac:dyDescent="0.25">
      <c r="A2748" t="s">
        <v>20</v>
      </c>
      <c r="B2748">
        <v>46</v>
      </c>
      <c r="C2748">
        <v>59</v>
      </c>
    </row>
    <row r="2749" spans="1:4" hidden="1" x14ac:dyDescent="0.25">
      <c r="A2749" t="s">
        <v>20</v>
      </c>
      <c r="B2749">
        <v>46</v>
      </c>
      <c r="C2749">
        <v>60</v>
      </c>
    </row>
    <row r="2750" spans="1:4" hidden="1" x14ac:dyDescent="0.25">
      <c r="A2750" t="s">
        <v>20</v>
      </c>
      <c r="B2750">
        <v>46</v>
      </c>
      <c r="C2750">
        <v>61</v>
      </c>
    </row>
    <row r="2751" spans="1:4" hidden="1" x14ac:dyDescent="0.25">
      <c r="A2751" t="s">
        <v>20</v>
      </c>
      <c r="B2751">
        <v>46</v>
      </c>
      <c r="C2751">
        <v>62</v>
      </c>
    </row>
    <row r="2752" spans="1:4" hidden="1" x14ac:dyDescent="0.25">
      <c r="A2752" t="s">
        <v>20</v>
      </c>
      <c r="B2752">
        <v>46</v>
      </c>
      <c r="C2752">
        <v>63</v>
      </c>
    </row>
    <row r="2753" spans="1:4" hidden="1" x14ac:dyDescent="0.25">
      <c r="A2753" t="s">
        <v>20</v>
      </c>
      <c r="B2753">
        <v>46</v>
      </c>
      <c r="C2753">
        <v>64</v>
      </c>
    </row>
    <row r="2754" spans="1:4" hidden="1" x14ac:dyDescent="0.25">
      <c r="A2754" t="s">
        <v>20</v>
      </c>
      <c r="B2754">
        <v>46</v>
      </c>
      <c r="C2754">
        <v>65</v>
      </c>
    </row>
    <row r="2755" spans="1:4" hidden="1" x14ac:dyDescent="0.25">
      <c r="A2755" t="s">
        <v>20</v>
      </c>
      <c r="B2755">
        <v>46</v>
      </c>
      <c r="C2755">
        <v>66</v>
      </c>
    </row>
    <row r="2756" spans="1:4" hidden="1" x14ac:dyDescent="0.25">
      <c r="A2756" t="s">
        <v>20</v>
      </c>
      <c r="B2756">
        <v>46</v>
      </c>
      <c r="C2756">
        <v>67</v>
      </c>
      <c r="D2756">
        <v>1</v>
      </c>
    </row>
    <row r="2757" spans="1:4" hidden="1" x14ac:dyDescent="0.25">
      <c r="A2757" t="s">
        <v>20</v>
      </c>
      <c r="B2757">
        <v>46</v>
      </c>
      <c r="C2757">
        <v>68</v>
      </c>
    </row>
    <row r="2758" spans="1:4" hidden="1" x14ac:dyDescent="0.25">
      <c r="A2758" t="s">
        <v>20</v>
      </c>
      <c r="B2758">
        <v>46</v>
      </c>
      <c r="C2758">
        <v>69</v>
      </c>
    </row>
    <row r="2759" spans="1:4" hidden="1" x14ac:dyDescent="0.25">
      <c r="A2759" t="s">
        <v>20</v>
      </c>
      <c r="B2759">
        <v>46</v>
      </c>
      <c r="C2759">
        <v>70</v>
      </c>
      <c r="D2759">
        <v>1</v>
      </c>
    </row>
    <row r="2760" spans="1:4" hidden="1" x14ac:dyDescent="0.25">
      <c r="A2760" t="s">
        <v>20</v>
      </c>
      <c r="B2760">
        <v>46</v>
      </c>
      <c r="C2760">
        <v>71</v>
      </c>
    </row>
    <row r="2761" spans="1:4" hidden="1" x14ac:dyDescent="0.25">
      <c r="A2761" t="s">
        <v>20</v>
      </c>
      <c r="B2761">
        <v>46</v>
      </c>
      <c r="C2761">
        <v>72</v>
      </c>
    </row>
    <row r="2762" spans="1:4" hidden="1" x14ac:dyDescent="0.25">
      <c r="A2762" t="s">
        <v>20</v>
      </c>
      <c r="B2762">
        <v>46</v>
      </c>
      <c r="C2762">
        <v>73</v>
      </c>
      <c r="D2762">
        <v>1</v>
      </c>
    </row>
    <row r="2763" spans="1:4" hidden="1" x14ac:dyDescent="0.25">
      <c r="A2763" t="s">
        <v>20</v>
      </c>
      <c r="B2763">
        <v>46</v>
      </c>
      <c r="C2763">
        <v>74</v>
      </c>
    </row>
    <row r="2764" spans="1:4" hidden="1" x14ac:dyDescent="0.25">
      <c r="A2764" t="s">
        <v>20</v>
      </c>
      <c r="B2764">
        <v>46</v>
      </c>
      <c r="C2764">
        <v>75</v>
      </c>
    </row>
    <row r="2765" spans="1:4" hidden="1" x14ac:dyDescent="0.25">
      <c r="A2765" t="s">
        <v>20</v>
      </c>
      <c r="B2765">
        <v>46</v>
      </c>
      <c r="C2765">
        <v>76</v>
      </c>
      <c r="D2765">
        <v>1</v>
      </c>
    </row>
    <row r="2766" spans="1:4" hidden="1" x14ac:dyDescent="0.25">
      <c r="A2766" t="s">
        <v>20</v>
      </c>
      <c r="B2766">
        <v>46</v>
      </c>
      <c r="C2766">
        <v>77</v>
      </c>
    </row>
    <row r="2767" spans="1:4" hidden="1" x14ac:dyDescent="0.25">
      <c r="A2767" t="s">
        <v>20</v>
      </c>
      <c r="B2767">
        <v>46</v>
      </c>
      <c r="C2767">
        <v>78</v>
      </c>
    </row>
    <row r="2768" spans="1:4" hidden="1" x14ac:dyDescent="0.25">
      <c r="A2768" t="s">
        <v>20</v>
      </c>
      <c r="B2768">
        <v>46</v>
      </c>
      <c r="C2768">
        <v>79</v>
      </c>
    </row>
    <row r="2769" spans="1:4" hidden="1" x14ac:dyDescent="0.25">
      <c r="A2769" t="s">
        <v>20</v>
      </c>
      <c r="B2769">
        <v>46</v>
      </c>
      <c r="C2769">
        <v>80</v>
      </c>
    </row>
    <row r="2770" spans="1:4" hidden="1" x14ac:dyDescent="0.25">
      <c r="A2770" t="s">
        <v>20</v>
      </c>
      <c r="B2770">
        <v>46</v>
      </c>
      <c r="C2770">
        <v>81</v>
      </c>
    </row>
    <row r="2771" spans="1:4" hidden="1" x14ac:dyDescent="0.25">
      <c r="A2771" t="s">
        <v>20</v>
      </c>
      <c r="B2771">
        <v>46</v>
      </c>
      <c r="C2771">
        <v>82</v>
      </c>
    </row>
    <row r="2772" spans="1:4" hidden="1" x14ac:dyDescent="0.25">
      <c r="A2772" t="s">
        <v>20</v>
      </c>
      <c r="B2772">
        <v>46</v>
      </c>
      <c r="C2772">
        <v>83</v>
      </c>
    </row>
    <row r="2773" spans="1:4" hidden="1" x14ac:dyDescent="0.25">
      <c r="A2773" t="s">
        <v>20</v>
      </c>
      <c r="B2773">
        <v>46</v>
      </c>
      <c r="C2773">
        <v>84</v>
      </c>
    </row>
    <row r="2774" spans="1:4" hidden="1" x14ac:dyDescent="0.25">
      <c r="A2774" t="s">
        <v>20</v>
      </c>
      <c r="B2774">
        <v>49</v>
      </c>
      <c r="C2774">
        <v>1</v>
      </c>
      <c r="D2774">
        <v>1</v>
      </c>
    </row>
    <row r="2775" spans="1:4" hidden="1" x14ac:dyDescent="0.25">
      <c r="A2775" t="s">
        <v>20</v>
      </c>
      <c r="B2775">
        <v>49</v>
      </c>
      <c r="C2775">
        <v>2</v>
      </c>
    </row>
    <row r="2776" spans="1:4" hidden="1" x14ac:dyDescent="0.25">
      <c r="A2776" t="s">
        <v>20</v>
      </c>
      <c r="B2776">
        <v>49</v>
      </c>
      <c r="C2776">
        <v>3</v>
      </c>
    </row>
    <row r="2777" spans="1:4" hidden="1" x14ac:dyDescent="0.25">
      <c r="A2777" t="s">
        <v>20</v>
      </c>
      <c r="B2777">
        <v>49</v>
      </c>
      <c r="C2777">
        <v>4</v>
      </c>
    </row>
    <row r="2778" spans="1:4" hidden="1" x14ac:dyDescent="0.25">
      <c r="A2778" t="s">
        <v>20</v>
      </c>
      <c r="B2778">
        <v>49</v>
      </c>
      <c r="C2778">
        <v>5</v>
      </c>
    </row>
    <row r="2779" spans="1:4" hidden="1" x14ac:dyDescent="0.25">
      <c r="A2779" t="s">
        <v>20</v>
      </c>
      <c r="B2779">
        <v>49</v>
      </c>
      <c r="C2779">
        <v>6</v>
      </c>
    </row>
    <row r="2780" spans="1:4" hidden="1" x14ac:dyDescent="0.25">
      <c r="A2780" t="s">
        <v>20</v>
      </c>
      <c r="B2780">
        <v>49</v>
      </c>
      <c r="C2780">
        <v>7</v>
      </c>
    </row>
    <row r="2781" spans="1:4" hidden="1" x14ac:dyDescent="0.25">
      <c r="A2781" t="s">
        <v>20</v>
      </c>
      <c r="B2781">
        <v>49</v>
      </c>
      <c r="C2781">
        <v>8</v>
      </c>
    </row>
    <row r="2782" spans="1:4" hidden="1" x14ac:dyDescent="0.25">
      <c r="A2782" t="s">
        <v>20</v>
      </c>
      <c r="B2782">
        <v>49</v>
      </c>
      <c r="C2782">
        <v>9</v>
      </c>
    </row>
    <row r="2783" spans="1:4" hidden="1" x14ac:dyDescent="0.25">
      <c r="A2783" t="s">
        <v>20</v>
      </c>
      <c r="B2783">
        <v>49</v>
      </c>
      <c r="C2783">
        <v>10</v>
      </c>
      <c r="D2783">
        <v>1</v>
      </c>
    </row>
    <row r="2784" spans="1:4" hidden="1" x14ac:dyDescent="0.25">
      <c r="A2784" t="s">
        <v>20</v>
      </c>
      <c r="B2784">
        <v>49</v>
      </c>
      <c r="C2784">
        <v>11</v>
      </c>
    </row>
    <row r="2785" spans="1:4" hidden="1" x14ac:dyDescent="0.25">
      <c r="A2785" t="s">
        <v>20</v>
      </c>
      <c r="B2785">
        <v>49</v>
      </c>
      <c r="C2785">
        <v>12</v>
      </c>
    </row>
    <row r="2786" spans="1:4" hidden="1" x14ac:dyDescent="0.25">
      <c r="A2786" t="s">
        <v>20</v>
      </c>
      <c r="B2786">
        <v>49</v>
      </c>
      <c r="C2786">
        <v>13</v>
      </c>
    </row>
    <row r="2787" spans="1:4" hidden="1" x14ac:dyDescent="0.25">
      <c r="A2787" t="s">
        <v>20</v>
      </c>
      <c r="B2787">
        <v>49</v>
      </c>
      <c r="C2787">
        <v>14</v>
      </c>
    </row>
    <row r="2788" spans="1:4" hidden="1" x14ac:dyDescent="0.25">
      <c r="A2788" t="s">
        <v>20</v>
      </c>
      <c r="B2788">
        <v>49</v>
      </c>
      <c r="C2788">
        <v>15</v>
      </c>
    </row>
    <row r="2789" spans="1:4" hidden="1" x14ac:dyDescent="0.25">
      <c r="A2789" t="s">
        <v>20</v>
      </c>
      <c r="B2789">
        <v>49</v>
      </c>
      <c r="C2789">
        <v>16</v>
      </c>
    </row>
    <row r="2790" spans="1:4" hidden="1" x14ac:dyDescent="0.25">
      <c r="A2790" t="s">
        <v>20</v>
      </c>
      <c r="B2790">
        <v>49</v>
      </c>
      <c r="C2790">
        <v>17</v>
      </c>
    </row>
    <row r="2791" spans="1:4" hidden="1" x14ac:dyDescent="0.25">
      <c r="A2791" t="s">
        <v>20</v>
      </c>
      <c r="B2791">
        <v>49</v>
      </c>
      <c r="C2791">
        <v>18</v>
      </c>
    </row>
    <row r="2792" spans="1:4" hidden="1" x14ac:dyDescent="0.25">
      <c r="A2792" t="s">
        <v>20</v>
      </c>
      <c r="B2792">
        <v>49</v>
      </c>
      <c r="C2792">
        <v>19</v>
      </c>
    </row>
    <row r="2793" spans="1:4" hidden="1" x14ac:dyDescent="0.25">
      <c r="A2793" t="s">
        <v>20</v>
      </c>
      <c r="B2793">
        <v>49</v>
      </c>
      <c r="C2793">
        <v>20</v>
      </c>
    </row>
    <row r="2794" spans="1:4" hidden="1" x14ac:dyDescent="0.25">
      <c r="A2794" t="s">
        <v>20</v>
      </c>
      <c r="B2794">
        <v>49</v>
      </c>
      <c r="C2794">
        <v>21</v>
      </c>
    </row>
    <row r="2795" spans="1:4" hidden="1" x14ac:dyDescent="0.25">
      <c r="A2795" t="s">
        <v>20</v>
      </c>
      <c r="B2795">
        <v>49</v>
      </c>
      <c r="C2795">
        <v>22</v>
      </c>
      <c r="D2795">
        <v>1</v>
      </c>
    </row>
    <row r="2796" spans="1:4" hidden="1" x14ac:dyDescent="0.25">
      <c r="A2796" t="s">
        <v>20</v>
      </c>
      <c r="B2796">
        <v>49</v>
      </c>
      <c r="C2796">
        <v>23</v>
      </c>
    </row>
    <row r="2797" spans="1:4" hidden="1" x14ac:dyDescent="0.25">
      <c r="A2797" t="s">
        <v>20</v>
      </c>
      <c r="B2797">
        <v>49</v>
      </c>
      <c r="C2797">
        <v>24</v>
      </c>
    </row>
    <row r="2798" spans="1:4" hidden="1" x14ac:dyDescent="0.25">
      <c r="A2798" t="s">
        <v>20</v>
      </c>
      <c r="B2798">
        <v>49</v>
      </c>
      <c r="C2798">
        <v>25</v>
      </c>
      <c r="D2798">
        <v>1</v>
      </c>
    </row>
    <row r="2799" spans="1:4" hidden="1" x14ac:dyDescent="0.25">
      <c r="A2799" t="s">
        <v>20</v>
      </c>
      <c r="B2799">
        <v>49</v>
      </c>
      <c r="C2799">
        <v>26</v>
      </c>
    </row>
    <row r="2800" spans="1:4" hidden="1" x14ac:dyDescent="0.25">
      <c r="A2800" t="s">
        <v>20</v>
      </c>
      <c r="B2800">
        <v>49</v>
      </c>
      <c r="C2800">
        <v>27</v>
      </c>
    </row>
    <row r="2801" spans="1:4" hidden="1" x14ac:dyDescent="0.25">
      <c r="A2801" t="s">
        <v>20</v>
      </c>
      <c r="B2801">
        <v>49</v>
      </c>
      <c r="C2801">
        <v>28</v>
      </c>
      <c r="D2801">
        <v>1</v>
      </c>
    </row>
    <row r="2802" spans="1:4" hidden="1" x14ac:dyDescent="0.25">
      <c r="A2802" t="s">
        <v>20</v>
      </c>
      <c r="B2802">
        <v>49</v>
      </c>
      <c r="C2802">
        <v>29</v>
      </c>
    </row>
    <row r="2803" spans="1:4" hidden="1" x14ac:dyDescent="0.25">
      <c r="A2803" t="s">
        <v>20</v>
      </c>
      <c r="B2803">
        <v>49</v>
      </c>
      <c r="C2803">
        <v>30</v>
      </c>
    </row>
    <row r="2804" spans="1:4" hidden="1" x14ac:dyDescent="0.25">
      <c r="A2804" t="s">
        <v>20</v>
      </c>
      <c r="B2804">
        <v>49</v>
      </c>
      <c r="C2804">
        <v>31</v>
      </c>
      <c r="D2804">
        <v>1</v>
      </c>
    </row>
    <row r="2805" spans="1:4" hidden="1" x14ac:dyDescent="0.25">
      <c r="A2805" t="s">
        <v>20</v>
      </c>
      <c r="B2805">
        <v>49</v>
      </c>
      <c r="C2805">
        <v>32</v>
      </c>
    </row>
    <row r="2806" spans="1:4" hidden="1" x14ac:dyDescent="0.25">
      <c r="A2806" t="s">
        <v>20</v>
      </c>
      <c r="B2806">
        <v>49</v>
      </c>
      <c r="C2806">
        <v>33</v>
      </c>
    </row>
    <row r="2807" spans="1:4" hidden="1" x14ac:dyDescent="0.25">
      <c r="A2807" t="s">
        <v>20</v>
      </c>
      <c r="B2807">
        <v>49</v>
      </c>
      <c r="C2807">
        <v>34</v>
      </c>
    </row>
    <row r="2808" spans="1:4" hidden="1" x14ac:dyDescent="0.25">
      <c r="A2808" t="s">
        <v>20</v>
      </c>
      <c r="B2808">
        <v>49</v>
      </c>
      <c r="C2808">
        <v>35</v>
      </c>
    </row>
    <row r="2809" spans="1:4" hidden="1" x14ac:dyDescent="0.25">
      <c r="A2809" t="s">
        <v>20</v>
      </c>
      <c r="B2809">
        <v>49</v>
      </c>
      <c r="C2809">
        <v>36</v>
      </c>
    </row>
    <row r="2810" spans="1:4" hidden="1" x14ac:dyDescent="0.25">
      <c r="A2810" t="s">
        <v>20</v>
      </c>
      <c r="B2810">
        <v>49</v>
      </c>
      <c r="C2810">
        <v>37</v>
      </c>
    </row>
    <row r="2811" spans="1:4" hidden="1" x14ac:dyDescent="0.25">
      <c r="A2811" t="s">
        <v>20</v>
      </c>
      <c r="B2811">
        <v>49</v>
      </c>
      <c r="C2811">
        <v>38</v>
      </c>
    </row>
    <row r="2812" spans="1:4" hidden="1" x14ac:dyDescent="0.25">
      <c r="A2812" t="s">
        <v>20</v>
      </c>
      <c r="B2812">
        <v>49</v>
      </c>
      <c r="C2812">
        <v>39</v>
      </c>
    </row>
    <row r="2813" spans="1:4" hidden="1" x14ac:dyDescent="0.25">
      <c r="A2813" t="s">
        <v>20</v>
      </c>
      <c r="B2813">
        <v>49</v>
      </c>
      <c r="C2813">
        <v>40</v>
      </c>
    </row>
    <row r="2814" spans="1:4" hidden="1" x14ac:dyDescent="0.25">
      <c r="A2814" t="s">
        <v>20</v>
      </c>
      <c r="B2814">
        <v>49</v>
      </c>
      <c r="C2814">
        <v>41</v>
      </c>
    </row>
    <row r="2815" spans="1:4" hidden="1" x14ac:dyDescent="0.25">
      <c r="A2815" t="s">
        <v>20</v>
      </c>
      <c r="B2815">
        <v>49</v>
      </c>
      <c r="C2815">
        <v>42</v>
      </c>
    </row>
    <row r="2816" spans="1:4" hidden="1" x14ac:dyDescent="0.25">
      <c r="A2816" t="s">
        <v>20</v>
      </c>
      <c r="B2816">
        <v>49</v>
      </c>
      <c r="C2816">
        <v>43</v>
      </c>
      <c r="D2816">
        <v>1</v>
      </c>
    </row>
    <row r="2817" spans="1:4" hidden="1" x14ac:dyDescent="0.25">
      <c r="A2817" t="s">
        <v>20</v>
      </c>
      <c r="B2817">
        <v>49</v>
      </c>
      <c r="C2817">
        <v>44</v>
      </c>
    </row>
    <row r="2818" spans="1:4" hidden="1" x14ac:dyDescent="0.25">
      <c r="A2818" t="s">
        <v>20</v>
      </c>
      <c r="B2818">
        <v>49</v>
      </c>
      <c r="C2818">
        <v>45</v>
      </c>
    </row>
    <row r="2819" spans="1:4" hidden="1" x14ac:dyDescent="0.25">
      <c r="A2819" t="s">
        <v>20</v>
      </c>
      <c r="B2819">
        <v>49</v>
      </c>
      <c r="C2819">
        <v>46</v>
      </c>
      <c r="D2819">
        <v>1</v>
      </c>
    </row>
    <row r="2820" spans="1:4" hidden="1" x14ac:dyDescent="0.25">
      <c r="A2820" t="s">
        <v>20</v>
      </c>
      <c r="B2820">
        <v>49</v>
      </c>
      <c r="C2820">
        <v>47</v>
      </c>
    </row>
    <row r="2821" spans="1:4" hidden="1" x14ac:dyDescent="0.25">
      <c r="A2821" t="s">
        <v>20</v>
      </c>
      <c r="B2821">
        <v>49</v>
      </c>
      <c r="C2821">
        <v>48</v>
      </c>
    </row>
    <row r="2822" spans="1:4" hidden="1" x14ac:dyDescent="0.25">
      <c r="A2822" t="s">
        <v>20</v>
      </c>
      <c r="B2822">
        <v>49</v>
      </c>
      <c r="C2822">
        <v>49</v>
      </c>
      <c r="D2822">
        <v>1</v>
      </c>
    </row>
    <row r="2823" spans="1:4" hidden="1" x14ac:dyDescent="0.25">
      <c r="A2823" t="s">
        <v>20</v>
      </c>
      <c r="B2823">
        <v>49</v>
      </c>
      <c r="C2823">
        <v>50</v>
      </c>
    </row>
    <row r="2824" spans="1:4" hidden="1" x14ac:dyDescent="0.25">
      <c r="A2824" t="s">
        <v>20</v>
      </c>
      <c r="B2824">
        <v>49</v>
      </c>
      <c r="C2824">
        <v>51</v>
      </c>
    </row>
    <row r="2825" spans="1:4" hidden="1" x14ac:dyDescent="0.25">
      <c r="A2825" t="s">
        <v>20</v>
      </c>
      <c r="B2825">
        <v>49</v>
      </c>
      <c r="C2825">
        <v>52</v>
      </c>
      <c r="D2825">
        <v>1</v>
      </c>
    </row>
    <row r="2826" spans="1:4" hidden="1" x14ac:dyDescent="0.25">
      <c r="A2826" t="s">
        <v>20</v>
      </c>
      <c r="B2826">
        <v>49</v>
      </c>
      <c r="C2826">
        <v>53</v>
      </c>
    </row>
    <row r="2827" spans="1:4" hidden="1" x14ac:dyDescent="0.25">
      <c r="A2827" t="s">
        <v>20</v>
      </c>
      <c r="B2827">
        <v>49</v>
      </c>
      <c r="C2827">
        <v>54</v>
      </c>
    </row>
    <row r="2828" spans="1:4" hidden="1" x14ac:dyDescent="0.25">
      <c r="A2828" t="s">
        <v>20</v>
      </c>
      <c r="B2828">
        <v>49</v>
      </c>
      <c r="C2828">
        <v>55</v>
      </c>
    </row>
    <row r="2829" spans="1:4" hidden="1" x14ac:dyDescent="0.25">
      <c r="A2829" t="s">
        <v>20</v>
      </c>
      <c r="B2829">
        <v>49</v>
      </c>
      <c r="C2829">
        <v>56</v>
      </c>
    </row>
    <row r="2830" spans="1:4" hidden="1" x14ac:dyDescent="0.25">
      <c r="A2830" t="s">
        <v>20</v>
      </c>
      <c r="B2830">
        <v>49</v>
      </c>
      <c r="C2830">
        <v>57</v>
      </c>
    </row>
    <row r="2831" spans="1:4" hidden="1" x14ac:dyDescent="0.25">
      <c r="A2831" t="s">
        <v>20</v>
      </c>
      <c r="B2831">
        <v>49</v>
      </c>
      <c r="C2831">
        <v>58</v>
      </c>
    </row>
    <row r="2832" spans="1:4" hidden="1" x14ac:dyDescent="0.25">
      <c r="A2832" t="s">
        <v>20</v>
      </c>
      <c r="B2832">
        <v>49</v>
      </c>
      <c r="C2832">
        <v>59</v>
      </c>
    </row>
    <row r="2833" spans="1:4" hidden="1" x14ac:dyDescent="0.25">
      <c r="A2833" t="s">
        <v>20</v>
      </c>
      <c r="B2833">
        <v>49</v>
      </c>
      <c r="C2833">
        <v>60</v>
      </c>
    </row>
    <row r="2834" spans="1:4" hidden="1" x14ac:dyDescent="0.25">
      <c r="A2834" t="s">
        <v>20</v>
      </c>
      <c r="B2834">
        <v>49</v>
      </c>
      <c r="C2834">
        <v>61</v>
      </c>
    </row>
    <row r="2835" spans="1:4" hidden="1" x14ac:dyDescent="0.25">
      <c r="A2835" t="s">
        <v>20</v>
      </c>
      <c r="B2835">
        <v>49</v>
      </c>
      <c r="C2835">
        <v>62</v>
      </c>
    </row>
    <row r="2836" spans="1:4" hidden="1" x14ac:dyDescent="0.25">
      <c r="A2836" t="s">
        <v>20</v>
      </c>
      <c r="B2836">
        <v>49</v>
      </c>
      <c r="C2836">
        <v>63</v>
      </c>
    </row>
    <row r="2837" spans="1:4" hidden="1" x14ac:dyDescent="0.25">
      <c r="A2837" t="s">
        <v>20</v>
      </c>
      <c r="B2837">
        <v>49</v>
      </c>
      <c r="C2837">
        <v>64</v>
      </c>
    </row>
    <row r="2838" spans="1:4" hidden="1" x14ac:dyDescent="0.25">
      <c r="A2838" t="s">
        <v>20</v>
      </c>
      <c r="B2838">
        <v>49</v>
      </c>
      <c r="C2838">
        <v>65</v>
      </c>
    </row>
    <row r="2839" spans="1:4" hidden="1" x14ac:dyDescent="0.25">
      <c r="A2839" t="s">
        <v>20</v>
      </c>
      <c r="B2839">
        <v>49</v>
      </c>
      <c r="C2839">
        <v>66</v>
      </c>
    </row>
    <row r="2840" spans="1:4" hidden="1" x14ac:dyDescent="0.25">
      <c r="A2840" t="s">
        <v>20</v>
      </c>
      <c r="B2840">
        <v>49</v>
      </c>
      <c r="C2840">
        <v>67</v>
      </c>
      <c r="D2840">
        <v>1</v>
      </c>
    </row>
    <row r="2841" spans="1:4" hidden="1" x14ac:dyDescent="0.25">
      <c r="A2841" t="s">
        <v>20</v>
      </c>
      <c r="B2841">
        <v>49</v>
      </c>
      <c r="C2841">
        <v>68</v>
      </c>
    </row>
    <row r="2842" spans="1:4" hidden="1" x14ac:dyDescent="0.25">
      <c r="A2842" t="s">
        <v>20</v>
      </c>
      <c r="B2842">
        <v>49</v>
      </c>
      <c r="C2842">
        <v>69</v>
      </c>
    </row>
    <row r="2843" spans="1:4" hidden="1" x14ac:dyDescent="0.25">
      <c r="A2843" t="s">
        <v>20</v>
      </c>
      <c r="B2843">
        <v>49</v>
      </c>
      <c r="C2843">
        <v>70</v>
      </c>
      <c r="D2843">
        <v>1</v>
      </c>
    </row>
    <row r="2844" spans="1:4" hidden="1" x14ac:dyDescent="0.25">
      <c r="A2844" t="s">
        <v>20</v>
      </c>
      <c r="B2844">
        <v>49</v>
      </c>
      <c r="C2844">
        <v>71</v>
      </c>
    </row>
    <row r="2845" spans="1:4" hidden="1" x14ac:dyDescent="0.25">
      <c r="A2845" t="s">
        <v>20</v>
      </c>
      <c r="B2845">
        <v>49</v>
      </c>
      <c r="C2845">
        <v>72</v>
      </c>
    </row>
    <row r="2846" spans="1:4" hidden="1" x14ac:dyDescent="0.25">
      <c r="A2846" t="s">
        <v>20</v>
      </c>
      <c r="B2846">
        <v>49</v>
      </c>
      <c r="C2846">
        <v>73</v>
      </c>
      <c r="D2846">
        <v>1</v>
      </c>
    </row>
    <row r="2847" spans="1:4" hidden="1" x14ac:dyDescent="0.25">
      <c r="A2847" t="s">
        <v>20</v>
      </c>
      <c r="B2847">
        <v>49</v>
      </c>
      <c r="C2847">
        <v>74</v>
      </c>
    </row>
    <row r="2848" spans="1:4" hidden="1" x14ac:dyDescent="0.25">
      <c r="A2848" t="s">
        <v>20</v>
      </c>
      <c r="B2848">
        <v>49</v>
      </c>
      <c r="C2848">
        <v>75</v>
      </c>
    </row>
    <row r="2849" spans="1:3" hidden="1" x14ac:dyDescent="0.25">
      <c r="A2849" t="s">
        <v>20</v>
      </c>
      <c r="B2849">
        <v>49</v>
      </c>
      <c r="C2849">
        <v>76</v>
      </c>
    </row>
    <row r="2850" spans="1:3" hidden="1" x14ac:dyDescent="0.25">
      <c r="A2850" t="s">
        <v>20</v>
      </c>
      <c r="B2850">
        <v>49</v>
      </c>
      <c r="C2850">
        <v>77</v>
      </c>
    </row>
    <row r="2851" spans="1:3" hidden="1" x14ac:dyDescent="0.25">
      <c r="A2851" t="s">
        <v>20</v>
      </c>
      <c r="B2851">
        <v>49</v>
      </c>
      <c r="C2851">
        <v>78</v>
      </c>
    </row>
    <row r="2852" spans="1:3" hidden="1" x14ac:dyDescent="0.25">
      <c r="A2852" t="s">
        <v>20</v>
      </c>
      <c r="B2852">
        <v>49</v>
      </c>
      <c r="C2852">
        <v>79</v>
      </c>
    </row>
    <row r="2853" spans="1:3" hidden="1" x14ac:dyDescent="0.25">
      <c r="A2853" t="s">
        <v>20</v>
      </c>
      <c r="B2853">
        <v>49</v>
      </c>
      <c r="C2853">
        <v>80</v>
      </c>
    </row>
    <row r="2854" spans="1:3" hidden="1" x14ac:dyDescent="0.25">
      <c r="A2854" t="s">
        <v>20</v>
      </c>
      <c r="B2854">
        <v>49</v>
      </c>
      <c r="C2854">
        <v>81</v>
      </c>
    </row>
    <row r="2855" spans="1:3" hidden="1" x14ac:dyDescent="0.25">
      <c r="A2855" t="s">
        <v>20</v>
      </c>
      <c r="B2855">
        <v>49</v>
      </c>
      <c r="C2855">
        <v>82</v>
      </c>
    </row>
    <row r="2856" spans="1:3" hidden="1" x14ac:dyDescent="0.25">
      <c r="A2856" t="s">
        <v>20</v>
      </c>
      <c r="B2856">
        <v>49</v>
      </c>
      <c r="C2856">
        <v>83</v>
      </c>
    </row>
    <row r="2857" spans="1:3" hidden="1" x14ac:dyDescent="0.25">
      <c r="A2857" t="s">
        <v>20</v>
      </c>
      <c r="B2857">
        <v>49</v>
      </c>
      <c r="C2857">
        <v>84</v>
      </c>
    </row>
    <row r="2858" spans="1:3" hidden="1" x14ac:dyDescent="0.25">
      <c r="A2858" t="s">
        <v>20</v>
      </c>
      <c r="B2858">
        <v>51</v>
      </c>
      <c r="C2858">
        <v>1</v>
      </c>
    </row>
    <row r="2859" spans="1:3" hidden="1" x14ac:dyDescent="0.25">
      <c r="A2859" t="s">
        <v>20</v>
      </c>
      <c r="B2859">
        <v>51</v>
      </c>
      <c r="C2859">
        <v>2</v>
      </c>
    </row>
    <row r="2860" spans="1:3" hidden="1" x14ac:dyDescent="0.25">
      <c r="A2860" t="s">
        <v>20</v>
      </c>
      <c r="B2860">
        <v>51</v>
      </c>
      <c r="C2860">
        <v>3</v>
      </c>
    </row>
    <row r="2861" spans="1:3" hidden="1" x14ac:dyDescent="0.25">
      <c r="A2861" t="s">
        <v>20</v>
      </c>
      <c r="B2861">
        <v>51</v>
      </c>
      <c r="C2861">
        <v>4</v>
      </c>
    </row>
    <row r="2862" spans="1:3" hidden="1" x14ac:dyDescent="0.25">
      <c r="A2862" t="s">
        <v>20</v>
      </c>
      <c r="B2862">
        <v>51</v>
      </c>
      <c r="C2862">
        <v>5</v>
      </c>
    </row>
    <row r="2863" spans="1:3" hidden="1" x14ac:dyDescent="0.25">
      <c r="A2863" t="s">
        <v>20</v>
      </c>
      <c r="B2863">
        <v>51</v>
      </c>
      <c r="C2863">
        <v>6</v>
      </c>
    </row>
    <row r="2864" spans="1:3" hidden="1" x14ac:dyDescent="0.25">
      <c r="A2864" t="s">
        <v>20</v>
      </c>
      <c r="B2864">
        <v>51</v>
      </c>
      <c r="C2864">
        <v>7</v>
      </c>
    </row>
    <row r="2865" spans="1:4" hidden="1" x14ac:dyDescent="0.25">
      <c r="A2865" t="s">
        <v>20</v>
      </c>
      <c r="B2865">
        <v>51</v>
      </c>
      <c r="C2865">
        <v>8</v>
      </c>
    </row>
    <row r="2866" spans="1:4" hidden="1" x14ac:dyDescent="0.25">
      <c r="A2866" t="s">
        <v>20</v>
      </c>
      <c r="B2866">
        <v>51</v>
      </c>
      <c r="C2866">
        <v>9</v>
      </c>
    </row>
    <row r="2867" spans="1:4" hidden="1" x14ac:dyDescent="0.25">
      <c r="A2867" t="s">
        <v>20</v>
      </c>
      <c r="B2867">
        <v>51</v>
      </c>
      <c r="C2867">
        <v>10</v>
      </c>
    </row>
    <row r="2868" spans="1:4" hidden="1" x14ac:dyDescent="0.25">
      <c r="A2868" t="s">
        <v>20</v>
      </c>
      <c r="B2868">
        <v>51</v>
      </c>
      <c r="C2868">
        <v>11</v>
      </c>
    </row>
    <row r="2869" spans="1:4" hidden="1" x14ac:dyDescent="0.25">
      <c r="A2869" t="s">
        <v>20</v>
      </c>
      <c r="B2869">
        <v>51</v>
      </c>
      <c r="C2869">
        <v>12</v>
      </c>
      <c r="D2869">
        <v>1</v>
      </c>
    </row>
    <row r="2870" spans="1:4" hidden="1" x14ac:dyDescent="0.25">
      <c r="A2870" t="s">
        <v>20</v>
      </c>
      <c r="B2870">
        <v>51</v>
      </c>
      <c r="C2870">
        <v>13</v>
      </c>
    </row>
    <row r="2871" spans="1:4" hidden="1" x14ac:dyDescent="0.25">
      <c r="A2871" t="s">
        <v>20</v>
      </c>
      <c r="B2871">
        <v>51</v>
      </c>
      <c r="C2871">
        <v>14</v>
      </c>
    </row>
    <row r="2872" spans="1:4" hidden="1" x14ac:dyDescent="0.25">
      <c r="A2872" t="s">
        <v>20</v>
      </c>
      <c r="B2872">
        <v>51</v>
      </c>
      <c r="C2872">
        <v>15</v>
      </c>
      <c r="D2872">
        <v>1</v>
      </c>
    </row>
    <row r="2873" spans="1:4" hidden="1" x14ac:dyDescent="0.25">
      <c r="A2873" t="s">
        <v>20</v>
      </c>
      <c r="B2873">
        <v>51</v>
      </c>
      <c r="C2873">
        <v>16</v>
      </c>
    </row>
    <row r="2874" spans="1:4" hidden="1" x14ac:dyDescent="0.25">
      <c r="A2874" t="s">
        <v>20</v>
      </c>
      <c r="B2874">
        <v>51</v>
      </c>
      <c r="C2874">
        <v>17</v>
      </c>
    </row>
    <row r="2875" spans="1:4" hidden="1" x14ac:dyDescent="0.25">
      <c r="A2875" t="s">
        <v>20</v>
      </c>
      <c r="B2875">
        <v>51</v>
      </c>
      <c r="C2875">
        <v>18</v>
      </c>
      <c r="D2875">
        <v>1</v>
      </c>
    </row>
    <row r="2876" spans="1:4" hidden="1" x14ac:dyDescent="0.25">
      <c r="A2876" t="s">
        <v>20</v>
      </c>
      <c r="B2876">
        <v>51</v>
      </c>
      <c r="C2876">
        <v>19</v>
      </c>
    </row>
    <row r="2877" spans="1:4" hidden="1" x14ac:dyDescent="0.25">
      <c r="A2877" t="s">
        <v>20</v>
      </c>
      <c r="B2877">
        <v>51</v>
      </c>
      <c r="C2877">
        <v>20</v>
      </c>
    </row>
    <row r="2878" spans="1:4" hidden="1" x14ac:dyDescent="0.25">
      <c r="A2878" t="s">
        <v>20</v>
      </c>
      <c r="B2878">
        <v>51</v>
      </c>
      <c r="C2878">
        <v>21</v>
      </c>
    </row>
    <row r="2879" spans="1:4" hidden="1" x14ac:dyDescent="0.25">
      <c r="A2879" t="s">
        <v>20</v>
      </c>
      <c r="B2879">
        <v>51</v>
      </c>
      <c r="C2879">
        <v>22</v>
      </c>
    </row>
    <row r="2880" spans="1:4" hidden="1" x14ac:dyDescent="0.25">
      <c r="A2880" t="s">
        <v>20</v>
      </c>
      <c r="B2880">
        <v>51</v>
      </c>
      <c r="C2880">
        <v>23</v>
      </c>
    </row>
    <row r="2881" spans="1:4" hidden="1" x14ac:dyDescent="0.25">
      <c r="A2881" t="s">
        <v>20</v>
      </c>
      <c r="B2881">
        <v>51</v>
      </c>
      <c r="C2881">
        <v>24</v>
      </c>
    </row>
    <row r="2882" spans="1:4" hidden="1" x14ac:dyDescent="0.25">
      <c r="A2882" t="s">
        <v>20</v>
      </c>
      <c r="B2882">
        <v>51</v>
      </c>
      <c r="C2882">
        <v>25</v>
      </c>
    </row>
    <row r="2883" spans="1:4" hidden="1" x14ac:dyDescent="0.25">
      <c r="A2883" t="s">
        <v>20</v>
      </c>
      <c r="B2883">
        <v>51</v>
      </c>
      <c r="C2883">
        <v>26</v>
      </c>
    </row>
    <row r="2884" spans="1:4" hidden="1" x14ac:dyDescent="0.25">
      <c r="A2884" t="s">
        <v>20</v>
      </c>
      <c r="B2884">
        <v>51</v>
      </c>
      <c r="C2884">
        <v>27</v>
      </c>
    </row>
    <row r="2885" spans="1:4" hidden="1" x14ac:dyDescent="0.25">
      <c r="A2885" t="s">
        <v>20</v>
      </c>
      <c r="B2885">
        <v>51</v>
      </c>
      <c r="C2885">
        <v>28</v>
      </c>
    </row>
    <row r="2886" spans="1:4" hidden="1" x14ac:dyDescent="0.25">
      <c r="A2886" t="s">
        <v>20</v>
      </c>
      <c r="B2886">
        <v>51</v>
      </c>
      <c r="C2886">
        <v>29</v>
      </c>
    </row>
    <row r="2887" spans="1:4" hidden="1" x14ac:dyDescent="0.25">
      <c r="A2887" t="s">
        <v>20</v>
      </c>
      <c r="B2887">
        <v>51</v>
      </c>
      <c r="C2887">
        <v>30</v>
      </c>
    </row>
    <row r="2888" spans="1:4" hidden="1" x14ac:dyDescent="0.25">
      <c r="A2888" t="s">
        <v>20</v>
      </c>
      <c r="B2888">
        <v>51</v>
      </c>
      <c r="C2888">
        <v>31</v>
      </c>
    </row>
    <row r="2889" spans="1:4" hidden="1" x14ac:dyDescent="0.25">
      <c r="A2889" t="s">
        <v>20</v>
      </c>
      <c r="B2889">
        <v>51</v>
      </c>
      <c r="C2889">
        <v>32</v>
      </c>
    </row>
    <row r="2890" spans="1:4" hidden="1" x14ac:dyDescent="0.25">
      <c r="A2890" t="s">
        <v>20</v>
      </c>
      <c r="B2890">
        <v>51</v>
      </c>
      <c r="C2890">
        <v>33</v>
      </c>
      <c r="D2890">
        <v>1</v>
      </c>
    </row>
    <row r="2891" spans="1:4" hidden="1" x14ac:dyDescent="0.25">
      <c r="A2891" t="s">
        <v>20</v>
      </c>
      <c r="B2891">
        <v>51</v>
      </c>
      <c r="C2891">
        <v>34</v>
      </c>
    </row>
    <row r="2892" spans="1:4" hidden="1" x14ac:dyDescent="0.25">
      <c r="A2892" t="s">
        <v>20</v>
      </c>
      <c r="B2892">
        <v>51</v>
      </c>
      <c r="C2892">
        <v>35</v>
      </c>
    </row>
    <row r="2893" spans="1:4" hidden="1" x14ac:dyDescent="0.25">
      <c r="A2893" t="s">
        <v>20</v>
      </c>
      <c r="B2893">
        <v>51</v>
      </c>
      <c r="C2893">
        <v>36</v>
      </c>
      <c r="D2893">
        <v>1</v>
      </c>
    </row>
    <row r="2894" spans="1:4" hidden="1" x14ac:dyDescent="0.25">
      <c r="A2894" t="s">
        <v>20</v>
      </c>
      <c r="B2894">
        <v>51</v>
      </c>
      <c r="C2894">
        <v>37</v>
      </c>
    </row>
    <row r="2895" spans="1:4" hidden="1" x14ac:dyDescent="0.25">
      <c r="A2895" t="s">
        <v>20</v>
      </c>
      <c r="B2895">
        <v>51</v>
      </c>
      <c r="C2895">
        <v>38</v>
      </c>
    </row>
    <row r="2896" spans="1:4" hidden="1" x14ac:dyDescent="0.25">
      <c r="A2896" t="s">
        <v>20</v>
      </c>
      <c r="B2896">
        <v>51</v>
      </c>
      <c r="C2896">
        <v>39</v>
      </c>
      <c r="D2896">
        <v>1</v>
      </c>
    </row>
    <row r="2897" spans="1:4" hidden="1" x14ac:dyDescent="0.25">
      <c r="A2897" t="s">
        <v>20</v>
      </c>
      <c r="B2897">
        <v>51</v>
      </c>
      <c r="C2897">
        <v>40</v>
      </c>
    </row>
    <row r="2898" spans="1:4" hidden="1" x14ac:dyDescent="0.25">
      <c r="A2898" t="s">
        <v>20</v>
      </c>
      <c r="B2898">
        <v>51</v>
      </c>
      <c r="C2898">
        <v>41</v>
      </c>
    </row>
    <row r="2899" spans="1:4" hidden="1" x14ac:dyDescent="0.25">
      <c r="A2899" t="s">
        <v>20</v>
      </c>
      <c r="B2899">
        <v>51</v>
      </c>
      <c r="C2899">
        <v>42</v>
      </c>
      <c r="D2899">
        <v>1</v>
      </c>
    </row>
    <row r="2900" spans="1:4" hidden="1" x14ac:dyDescent="0.25">
      <c r="A2900" t="s">
        <v>20</v>
      </c>
      <c r="B2900">
        <v>51</v>
      </c>
      <c r="C2900">
        <v>43</v>
      </c>
    </row>
    <row r="2901" spans="1:4" hidden="1" x14ac:dyDescent="0.25">
      <c r="A2901" t="s">
        <v>20</v>
      </c>
      <c r="B2901">
        <v>51</v>
      </c>
      <c r="C2901">
        <v>44</v>
      </c>
    </row>
    <row r="2902" spans="1:4" hidden="1" x14ac:dyDescent="0.25">
      <c r="A2902" t="s">
        <v>20</v>
      </c>
      <c r="B2902">
        <v>51</v>
      </c>
      <c r="C2902">
        <v>45</v>
      </c>
    </row>
    <row r="2903" spans="1:4" hidden="1" x14ac:dyDescent="0.25">
      <c r="A2903" t="s">
        <v>20</v>
      </c>
      <c r="B2903">
        <v>51</v>
      </c>
      <c r="C2903">
        <v>46</v>
      </c>
    </row>
    <row r="2904" spans="1:4" hidden="1" x14ac:dyDescent="0.25">
      <c r="A2904" t="s">
        <v>20</v>
      </c>
      <c r="B2904">
        <v>51</v>
      </c>
      <c r="C2904">
        <v>47</v>
      </c>
    </row>
    <row r="2905" spans="1:4" hidden="1" x14ac:dyDescent="0.25">
      <c r="A2905" t="s">
        <v>20</v>
      </c>
      <c r="B2905">
        <v>51</v>
      </c>
      <c r="C2905">
        <v>48</v>
      </c>
    </row>
    <row r="2906" spans="1:4" hidden="1" x14ac:dyDescent="0.25">
      <c r="A2906" t="s">
        <v>20</v>
      </c>
      <c r="B2906">
        <v>51</v>
      </c>
      <c r="C2906">
        <v>49</v>
      </c>
    </row>
    <row r="2907" spans="1:4" hidden="1" x14ac:dyDescent="0.25">
      <c r="A2907" t="s">
        <v>20</v>
      </c>
      <c r="B2907">
        <v>51</v>
      </c>
      <c r="C2907">
        <v>50</v>
      </c>
    </row>
    <row r="2908" spans="1:4" hidden="1" x14ac:dyDescent="0.25">
      <c r="A2908" t="s">
        <v>20</v>
      </c>
      <c r="B2908">
        <v>51</v>
      </c>
      <c r="C2908">
        <v>51</v>
      </c>
      <c r="D2908">
        <v>1</v>
      </c>
    </row>
    <row r="2909" spans="1:4" hidden="1" x14ac:dyDescent="0.25">
      <c r="A2909" t="s">
        <v>20</v>
      </c>
      <c r="B2909">
        <v>51</v>
      </c>
      <c r="C2909">
        <v>52</v>
      </c>
    </row>
    <row r="2910" spans="1:4" hidden="1" x14ac:dyDescent="0.25">
      <c r="A2910" t="s">
        <v>20</v>
      </c>
      <c r="B2910">
        <v>51</v>
      </c>
      <c r="C2910">
        <v>53</v>
      </c>
    </row>
    <row r="2911" spans="1:4" hidden="1" x14ac:dyDescent="0.25">
      <c r="A2911" t="s">
        <v>20</v>
      </c>
      <c r="B2911">
        <v>51</v>
      </c>
      <c r="C2911">
        <v>54</v>
      </c>
    </row>
    <row r="2912" spans="1:4" hidden="1" x14ac:dyDescent="0.25">
      <c r="A2912" t="s">
        <v>20</v>
      </c>
      <c r="B2912">
        <v>51</v>
      </c>
      <c r="C2912">
        <v>55</v>
      </c>
    </row>
    <row r="2913" spans="1:3" hidden="1" x14ac:dyDescent="0.25">
      <c r="A2913" t="s">
        <v>20</v>
      </c>
      <c r="B2913">
        <v>51</v>
      </c>
      <c r="C2913">
        <v>56</v>
      </c>
    </row>
    <row r="2914" spans="1:3" hidden="1" x14ac:dyDescent="0.25">
      <c r="A2914" t="s">
        <v>20</v>
      </c>
      <c r="B2914">
        <v>51</v>
      </c>
      <c r="C2914">
        <v>57</v>
      </c>
    </row>
    <row r="2915" spans="1:3" hidden="1" x14ac:dyDescent="0.25">
      <c r="A2915" t="s">
        <v>20</v>
      </c>
      <c r="B2915">
        <v>51</v>
      </c>
      <c r="C2915">
        <v>58</v>
      </c>
    </row>
    <row r="2916" spans="1:3" hidden="1" x14ac:dyDescent="0.25">
      <c r="A2916" t="s">
        <v>20</v>
      </c>
      <c r="B2916">
        <v>51</v>
      </c>
      <c r="C2916">
        <v>59</v>
      </c>
    </row>
    <row r="2917" spans="1:3" hidden="1" x14ac:dyDescent="0.25">
      <c r="A2917" t="s">
        <v>20</v>
      </c>
      <c r="B2917">
        <v>51</v>
      </c>
      <c r="C2917">
        <v>60</v>
      </c>
    </row>
    <row r="2918" spans="1:3" hidden="1" x14ac:dyDescent="0.25">
      <c r="A2918" t="s">
        <v>20</v>
      </c>
      <c r="B2918">
        <v>51</v>
      </c>
      <c r="C2918">
        <v>61</v>
      </c>
    </row>
    <row r="2919" spans="1:3" hidden="1" x14ac:dyDescent="0.25">
      <c r="A2919" t="s">
        <v>20</v>
      </c>
      <c r="B2919">
        <v>51</v>
      </c>
      <c r="C2919">
        <v>62</v>
      </c>
    </row>
    <row r="2920" spans="1:3" hidden="1" x14ac:dyDescent="0.25">
      <c r="A2920" t="s">
        <v>20</v>
      </c>
      <c r="B2920">
        <v>51</v>
      </c>
      <c r="C2920">
        <v>63</v>
      </c>
    </row>
    <row r="2921" spans="1:3" hidden="1" x14ac:dyDescent="0.25">
      <c r="A2921" t="s">
        <v>20</v>
      </c>
      <c r="B2921">
        <v>51</v>
      </c>
      <c r="C2921">
        <v>64</v>
      </c>
    </row>
    <row r="2922" spans="1:3" hidden="1" x14ac:dyDescent="0.25">
      <c r="A2922" t="s">
        <v>20</v>
      </c>
      <c r="B2922">
        <v>51</v>
      </c>
      <c r="C2922">
        <v>65</v>
      </c>
    </row>
    <row r="2923" spans="1:3" hidden="1" x14ac:dyDescent="0.25">
      <c r="A2923" t="s">
        <v>20</v>
      </c>
      <c r="B2923">
        <v>51</v>
      </c>
      <c r="C2923">
        <v>66</v>
      </c>
    </row>
    <row r="2924" spans="1:3" hidden="1" x14ac:dyDescent="0.25">
      <c r="A2924" t="s">
        <v>20</v>
      </c>
      <c r="B2924">
        <v>51</v>
      </c>
      <c r="C2924">
        <v>67</v>
      </c>
    </row>
    <row r="2925" spans="1:3" hidden="1" x14ac:dyDescent="0.25">
      <c r="A2925" t="s">
        <v>20</v>
      </c>
      <c r="B2925">
        <v>51</v>
      </c>
      <c r="C2925">
        <v>68</v>
      </c>
    </row>
    <row r="2926" spans="1:3" hidden="1" x14ac:dyDescent="0.25">
      <c r="A2926" t="s">
        <v>20</v>
      </c>
      <c r="B2926">
        <v>51</v>
      </c>
      <c r="C2926">
        <v>69</v>
      </c>
    </row>
    <row r="2927" spans="1:3" hidden="1" x14ac:dyDescent="0.25">
      <c r="A2927" t="s">
        <v>20</v>
      </c>
      <c r="B2927">
        <v>51</v>
      </c>
      <c r="C2927">
        <v>70</v>
      </c>
    </row>
    <row r="2928" spans="1:3" hidden="1" x14ac:dyDescent="0.25">
      <c r="A2928" t="s">
        <v>20</v>
      </c>
      <c r="B2928">
        <v>51</v>
      </c>
      <c r="C2928">
        <v>71</v>
      </c>
    </row>
    <row r="2929" spans="1:4" hidden="1" x14ac:dyDescent="0.25">
      <c r="A2929" t="s">
        <v>20</v>
      </c>
      <c r="B2929">
        <v>51</v>
      </c>
      <c r="C2929">
        <v>72</v>
      </c>
      <c r="D2929">
        <v>1</v>
      </c>
    </row>
    <row r="2930" spans="1:4" hidden="1" x14ac:dyDescent="0.25">
      <c r="A2930" t="s">
        <v>20</v>
      </c>
      <c r="B2930">
        <v>51</v>
      </c>
      <c r="C2930">
        <v>73</v>
      </c>
    </row>
    <row r="2931" spans="1:4" hidden="1" x14ac:dyDescent="0.25">
      <c r="A2931" t="s">
        <v>20</v>
      </c>
      <c r="B2931">
        <v>51</v>
      </c>
      <c r="C2931">
        <v>74</v>
      </c>
    </row>
    <row r="2932" spans="1:4" hidden="1" x14ac:dyDescent="0.25">
      <c r="A2932" t="s">
        <v>20</v>
      </c>
      <c r="B2932">
        <v>51</v>
      </c>
      <c r="C2932">
        <v>75</v>
      </c>
      <c r="D2932">
        <v>1</v>
      </c>
    </row>
    <row r="2933" spans="1:4" hidden="1" x14ac:dyDescent="0.25">
      <c r="A2933" t="s">
        <v>20</v>
      </c>
      <c r="B2933">
        <v>51</v>
      </c>
      <c r="C2933">
        <v>76</v>
      </c>
    </row>
    <row r="2934" spans="1:4" hidden="1" x14ac:dyDescent="0.25">
      <c r="A2934" t="s">
        <v>20</v>
      </c>
      <c r="B2934">
        <v>51</v>
      </c>
      <c r="C2934">
        <v>77</v>
      </c>
    </row>
    <row r="2935" spans="1:4" hidden="1" x14ac:dyDescent="0.25">
      <c r="A2935" t="s">
        <v>20</v>
      </c>
      <c r="B2935">
        <v>51</v>
      </c>
      <c r="C2935">
        <v>78</v>
      </c>
    </row>
    <row r="2936" spans="1:4" hidden="1" x14ac:dyDescent="0.25">
      <c r="A2936" t="s">
        <v>20</v>
      </c>
      <c r="B2936">
        <v>51</v>
      </c>
      <c r="C2936">
        <v>79</v>
      </c>
    </row>
    <row r="2937" spans="1:4" hidden="1" x14ac:dyDescent="0.25">
      <c r="A2937" t="s">
        <v>20</v>
      </c>
      <c r="B2937">
        <v>51</v>
      </c>
      <c r="C2937">
        <v>80</v>
      </c>
    </row>
    <row r="2938" spans="1:4" hidden="1" x14ac:dyDescent="0.25">
      <c r="A2938" t="s">
        <v>20</v>
      </c>
      <c r="B2938">
        <v>51</v>
      </c>
      <c r="C2938">
        <v>81</v>
      </c>
    </row>
    <row r="2939" spans="1:4" hidden="1" x14ac:dyDescent="0.25">
      <c r="A2939" t="s">
        <v>20</v>
      </c>
      <c r="B2939">
        <v>51</v>
      </c>
      <c r="C2939">
        <v>82</v>
      </c>
    </row>
    <row r="2940" spans="1:4" hidden="1" x14ac:dyDescent="0.25">
      <c r="A2940" t="s">
        <v>20</v>
      </c>
      <c r="B2940">
        <v>51</v>
      </c>
      <c r="C2940">
        <v>83</v>
      </c>
    </row>
    <row r="2941" spans="1:4" hidden="1" x14ac:dyDescent="0.25">
      <c r="A2941" t="s">
        <v>20</v>
      </c>
      <c r="B2941">
        <v>51</v>
      </c>
      <c r="C2941">
        <v>84</v>
      </c>
      <c r="D2941">
        <v>1</v>
      </c>
    </row>
    <row r="2942" spans="1:4" hidden="1" x14ac:dyDescent="0.25">
      <c r="A2942" t="s">
        <v>20</v>
      </c>
      <c r="B2942">
        <v>52</v>
      </c>
      <c r="C2942">
        <v>1</v>
      </c>
    </row>
    <row r="2943" spans="1:4" hidden="1" x14ac:dyDescent="0.25">
      <c r="A2943" t="s">
        <v>20</v>
      </c>
      <c r="B2943">
        <v>52</v>
      </c>
      <c r="C2943">
        <v>2</v>
      </c>
    </row>
    <row r="2944" spans="1:4" hidden="1" x14ac:dyDescent="0.25">
      <c r="A2944" t="s">
        <v>20</v>
      </c>
      <c r="B2944">
        <v>52</v>
      </c>
      <c r="C2944">
        <v>3</v>
      </c>
      <c r="D2944">
        <v>1</v>
      </c>
    </row>
    <row r="2945" spans="1:4" hidden="1" x14ac:dyDescent="0.25">
      <c r="A2945" t="s">
        <v>20</v>
      </c>
      <c r="B2945">
        <v>52</v>
      </c>
      <c r="C2945">
        <v>4</v>
      </c>
    </row>
    <row r="2946" spans="1:4" hidden="1" x14ac:dyDescent="0.25">
      <c r="A2946" t="s">
        <v>20</v>
      </c>
      <c r="B2946">
        <v>52</v>
      </c>
      <c r="C2946">
        <v>5</v>
      </c>
    </row>
    <row r="2947" spans="1:4" hidden="1" x14ac:dyDescent="0.25">
      <c r="A2947" t="s">
        <v>20</v>
      </c>
      <c r="B2947">
        <v>52</v>
      </c>
      <c r="C2947">
        <v>6</v>
      </c>
      <c r="D2947">
        <v>1</v>
      </c>
    </row>
    <row r="2948" spans="1:4" hidden="1" x14ac:dyDescent="0.25">
      <c r="A2948" t="s">
        <v>20</v>
      </c>
      <c r="B2948">
        <v>52</v>
      </c>
      <c r="C2948">
        <v>7</v>
      </c>
    </row>
    <row r="2949" spans="1:4" hidden="1" x14ac:dyDescent="0.25">
      <c r="A2949" t="s">
        <v>20</v>
      </c>
      <c r="B2949">
        <v>52</v>
      </c>
      <c r="C2949">
        <v>8</v>
      </c>
    </row>
    <row r="2950" spans="1:4" hidden="1" x14ac:dyDescent="0.25">
      <c r="A2950" t="s">
        <v>20</v>
      </c>
      <c r="B2950">
        <v>52</v>
      </c>
      <c r="C2950">
        <v>9</v>
      </c>
    </row>
    <row r="2951" spans="1:4" hidden="1" x14ac:dyDescent="0.25">
      <c r="A2951" t="s">
        <v>20</v>
      </c>
      <c r="B2951">
        <v>52</v>
      </c>
      <c r="C2951">
        <v>10</v>
      </c>
    </row>
    <row r="2952" spans="1:4" hidden="1" x14ac:dyDescent="0.25">
      <c r="A2952" t="s">
        <v>20</v>
      </c>
      <c r="B2952">
        <v>52</v>
      </c>
      <c r="C2952">
        <v>11</v>
      </c>
    </row>
    <row r="2953" spans="1:4" hidden="1" x14ac:dyDescent="0.25">
      <c r="A2953" t="s">
        <v>20</v>
      </c>
      <c r="B2953">
        <v>52</v>
      </c>
      <c r="C2953">
        <v>12</v>
      </c>
      <c r="D2953">
        <v>1</v>
      </c>
    </row>
    <row r="2954" spans="1:4" hidden="1" x14ac:dyDescent="0.25">
      <c r="A2954" t="s">
        <v>20</v>
      </c>
      <c r="B2954">
        <v>52</v>
      </c>
      <c r="C2954">
        <v>13</v>
      </c>
    </row>
    <row r="2955" spans="1:4" hidden="1" x14ac:dyDescent="0.25">
      <c r="A2955" t="s">
        <v>20</v>
      </c>
      <c r="B2955">
        <v>52</v>
      </c>
      <c r="C2955">
        <v>14</v>
      </c>
    </row>
    <row r="2956" spans="1:4" hidden="1" x14ac:dyDescent="0.25">
      <c r="A2956" t="s">
        <v>20</v>
      </c>
      <c r="B2956">
        <v>52</v>
      </c>
      <c r="C2956">
        <v>15</v>
      </c>
    </row>
    <row r="2957" spans="1:4" hidden="1" x14ac:dyDescent="0.25">
      <c r="A2957" t="s">
        <v>20</v>
      </c>
      <c r="B2957">
        <v>52</v>
      </c>
      <c r="C2957">
        <v>16</v>
      </c>
    </row>
    <row r="2958" spans="1:4" hidden="1" x14ac:dyDescent="0.25">
      <c r="A2958" t="s">
        <v>20</v>
      </c>
      <c r="B2958">
        <v>52</v>
      </c>
      <c r="C2958">
        <v>17</v>
      </c>
    </row>
    <row r="2959" spans="1:4" hidden="1" x14ac:dyDescent="0.25">
      <c r="A2959" t="s">
        <v>20</v>
      </c>
      <c r="B2959">
        <v>52</v>
      </c>
      <c r="C2959">
        <v>18</v>
      </c>
      <c r="D2959">
        <v>1</v>
      </c>
    </row>
    <row r="2960" spans="1:4" hidden="1" x14ac:dyDescent="0.25">
      <c r="A2960" t="s">
        <v>20</v>
      </c>
      <c r="B2960">
        <v>52</v>
      </c>
      <c r="C2960">
        <v>19</v>
      </c>
    </row>
    <row r="2961" spans="1:4" hidden="1" x14ac:dyDescent="0.25">
      <c r="A2961" t="s">
        <v>20</v>
      </c>
      <c r="B2961">
        <v>52</v>
      </c>
      <c r="C2961">
        <v>20</v>
      </c>
    </row>
    <row r="2962" spans="1:4" hidden="1" x14ac:dyDescent="0.25">
      <c r="A2962" t="s">
        <v>20</v>
      </c>
      <c r="B2962">
        <v>52</v>
      </c>
      <c r="C2962">
        <v>21</v>
      </c>
      <c r="D2962">
        <v>1</v>
      </c>
    </row>
    <row r="2963" spans="1:4" hidden="1" x14ac:dyDescent="0.25">
      <c r="A2963" t="s">
        <v>20</v>
      </c>
      <c r="B2963">
        <v>52</v>
      </c>
      <c r="C2963">
        <v>22</v>
      </c>
    </row>
    <row r="2964" spans="1:4" hidden="1" x14ac:dyDescent="0.25">
      <c r="A2964" t="s">
        <v>20</v>
      </c>
      <c r="B2964">
        <v>52</v>
      </c>
      <c r="C2964">
        <v>23</v>
      </c>
    </row>
    <row r="2965" spans="1:4" hidden="1" x14ac:dyDescent="0.25">
      <c r="A2965" t="s">
        <v>20</v>
      </c>
      <c r="B2965">
        <v>52</v>
      </c>
      <c r="C2965">
        <v>24</v>
      </c>
      <c r="D2965">
        <v>1</v>
      </c>
    </row>
    <row r="2966" spans="1:4" hidden="1" x14ac:dyDescent="0.25">
      <c r="A2966" t="s">
        <v>20</v>
      </c>
      <c r="B2966">
        <v>52</v>
      </c>
      <c r="C2966">
        <v>25</v>
      </c>
    </row>
    <row r="2967" spans="1:4" hidden="1" x14ac:dyDescent="0.25">
      <c r="A2967" t="s">
        <v>20</v>
      </c>
      <c r="B2967">
        <v>52</v>
      </c>
      <c r="C2967">
        <v>26</v>
      </c>
    </row>
    <row r="2968" spans="1:4" hidden="1" x14ac:dyDescent="0.25">
      <c r="A2968" t="s">
        <v>20</v>
      </c>
      <c r="B2968">
        <v>52</v>
      </c>
      <c r="C2968">
        <v>27</v>
      </c>
    </row>
    <row r="2969" spans="1:4" hidden="1" x14ac:dyDescent="0.25">
      <c r="A2969" t="s">
        <v>20</v>
      </c>
      <c r="B2969">
        <v>52</v>
      </c>
      <c r="C2969">
        <v>28</v>
      </c>
    </row>
    <row r="2970" spans="1:4" hidden="1" x14ac:dyDescent="0.25">
      <c r="A2970" t="s">
        <v>20</v>
      </c>
      <c r="B2970">
        <v>52</v>
      </c>
      <c r="C2970">
        <v>29</v>
      </c>
    </row>
    <row r="2971" spans="1:4" hidden="1" x14ac:dyDescent="0.25">
      <c r="A2971" t="s">
        <v>20</v>
      </c>
      <c r="B2971">
        <v>52</v>
      </c>
      <c r="C2971">
        <v>30</v>
      </c>
    </row>
    <row r="2972" spans="1:4" hidden="1" x14ac:dyDescent="0.25">
      <c r="A2972" t="s">
        <v>20</v>
      </c>
      <c r="B2972">
        <v>52</v>
      </c>
      <c r="C2972">
        <v>31</v>
      </c>
    </row>
    <row r="2973" spans="1:4" hidden="1" x14ac:dyDescent="0.25">
      <c r="A2973" t="s">
        <v>20</v>
      </c>
      <c r="B2973">
        <v>52</v>
      </c>
      <c r="C2973">
        <v>32</v>
      </c>
    </row>
    <row r="2974" spans="1:4" hidden="1" x14ac:dyDescent="0.25">
      <c r="A2974" t="s">
        <v>20</v>
      </c>
      <c r="B2974">
        <v>52</v>
      </c>
      <c r="C2974">
        <v>33</v>
      </c>
      <c r="D2974">
        <v>1</v>
      </c>
    </row>
    <row r="2975" spans="1:4" hidden="1" x14ac:dyDescent="0.25">
      <c r="A2975" t="s">
        <v>20</v>
      </c>
      <c r="B2975">
        <v>52</v>
      </c>
      <c r="C2975">
        <v>34</v>
      </c>
    </row>
    <row r="2976" spans="1:4" hidden="1" x14ac:dyDescent="0.25">
      <c r="A2976" t="s">
        <v>20</v>
      </c>
      <c r="B2976">
        <v>52</v>
      </c>
      <c r="C2976">
        <v>35</v>
      </c>
    </row>
    <row r="2977" spans="1:4" hidden="1" x14ac:dyDescent="0.25">
      <c r="A2977" t="s">
        <v>20</v>
      </c>
      <c r="B2977">
        <v>52</v>
      </c>
      <c r="C2977">
        <v>36</v>
      </c>
      <c r="D2977">
        <v>1</v>
      </c>
    </row>
    <row r="2978" spans="1:4" hidden="1" x14ac:dyDescent="0.25">
      <c r="A2978" t="s">
        <v>20</v>
      </c>
      <c r="B2978">
        <v>52</v>
      </c>
      <c r="C2978">
        <v>37</v>
      </c>
    </row>
    <row r="2979" spans="1:4" hidden="1" x14ac:dyDescent="0.25">
      <c r="A2979" t="s">
        <v>20</v>
      </c>
      <c r="B2979">
        <v>52</v>
      </c>
      <c r="C2979">
        <v>38</v>
      </c>
    </row>
    <row r="2980" spans="1:4" hidden="1" x14ac:dyDescent="0.25">
      <c r="A2980" t="s">
        <v>20</v>
      </c>
      <c r="B2980">
        <v>52</v>
      </c>
      <c r="C2980">
        <v>39</v>
      </c>
      <c r="D2980">
        <v>1</v>
      </c>
    </row>
    <row r="2981" spans="1:4" hidden="1" x14ac:dyDescent="0.25">
      <c r="A2981" t="s">
        <v>20</v>
      </c>
      <c r="B2981">
        <v>52</v>
      </c>
      <c r="C2981">
        <v>40</v>
      </c>
    </row>
    <row r="2982" spans="1:4" hidden="1" x14ac:dyDescent="0.25">
      <c r="A2982" t="s">
        <v>20</v>
      </c>
      <c r="B2982">
        <v>52</v>
      </c>
      <c r="C2982">
        <v>41</v>
      </c>
    </row>
    <row r="2983" spans="1:4" hidden="1" x14ac:dyDescent="0.25">
      <c r="A2983" t="s">
        <v>20</v>
      </c>
      <c r="B2983">
        <v>52</v>
      </c>
      <c r="C2983">
        <v>42</v>
      </c>
      <c r="D2983">
        <v>1</v>
      </c>
    </row>
    <row r="2984" spans="1:4" hidden="1" x14ac:dyDescent="0.25">
      <c r="A2984" t="s">
        <v>20</v>
      </c>
      <c r="B2984">
        <v>52</v>
      </c>
      <c r="C2984">
        <v>43</v>
      </c>
    </row>
    <row r="2985" spans="1:4" hidden="1" x14ac:dyDescent="0.25">
      <c r="A2985" t="s">
        <v>20</v>
      </c>
      <c r="B2985">
        <v>52</v>
      </c>
      <c r="C2985">
        <v>44</v>
      </c>
    </row>
    <row r="2986" spans="1:4" hidden="1" x14ac:dyDescent="0.25">
      <c r="A2986" t="s">
        <v>20</v>
      </c>
      <c r="B2986">
        <v>52</v>
      </c>
      <c r="C2986">
        <v>45</v>
      </c>
      <c r="D2986">
        <v>1</v>
      </c>
    </row>
    <row r="2987" spans="1:4" hidden="1" x14ac:dyDescent="0.25">
      <c r="A2987" t="s">
        <v>20</v>
      </c>
      <c r="B2987">
        <v>52</v>
      </c>
      <c r="C2987">
        <v>46</v>
      </c>
    </row>
    <row r="2988" spans="1:4" hidden="1" x14ac:dyDescent="0.25">
      <c r="A2988" t="s">
        <v>20</v>
      </c>
      <c r="B2988">
        <v>52</v>
      </c>
      <c r="C2988">
        <v>47</v>
      </c>
    </row>
    <row r="2989" spans="1:4" hidden="1" x14ac:dyDescent="0.25">
      <c r="A2989" t="s">
        <v>20</v>
      </c>
      <c r="B2989">
        <v>52</v>
      </c>
      <c r="C2989">
        <v>48</v>
      </c>
      <c r="D2989">
        <v>1</v>
      </c>
    </row>
    <row r="2990" spans="1:4" hidden="1" x14ac:dyDescent="0.25">
      <c r="A2990" t="s">
        <v>20</v>
      </c>
      <c r="B2990">
        <v>52</v>
      </c>
      <c r="C2990">
        <v>49</v>
      </c>
    </row>
    <row r="2991" spans="1:4" hidden="1" x14ac:dyDescent="0.25">
      <c r="A2991" t="s">
        <v>20</v>
      </c>
      <c r="B2991">
        <v>52</v>
      </c>
      <c r="C2991">
        <v>50</v>
      </c>
    </row>
    <row r="2992" spans="1:4" hidden="1" x14ac:dyDescent="0.25">
      <c r="A2992" t="s">
        <v>20</v>
      </c>
      <c r="B2992">
        <v>52</v>
      </c>
      <c r="C2992">
        <v>51</v>
      </c>
    </row>
    <row r="2993" spans="1:3" hidden="1" x14ac:dyDescent="0.25">
      <c r="A2993" t="s">
        <v>20</v>
      </c>
      <c r="B2993">
        <v>52</v>
      </c>
      <c r="C2993">
        <v>52</v>
      </c>
    </row>
    <row r="2994" spans="1:3" hidden="1" x14ac:dyDescent="0.25">
      <c r="A2994" t="s">
        <v>20</v>
      </c>
      <c r="B2994">
        <v>52</v>
      </c>
      <c r="C2994">
        <v>53</v>
      </c>
    </row>
    <row r="2995" spans="1:3" hidden="1" x14ac:dyDescent="0.25">
      <c r="A2995" t="s">
        <v>20</v>
      </c>
      <c r="B2995">
        <v>52</v>
      </c>
      <c r="C2995">
        <v>54</v>
      </c>
    </row>
    <row r="2996" spans="1:3" hidden="1" x14ac:dyDescent="0.25">
      <c r="A2996" t="s">
        <v>20</v>
      </c>
      <c r="B2996">
        <v>52</v>
      </c>
      <c r="C2996">
        <v>55</v>
      </c>
    </row>
    <row r="2997" spans="1:3" hidden="1" x14ac:dyDescent="0.25">
      <c r="A2997" t="s">
        <v>20</v>
      </c>
      <c r="B2997">
        <v>52</v>
      </c>
      <c r="C2997">
        <v>56</v>
      </c>
    </row>
    <row r="2998" spans="1:3" hidden="1" x14ac:dyDescent="0.25">
      <c r="A2998" t="s">
        <v>20</v>
      </c>
      <c r="B2998">
        <v>52</v>
      </c>
      <c r="C2998">
        <v>57</v>
      </c>
    </row>
    <row r="2999" spans="1:3" hidden="1" x14ac:dyDescent="0.25">
      <c r="A2999" t="s">
        <v>20</v>
      </c>
      <c r="B2999">
        <v>52</v>
      </c>
      <c r="C2999">
        <v>58</v>
      </c>
    </row>
    <row r="3000" spans="1:3" hidden="1" x14ac:dyDescent="0.25">
      <c r="A3000" t="s">
        <v>20</v>
      </c>
      <c r="B3000">
        <v>52</v>
      </c>
      <c r="C3000">
        <v>59</v>
      </c>
    </row>
    <row r="3001" spans="1:3" hidden="1" x14ac:dyDescent="0.25">
      <c r="A3001" t="s">
        <v>20</v>
      </c>
      <c r="B3001">
        <v>52</v>
      </c>
      <c r="C3001">
        <v>60</v>
      </c>
    </row>
    <row r="3002" spans="1:3" hidden="1" x14ac:dyDescent="0.25">
      <c r="A3002" t="s">
        <v>20</v>
      </c>
      <c r="B3002">
        <v>52</v>
      </c>
      <c r="C3002">
        <v>61</v>
      </c>
    </row>
    <row r="3003" spans="1:3" hidden="1" x14ac:dyDescent="0.25">
      <c r="A3003" t="s">
        <v>20</v>
      </c>
      <c r="B3003">
        <v>52</v>
      </c>
      <c r="C3003">
        <v>62</v>
      </c>
    </row>
    <row r="3004" spans="1:3" hidden="1" x14ac:dyDescent="0.25">
      <c r="A3004" t="s">
        <v>20</v>
      </c>
      <c r="B3004">
        <v>52</v>
      </c>
      <c r="C3004">
        <v>63</v>
      </c>
    </row>
    <row r="3005" spans="1:3" hidden="1" x14ac:dyDescent="0.25">
      <c r="A3005" t="s">
        <v>20</v>
      </c>
      <c r="B3005">
        <v>52</v>
      </c>
      <c r="C3005">
        <v>64</v>
      </c>
    </row>
    <row r="3006" spans="1:3" hidden="1" x14ac:dyDescent="0.25">
      <c r="A3006" t="s">
        <v>20</v>
      </c>
      <c r="B3006">
        <v>52</v>
      </c>
      <c r="C3006">
        <v>65</v>
      </c>
    </row>
    <row r="3007" spans="1:3" hidden="1" x14ac:dyDescent="0.25">
      <c r="A3007" t="s">
        <v>20</v>
      </c>
      <c r="B3007">
        <v>52</v>
      </c>
      <c r="C3007">
        <v>66</v>
      </c>
    </row>
    <row r="3008" spans="1:3" hidden="1" x14ac:dyDescent="0.25">
      <c r="A3008" t="s">
        <v>20</v>
      </c>
      <c r="B3008">
        <v>52</v>
      </c>
      <c r="C3008">
        <v>67</v>
      </c>
    </row>
    <row r="3009" spans="1:4" hidden="1" x14ac:dyDescent="0.25">
      <c r="A3009" t="s">
        <v>20</v>
      </c>
      <c r="B3009">
        <v>52</v>
      </c>
      <c r="C3009">
        <v>68</v>
      </c>
    </row>
    <row r="3010" spans="1:4" hidden="1" x14ac:dyDescent="0.25">
      <c r="A3010" t="s">
        <v>20</v>
      </c>
      <c r="B3010">
        <v>52</v>
      </c>
      <c r="C3010">
        <v>69</v>
      </c>
      <c r="D3010">
        <v>1</v>
      </c>
    </row>
    <row r="3011" spans="1:4" hidden="1" x14ac:dyDescent="0.25">
      <c r="A3011" t="s">
        <v>20</v>
      </c>
      <c r="B3011">
        <v>52</v>
      </c>
      <c r="C3011">
        <v>70</v>
      </c>
    </row>
    <row r="3012" spans="1:4" hidden="1" x14ac:dyDescent="0.25">
      <c r="A3012" t="s">
        <v>20</v>
      </c>
      <c r="B3012">
        <v>52</v>
      </c>
      <c r="C3012">
        <v>71</v>
      </c>
    </row>
    <row r="3013" spans="1:4" hidden="1" x14ac:dyDescent="0.25">
      <c r="A3013" t="s">
        <v>20</v>
      </c>
      <c r="B3013">
        <v>52</v>
      </c>
      <c r="C3013">
        <v>72</v>
      </c>
      <c r="D3013">
        <v>1</v>
      </c>
    </row>
    <row r="3014" spans="1:4" hidden="1" x14ac:dyDescent="0.25">
      <c r="A3014" t="s">
        <v>20</v>
      </c>
      <c r="B3014">
        <v>52</v>
      </c>
      <c r="C3014">
        <v>73</v>
      </c>
    </row>
    <row r="3015" spans="1:4" hidden="1" x14ac:dyDescent="0.25">
      <c r="A3015" t="s">
        <v>20</v>
      </c>
      <c r="B3015">
        <v>52</v>
      </c>
      <c r="C3015">
        <v>74</v>
      </c>
    </row>
    <row r="3016" spans="1:4" hidden="1" x14ac:dyDescent="0.25">
      <c r="A3016" t="s">
        <v>20</v>
      </c>
      <c r="B3016">
        <v>52</v>
      </c>
      <c r="C3016">
        <v>75</v>
      </c>
      <c r="D3016">
        <v>1</v>
      </c>
    </row>
    <row r="3017" spans="1:4" hidden="1" x14ac:dyDescent="0.25">
      <c r="A3017" t="s">
        <v>20</v>
      </c>
      <c r="B3017">
        <v>52</v>
      </c>
      <c r="C3017">
        <v>76</v>
      </c>
    </row>
    <row r="3018" spans="1:4" hidden="1" x14ac:dyDescent="0.25">
      <c r="A3018" t="s">
        <v>20</v>
      </c>
      <c r="B3018">
        <v>52</v>
      </c>
      <c r="C3018">
        <v>77</v>
      </c>
    </row>
    <row r="3019" spans="1:4" hidden="1" x14ac:dyDescent="0.25">
      <c r="A3019" t="s">
        <v>20</v>
      </c>
      <c r="B3019">
        <v>52</v>
      </c>
      <c r="C3019">
        <v>78</v>
      </c>
      <c r="D3019">
        <v>1</v>
      </c>
    </row>
    <row r="3020" spans="1:4" hidden="1" x14ac:dyDescent="0.25">
      <c r="A3020" t="s">
        <v>20</v>
      </c>
      <c r="B3020">
        <v>52</v>
      </c>
      <c r="C3020">
        <v>79</v>
      </c>
    </row>
    <row r="3021" spans="1:4" hidden="1" x14ac:dyDescent="0.25">
      <c r="A3021" t="s">
        <v>20</v>
      </c>
      <c r="B3021">
        <v>52</v>
      </c>
      <c r="C3021">
        <v>80</v>
      </c>
    </row>
    <row r="3022" spans="1:4" hidden="1" x14ac:dyDescent="0.25">
      <c r="A3022" t="s">
        <v>20</v>
      </c>
      <c r="B3022">
        <v>52</v>
      </c>
      <c r="C3022">
        <v>81</v>
      </c>
      <c r="D3022">
        <v>1</v>
      </c>
    </row>
    <row r="3023" spans="1:4" hidden="1" x14ac:dyDescent="0.25">
      <c r="A3023" t="s">
        <v>20</v>
      </c>
      <c r="B3023">
        <v>52</v>
      </c>
      <c r="C3023">
        <v>82</v>
      </c>
    </row>
    <row r="3024" spans="1:4" hidden="1" x14ac:dyDescent="0.25">
      <c r="A3024" t="s">
        <v>20</v>
      </c>
      <c r="B3024">
        <v>52</v>
      </c>
      <c r="C3024">
        <v>83</v>
      </c>
    </row>
    <row r="3025" spans="1:4" hidden="1" x14ac:dyDescent="0.25">
      <c r="A3025" t="s">
        <v>20</v>
      </c>
      <c r="B3025">
        <v>52</v>
      </c>
      <c r="C3025">
        <v>84</v>
      </c>
      <c r="D3025">
        <v>1</v>
      </c>
    </row>
    <row r="3026" spans="1:4" hidden="1" x14ac:dyDescent="0.25">
      <c r="A3026" t="s">
        <v>20</v>
      </c>
      <c r="B3026">
        <v>54</v>
      </c>
      <c r="C3026">
        <v>1</v>
      </c>
    </row>
    <row r="3027" spans="1:4" hidden="1" x14ac:dyDescent="0.25">
      <c r="A3027" t="s">
        <v>20</v>
      </c>
      <c r="B3027">
        <v>54</v>
      </c>
      <c r="C3027">
        <v>2</v>
      </c>
    </row>
    <row r="3028" spans="1:4" hidden="1" x14ac:dyDescent="0.25">
      <c r="A3028" t="s">
        <v>20</v>
      </c>
      <c r="B3028">
        <v>54</v>
      </c>
      <c r="C3028">
        <v>3</v>
      </c>
    </row>
    <row r="3029" spans="1:4" hidden="1" x14ac:dyDescent="0.25">
      <c r="A3029" t="s">
        <v>20</v>
      </c>
      <c r="B3029">
        <v>54</v>
      </c>
      <c r="C3029">
        <v>4</v>
      </c>
    </row>
    <row r="3030" spans="1:4" hidden="1" x14ac:dyDescent="0.25">
      <c r="A3030" t="s">
        <v>20</v>
      </c>
      <c r="B3030">
        <v>54</v>
      </c>
      <c r="C3030">
        <v>5</v>
      </c>
    </row>
    <row r="3031" spans="1:4" hidden="1" x14ac:dyDescent="0.25">
      <c r="A3031" t="s">
        <v>20</v>
      </c>
      <c r="B3031">
        <v>54</v>
      </c>
      <c r="C3031">
        <v>6</v>
      </c>
    </row>
    <row r="3032" spans="1:4" hidden="1" x14ac:dyDescent="0.25">
      <c r="A3032" t="s">
        <v>20</v>
      </c>
      <c r="B3032">
        <v>54</v>
      </c>
      <c r="C3032">
        <v>7</v>
      </c>
    </row>
    <row r="3033" spans="1:4" hidden="1" x14ac:dyDescent="0.25">
      <c r="A3033" t="s">
        <v>20</v>
      </c>
      <c r="B3033">
        <v>54</v>
      </c>
      <c r="C3033">
        <v>8</v>
      </c>
    </row>
    <row r="3034" spans="1:4" hidden="1" x14ac:dyDescent="0.25">
      <c r="A3034" t="s">
        <v>20</v>
      </c>
      <c r="B3034">
        <v>54</v>
      </c>
      <c r="C3034">
        <v>9</v>
      </c>
    </row>
    <row r="3035" spans="1:4" hidden="1" x14ac:dyDescent="0.25">
      <c r="A3035" t="s">
        <v>20</v>
      </c>
      <c r="B3035">
        <v>54</v>
      </c>
      <c r="C3035">
        <v>10</v>
      </c>
    </row>
    <row r="3036" spans="1:4" hidden="1" x14ac:dyDescent="0.25">
      <c r="A3036" t="s">
        <v>20</v>
      </c>
      <c r="B3036">
        <v>54</v>
      </c>
      <c r="C3036">
        <v>11</v>
      </c>
    </row>
    <row r="3037" spans="1:4" hidden="1" x14ac:dyDescent="0.25">
      <c r="A3037" t="s">
        <v>20</v>
      </c>
      <c r="B3037">
        <v>54</v>
      </c>
      <c r="C3037">
        <v>12</v>
      </c>
    </row>
    <row r="3038" spans="1:4" hidden="1" x14ac:dyDescent="0.25">
      <c r="A3038" t="s">
        <v>20</v>
      </c>
      <c r="B3038">
        <v>54</v>
      </c>
      <c r="C3038">
        <v>13</v>
      </c>
    </row>
    <row r="3039" spans="1:4" hidden="1" x14ac:dyDescent="0.25">
      <c r="A3039" t="s">
        <v>20</v>
      </c>
      <c r="B3039">
        <v>54</v>
      </c>
      <c r="C3039">
        <v>14</v>
      </c>
    </row>
    <row r="3040" spans="1:4" hidden="1" x14ac:dyDescent="0.25">
      <c r="A3040" t="s">
        <v>20</v>
      </c>
      <c r="B3040">
        <v>54</v>
      </c>
      <c r="C3040">
        <v>15</v>
      </c>
    </row>
    <row r="3041" spans="1:4" hidden="1" x14ac:dyDescent="0.25">
      <c r="A3041" t="s">
        <v>20</v>
      </c>
      <c r="B3041">
        <v>54</v>
      </c>
      <c r="C3041">
        <v>16</v>
      </c>
    </row>
    <row r="3042" spans="1:4" hidden="1" x14ac:dyDescent="0.25">
      <c r="A3042" t="s">
        <v>20</v>
      </c>
      <c r="B3042">
        <v>54</v>
      </c>
      <c r="C3042">
        <v>17</v>
      </c>
    </row>
    <row r="3043" spans="1:4" hidden="1" x14ac:dyDescent="0.25">
      <c r="A3043" t="s">
        <v>20</v>
      </c>
      <c r="B3043">
        <v>54</v>
      </c>
      <c r="C3043">
        <v>18</v>
      </c>
    </row>
    <row r="3044" spans="1:4" hidden="1" x14ac:dyDescent="0.25">
      <c r="A3044" t="s">
        <v>20</v>
      </c>
      <c r="B3044">
        <v>54</v>
      </c>
      <c r="C3044">
        <v>19</v>
      </c>
      <c r="D3044">
        <v>1</v>
      </c>
    </row>
    <row r="3045" spans="1:4" hidden="1" x14ac:dyDescent="0.25">
      <c r="A3045" t="s">
        <v>20</v>
      </c>
      <c r="B3045">
        <v>54</v>
      </c>
      <c r="C3045">
        <v>20</v>
      </c>
    </row>
    <row r="3046" spans="1:4" hidden="1" x14ac:dyDescent="0.25">
      <c r="A3046" t="s">
        <v>20</v>
      </c>
      <c r="B3046">
        <v>54</v>
      </c>
      <c r="C3046">
        <v>21</v>
      </c>
    </row>
    <row r="3047" spans="1:4" hidden="1" x14ac:dyDescent="0.25">
      <c r="A3047" t="s">
        <v>20</v>
      </c>
      <c r="B3047">
        <v>54</v>
      </c>
      <c r="C3047">
        <v>22</v>
      </c>
      <c r="D3047">
        <v>1</v>
      </c>
    </row>
    <row r="3048" spans="1:4" hidden="1" x14ac:dyDescent="0.25">
      <c r="A3048" t="s">
        <v>20</v>
      </c>
      <c r="B3048">
        <v>54</v>
      </c>
      <c r="C3048">
        <v>23</v>
      </c>
    </row>
    <row r="3049" spans="1:4" hidden="1" x14ac:dyDescent="0.25">
      <c r="A3049" t="s">
        <v>20</v>
      </c>
      <c r="B3049">
        <v>54</v>
      </c>
      <c r="C3049">
        <v>24</v>
      </c>
    </row>
    <row r="3050" spans="1:4" hidden="1" x14ac:dyDescent="0.25">
      <c r="A3050" t="s">
        <v>20</v>
      </c>
      <c r="B3050">
        <v>54</v>
      </c>
      <c r="C3050">
        <v>25</v>
      </c>
      <c r="D3050">
        <v>1</v>
      </c>
    </row>
    <row r="3051" spans="1:4" hidden="1" x14ac:dyDescent="0.25">
      <c r="A3051" t="s">
        <v>20</v>
      </c>
      <c r="B3051">
        <v>54</v>
      </c>
      <c r="C3051">
        <v>26</v>
      </c>
    </row>
    <row r="3052" spans="1:4" hidden="1" x14ac:dyDescent="0.25">
      <c r="A3052" t="s">
        <v>20</v>
      </c>
      <c r="B3052">
        <v>54</v>
      </c>
      <c r="C3052">
        <v>27</v>
      </c>
    </row>
    <row r="3053" spans="1:4" hidden="1" x14ac:dyDescent="0.25">
      <c r="A3053" t="s">
        <v>20</v>
      </c>
      <c r="B3053">
        <v>54</v>
      </c>
      <c r="C3053">
        <v>28</v>
      </c>
    </row>
    <row r="3054" spans="1:4" hidden="1" x14ac:dyDescent="0.25">
      <c r="A3054" t="s">
        <v>20</v>
      </c>
      <c r="B3054">
        <v>54</v>
      </c>
      <c r="C3054">
        <v>29</v>
      </c>
    </row>
    <row r="3055" spans="1:4" hidden="1" x14ac:dyDescent="0.25">
      <c r="A3055" t="s">
        <v>20</v>
      </c>
      <c r="B3055">
        <v>54</v>
      </c>
      <c r="C3055">
        <v>30</v>
      </c>
    </row>
    <row r="3056" spans="1:4" hidden="1" x14ac:dyDescent="0.25">
      <c r="A3056" t="s">
        <v>20</v>
      </c>
      <c r="B3056">
        <v>54</v>
      </c>
      <c r="C3056">
        <v>31</v>
      </c>
    </row>
    <row r="3057" spans="1:4" hidden="1" x14ac:dyDescent="0.25">
      <c r="A3057" t="s">
        <v>20</v>
      </c>
      <c r="B3057">
        <v>54</v>
      </c>
      <c r="C3057">
        <v>32</v>
      </c>
    </row>
    <row r="3058" spans="1:4" hidden="1" x14ac:dyDescent="0.25">
      <c r="A3058" t="s">
        <v>20</v>
      </c>
      <c r="B3058">
        <v>54</v>
      </c>
      <c r="C3058">
        <v>33</v>
      </c>
    </row>
    <row r="3059" spans="1:4" hidden="1" x14ac:dyDescent="0.25">
      <c r="A3059" t="s">
        <v>20</v>
      </c>
      <c r="B3059">
        <v>54</v>
      </c>
      <c r="C3059">
        <v>34</v>
      </c>
      <c r="D3059">
        <v>1</v>
      </c>
    </row>
    <row r="3060" spans="1:4" hidden="1" x14ac:dyDescent="0.25">
      <c r="A3060" t="s">
        <v>20</v>
      </c>
      <c r="B3060">
        <v>54</v>
      </c>
      <c r="C3060">
        <v>35</v>
      </c>
    </row>
    <row r="3061" spans="1:4" hidden="1" x14ac:dyDescent="0.25">
      <c r="A3061" t="s">
        <v>20</v>
      </c>
      <c r="B3061">
        <v>54</v>
      </c>
      <c r="C3061">
        <v>36</v>
      </c>
    </row>
    <row r="3062" spans="1:4" hidden="1" x14ac:dyDescent="0.25">
      <c r="A3062" t="s">
        <v>20</v>
      </c>
      <c r="B3062">
        <v>54</v>
      </c>
      <c r="C3062">
        <v>37</v>
      </c>
      <c r="D3062">
        <v>1</v>
      </c>
    </row>
    <row r="3063" spans="1:4" hidden="1" x14ac:dyDescent="0.25">
      <c r="A3063" t="s">
        <v>20</v>
      </c>
      <c r="B3063">
        <v>54</v>
      </c>
      <c r="C3063">
        <v>38</v>
      </c>
    </row>
    <row r="3064" spans="1:4" hidden="1" x14ac:dyDescent="0.25">
      <c r="A3064" t="s">
        <v>20</v>
      </c>
      <c r="B3064">
        <v>54</v>
      </c>
      <c r="C3064">
        <v>39</v>
      </c>
    </row>
    <row r="3065" spans="1:4" hidden="1" x14ac:dyDescent="0.25">
      <c r="A3065" t="s">
        <v>20</v>
      </c>
      <c r="B3065">
        <v>54</v>
      </c>
      <c r="C3065">
        <v>40</v>
      </c>
      <c r="D3065">
        <v>1</v>
      </c>
    </row>
    <row r="3066" spans="1:4" hidden="1" x14ac:dyDescent="0.25">
      <c r="A3066" t="s">
        <v>20</v>
      </c>
      <c r="B3066">
        <v>54</v>
      </c>
      <c r="C3066">
        <v>41</v>
      </c>
    </row>
    <row r="3067" spans="1:4" hidden="1" x14ac:dyDescent="0.25">
      <c r="A3067" t="s">
        <v>20</v>
      </c>
      <c r="B3067">
        <v>54</v>
      </c>
      <c r="C3067">
        <v>42</v>
      </c>
    </row>
    <row r="3068" spans="1:4" hidden="1" x14ac:dyDescent="0.25">
      <c r="A3068" t="s">
        <v>20</v>
      </c>
      <c r="B3068">
        <v>54</v>
      </c>
      <c r="C3068">
        <v>43</v>
      </c>
    </row>
    <row r="3069" spans="1:4" hidden="1" x14ac:dyDescent="0.25">
      <c r="A3069" t="s">
        <v>20</v>
      </c>
      <c r="B3069">
        <v>54</v>
      </c>
      <c r="C3069">
        <v>44</v>
      </c>
    </row>
    <row r="3070" spans="1:4" hidden="1" x14ac:dyDescent="0.25">
      <c r="A3070" t="s">
        <v>20</v>
      </c>
      <c r="B3070">
        <v>54</v>
      </c>
      <c r="C3070">
        <v>45</v>
      </c>
    </row>
    <row r="3071" spans="1:4" hidden="1" x14ac:dyDescent="0.25">
      <c r="A3071" t="s">
        <v>20</v>
      </c>
      <c r="B3071">
        <v>54</v>
      </c>
      <c r="C3071">
        <v>46</v>
      </c>
      <c r="D3071">
        <v>1</v>
      </c>
    </row>
    <row r="3072" spans="1:4" hidden="1" x14ac:dyDescent="0.25">
      <c r="A3072" t="s">
        <v>20</v>
      </c>
      <c r="B3072">
        <v>54</v>
      </c>
      <c r="C3072">
        <v>47</v>
      </c>
    </row>
    <row r="3073" spans="1:4" hidden="1" x14ac:dyDescent="0.25">
      <c r="A3073" t="s">
        <v>20</v>
      </c>
      <c r="B3073">
        <v>54</v>
      </c>
      <c r="C3073">
        <v>48</v>
      </c>
    </row>
    <row r="3074" spans="1:4" hidden="1" x14ac:dyDescent="0.25">
      <c r="A3074" t="s">
        <v>20</v>
      </c>
      <c r="B3074">
        <v>54</v>
      </c>
      <c r="C3074">
        <v>49</v>
      </c>
      <c r="D3074">
        <v>1</v>
      </c>
    </row>
    <row r="3075" spans="1:4" hidden="1" x14ac:dyDescent="0.25">
      <c r="A3075" t="s">
        <v>20</v>
      </c>
      <c r="B3075">
        <v>54</v>
      </c>
      <c r="C3075">
        <v>50</v>
      </c>
    </row>
    <row r="3076" spans="1:4" hidden="1" x14ac:dyDescent="0.25">
      <c r="A3076" t="s">
        <v>20</v>
      </c>
      <c r="B3076">
        <v>54</v>
      </c>
      <c r="C3076">
        <v>51</v>
      </c>
    </row>
    <row r="3077" spans="1:4" hidden="1" x14ac:dyDescent="0.25">
      <c r="A3077" t="s">
        <v>20</v>
      </c>
      <c r="B3077">
        <v>54</v>
      </c>
      <c r="C3077">
        <v>52</v>
      </c>
      <c r="D3077">
        <v>1</v>
      </c>
    </row>
    <row r="3078" spans="1:4" hidden="1" x14ac:dyDescent="0.25">
      <c r="A3078" t="s">
        <v>20</v>
      </c>
      <c r="B3078">
        <v>54</v>
      </c>
      <c r="C3078">
        <v>53</v>
      </c>
    </row>
    <row r="3079" spans="1:4" hidden="1" x14ac:dyDescent="0.25">
      <c r="A3079" t="s">
        <v>20</v>
      </c>
      <c r="B3079">
        <v>54</v>
      </c>
      <c r="C3079">
        <v>54</v>
      </c>
    </row>
    <row r="3080" spans="1:4" hidden="1" x14ac:dyDescent="0.25">
      <c r="A3080" t="s">
        <v>20</v>
      </c>
      <c r="B3080">
        <v>54</v>
      </c>
      <c r="C3080">
        <v>55</v>
      </c>
    </row>
    <row r="3081" spans="1:4" hidden="1" x14ac:dyDescent="0.25">
      <c r="A3081" t="s">
        <v>20</v>
      </c>
      <c r="B3081">
        <v>54</v>
      </c>
      <c r="C3081">
        <v>56</v>
      </c>
    </row>
    <row r="3082" spans="1:4" hidden="1" x14ac:dyDescent="0.25">
      <c r="A3082" t="s">
        <v>20</v>
      </c>
      <c r="B3082">
        <v>54</v>
      </c>
      <c r="C3082">
        <v>57</v>
      </c>
    </row>
    <row r="3083" spans="1:4" hidden="1" x14ac:dyDescent="0.25">
      <c r="A3083" t="s">
        <v>20</v>
      </c>
      <c r="B3083">
        <v>54</v>
      </c>
      <c r="C3083">
        <v>58</v>
      </c>
      <c r="D3083">
        <v>1</v>
      </c>
    </row>
    <row r="3084" spans="1:4" hidden="1" x14ac:dyDescent="0.25">
      <c r="A3084" t="s">
        <v>20</v>
      </c>
      <c r="B3084">
        <v>54</v>
      </c>
      <c r="C3084">
        <v>59</v>
      </c>
    </row>
    <row r="3085" spans="1:4" hidden="1" x14ac:dyDescent="0.25">
      <c r="A3085" t="s">
        <v>20</v>
      </c>
      <c r="B3085">
        <v>54</v>
      </c>
      <c r="C3085">
        <v>60</v>
      </c>
    </row>
    <row r="3086" spans="1:4" hidden="1" x14ac:dyDescent="0.25">
      <c r="A3086" t="s">
        <v>20</v>
      </c>
      <c r="B3086">
        <v>54</v>
      </c>
      <c r="C3086">
        <v>61</v>
      </c>
      <c r="D3086">
        <v>1</v>
      </c>
    </row>
    <row r="3087" spans="1:4" hidden="1" x14ac:dyDescent="0.25">
      <c r="A3087" t="s">
        <v>20</v>
      </c>
      <c r="B3087">
        <v>54</v>
      </c>
      <c r="C3087">
        <v>62</v>
      </c>
    </row>
    <row r="3088" spans="1:4" hidden="1" x14ac:dyDescent="0.25">
      <c r="A3088" t="s">
        <v>20</v>
      </c>
      <c r="B3088">
        <v>54</v>
      </c>
      <c r="C3088">
        <v>63</v>
      </c>
    </row>
    <row r="3089" spans="1:4" hidden="1" x14ac:dyDescent="0.25">
      <c r="A3089" t="s">
        <v>20</v>
      </c>
      <c r="B3089">
        <v>54</v>
      </c>
      <c r="C3089">
        <v>64</v>
      </c>
    </row>
    <row r="3090" spans="1:4" hidden="1" x14ac:dyDescent="0.25">
      <c r="A3090" t="s">
        <v>20</v>
      </c>
      <c r="B3090">
        <v>54</v>
      </c>
      <c r="C3090">
        <v>65</v>
      </c>
    </row>
    <row r="3091" spans="1:4" hidden="1" x14ac:dyDescent="0.25">
      <c r="A3091" t="s">
        <v>20</v>
      </c>
      <c r="B3091">
        <v>54</v>
      </c>
      <c r="C3091">
        <v>66</v>
      </c>
    </row>
    <row r="3092" spans="1:4" hidden="1" x14ac:dyDescent="0.25">
      <c r="A3092" t="s">
        <v>20</v>
      </c>
      <c r="B3092">
        <v>54</v>
      </c>
      <c r="C3092">
        <v>67</v>
      </c>
      <c r="D3092">
        <v>1</v>
      </c>
    </row>
    <row r="3093" spans="1:4" hidden="1" x14ac:dyDescent="0.25">
      <c r="A3093" t="s">
        <v>20</v>
      </c>
      <c r="B3093">
        <v>54</v>
      </c>
      <c r="C3093">
        <v>68</v>
      </c>
    </row>
    <row r="3094" spans="1:4" hidden="1" x14ac:dyDescent="0.25">
      <c r="A3094" t="s">
        <v>20</v>
      </c>
      <c r="B3094">
        <v>54</v>
      </c>
      <c r="C3094">
        <v>69</v>
      </c>
    </row>
    <row r="3095" spans="1:4" hidden="1" x14ac:dyDescent="0.25">
      <c r="A3095" t="s">
        <v>20</v>
      </c>
      <c r="B3095">
        <v>54</v>
      </c>
      <c r="C3095">
        <v>70</v>
      </c>
    </row>
    <row r="3096" spans="1:4" hidden="1" x14ac:dyDescent="0.25">
      <c r="A3096" t="s">
        <v>20</v>
      </c>
      <c r="B3096">
        <v>54</v>
      </c>
      <c r="C3096">
        <v>71</v>
      </c>
    </row>
    <row r="3097" spans="1:4" hidden="1" x14ac:dyDescent="0.25">
      <c r="A3097" t="s">
        <v>20</v>
      </c>
      <c r="B3097">
        <v>54</v>
      </c>
      <c r="C3097">
        <v>72</v>
      </c>
    </row>
    <row r="3098" spans="1:4" hidden="1" x14ac:dyDescent="0.25">
      <c r="A3098" t="s">
        <v>20</v>
      </c>
      <c r="B3098">
        <v>54</v>
      </c>
      <c r="C3098">
        <v>73</v>
      </c>
    </row>
    <row r="3099" spans="1:4" hidden="1" x14ac:dyDescent="0.25">
      <c r="A3099" t="s">
        <v>20</v>
      </c>
      <c r="B3099">
        <v>54</v>
      </c>
      <c r="C3099">
        <v>74</v>
      </c>
    </row>
    <row r="3100" spans="1:4" hidden="1" x14ac:dyDescent="0.25">
      <c r="A3100" t="s">
        <v>20</v>
      </c>
      <c r="B3100">
        <v>54</v>
      </c>
      <c r="C3100">
        <v>75</v>
      </c>
    </row>
    <row r="3101" spans="1:4" hidden="1" x14ac:dyDescent="0.25">
      <c r="A3101" t="s">
        <v>20</v>
      </c>
      <c r="B3101">
        <v>54</v>
      </c>
      <c r="C3101">
        <v>76</v>
      </c>
    </row>
    <row r="3102" spans="1:4" hidden="1" x14ac:dyDescent="0.25">
      <c r="A3102" t="s">
        <v>20</v>
      </c>
      <c r="B3102">
        <v>54</v>
      </c>
      <c r="C3102">
        <v>77</v>
      </c>
    </row>
    <row r="3103" spans="1:4" hidden="1" x14ac:dyDescent="0.25">
      <c r="A3103" t="s">
        <v>20</v>
      </c>
      <c r="B3103">
        <v>54</v>
      </c>
      <c r="C3103">
        <v>78</v>
      </c>
    </row>
    <row r="3104" spans="1:4" hidden="1" x14ac:dyDescent="0.25">
      <c r="A3104" t="s">
        <v>20</v>
      </c>
      <c r="B3104">
        <v>54</v>
      </c>
      <c r="C3104">
        <v>79</v>
      </c>
      <c r="D3104">
        <v>1</v>
      </c>
    </row>
    <row r="3105" spans="1:4" hidden="1" x14ac:dyDescent="0.25">
      <c r="A3105" t="s">
        <v>20</v>
      </c>
      <c r="B3105">
        <v>54</v>
      </c>
      <c r="C3105">
        <v>80</v>
      </c>
    </row>
    <row r="3106" spans="1:4" hidden="1" x14ac:dyDescent="0.25">
      <c r="A3106" t="s">
        <v>20</v>
      </c>
      <c r="B3106">
        <v>54</v>
      </c>
      <c r="C3106">
        <v>81</v>
      </c>
    </row>
    <row r="3107" spans="1:4" hidden="1" x14ac:dyDescent="0.25">
      <c r="A3107" t="s">
        <v>20</v>
      </c>
      <c r="B3107">
        <v>54</v>
      </c>
      <c r="C3107">
        <v>82</v>
      </c>
      <c r="D3107">
        <v>1</v>
      </c>
    </row>
    <row r="3108" spans="1:4" hidden="1" x14ac:dyDescent="0.25">
      <c r="A3108" t="s">
        <v>20</v>
      </c>
      <c r="B3108">
        <v>54</v>
      </c>
      <c r="C3108">
        <v>83</v>
      </c>
    </row>
    <row r="3109" spans="1:4" hidden="1" x14ac:dyDescent="0.25">
      <c r="A3109" t="s">
        <v>20</v>
      </c>
      <c r="B3109">
        <v>54</v>
      </c>
      <c r="C3109">
        <v>84</v>
      </c>
    </row>
    <row r="3110" spans="1:4" hidden="1" x14ac:dyDescent="0.25">
      <c r="A3110" t="s">
        <v>20</v>
      </c>
      <c r="B3110">
        <v>56</v>
      </c>
      <c r="C3110">
        <v>1</v>
      </c>
      <c r="D3110">
        <v>1</v>
      </c>
    </row>
    <row r="3111" spans="1:4" hidden="1" x14ac:dyDescent="0.25">
      <c r="A3111" t="s">
        <v>20</v>
      </c>
      <c r="B3111">
        <v>56</v>
      </c>
      <c r="C3111">
        <v>2</v>
      </c>
    </row>
    <row r="3112" spans="1:4" hidden="1" x14ac:dyDescent="0.25">
      <c r="A3112" t="s">
        <v>20</v>
      </c>
      <c r="B3112">
        <v>56</v>
      </c>
      <c r="C3112">
        <v>3</v>
      </c>
    </row>
    <row r="3113" spans="1:4" hidden="1" x14ac:dyDescent="0.25">
      <c r="A3113" t="s">
        <v>20</v>
      </c>
      <c r="B3113">
        <v>56</v>
      </c>
      <c r="C3113">
        <v>4</v>
      </c>
    </row>
    <row r="3114" spans="1:4" hidden="1" x14ac:dyDescent="0.25">
      <c r="A3114" t="s">
        <v>20</v>
      </c>
      <c r="B3114">
        <v>56</v>
      </c>
      <c r="C3114">
        <v>5</v>
      </c>
    </row>
    <row r="3115" spans="1:4" hidden="1" x14ac:dyDescent="0.25">
      <c r="A3115" t="s">
        <v>20</v>
      </c>
      <c r="B3115">
        <v>56</v>
      </c>
      <c r="C3115">
        <v>6</v>
      </c>
    </row>
    <row r="3116" spans="1:4" hidden="1" x14ac:dyDescent="0.25">
      <c r="A3116" t="s">
        <v>20</v>
      </c>
      <c r="B3116">
        <v>56</v>
      </c>
      <c r="C3116">
        <v>7</v>
      </c>
    </row>
    <row r="3117" spans="1:4" hidden="1" x14ac:dyDescent="0.25">
      <c r="A3117" t="s">
        <v>20</v>
      </c>
      <c r="B3117">
        <v>56</v>
      </c>
      <c r="C3117">
        <v>8</v>
      </c>
    </row>
    <row r="3118" spans="1:4" hidden="1" x14ac:dyDescent="0.25">
      <c r="A3118" t="s">
        <v>20</v>
      </c>
      <c r="B3118">
        <v>56</v>
      </c>
      <c r="C3118">
        <v>9</v>
      </c>
    </row>
    <row r="3119" spans="1:4" hidden="1" x14ac:dyDescent="0.25">
      <c r="A3119" t="s">
        <v>20</v>
      </c>
      <c r="B3119">
        <v>56</v>
      </c>
      <c r="C3119">
        <v>10</v>
      </c>
    </row>
    <row r="3120" spans="1:4" hidden="1" x14ac:dyDescent="0.25">
      <c r="A3120" t="s">
        <v>20</v>
      </c>
      <c r="B3120">
        <v>56</v>
      </c>
      <c r="C3120">
        <v>11</v>
      </c>
    </row>
    <row r="3121" spans="1:4" hidden="1" x14ac:dyDescent="0.25">
      <c r="A3121" t="s">
        <v>20</v>
      </c>
      <c r="B3121">
        <v>56</v>
      </c>
      <c r="C3121">
        <v>12</v>
      </c>
    </row>
    <row r="3122" spans="1:4" hidden="1" x14ac:dyDescent="0.25">
      <c r="A3122" t="s">
        <v>20</v>
      </c>
      <c r="B3122">
        <v>56</v>
      </c>
      <c r="C3122">
        <v>13</v>
      </c>
    </row>
    <row r="3123" spans="1:4" hidden="1" x14ac:dyDescent="0.25">
      <c r="A3123" t="s">
        <v>20</v>
      </c>
      <c r="B3123">
        <v>56</v>
      </c>
      <c r="C3123">
        <v>14</v>
      </c>
    </row>
    <row r="3124" spans="1:4" hidden="1" x14ac:dyDescent="0.25">
      <c r="A3124" t="s">
        <v>20</v>
      </c>
      <c r="B3124">
        <v>56</v>
      </c>
      <c r="C3124">
        <v>15</v>
      </c>
    </row>
    <row r="3125" spans="1:4" hidden="1" x14ac:dyDescent="0.25">
      <c r="A3125" t="s">
        <v>20</v>
      </c>
      <c r="B3125">
        <v>56</v>
      </c>
      <c r="C3125">
        <v>16</v>
      </c>
      <c r="D3125">
        <v>1</v>
      </c>
    </row>
    <row r="3126" spans="1:4" hidden="1" x14ac:dyDescent="0.25">
      <c r="A3126" t="s">
        <v>20</v>
      </c>
      <c r="B3126">
        <v>56</v>
      </c>
      <c r="C3126">
        <v>17</v>
      </c>
    </row>
    <row r="3127" spans="1:4" hidden="1" x14ac:dyDescent="0.25">
      <c r="A3127" t="s">
        <v>20</v>
      </c>
      <c r="B3127">
        <v>56</v>
      </c>
      <c r="C3127">
        <v>18</v>
      </c>
    </row>
    <row r="3128" spans="1:4" hidden="1" x14ac:dyDescent="0.25">
      <c r="A3128" t="s">
        <v>20</v>
      </c>
      <c r="B3128">
        <v>56</v>
      </c>
      <c r="C3128">
        <v>19</v>
      </c>
      <c r="D3128">
        <v>1</v>
      </c>
    </row>
    <row r="3129" spans="1:4" hidden="1" x14ac:dyDescent="0.25">
      <c r="A3129" t="s">
        <v>20</v>
      </c>
      <c r="B3129">
        <v>56</v>
      </c>
      <c r="C3129">
        <v>20</v>
      </c>
    </row>
    <row r="3130" spans="1:4" hidden="1" x14ac:dyDescent="0.25">
      <c r="A3130" t="s">
        <v>20</v>
      </c>
      <c r="B3130">
        <v>56</v>
      </c>
      <c r="C3130">
        <v>21</v>
      </c>
    </row>
    <row r="3131" spans="1:4" hidden="1" x14ac:dyDescent="0.25">
      <c r="A3131" t="s">
        <v>20</v>
      </c>
      <c r="B3131">
        <v>56</v>
      </c>
      <c r="C3131">
        <v>22</v>
      </c>
      <c r="D3131">
        <v>1</v>
      </c>
    </row>
    <row r="3132" spans="1:4" hidden="1" x14ac:dyDescent="0.25">
      <c r="A3132" t="s">
        <v>20</v>
      </c>
      <c r="B3132">
        <v>56</v>
      </c>
      <c r="C3132">
        <v>23</v>
      </c>
    </row>
    <row r="3133" spans="1:4" hidden="1" x14ac:dyDescent="0.25">
      <c r="A3133" t="s">
        <v>20</v>
      </c>
      <c r="B3133">
        <v>56</v>
      </c>
      <c r="C3133">
        <v>24</v>
      </c>
    </row>
    <row r="3134" spans="1:4" hidden="1" x14ac:dyDescent="0.25">
      <c r="A3134" t="s">
        <v>20</v>
      </c>
      <c r="B3134">
        <v>56</v>
      </c>
      <c r="C3134">
        <v>25</v>
      </c>
      <c r="D3134">
        <v>1</v>
      </c>
    </row>
    <row r="3135" spans="1:4" hidden="1" x14ac:dyDescent="0.25">
      <c r="A3135" t="s">
        <v>20</v>
      </c>
      <c r="B3135">
        <v>56</v>
      </c>
      <c r="C3135">
        <v>26</v>
      </c>
    </row>
    <row r="3136" spans="1:4" hidden="1" x14ac:dyDescent="0.25">
      <c r="A3136" t="s">
        <v>20</v>
      </c>
      <c r="B3136">
        <v>56</v>
      </c>
      <c r="C3136">
        <v>27</v>
      </c>
    </row>
    <row r="3137" spans="1:4" hidden="1" x14ac:dyDescent="0.25">
      <c r="A3137" t="s">
        <v>20</v>
      </c>
      <c r="B3137">
        <v>56</v>
      </c>
      <c r="C3137">
        <v>28</v>
      </c>
    </row>
    <row r="3138" spans="1:4" hidden="1" x14ac:dyDescent="0.25">
      <c r="A3138" t="s">
        <v>20</v>
      </c>
      <c r="B3138">
        <v>56</v>
      </c>
      <c r="C3138">
        <v>29</v>
      </c>
    </row>
    <row r="3139" spans="1:4" hidden="1" x14ac:dyDescent="0.25">
      <c r="A3139" t="s">
        <v>20</v>
      </c>
      <c r="B3139">
        <v>56</v>
      </c>
      <c r="C3139">
        <v>30</v>
      </c>
    </row>
    <row r="3140" spans="1:4" hidden="1" x14ac:dyDescent="0.25">
      <c r="A3140" t="s">
        <v>20</v>
      </c>
      <c r="B3140">
        <v>56</v>
      </c>
      <c r="C3140">
        <v>31</v>
      </c>
    </row>
    <row r="3141" spans="1:4" hidden="1" x14ac:dyDescent="0.25">
      <c r="A3141" t="s">
        <v>20</v>
      </c>
      <c r="B3141">
        <v>56</v>
      </c>
      <c r="C3141">
        <v>32</v>
      </c>
    </row>
    <row r="3142" spans="1:4" hidden="1" x14ac:dyDescent="0.25">
      <c r="A3142" t="s">
        <v>20</v>
      </c>
      <c r="B3142">
        <v>56</v>
      </c>
      <c r="C3142">
        <v>33</v>
      </c>
    </row>
    <row r="3143" spans="1:4" hidden="1" x14ac:dyDescent="0.25">
      <c r="A3143" t="s">
        <v>20</v>
      </c>
      <c r="B3143">
        <v>56</v>
      </c>
      <c r="C3143">
        <v>34</v>
      </c>
      <c r="D3143">
        <v>1</v>
      </c>
    </row>
    <row r="3144" spans="1:4" hidden="1" x14ac:dyDescent="0.25">
      <c r="A3144" t="s">
        <v>20</v>
      </c>
      <c r="B3144">
        <v>56</v>
      </c>
      <c r="C3144">
        <v>35</v>
      </c>
    </row>
    <row r="3145" spans="1:4" hidden="1" x14ac:dyDescent="0.25">
      <c r="A3145" t="s">
        <v>20</v>
      </c>
      <c r="B3145">
        <v>56</v>
      </c>
      <c r="C3145">
        <v>36</v>
      </c>
    </row>
    <row r="3146" spans="1:4" hidden="1" x14ac:dyDescent="0.25">
      <c r="A3146" t="s">
        <v>20</v>
      </c>
      <c r="B3146">
        <v>56</v>
      </c>
      <c r="C3146">
        <v>37</v>
      </c>
      <c r="D3146">
        <v>1</v>
      </c>
    </row>
    <row r="3147" spans="1:4" hidden="1" x14ac:dyDescent="0.25">
      <c r="A3147" t="s">
        <v>20</v>
      </c>
      <c r="B3147">
        <v>56</v>
      </c>
      <c r="C3147">
        <v>38</v>
      </c>
    </row>
    <row r="3148" spans="1:4" hidden="1" x14ac:dyDescent="0.25">
      <c r="A3148" t="s">
        <v>20</v>
      </c>
      <c r="B3148">
        <v>56</v>
      </c>
      <c r="C3148">
        <v>39</v>
      </c>
    </row>
    <row r="3149" spans="1:4" hidden="1" x14ac:dyDescent="0.25">
      <c r="A3149" t="s">
        <v>20</v>
      </c>
      <c r="B3149">
        <v>56</v>
      </c>
      <c r="C3149">
        <v>40</v>
      </c>
      <c r="D3149">
        <v>1</v>
      </c>
    </row>
    <row r="3150" spans="1:4" hidden="1" x14ac:dyDescent="0.25">
      <c r="A3150" t="s">
        <v>20</v>
      </c>
      <c r="B3150">
        <v>56</v>
      </c>
      <c r="C3150">
        <v>41</v>
      </c>
    </row>
    <row r="3151" spans="1:4" hidden="1" x14ac:dyDescent="0.25">
      <c r="A3151" t="s">
        <v>20</v>
      </c>
      <c r="B3151">
        <v>56</v>
      </c>
      <c r="C3151">
        <v>42</v>
      </c>
    </row>
    <row r="3152" spans="1:4" hidden="1" x14ac:dyDescent="0.25">
      <c r="A3152" t="s">
        <v>20</v>
      </c>
      <c r="B3152">
        <v>56</v>
      </c>
      <c r="C3152">
        <v>43</v>
      </c>
      <c r="D3152">
        <v>1</v>
      </c>
    </row>
    <row r="3153" spans="1:4" hidden="1" x14ac:dyDescent="0.25">
      <c r="A3153" t="s">
        <v>20</v>
      </c>
      <c r="B3153">
        <v>56</v>
      </c>
      <c r="C3153">
        <v>44</v>
      </c>
    </row>
    <row r="3154" spans="1:4" hidden="1" x14ac:dyDescent="0.25">
      <c r="A3154" t="s">
        <v>20</v>
      </c>
      <c r="B3154">
        <v>56</v>
      </c>
      <c r="C3154">
        <v>45</v>
      </c>
    </row>
    <row r="3155" spans="1:4" hidden="1" x14ac:dyDescent="0.25">
      <c r="A3155" t="s">
        <v>20</v>
      </c>
      <c r="B3155">
        <v>56</v>
      </c>
      <c r="C3155">
        <v>46</v>
      </c>
    </row>
    <row r="3156" spans="1:4" hidden="1" x14ac:dyDescent="0.25">
      <c r="A3156" t="s">
        <v>20</v>
      </c>
      <c r="B3156">
        <v>56</v>
      </c>
      <c r="C3156">
        <v>47</v>
      </c>
    </row>
    <row r="3157" spans="1:4" hidden="1" x14ac:dyDescent="0.25">
      <c r="A3157" t="s">
        <v>20</v>
      </c>
      <c r="B3157">
        <v>56</v>
      </c>
      <c r="C3157">
        <v>48</v>
      </c>
    </row>
    <row r="3158" spans="1:4" hidden="1" x14ac:dyDescent="0.25">
      <c r="A3158" t="s">
        <v>20</v>
      </c>
      <c r="B3158">
        <v>56</v>
      </c>
      <c r="C3158">
        <v>49</v>
      </c>
    </row>
    <row r="3159" spans="1:4" hidden="1" x14ac:dyDescent="0.25">
      <c r="A3159" t="s">
        <v>20</v>
      </c>
      <c r="B3159">
        <v>56</v>
      </c>
      <c r="C3159">
        <v>50</v>
      </c>
    </row>
    <row r="3160" spans="1:4" hidden="1" x14ac:dyDescent="0.25">
      <c r="A3160" t="s">
        <v>20</v>
      </c>
      <c r="B3160">
        <v>56</v>
      </c>
      <c r="C3160">
        <v>51</v>
      </c>
    </row>
    <row r="3161" spans="1:4" hidden="1" x14ac:dyDescent="0.25">
      <c r="A3161" t="s">
        <v>20</v>
      </c>
      <c r="B3161">
        <v>56</v>
      </c>
      <c r="C3161">
        <v>52</v>
      </c>
    </row>
    <row r="3162" spans="1:4" hidden="1" x14ac:dyDescent="0.25">
      <c r="A3162" t="s">
        <v>20</v>
      </c>
      <c r="B3162">
        <v>56</v>
      </c>
      <c r="C3162">
        <v>53</v>
      </c>
    </row>
    <row r="3163" spans="1:4" hidden="1" x14ac:dyDescent="0.25">
      <c r="A3163" t="s">
        <v>20</v>
      </c>
      <c r="B3163">
        <v>56</v>
      </c>
      <c r="C3163">
        <v>54</v>
      </c>
    </row>
    <row r="3164" spans="1:4" hidden="1" x14ac:dyDescent="0.25">
      <c r="A3164" t="s">
        <v>20</v>
      </c>
      <c r="B3164">
        <v>56</v>
      </c>
      <c r="C3164">
        <v>55</v>
      </c>
      <c r="D3164">
        <v>1</v>
      </c>
    </row>
    <row r="3165" spans="1:4" hidden="1" x14ac:dyDescent="0.25">
      <c r="A3165" t="s">
        <v>20</v>
      </c>
      <c r="B3165">
        <v>56</v>
      </c>
      <c r="C3165">
        <v>56</v>
      </c>
    </row>
    <row r="3166" spans="1:4" hidden="1" x14ac:dyDescent="0.25">
      <c r="A3166" t="s">
        <v>20</v>
      </c>
      <c r="B3166">
        <v>56</v>
      </c>
      <c r="C3166">
        <v>57</v>
      </c>
    </row>
    <row r="3167" spans="1:4" hidden="1" x14ac:dyDescent="0.25">
      <c r="A3167" t="s">
        <v>20</v>
      </c>
      <c r="B3167">
        <v>56</v>
      </c>
      <c r="C3167">
        <v>58</v>
      </c>
      <c r="D3167">
        <v>1</v>
      </c>
    </row>
    <row r="3168" spans="1:4" hidden="1" x14ac:dyDescent="0.25">
      <c r="A3168" t="s">
        <v>20</v>
      </c>
      <c r="B3168">
        <v>56</v>
      </c>
      <c r="C3168">
        <v>59</v>
      </c>
    </row>
    <row r="3169" spans="1:4" hidden="1" x14ac:dyDescent="0.25">
      <c r="A3169" t="s">
        <v>20</v>
      </c>
      <c r="B3169">
        <v>56</v>
      </c>
      <c r="C3169">
        <v>60</v>
      </c>
    </row>
    <row r="3170" spans="1:4" hidden="1" x14ac:dyDescent="0.25">
      <c r="A3170" t="s">
        <v>20</v>
      </c>
      <c r="B3170">
        <v>56</v>
      </c>
      <c r="C3170">
        <v>61</v>
      </c>
      <c r="D3170">
        <v>1</v>
      </c>
    </row>
    <row r="3171" spans="1:4" hidden="1" x14ac:dyDescent="0.25">
      <c r="A3171" t="s">
        <v>20</v>
      </c>
      <c r="B3171">
        <v>56</v>
      </c>
      <c r="C3171">
        <v>62</v>
      </c>
    </row>
    <row r="3172" spans="1:4" hidden="1" x14ac:dyDescent="0.25">
      <c r="A3172" t="s">
        <v>20</v>
      </c>
      <c r="B3172">
        <v>56</v>
      </c>
      <c r="C3172">
        <v>63</v>
      </c>
    </row>
    <row r="3173" spans="1:4" hidden="1" x14ac:dyDescent="0.25">
      <c r="A3173" t="s">
        <v>20</v>
      </c>
      <c r="B3173">
        <v>56</v>
      </c>
      <c r="C3173">
        <v>64</v>
      </c>
    </row>
    <row r="3174" spans="1:4" hidden="1" x14ac:dyDescent="0.25">
      <c r="A3174" t="s">
        <v>20</v>
      </c>
      <c r="B3174">
        <v>56</v>
      </c>
      <c r="C3174">
        <v>65</v>
      </c>
    </row>
    <row r="3175" spans="1:4" hidden="1" x14ac:dyDescent="0.25">
      <c r="A3175" t="s">
        <v>20</v>
      </c>
      <c r="B3175">
        <v>56</v>
      </c>
      <c r="C3175">
        <v>66</v>
      </c>
    </row>
    <row r="3176" spans="1:4" hidden="1" x14ac:dyDescent="0.25">
      <c r="A3176" t="s">
        <v>20</v>
      </c>
      <c r="B3176">
        <v>56</v>
      </c>
      <c r="C3176">
        <v>67</v>
      </c>
      <c r="D3176">
        <v>1</v>
      </c>
    </row>
    <row r="3177" spans="1:4" hidden="1" x14ac:dyDescent="0.25">
      <c r="A3177" t="s">
        <v>20</v>
      </c>
      <c r="B3177">
        <v>56</v>
      </c>
      <c r="C3177">
        <v>68</v>
      </c>
    </row>
    <row r="3178" spans="1:4" hidden="1" x14ac:dyDescent="0.25">
      <c r="A3178" t="s">
        <v>20</v>
      </c>
      <c r="B3178">
        <v>56</v>
      </c>
      <c r="C3178">
        <v>69</v>
      </c>
    </row>
    <row r="3179" spans="1:4" hidden="1" x14ac:dyDescent="0.25">
      <c r="A3179" t="s">
        <v>20</v>
      </c>
      <c r="B3179">
        <v>56</v>
      </c>
      <c r="C3179">
        <v>70</v>
      </c>
    </row>
    <row r="3180" spans="1:4" hidden="1" x14ac:dyDescent="0.25">
      <c r="A3180" t="s">
        <v>20</v>
      </c>
      <c r="B3180">
        <v>56</v>
      </c>
      <c r="C3180">
        <v>71</v>
      </c>
    </row>
    <row r="3181" spans="1:4" hidden="1" x14ac:dyDescent="0.25">
      <c r="A3181" t="s">
        <v>20</v>
      </c>
      <c r="B3181">
        <v>56</v>
      </c>
      <c r="C3181">
        <v>72</v>
      </c>
    </row>
    <row r="3182" spans="1:4" hidden="1" x14ac:dyDescent="0.25">
      <c r="A3182" t="s">
        <v>20</v>
      </c>
      <c r="B3182">
        <v>56</v>
      </c>
      <c r="C3182">
        <v>73</v>
      </c>
    </row>
    <row r="3183" spans="1:4" hidden="1" x14ac:dyDescent="0.25">
      <c r="A3183" t="s">
        <v>20</v>
      </c>
      <c r="B3183">
        <v>56</v>
      </c>
      <c r="C3183">
        <v>74</v>
      </c>
    </row>
    <row r="3184" spans="1:4" hidden="1" x14ac:dyDescent="0.25">
      <c r="A3184" t="s">
        <v>20</v>
      </c>
      <c r="B3184">
        <v>56</v>
      </c>
      <c r="C3184">
        <v>75</v>
      </c>
    </row>
    <row r="3185" spans="1:4" hidden="1" x14ac:dyDescent="0.25">
      <c r="A3185" t="s">
        <v>20</v>
      </c>
      <c r="B3185">
        <v>56</v>
      </c>
      <c r="C3185">
        <v>76</v>
      </c>
      <c r="D3185">
        <v>1</v>
      </c>
    </row>
    <row r="3186" spans="1:4" hidden="1" x14ac:dyDescent="0.25">
      <c r="A3186" t="s">
        <v>20</v>
      </c>
      <c r="B3186">
        <v>56</v>
      </c>
      <c r="C3186">
        <v>77</v>
      </c>
    </row>
    <row r="3187" spans="1:4" hidden="1" x14ac:dyDescent="0.25">
      <c r="A3187" t="s">
        <v>20</v>
      </c>
      <c r="B3187">
        <v>56</v>
      </c>
      <c r="C3187">
        <v>78</v>
      </c>
    </row>
    <row r="3188" spans="1:4" hidden="1" x14ac:dyDescent="0.25">
      <c r="A3188" t="s">
        <v>20</v>
      </c>
      <c r="B3188">
        <v>56</v>
      </c>
      <c r="C3188">
        <v>79</v>
      </c>
      <c r="D3188">
        <v>1</v>
      </c>
    </row>
    <row r="3189" spans="1:4" hidden="1" x14ac:dyDescent="0.25">
      <c r="A3189" t="s">
        <v>20</v>
      </c>
      <c r="B3189">
        <v>56</v>
      </c>
      <c r="C3189">
        <v>80</v>
      </c>
    </row>
    <row r="3190" spans="1:4" hidden="1" x14ac:dyDescent="0.25">
      <c r="A3190" t="s">
        <v>20</v>
      </c>
      <c r="B3190">
        <v>56</v>
      </c>
      <c r="C3190">
        <v>81</v>
      </c>
    </row>
    <row r="3191" spans="1:4" hidden="1" x14ac:dyDescent="0.25">
      <c r="A3191" t="s">
        <v>20</v>
      </c>
      <c r="B3191">
        <v>56</v>
      </c>
      <c r="C3191">
        <v>82</v>
      </c>
    </row>
    <row r="3192" spans="1:4" hidden="1" x14ac:dyDescent="0.25">
      <c r="A3192" t="s">
        <v>20</v>
      </c>
      <c r="B3192">
        <v>56</v>
      </c>
      <c r="C3192">
        <v>83</v>
      </c>
    </row>
    <row r="3193" spans="1:4" hidden="1" x14ac:dyDescent="0.25">
      <c r="A3193" t="s">
        <v>20</v>
      </c>
      <c r="B3193">
        <v>56</v>
      </c>
      <c r="C3193">
        <v>84</v>
      </c>
    </row>
    <row r="3194" spans="1:4" hidden="1" x14ac:dyDescent="0.25">
      <c r="A3194" t="s">
        <v>20</v>
      </c>
      <c r="B3194">
        <v>59</v>
      </c>
      <c r="C3194">
        <v>1</v>
      </c>
      <c r="D3194">
        <v>1</v>
      </c>
    </row>
    <row r="3195" spans="1:4" hidden="1" x14ac:dyDescent="0.25">
      <c r="A3195" t="s">
        <v>20</v>
      </c>
      <c r="B3195">
        <v>59</v>
      </c>
      <c r="C3195">
        <v>2</v>
      </c>
    </row>
    <row r="3196" spans="1:4" hidden="1" x14ac:dyDescent="0.25">
      <c r="A3196" t="s">
        <v>20</v>
      </c>
      <c r="B3196">
        <v>59</v>
      </c>
      <c r="C3196">
        <v>3</v>
      </c>
    </row>
    <row r="3197" spans="1:4" hidden="1" x14ac:dyDescent="0.25">
      <c r="A3197" t="s">
        <v>20</v>
      </c>
      <c r="B3197">
        <v>59</v>
      </c>
      <c r="C3197">
        <v>4</v>
      </c>
    </row>
    <row r="3198" spans="1:4" hidden="1" x14ac:dyDescent="0.25">
      <c r="A3198" t="s">
        <v>20</v>
      </c>
      <c r="B3198">
        <v>59</v>
      </c>
      <c r="C3198">
        <v>5</v>
      </c>
    </row>
    <row r="3199" spans="1:4" hidden="1" x14ac:dyDescent="0.25">
      <c r="A3199" t="s">
        <v>20</v>
      </c>
      <c r="B3199">
        <v>59</v>
      </c>
      <c r="C3199">
        <v>6</v>
      </c>
    </row>
    <row r="3200" spans="1:4" hidden="1" x14ac:dyDescent="0.25">
      <c r="A3200" t="s">
        <v>20</v>
      </c>
      <c r="B3200">
        <v>59</v>
      </c>
      <c r="C3200">
        <v>7</v>
      </c>
    </row>
    <row r="3201" spans="1:4" hidden="1" x14ac:dyDescent="0.25">
      <c r="A3201" t="s">
        <v>20</v>
      </c>
      <c r="B3201">
        <v>59</v>
      </c>
      <c r="C3201">
        <v>8</v>
      </c>
    </row>
    <row r="3202" spans="1:4" hidden="1" x14ac:dyDescent="0.25">
      <c r="A3202" t="s">
        <v>20</v>
      </c>
      <c r="B3202">
        <v>59</v>
      </c>
      <c r="C3202">
        <v>9</v>
      </c>
    </row>
    <row r="3203" spans="1:4" hidden="1" x14ac:dyDescent="0.25">
      <c r="A3203" t="s">
        <v>20</v>
      </c>
      <c r="B3203">
        <v>59</v>
      </c>
      <c r="C3203">
        <v>10</v>
      </c>
      <c r="D3203">
        <v>1</v>
      </c>
    </row>
    <row r="3204" spans="1:4" hidden="1" x14ac:dyDescent="0.25">
      <c r="A3204" t="s">
        <v>20</v>
      </c>
      <c r="B3204">
        <v>59</v>
      </c>
      <c r="C3204">
        <v>11</v>
      </c>
    </row>
    <row r="3205" spans="1:4" hidden="1" x14ac:dyDescent="0.25">
      <c r="A3205" t="s">
        <v>20</v>
      </c>
      <c r="B3205">
        <v>59</v>
      </c>
      <c r="C3205">
        <v>12</v>
      </c>
    </row>
    <row r="3206" spans="1:4" hidden="1" x14ac:dyDescent="0.25">
      <c r="A3206" t="s">
        <v>20</v>
      </c>
      <c r="B3206">
        <v>59</v>
      </c>
      <c r="C3206">
        <v>13</v>
      </c>
      <c r="D3206">
        <v>1</v>
      </c>
    </row>
    <row r="3207" spans="1:4" hidden="1" x14ac:dyDescent="0.25">
      <c r="A3207" t="s">
        <v>20</v>
      </c>
      <c r="B3207">
        <v>59</v>
      </c>
      <c r="C3207">
        <v>14</v>
      </c>
    </row>
    <row r="3208" spans="1:4" hidden="1" x14ac:dyDescent="0.25">
      <c r="A3208" t="s">
        <v>20</v>
      </c>
      <c r="B3208">
        <v>59</v>
      </c>
      <c r="C3208">
        <v>15</v>
      </c>
    </row>
    <row r="3209" spans="1:4" hidden="1" x14ac:dyDescent="0.25">
      <c r="A3209" t="s">
        <v>20</v>
      </c>
      <c r="B3209">
        <v>59</v>
      </c>
      <c r="C3209">
        <v>16</v>
      </c>
      <c r="D3209">
        <v>1</v>
      </c>
    </row>
    <row r="3210" spans="1:4" hidden="1" x14ac:dyDescent="0.25">
      <c r="A3210" t="s">
        <v>20</v>
      </c>
      <c r="B3210">
        <v>59</v>
      </c>
      <c r="C3210">
        <v>17</v>
      </c>
    </row>
    <row r="3211" spans="1:4" hidden="1" x14ac:dyDescent="0.25">
      <c r="A3211" t="s">
        <v>20</v>
      </c>
      <c r="B3211">
        <v>59</v>
      </c>
      <c r="C3211">
        <v>18</v>
      </c>
    </row>
    <row r="3212" spans="1:4" hidden="1" x14ac:dyDescent="0.25">
      <c r="A3212" t="s">
        <v>20</v>
      </c>
      <c r="B3212">
        <v>59</v>
      </c>
      <c r="C3212">
        <v>19</v>
      </c>
      <c r="D3212">
        <v>1</v>
      </c>
    </row>
    <row r="3213" spans="1:4" hidden="1" x14ac:dyDescent="0.25">
      <c r="A3213" t="s">
        <v>20</v>
      </c>
      <c r="B3213">
        <v>59</v>
      </c>
      <c r="C3213">
        <v>20</v>
      </c>
    </row>
    <row r="3214" spans="1:4" hidden="1" x14ac:dyDescent="0.25">
      <c r="A3214" t="s">
        <v>20</v>
      </c>
      <c r="B3214">
        <v>59</v>
      </c>
      <c r="C3214">
        <v>21</v>
      </c>
    </row>
    <row r="3215" spans="1:4" hidden="1" x14ac:dyDescent="0.25">
      <c r="A3215" t="s">
        <v>20</v>
      </c>
      <c r="B3215">
        <v>59</v>
      </c>
      <c r="C3215">
        <v>22</v>
      </c>
      <c r="D3215">
        <v>1</v>
      </c>
    </row>
    <row r="3216" spans="1:4" hidden="1" x14ac:dyDescent="0.25">
      <c r="A3216" t="s">
        <v>20</v>
      </c>
      <c r="B3216">
        <v>59</v>
      </c>
      <c r="C3216">
        <v>23</v>
      </c>
    </row>
    <row r="3217" spans="1:4" hidden="1" x14ac:dyDescent="0.25">
      <c r="A3217" t="s">
        <v>20</v>
      </c>
      <c r="B3217">
        <v>59</v>
      </c>
      <c r="C3217">
        <v>24</v>
      </c>
    </row>
    <row r="3218" spans="1:4" hidden="1" x14ac:dyDescent="0.25">
      <c r="A3218" t="s">
        <v>20</v>
      </c>
      <c r="B3218">
        <v>59</v>
      </c>
      <c r="C3218">
        <v>25</v>
      </c>
    </row>
    <row r="3219" spans="1:4" hidden="1" x14ac:dyDescent="0.25">
      <c r="A3219" t="s">
        <v>20</v>
      </c>
      <c r="B3219">
        <v>59</v>
      </c>
      <c r="C3219">
        <v>26</v>
      </c>
    </row>
    <row r="3220" spans="1:4" hidden="1" x14ac:dyDescent="0.25">
      <c r="A3220" t="s">
        <v>20</v>
      </c>
      <c r="B3220">
        <v>59</v>
      </c>
      <c r="C3220">
        <v>27</v>
      </c>
    </row>
    <row r="3221" spans="1:4" hidden="1" x14ac:dyDescent="0.25">
      <c r="A3221" t="s">
        <v>20</v>
      </c>
      <c r="B3221">
        <v>59</v>
      </c>
      <c r="C3221">
        <v>28</v>
      </c>
    </row>
    <row r="3222" spans="1:4" hidden="1" x14ac:dyDescent="0.25">
      <c r="A3222" t="s">
        <v>20</v>
      </c>
      <c r="B3222">
        <v>59</v>
      </c>
      <c r="C3222">
        <v>29</v>
      </c>
    </row>
    <row r="3223" spans="1:4" hidden="1" x14ac:dyDescent="0.25">
      <c r="A3223" t="s">
        <v>20</v>
      </c>
      <c r="B3223">
        <v>59</v>
      </c>
      <c r="C3223">
        <v>30</v>
      </c>
    </row>
    <row r="3224" spans="1:4" hidden="1" x14ac:dyDescent="0.25">
      <c r="A3224" t="s">
        <v>20</v>
      </c>
      <c r="B3224">
        <v>59</v>
      </c>
      <c r="C3224">
        <v>31</v>
      </c>
    </row>
    <row r="3225" spans="1:4" hidden="1" x14ac:dyDescent="0.25">
      <c r="A3225" t="s">
        <v>20</v>
      </c>
      <c r="B3225">
        <v>59</v>
      </c>
      <c r="C3225">
        <v>32</v>
      </c>
    </row>
    <row r="3226" spans="1:4" hidden="1" x14ac:dyDescent="0.25">
      <c r="A3226" t="s">
        <v>20</v>
      </c>
      <c r="B3226">
        <v>59</v>
      </c>
      <c r="C3226">
        <v>33</v>
      </c>
    </row>
    <row r="3227" spans="1:4" hidden="1" x14ac:dyDescent="0.25">
      <c r="A3227" t="s">
        <v>20</v>
      </c>
      <c r="B3227">
        <v>59</v>
      </c>
      <c r="C3227">
        <v>34</v>
      </c>
    </row>
    <row r="3228" spans="1:4" hidden="1" x14ac:dyDescent="0.25">
      <c r="A3228" t="s">
        <v>20</v>
      </c>
      <c r="B3228">
        <v>59</v>
      </c>
      <c r="C3228">
        <v>35</v>
      </c>
    </row>
    <row r="3229" spans="1:4" hidden="1" x14ac:dyDescent="0.25">
      <c r="A3229" t="s">
        <v>20</v>
      </c>
      <c r="B3229">
        <v>59</v>
      </c>
      <c r="C3229">
        <v>36</v>
      </c>
    </row>
    <row r="3230" spans="1:4" hidden="1" x14ac:dyDescent="0.25">
      <c r="A3230" t="s">
        <v>20</v>
      </c>
      <c r="B3230">
        <v>59</v>
      </c>
      <c r="C3230">
        <v>37</v>
      </c>
    </row>
    <row r="3231" spans="1:4" hidden="1" x14ac:dyDescent="0.25">
      <c r="A3231" t="s">
        <v>20</v>
      </c>
      <c r="B3231">
        <v>59</v>
      </c>
      <c r="C3231">
        <v>38</v>
      </c>
      <c r="D3231">
        <v>1</v>
      </c>
    </row>
    <row r="3232" spans="1:4" hidden="1" x14ac:dyDescent="0.25">
      <c r="A3232" t="s">
        <v>20</v>
      </c>
      <c r="B3232">
        <v>59</v>
      </c>
      <c r="C3232">
        <v>39</v>
      </c>
    </row>
    <row r="3233" spans="1:4" hidden="1" x14ac:dyDescent="0.25">
      <c r="A3233" t="s">
        <v>20</v>
      </c>
      <c r="B3233">
        <v>59</v>
      </c>
      <c r="C3233">
        <v>40</v>
      </c>
    </row>
    <row r="3234" spans="1:4" hidden="1" x14ac:dyDescent="0.25">
      <c r="A3234" t="s">
        <v>20</v>
      </c>
      <c r="B3234">
        <v>59</v>
      </c>
      <c r="C3234">
        <v>41</v>
      </c>
      <c r="D3234">
        <v>1</v>
      </c>
    </row>
    <row r="3235" spans="1:4" hidden="1" x14ac:dyDescent="0.25">
      <c r="A3235" t="s">
        <v>20</v>
      </c>
      <c r="B3235">
        <v>59</v>
      </c>
      <c r="C3235">
        <v>42</v>
      </c>
    </row>
    <row r="3236" spans="1:4" hidden="1" x14ac:dyDescent="0.25">
      <c r="A3236" t="s">
        <v>20</v>
      </c>
      <c r="B3236">
        <v>59</v>
      </c>
      <c r="C3236">
        <v>43</v>
      </c>
      <c r="D3236">
        <v>1</v>
      </c>
    </row>
    <row r="3237" spans="1:4" hidden="1" x14ac:dyDescent="0.25">
      <c r="A3237" t="s">
        <v>20</v>
      </c>
      <c r="B3237">
        <v>59</v>
      </c>
      <c r="C3237">
        <v>44</v>
      </c>
    </row>
    <row r="3238" spans="1:4" hidden="1" x14ac:dyDescent="0.25">
      <c r="A3238" t="s">
        <v>20</v>
      </c>
      <c r="B3238">
        <v>59</v>
      </c>
      <c r="C3238">
        <v>45</v>
      </c>
    </row>
    <row r="3239" spans="1:4" hidden="1" x14ac:dyDescent="0.25">
      <c r="A3239" t="s">
        <v>20</v>
      </c>
      <c r="B3239">
        <v>59</v>
      </c>
      <c r="C3239">
        <v>46</v>
      </c>
    </row>
    <row r="3240" spans="1:4" hidden="1" x14ac:dyDescent="0.25">
      <c r="A3240" t="s">
        <v>20</v>
      </c>
      <c r="B3240">
        <v>59</v>
      </c>
      <c r="C3240">
        <v>47</v>
      </c>
    </row>
    <row r="3241" spans="1:4" hidden="1" x14ac:dyDescent="0.25">
      <c r="A3241" t="s">
        <v>20</v>
      </c>
      <c r="B3241">
        <v>59</v>
      </c>
      <c r="C3241">
        <v>48</v>
      </c>
    </row>
    <row r="3242" spans="1:4" hidden="1" x14ac:dyDescent="0.25">
      <c r="A3242" t="s">
        <v>20</v>
      </c>
      <c r="B3242">
        <v>59</v>
      </c>
      <c r="C3242">
        <v>49</v>
      </c>
    </row>
    <row r="3243" spans="1:4" hidden="1" x14ac:dyDescent="0.25">
      <c r="A3243" t="s">
        <v>20</v>
      </c>
      <c r="B3243">
        <v>59</v>
      </c>
      <c r="C3243">
        <v>50</v>
      </c>
    </row>
    <row r="3244" spans="1:4" hidden="1" x14ac:dyDescent="0.25">
      <c r="A3244" t="s">
        <v>20</v>
      </c>
      <c r="B3244">
        <v>59</v>
      </c>
      <c r="C3244">
        <v>51</v>
      </c>
    </row>
    <row r="3245" spans="1:4" hidden="1" x14ac:dyDescent="0.25">
      <c r="A3245" t="s">
        <v>20</v>
      </c>
      <c r="B3245">
        <v>59</v>
      </c>
      <c r="C3245">
        <v>52</v>
      </c>
      <c r="D3245">
        <v>1</v>
      </c>
    </row>
    <row r="3246" spans="1:4" hidden="1" x14ac:dyDescent="0.25">
      <c r="A3246" t="s">
        <v>20</v>
      </c>
      <c r="B3246">
        <v>59</v>
      </c>
      <c r="C3246">
        <v>53</v>
      </c>
    </row>
    <row r="3247" spans="1:4" hidden="1" x14ac:dyDescent="0.25">
      <c r="A3247" t="s">
        <v>20</v>
      </c>
      <c r="B3247">
        <v>59</v>
      </c>
      <c r="C3247">
        <v>54</v>
      </c>
    </row>
    <row r="3248" spans="1:4" hidden="1" x14ac:dyDescent="0.25">
      <c r="A3248" t="s">
        <v>20</v>
      </c>
      <c r="B3248">
        <v>59</v>
      </c>
      <c r="C3248">
        <v>55</v>
      </c>
      <c r="D3248">
        <v>1</v>
      </c>
    </row>
    <row r="3249" spans="1:4" hidden="1" x14ac:dyDescent="0.25">
      <c r="A3249" t="s">
        <v>20</v>
      </c>
      <c r="B3249">
        <v>59</v>
      </c>
      <c r="C3249">
        <v>56</v>
      </c>
    </row>
    <row r="3250" spans="1:4" hidden="1" x14ac:dyDescent="0.25">
      <c r="A3250" t="s">
        <v>20</v>
      </c>
      <c r="B3250">
        <v>59</v>
      </c>
      <c r="C3250">
        <v>57</v>
      </c>
    </row>
    <row r="3251" spans="1:4" hidden="1" x14ac:dyDescent="0.25">
      <c r="A3251" t="s">
        <v>20</v>
      </c>
      <c r="B3251">
        <v>59</v>
      </c>
      <c r="C3251">
        <v>58</v>
      </c>
      <c r="D3251">
        <v>1</v>
      </c>
    </row>
    <row r="3252" spans="1:4" hidden="1" x14ac:dyDescent="0.25">
      <c r="A3252" t="s">
        <v>20</v>
      </c>
      <c r="B3252">
        <v>59</v>
      </c>
      <c r="C3252">
        <v>59</v>
      </c>
    </row>
    <row r="3253" spans="1:4" hidden="1" x14ac:dyDescent="0.25">
      <c r="A3253" t="s">
        <v>20</v>
      </c>
      <c r="B3253">
        <v>59</v>
      </c>
      <c r="C3253">
        <v>60</v>
      </c>
    </row>
    <row r="3254" spans="1:4" hidden="1" x14ac:dyDescent="0.25">
      <c r="A3254" t="s">
        <v>20</v>
      </c>
      <c r="B3254">
        <v>59</v>
      </c>
      <c r="C3254">
        <v>61</v>
      </c>
      <c r="D3254">
        <v>1</v>
      </c>
    </row>
    <row r="3255" spans="1:4" hidden="1" x14ac:dyDescent="0.25">
      <c r="A3255" t="s">
        <v>20</v>
      </c>
      <c r="B3255">
        <v>59</v>
      </c>
      <c r="C3255">
        <v>62</v>
      </c>
    </row>
    <row r="3256" spans="1:4" hidden="1" x14ac:dyDescent="0.25">
      <c r="A3256" t="s">
        <v>20</v>
      </c>
      <c r="B3256">
        <v>59</v>
      </c>
      <c r="C3256">
        <v>63</v>
      </c>
    </row>
    <row r="3257" spans="1:4" hidden="1" x14ac:dyDescent="0.25">
      <c r="A3257" t="s">
        <v>20</v>
      </c>
      <c r="B3257">
        <v>59</v>
      </c>
      <c r="C3257">
        <v>64</v>
      </c>
      <c r="D3257">
        <v>1</v>
      </c>
    </row>
    <row r="3258" spans="1:4" hidden="1" x14ac:dyDescent="0.25">
      <c r="A3258" t="s">
        <v>20</v>
      </c>
      <c r="B3258">
        <v>59</v>
      </c>
      <c r="C3258">
        <v>65</v>
      </c>
    </row>
    <row r="3259" spans="1:4" hidden="1" x14ac:dyDescent="0.25">
      <c r="A3259" t="s">
        <v>20</v>
      </c>
      <c r="B3259">
        <v>59</v>
      </c>
      <c r="C3259">
        <v>66</v>
      </c>
    </row>
    <row r="3260" spans="1:4" hidden="1" x14ac:dyDescent="0.25">
      <c r="A3260" t="s">
        <v>20</v>
      </c>
      <c r="B3260">
        <v>59</v>
      </c>
      <c r="C3260">
        <v>67</v>
      </c>
    </row>
    <row r="3261" spans="1:4" hidden="1" x14ac:dyDescent="0.25">
      <c r="A3261" t="s">
        <v>20</v>
      </c>
      <c r="B3261">
        <v>59</v>
      </c>
      <c r="C3261">
        <v>68</v>
      </c>
    </row>
    <row r="3262" spans="1:4" hidden="1" x14ac:dyDescent="0.25">
      <c r="A3262" t="s">
        <v>20</v>
      </c>
      <c r="B3262">
        <v>59</v>
      </c>
      <c r="C3262">
        <v>69</v>
      </c>
    </row>
    <row r="3263" spans="1:4" hidden="1" x14ac:dyDescent="0.25">
      <c r="A3263" t="s">
        <v>20</v>
      </c>
      <c r="B3263">
        <v>59</v>
      </c>
      <c r="C3263">
        <v>70</v>
      </c>
    </row>
    <row r="3264" spans="1:4" hidden="1" x14ac:dyDescent="0.25">
      <c r="A3264" t="s">
        <v>20</v>
      </c>
      <c r="B3264">
        <v>59</v>
      </c>
      <c r="C3264">
        <v>71</v>
      </c>
    </row>
    <row r="3265" spans="1:4" hidden="1" x14ac:dyDescent="0.25">
      <c r="A3265" t="s">
        <v>20</v>
      </c>
      <c r="B3265">
        <v>59</v>
      </c>
      <c r="C3265">
        <v>72</v>
      </c>
    </row>
    <row r="3266" spans="1:4" hidden="1" x14ac:dyDescent="0.25">
      <c r="A3266" t="s">
        <v>20</v>
      </c>
      <c r="B3266">
        <v>59</v>
      </c>
      <c r="C3266">
        <v>73</v>
      </c>
    </row>
    <row r="3267" spans="1:4" hidden="1" x14ac:dyDescent="0.25">
      <c r="A3267" t="s">
        <v>20</v>
      </c>
      <c r="B3267">
        <v>59</v>
      </c>
      <c r="C3267">
        <v>74</v>
      </c>
      <c r="D3267">
        <v>1</v>
      </c>
    </row>
    <row r="3268" spans="1:4" hidden="1" x14ac:dyDescent="0.25">
      <c r="A3268" t="s">
        <v>20</v>
      </c>
      <c r="B3268">
        <v>59</v>
      </c>
      <c r="C3268">
        <v>75</v>
      </c>
    </row>
    <row r="3269" spans="1:4" hidden="1" x14ac:dyDescent="0.25">
      <c r="A3269" t="s">
        <v>20</v>
      </c>
      <c r="B3269">
        <v>59</v>
      </c>
      <c r="C3269">
        <v>76</v>
      </c>
    </row>
    <row r="3270" spans="1:4" hidden="1" x14ac:dyDescent="0.25">
      <c r="A3270" t="s">
        <v>20</v>
      </c>
      <c r="B3270">
        <v>59</v>
      </c>
      <c r="C3270">
        <v>77</v>
      </c>
    </row>
    <row r="3271" spans="1:4" hidden="1" x14ac:dyDescent="0.25">
      <c r="A3271" t="s">
        <v>20</v>
      </c>
      <c r="B3271">
        <v>59</v>
      </c>
      <c r="C3271">
        <v>78</v>
      </c>
    </row>
    <row r="3272" spans="1:4" hidden="1" x14ac:dyDescent="0.25">
      <c r="A3272" t="s">
        <v>20</v>
      </c>
      <c r="B3272">
        <v>59</v>
      </c>
      <c r="C3272">
        <v>79</v>
      </c>
    </row>
    <row r="3273" spans="1:4" hidden="1" x14ac:dyDescent="0.25">
      <c r="A3273" t="s">
        <v>20</v>
      </c>
      <c r="B3273">
        <v>59</v>
      </c>
      <c r="C3273">
        <v>80</v>
      </c>
      <c r="D3273">
        <v>1</v>
      </c>
    </row>
    <row r="3274" spans="1:4" hidden="1" x14ac:dyDescent="0.25">
      <c r="A3274" t="s">
        <v>20</v>
      </c>
      <c r="B3274">
        <v>59</v>
      </c>
      <c r="C3274">
        <v>81</v>
      </c>
    </row>
    <row r="3275" spans="1:4" hidden="1" x14ac:dyDescent="0.25">
      <c r="A3275" t="s">
        <v>20</v>
      </c>
      <c r="B3275">
        <v>59</v>
      </c>
      <c r="C3275">
        <v>82</v>
      </c>
    </row>
    <row r="3276" spans="1:4" hidden="1" x14ac:dyDescent="0.25">
      <c r="A3276" t="s">
        <v>20</v>
      </c>
      <c r="B3276">
        <v>59</v>
      </c>
      <c r="C3276">
        <v>83</v>
      </c>
      <c r="D3276">
        <v>1</v>
      </c>
    </row>
    <row r="3277" spans="1:4" hidden="1" x14ac:dyDescent="0.25">
      <c r="A3277" t="s">
        <v>20</v>
      </c>
      <c r="B3277">
        <v>59</v>
      </c>
      <c r="C3277">
        <v>84</v>
      </c>
    </row>
    <row r="3278" spans="1:4" hidden="1" x14ac:dyDescent="0.25">
      <c r="A3278" t="s">
        <v>20</v>
      </c>
      <c r="B3278">
        <v>60</v>
      </c>
      <c r="C3278">
        <v>1</v>
      </c>
    </row>
    <row r="3279" spans="1:4" hidden="1" x14ac:dyDescent="0.25">
      <c r="A3279" t="s">
        <v>20</v>
      </c>
      <c r="B3279">
        <v>60</v>
      </c>
      <c r="C3279">
        <v>2</v>
      </c>
    </row>
    <row r="3280" spans="1:4" hidden="1" x14ac:dyDescent="0.25">
      <c r="A3280" t="s">
        <v>20</v>
      </c>
      <c r="B3280">
        <v>60</v>
      </c>
      <c r="C3280">
        <v>3</v>
      </c>
    </row>
    <row r="3281" spans="1:3" hidden="1" x14ac:dyDescent="0.25">
      <c r="A3281" t="s">
        <v>20</v>
      </c>
      <c r="B3281">
        <v>60</v>
      </c>
      <c r="C3281">
        <v>4</v>
      </c>
    </row>
    <row r="3282" spans="1:3" hidden="1" x14ac:dyDescent="0.25">
      <c r="A3282" t="s">
        <v>20</v>
      </c>
      <c r="B3282">
        <v>60</v>
      </c>
      <c r="C3282">
        <v>5</v>
      </c>
    </row>
    <row r="3283" spans="1:3" hidden="1" x14ac:dyDescent="0.25">
      <c r="A3283" t="s">
        <v>20</v>
      </c>
      <c r="B3283">
        <v>60</v>
      </c>
      <c r="C3283">
        <v>6</v>
      </c>
    </row>
    <row r="3284" spans="1:3" hidden="1" x14ac:dyDescent="0.25">
      <c r="A3284" t="s">
        <v>20</v>
      </c>
      <c r="B3284">
        <v>60</v>
      </c>
      <c r="C3284">
        <v>7</v>
      </c>
    </row>
    <row r="3285" spans="1:3" hidden="1" x14ac:dyDescent="0.25">
      <c r="A3285" t="s">
        <v>20</v>
      </c>
      <c r="B3285">
        <v>60</v>
      </c>
      <c r="C3285">
        <v>8</v>
      </c>
    </row>
    <row r="3286" spans="1:3" hidden="1" x14ac:dyDescent="0.25">
      <c r="A3286" t="s">
        <v>20</v>
      </c>
      <c r="B3286">
        <v>60</v>
      </c>
      <c r="C3286">
        <v>9</v>
      </c>
    </row>
    <row r="3287" spans="1:3" hidden="1" x14ac:dyDescent="0.25">
      <c r="A3287" t="s">
        <v>20</v>
      </c>
      <c r="B3287">
        <v>60</v>
      </c>
      <c r="C3287">
        <v>10</v>
      </c>
    </row>
    <row r="3288" spans="1:3" hidden="1" x14ac:dyDescent="0.25">
      <c r="A3288" t="s">
        <v>20</v>
      </c>
      <c r="B3288">
        <v>60</v>
      </c>
      <c r="C3288">
        <v>11</v>
      </c>
    </row>
    <row r="3289" spans="1:3" hidden="1" x14ac:dyDescent="0.25">
      <c r="A3289" t="s">
        <v>20</v>
      </c>
      <c r="B3289">
        <v>60</v>
      </c>
      <c r="C3289">
        <v>12</v>
      </c>
    </row>
    <row r="3290" spans="1:3" hidden="1" x14ac:dyDescent="0.25">
      <c r="A3290" t="s">
        <v>20</v>
      </c>
      <c r="B3290">
        <v>60</v>
      </c>
      <c r="C3290">
        <v>13</v>
      </c>
    </row>
    <row r="3291" spans="1:3" hidden="1" x14ac:dyDescent="0.25">
      <c r="A3291" t="s">
        <v>20</v>
      </c>
      <c r="B3291">
        <v>60</v>
      </c>
      <c r="C3291">
        <v>14</v>
      </c>
    </row>
    <row r="3292" spans="1:3" hidden="1" x14ac:dyDescent="0.25">
      <c r="A3292" t="s">
        <v>20</v>
      </c>
      <c r="B3292">
        <v>60</v>
      </c>
      <c r="C3292">
        <v>15</v>
      </c>
    </row>
    <row r="3293" spans="1:3" hidden="1" x14ac:dyDescent="0.25">
      <c r="A3293" t="s">
        <v>20</v>
      </c>
      <c r="B3293">
        <v>60</v>
      </c>
      <c r="C3293">
        <v>16</v>
      </c>
    </row>
    <row r="3294" spans="1:3" hidden="1" x14ac:dyDescent="0.25">
      <c r="A3294" t="s">
        <v>20</v>
      </c>
      <c r="B3294">
        <v>60</v>
      </c>
      <c r="C3294">
        <v>17</v>
      </c>
    </row>
    <row r="3295" spans="1:3" hidden="1" x14ac:dyDescent="0.25">
      <c r="A3295" t="s">
        <v>20</v>
      </c>
      <c r="B3295">
        <v>60</v>
      </c>
      <c r="C3295">
        <v>18</v>
      </c>
    </row>
    <row r="3296" spans="1:3" hidden="1" x14ac:dyDescent="0.25">
      <c r="A3296" t="s">
        <v>20</v>
      </c>
      <c r="B3296">
        <v>60</v>
      </c>
      <c r="C3296">
        <v>19</v>
      </c>
    </row>
    <row r="3297" spans="1:3" hidden="1" x14ac:dyDescent="0.25">
      <c r="A3297" t="s">
        <v>20</v>
      </c>
      <c r="B3297">
        <v>60</v>
      </c>
      <c r="C3297">
        <v>20</v>
      </c>
    </row>
    <row r="3298" spans="1:3" hidden="1" x14ac:dyDescent="0.25">
      <c r="A3298" t="s">
        <v>20</v>
      </c>
      <c r="B3298">
        <v>60</v>
      </c>
      <c r="C3298">
        <v>21</v>
      </c>
    </row>
    <row r="3299" spans="1:3" hidden="1" x14ac:dyDescent="0.25">
      <c r="A3299" t="s">
        <v>20</v>
      </c>
      <c r="B3299">
        <v>60</v>
      </c>
      <c r="C3299">
        <v>22</v>
      </c>
    </row>
    <row r="3300" spans="1:3" hidden="1" x14ac:dyDescent="0.25">
      <c r="A3300" t="s">
        <v>20</v>
      </c>
      <c r="B3300">
        <v>60</v>
      </c>
      <c r="C3300">
        <v>23</v>
      </c>
    </row>
    <row r="3301" spans="1:3" hidden="1" x14ac:dyDescent="0.25">
      <c r="A3301" t="s">
        <v>20</v>
      </c>
      <c r="B3301">
        <v>60</v>
      </c>
      <c r="C3301">
        <v>24</v>
      </c>
    </row>
    <row r="3302" spans="1:3" hidden="1" x14ac:dyDescent="0.25">
      <c r="A3302" t="s">
        <v>20</v>
      </c>
      <c r="B3302">
        <v>60</v>
      </c>
      <c r="C3302">
        <v>25</v>
      </c>
    </row>
    <row r="3303" spans="1:3" hidden="1" x14ac:dyDescent="0.25">
      <c r="A3303" t="s">
        <v>20</v>
      </c>
      <c r="B3303">
        <v>60</v>
      </c>
      <c r="C3303">
        <v>26</v>
      </c>
    </row>
    <row r="3304" spans="1:3" hidden="1" x14ac:dyDescent="0.25">
      <c r="A3304" t="s">
        <v>20</v>
      </c>
      <c r="B3304">
        <v>60</v>
      </c>
      <c r="C3304">
        <v>27</v>
      </c>
    </row>
    <row r="3305" spans="1:3" hidden="1" x14ac:dyDescent="0.25">
      <c r="A3305" t="s">
        <v>20</v>
      </c>
      <c r="B3305">
        <v>60</v>
      </c>
      <c r="C3305">
        <v>28</v>
      </c>
    </row>
    <row r="3306" spans="1:3" hidden="1" x14ac:dyDescent="0.25">
      <c r="A3306" t="s">
        <v>20</v>
      </c>
      <c r="B3306">
        <v>60</v>
      </c>
      <c r="C3306">
        <v>29</v>
      </c>
    </row>
    <row r="3307" spans="1:3" hidden="1" x14ac:dyDescent="0.25">
      <c r="A3307" t="s">
        <v>20</v>
      </c>
      <c r="B3307">
        <v>60</v>
      </c>
      <c r="C3307">
        <v>30</v>
      </c>
    </row>
    <row r="3308" spans="1:3" hidden="1" x14ac:dyDescent="0.25">
      <c r="A3308" t="s">
        <v>20</v>
      </c>
      <c r="B3308">
        <v>60</v>
      </c>
      <c r="C3308">
        <v>31</v>
      </c>
    </row>
    <row r="3309" spans="1:3" hidden="1" x14ac:dyDescent="0.25">
      <c r="A3309" t="s">
        <v>20</v>
      </c>
      <c r="B3309">
        <v>60</v>
      </c>
      <c r="C3309">
        <v>32</v>
      </c>
    </row>
    <row r="3310" spans="1:3" hidden="1" x14ac:dyDescent="0.25">
      <c r="A3310" t="s">
        <v>20</v>
      </c>
      <c r="B3310">
        <v>60</v>
      </c>
      <c r="C3310">
        <v>33</v>
      </c>
    </row>
    <row r="3311" spans="1:3" hidden="1" x14ac:dyDescent="0.25">
      <c r="A3311" t="s">
        <v>20</v>
      </c>
      <c r="B3311">
        <v>60</v>
      </c>
      <c r="C3311">
        <v>34</v>
      </c>
    </row>
    <row r="3312" spans="1:3" hidden="1" x14ac:dyDescent="0.25">
      <c r="A3312" t="s">
        <v>20</v>
      </c>
      <c r="B3312">
        <v>60</v>
      </c>
      <c r="C3312">
        <v>35</v>
      </c>
    </row>
    <row r="3313" spans="1:3" hidden="1" x14ac:dyDescent="0.25">
      <c r="A3313" t="s">
        <v>20</v>
      </c>
      <c r="B3313">
        <v>60</v>
      </c>
      <c r="C3313">
        <v>36</v>
      </c>
    </row>
    <row r="3314" spans="1:3" hidden="1" x14ac:dyDescent="0.25">
      <c r="A3314" t="s">
        <v>20</v>
      </c>
      <c r="B3314">
        <v>60</v>
      </c>
      <c r="C3314">
        <v>37</v>
      </c>
    </row>
    <row r="3315" spans="1:3" hidden="1" x14ac:dyDescent="0.25">
      <c r="A3315" t="s">
        <v>20</v>
      </c>
      <c r="B3315">
        <v>60</v>
      </c>
      <c r="C3315">
        <v>38</v>
      </c>
    </row>
    <row r="3316" spans="1:3" hidden="1" x14ac:dyDescent="0.25">
      <c r="A3316" t="s">
        <v>20</v>
      </c>
      <c r="B3316">
        <v>60</v>
      </c>
      <c r="C3316">
        <v>39</v>
      </c>
    </row>
    <row r="3317" spans="1:3" hidden="1" x14ac:dyDescent="0.25">
      <c r="A3317" t="s">
        <v>20</v>
      </c>
      <c r="B3317">
        <v>60</v>
      </c>
      <c r="C3317">
        <v>40</v>
      </c>
    </row>
    <row r="3318" spans="1:3" hidden="1" x14ac:dyDescent="0.25">
      <c r="A3318" t="s">
        <v>20</v>
      </c>
      <c r="B3318">
        <v>60</v>
      </c>
      <c r="C3318">
        <v>41</v>
      </c>
    </row>
    <row r="3319" spans="1:3" hidden="1" x14ac:dyDescent="0.25">
      <c r="A3319" t="s">
        <v>20</v>
      </c>
      <c r="B3319">
        <v>60</v>
      </c>
      <c r="C3319">
        <v>42</v>
      </c>
    </row>
    <row r="3320" spans="1:3" hidden="1" x14ac:dyDescent="0.25">
      <c r="A3320" t="s">
        <v>20</v>
      </c>
      <c r="B3320">
        <v>60</v>
      </c>
      <c r="C3320">
        <v>43</v>
      </c>
    </row>
    <row r="3321" spans="1:3" hidden="1" x14ac:dyDescent="0.25">
      <c r="A3321" t="s">
        <v>20</v>
      </c>
      <c r="B3321">
        <v>60</v>
      </c>
      <c r="C3321">
        <v>44</v>
      </c>
    </row>
    <row r="3322" spans="1:3" hidden="1" x14ac:dyDescent="0.25">
      <c r="A3322" t="s">
        <v>20</v>
      </c>
      <c r="B3322">
        <v>60</v>
      </c>
      <c r="C3322">
        <v>45</v>
      </c>
    </row>
    <row r="3323" spans="1:3" hidden="1" x14ac:dyDescent="0.25">
      <c r="A3323" t="s">
        <v>20</v>
      </c>
      <c r="B3323">
        <v>60</v>
      </c>
      <c r="C3323">
        <v>46</v>
      </c>
    </row>
    <row r="3324" spans="1:3" hidden="1" x14ac:dyDescent="0.25">
      <c r="A3324" t="s">
        <v>20</v>
      </c>
      <c r="B3324">
        <v>60</v>
      </c>
      <c r="C3324">
        <v>47</v>
      </c>
    </row>
    <row r="3325" spans="1:3" hidden="1" x14ac:dyDescent="0.25">
      <c r="A3325" t="s">
        <v>20</v>
      </c>
      <c r="B3325">
        <v>60</v>
      </c>
      <c r="C3325">
        <v>48</v>
      </c>
    </row>
    <row r="3326" spans="1:3" hidden="1" x14ac:dyDescent="0.25">
      <c r="A3326" t="s">
        <v>20</v>
      </c>
      <c r="B3326">
        <v>60</v>
      </c>
      <c r="C3326">
        <v>49</v>
      </c>
    </row>
    <row r="3327" spans="1:3" hidden="1" x14ac:dyDescent="0.25">
      <c r="A3327" t="s">
        <v>20</v>
      </c>
      <c r="B3327">
        <v>60</v>
      </c>
      <c r="C3327">
        <v>50</v>
      </c>
    </row>
    <row r="3328" spans="1:3" hidden="1" x14ac:dyDescent="0.25">
      <c r="A3328" t="s">
        <v>20</v>
      </c>
      <c r="B3328">
        <v>60</v>
      </c>
      <c r="C3328">
        <v>51</v>
      </c>
    </row>
    <row r="3329" spans="1:3" hidden="1" x14ac:dyDescent="0.25">
      <c r="A3329" t="s">
        <v>20</v>
      </c>
      <c r="B3329">
        <v>60</v>
      </c>
      <c r="C3329">
        <v>52</v>
      </c>
    </row>
    <row r="3330" spans="1:3" hidden="1" x14ac:dyDescent="0.25">
      <c r="A3330" t="s">
        <v>20</v>
      </c>
      <c r="B3330">
        <v>60</v>
      </c>
      <c r="C3330">
        <v>53</v>
      </c>
    </row>
    <row r="3331" spans="1:3" hidden="1" x14ac:dyDescent="0.25">
      <c r="A3331" t="s">
        <v>20</v>
      </c>
      <c r="B3331">
        <v>60</v>
      </c>
      <c r="C3331">
        <v>54</v>
      </c>
    </row>
    <row r="3332" spans="1:3" hidden="1" x14ac:dyDescent="0.25">
      <c r="A3332" t="s">
        <v>20</v>
      </c>
      <c r="B3332">
        <v>60</v>
      </c>
      <c r="C3332">
        <v>55</v>
      </c>
    </row>
    <row r="3333" spans="1:3" hidden="1" x14ac:dyDescent="0.25">
      <c r="A3333" t="s">
        <v>20</v>
      </c>
      <c r="B3333">
        <v>60</v>
      </c>
      <c r="C3333">
        <v>56</v>
      </c>
    </row>
    <row r="3334" spans="1:3" hidden="1" x14ac:dyDescent="0.25">
      <c r="A3334" t="s">
        <v>20</v>
      </c>
      <c r="B3334">
        <v>60</v>
      </c>
      <c r="C3334">
        <v>57</v>
      </c>
    </row>
    <row r="3335" spans="1:3" hidden="1" x14ac:dyDescent="0.25">
      <c r="A3335" t="s">
        <v>20</v>
      </c>
      <c r="B3335">
        <v>60</v>
      </c>
      <c r="C3335">
        <v>58</v>
      </c>
    </row>
    <row r="3336" spans="1:3" hidden="1" x14ac:dyDescent="0.25">
      <c r="A3336" t="s">
        <v>20</v>
      </c>
      <c r="B3336">
        <v>60</v>
      </c>
      <c r="C3336">
        <v>59</v>
      </c>
    </row>
    <row r="3337" spans="1:3" hidden="1" x14ac:dyDescent="0.25">
      <c r="A3337" t="s">
        <v>20</v>
      </c>
      <c r="B3337">
        <v>60</v>
      </c>
      <c r="C3337">
        <v>60</v>
      </c>
    </row>
    <row r="3338" spans="1:3" hidden="1" x14ac:dyDescent="0.25">
      <c r="A3338" t="s">
        <v>20</v>
      </c>
      <c r="B3338">
        <v>60</v>
      </c>
      <c r="C3338">
        <v>61</v>
      </c>
    </row>
    <row r="3339" spans="1:3" hidden="1" x14ac:dyDescent="0.25">
      <c r="A3339" t="s">
        <v>20</v>
      </c>
      <c r="B3339">
        <v>60</v>
      </c>
      <c r="C3339">
        <v>62</v>
      </c>
    </row>
    <row r="3340" spans="1:3" hidden="1" x14ac:dyDescent="0.25">
      <c r="A3340" t="s">
        <v>20</v>
      </c>
      <c r="B3340">
        <v>60</v>
      </c>
      <c r="C3340">
        <v>63</v>
      </c>
    </row>
    <row r="3341" spans="1:3" hidden="1" x14ac:dyDescent="0.25">
      <c r="A3341" t="s">
        <v>20</v>
      </c>
      <c r="B3341">
        <v>60</v>
      </c>
      <c r="C3341">
        <v>64</v>
      </c>
    </row>
    <row r="3342" spans="1:3" hidden="1" x14ac:dyDescent="0.25">
      <c r="A3342" t="s">
        <v>20</v>
      </c>
      <c r="B3342">
        <v>60</v>
      </c>
      <c r="C3342">
        <v>65</v>
      </c>
    </row>
    <row r="3343" spans="1:3" hidden="1" x14ac:dyDescent="0.25">
      <c r="A3343" t="s">
        <v>20</v>
      </c>
      <c r="B3343">
        <v>60</v>
      </c>
      <c r="C3343">
        <v>66</v>
      </c>
    </row>
    <row r="3344" spans="1:3" hidden="1" x14ac:dyDescent="0.25">
      <c r="A3344" t="s">
        <v>20</v>
      </c>
      <c r="B3344">
        <v>60</v>
      </c>
      <c r="C3344">
        <v>67</v>
      </c>
    </row>
    <row r="3345" spans="1:3" hidden="1" x14ac:dyDescent="0.25">
      <c r="A3345" t="s">
        <v>20</v>
      </c>
      <c r="B3345">
        <v>60</v>
      </c>
      <c r="C3345">
        <v>68</v>
      </c>
    </row>
    <row r="3346" spans="1:3" hidden="1" x14ac:dyDescent="0.25">
      <c r="A3346" t="s">
        <v>20</v>
      </c>
      <c r="B3346">
        <v>60</v>
      </c>
      <c r="C3346">
        <v>69</v>
      </c>
    </row>
    <row r="3347" spans="1:3" hidden="1" x14ac:dyDescent="0.25">
      <c r="A3347" t="s">
        <v>20</v>
      </c>
      <c r="B3347">
        <v>60</v>
      </c>
      <c r="C3347">
        <v>70</v>
      </c>
    </row>
    <row r="3348" spans="1:3" hidden="1" x14ac:dyDescent="0.25">
      <c r="A3348" t="s">
        <v>20</v>
      </c>
      <c r="B3348">
        <v>60</v>
      </c>
      <c r="C3348">
        <v>71</v>
      </c>
    </row>
    <row r="3349" spans="1:3" hidden="1" x14ac:dyDescent="0.25">
      <c r="A3349" t="s">
        <v>20</v>
      </c>
      <c r="B3349">
        <v>60</v>
      </c>
      <c r="C3349">
        <v>72</v>
      </c>
    </row>
    <row r="3350" spans="1:3" hidden="1" x14ac:dyDescent="0.25">
      <c r="A3350" t="s">
        <v>20</v>
      </c>
      <c r="B3350">
        <v>60</v>
      </c>
      <c r="C3350">
        <v>73</v>
      </c>
    </row>
    <row r="3351" spans="1:3" hidden="1" x14ac:dyDescent="0.25">
      <c r="A3351" t="s">
        <v>20</v>
      </c>
      <c r="B3351">
        <v>60</v>
      </c>
      <c r="C3351">
        <v>74</v>
      </c>
    </row>
    <row r="3352" spans="1:3" hidden="1" x14ac:dyDescent="0.25">
      <c r="A3352" t="s">
        <v>20</v>
      </c>
      <c r="B3352">
        <v>60</v>
      </c>
      <c r="C3352">
        <v>75</v>
      </c>
    </row>
    <row r="3353" spans="1:3" hidden="1" x14ac:dyDescent="0.25">
      <c r="A3353" t="s">
        <v>20</v>
      </c>
      <c r="B3353">
        <v>60</v>
      </c>
      <c r="C3353">
        <v>76</v>
      </c>
    </row>
    <row r="3354" spans="1:3" hidden="1" x14ac:dyDescent="0.25">
      <c r="A3354" t="s">
        <v>20</v>
      </c>
      <c r="B3354">
        <v>60</v>
      </c>
      <c r="C3354">
        <v>77</v>
      </c>
    </row>
    <row r="3355" spans="1:3" hidden="1" x14ac:dyDescent="0.25">
      <c r="A3355" t="s">
        <v>20</v>
      </c>
      <c r="B3355">
        <v>60</v>
      </c>
      <c r="C3355">
        <v>78</v>
      </c>
    </row>
    <row r="3356" spans="1:3" hidden="1" x14ac:dyDescent="0.25">
      <c r="A3356" t="s">
        <v>20</v>
      </c>
      <c r="B3356">
        <v>60</v>
      </c>
      <c r="C3356">
        <v>79</v>
      </c>
    </row>
    <row r="3357" spans="1:3" hidden="1" x14ac:dyDescent="0.25">
      <c r="A3357" t="s">
        <v>20</v>
      </c>
      <c r="B3357">
        <v>60</v>
      </c>
      <c r="C3357">
        <v>80</v>
      </c>
    </row>
    <row r="3358" spans="1:3" hidden="1" x14ac:dyDescent="0.25">
      <c r="A3358" t="s">
        <v>20</v>
      </c>
      <c r="B3358">
        <v>60</v>
      </c>
      <c r="C3358">
        <v>81</v>
      </c>
    </row>
    <row r="3359" spans="1:3" hidden="1" x14ac:dyDescent="0.25">
      <c r="A3359" t="s">
        <v>20</v>
      </c>
      <c r="B3359">
        <v>60</v>
      </c>
      <c r="C3359">
        <v>82</v>
      </c>
    </row>
    <row r="3360" spans="1:3" hidden="1" x14ac:dyDescent="0.25">
      <c r="A3360" t="s">
        <v>20</v>
      </c>
      <c r="B3360">
        <v>60</v>
      </c>
      <c r="C3360">
        <v>83</v>
      </c>
    </row>
    <row r="3361" spans="1:4" hidden="1" x14ac:dyDescent="0.25">
      <c r="A3361" t="s">
        <v>20</v>
      </c>
      <c r="B3361">
        <v>60</v>
      </c>
      <c r="C3361">
        <v>84</v>
      </c>
    </row>
    <row r="3362" spans="1:4" hidden="1" x14ac:dyDescent="0.25">
      <c r="A3362" t="s">
        <v>20</v>
      </c>
      <c r="B3362">
        <v>63</v>
      </c>
      <c r="C3362">
        <v>1</v>
      </c>
    </row>
    <row r="3363" spans="1:4" hidden="1" x14ac:dyDescent="0.25">
      <c r="A3363" t="s">
        <v>20</v>
      </c>
      <c r="B3363">
        <v>63</v>
      </c>
      <c r="C3363">
        <v>2</v>
      </c>
      <c r="D3363">
        <v>1</v>
      </c>
    </row>
    <row r="3364" spans="1:4" hidden="1" x14ac:dyDescent="0.25">
      <c r="A3364" t="s">
        <v>20</v>
      </c>
      <c r="B3364">
        <v>63</v>
      </c>
      <c r="C3364">
        <v>3</v>
      </c>
    </row>
    <row r="3365" spans="1:4" hidden="1" x14ac:dyDescent="0.25">
      <c r="A3365" t="s">
        <v>20</v>
      </c>
      <c r="B3365">
        <v>63</v>
      </c>
      <c r="C3365">
        <v>4</v>
      </c>
    </row>
    <row r="3366" spans="1:4" hidden="1" x14ac:dyDescent="0.25">
      <c r="A3366" t="s">
        <v>20</v>
      </c>
      <c r="B3366">
        <v>63</v>
      </c>
      <c r="C3366">
        <v>5</v>
      </c>
      <c r="D3366">
        <v>1</v>
      </c>
    </row>
    <row r="3367" spans="1:4" hidden="1" x14ac:dyDescent="0.25">
      <c r="A3367" t="s">
        <v>20</v>
      </c>
      <c r="B3367">
        <v>63</v>
      </c>
      <c r="C3367">
        <v>6</v>
      </c>
    </row>
    <row r="3368" spans="1:4" hidden="1" x14ac:dyDescent="0.25">
      <c r="A3368" t="s">
        <v>20</v>
      </c>
      <c r="B3368">
        <v>63</v>
      </c>
      <c r="C3368">
        <v>7</v>
      </c>
    </row>
    <row r="3369" spans="1:4" hidden="1" x14ac:dyDescent="0.25">
      <c r="A3369" t="s">
        <v>20</v>
      </c>
      <c r="B3369">
        <v>63</v>
      </c>
      <c r="C3369">
        <v>8</v>
      </c>
      <c r="D3369">
        <v>1</v>
      </c>
    </row>
    <row r="3370" spans="1:4" hidden="1" x14ac:dyDescent="0.25">
      <c r="A3370" t="s">
        <v>20</v>
      </c>
      <c r="B3370">
        <v>63</v>
      </c>
      <c r="C3370">
        <v>9</v>
      </c>
    </row>
    <row r="3371" spans="1:4" hidden="1" x14ac:dyDescent="0.25">
      <c r="A3371" t="s">
        <v>20</v>
      </c>
      <c r="B3371">
        <v>63</v>
      </c>
      <c r="C3371">
        <v>10</v>
      </c>
    </row>
    <row r="3372" spans="1:4" hidden="1" x14ac:dyDescent="0.25">
      <c r="A3372" t="s">
        <v>20</v>
      </c>
      <c r="B3372">
        <v>63</v>
      </c>
      <c r="C3372">
        <v>11</v>
      </c>
      <c r="D3372">
        <v>1</v>
      </c>
    </row>
    <row r="3373" spans="1:4" hidden="1" x14ac:dyDescent="0.25">
      <c r="A3373" t="s">
        <v>20</v>
      </c>
      <c r="B3373">
        <v>63</v>
      </c>
      <c r="C3373">
        <v>12</v>
      </c>
    </row>
    <row r="3374" spans="1:4" hidden="1" x14ac:dyDescent="0.25">
      <c r="A3374" t="s">
        <v>20</v>
      </c>
      <c r="B3374">
        <v>63</v>
      </c>
      <c r="C3374">
        <v>13</v>
      </c>
    </row>
    <row r="3375" spans="1:4" hidden="1" x14ac:dyDescent="0.25">
      <c r="A3375" t="s">
        <v>20</v>
      </c>
      <c r="B3375">
        <v>63</v>
      </c>
      <c r="C3375">
        <v>14</v>
      </c>
    </row>
    <row r="3376" spans="1:4" hidden="1" x14ac:dyDescent="0.25">
      <c r="A3376" t="s">
        <v>20</v>
      </c>
      <c r="B3376">
        <v>63</v>
      </c>
      <c r="C3376">
        <v>15</v>
      </c>
    </row>
    <row r="3377" spans="1:4" hidden="1" x14ac:dyDescent="0.25">
      <c r="A3377" t="s">
        <v>20</v>
      </c>
      <c r="B3377">
        <v>63</v>
      </c>
      <c r="C3377">
        <v>16</v>
      </c>
    </row>
    <row r="3378" spans="1:4" hidden="1" x14ac:dyDescent="0.25">
      <c r="A3378" t="s">
        <v>20</v>
      </c>
      <c r="B3378">
        <v>63</v>
      </c>
      <c r="C3378">
        <v>17</v>
      </c>
    </row>
    <row r="3379" spans="1:4" hidden="1" x14ac:dyDescent="0.25">
      <c r="A3379" t="s">
        <v>20</v>
      </c>
      <c r="B3379">
        <v>63</v>
      </c>
      <c r="C3379">
        <v>18</v>
      </c>
    </row>
    <row r="3380" spans="1:4" hidden="1" x14ac:dyDescent="0.25">
      <c r="A3380" t="s">
        <v>20</v>
      </c>
      <c r="B3380">
        <v>63</v>
      </c>
      <c r="C3380">
        <v>19</v>
      </c>
    </row>
    <row r="3381" spans="1:4" hidden="1" x14ac:dyDescent="0.25">
      <c r="A3381" t="s">
        <v>20</v>
      </c>
      <c r="B3381">
        <v>63</v>
      </c>
      <c r="C3381">
        <v>20</v>
      </c>
      <c r="D3381">
        <v>1</v>
      </c>
    </row>
    <row r="3382" spans="1:4" hidden="1" x14ac:dyDescent="0.25">
      <c r="A3382" t="s">
        <v>20</v>
      </c>
      <c r="B3382">
        <v>63</v>
      </c>
      <c r="C3382">
        <v>21</v>
      </c>
    </row>
    <row r="3383" spans="1:4" hidden="1" x14ac:dyDescent="0.25">
      <c r="A3383" t="s">
        <v>20</v>
      </c>
      <c r="B3383">
        <v>63</v>
      </c>
      <c r="C3383">
        <v>22</v>
      </c>
    </row>
    <row r="3384" spans="1:4" hidden="1" x14ac:dyDescent="0.25">
      <c r="A3384" t="s">
        <v>20</v>
      </c>
      <c r="B3384">
        <v>63</v>
      </c>
      <c r="C3384">
        <v>23</v>
      </c>
      <c r="D3384">
        <v>1</v>
      </c>
    </row>
    <row r="3385" spans="1:4" hidden="1" x14ac:dyDescent="0.25">
      <c r="A3385" t="s">
        <v>20</v>
      </c>
      <c r="B3385">
        <v>63</v>
      </c>
      <c r="C3385">
        <v>24</v>
      </c>
    </row>
    <row r="3386" spans="1:4" hidden="1" x14ac:dyDescent="0.25">
      <c r="A3386" t="s">
        <v>20</v>
      </c>
      <c r="B3386">
        <v>63</v>
      </c>
      <c r="C3386">
        <v>25</v>
      </c>
    </row>
    <row r="3387" spans="1:4" hidden="1" x14ac:dyDescent="0.25">
      <c r="A3387" t="s">
        <v>20</v>
      </c>
      <c r="B3387">
        <v>63</v>
      </c>
      <c r="C3387">
        <v>26</v>
      </c>
      <c r="D3387">
        <v>1</v>
      </c>
    </row>
    <row r="3388" spans="1:4" hidden="1" x14ac:dyDescent="0.25">
      <c r="A3388" t="s">
        <v>20</v>
      </c>
      <c r="B3388">
        <v>63</v>
      </c>
      <c r="C3388">
        <v>27</v>
      </c>
    </row>
    <row r="3389" spans="1:4" hidden="1" x14ac:dyDescent="0.25">
      <c r="A3389" t="s">
        <v>20</v>
      </c>
      <c r="B3389">
        <v>63</v>
      </c>
      <c r="C3389">
        <v>28</v>
      </c>
    </row>
    <row r="3390" spans="1:4" hidden="1" x14ac:dyDescent="0.25">
      <c r="A3390" t="s">
        <v>20</v>
      </c>
      <c r="B3390">
        <v>63</v>
      </c>
      <c r="C3390">
        <v>29</v>
      </c>
    </row>
    <row r="3391" spans="1:4" hidden="1" x14ac:dyDescent="0.25">
      <c r="A3391" t="s">
        <v>20</v>
      </c>
      <c r="B3391">
        <v>63</v>
      </c>
      <c r="C3391">
        <v>30</v>
      </c>
    </row>
    <row r="3392" spans="1:4" hidden="1" x14ac:dyDescent="0.25">
      <c r="A3392" t="s">
        <v>20</v>
      </c>
      <c r="B3392">
        <v>63</v>
      </c>
      <c r="C3392">
        <v>31</v>
      </c>
    </row>
    <row r="3393" spans="1:4" hidden="1" x14ac:dyDescent="0.25">
      <c r="A3393" t="s">
        <v>20</v>
      </c>
      <c r="B3393">
        <v>63</v>
      </c>
      <c r="C3393">
        <v>32</v>
      </c>
      <c r="D3393">
        <v>1</v>
      </c>
    </row>
    <row r="3394" spans="1:4" hidden="1" x14ac:dyDescent="0.25">
      <c r="A3394" t="s">
        <v>20</v>
      </c>
      <c r="B3394">
        <v>63</v>
      </c>
      <c r="C3394">
        <v>33</v>
      </c>
    </row>
    <row r="3395" spans="1:4" hidden="1" x14ac:dyDescent="0.25">
      <c r="A3395" t="s">
        <v>20</v>
      </c>
      <c r="B3395">
        <v>63</v>
      </c>
      <c r="C3395">
        <v>34</v>
      </c>
    </row>
    <row r="3396" spans="1:4" hidden="1" x14ac:dyDescent="0.25">
      <c r="A3396" t="s">
        <v>20</v>
      </c>
      <c r="B3396">
        <v>63</v>
      </c>
      <c r="C3396">
        <v>35</v>
      </c>
    </row>
    <row r="3397" spans="1:4" hidden="1" x14ac:dyDescent="0.25">
      <c r="A3397" t="s">
        <v>20</v>
      </c>
      <c r="B3397">
        <v>63</v>
      </c>
      <c r="C3397">
        <v>36</v>
      </c>
    </row>
    <row r="3398" spans="1:4" hidden="1" x14ac:dyDescent="0.25">
      <c r="A3398" t="s">
        <v>20</v>
      </c>
      <c r="B3398">
        <v>63</v>
      </c>
      <c r="C3398">
        <v>37</v>
      </c>
    </row>
    <row r="3399" spans="1:4" hidden="1" x14ac:dyDescent="0.25">
      <c r="A3399" t="s">
        <v>20</v>
      </c>
      <c r="B3399">
        <v>63</v>
      </c>
      <c r="C3399">
        <v>38</v>
      </c>
    </row>
    <row r="3400" spans="1:4" hidden="1" x14ac:dyDescent="0.25">
      <c r="A3400" t="s">
        <v>20</v>
      </c>
      <c r="B3400">
        <v>63</v>
      </c>
      <c r="C3400">
        <v>39</v>
      </c>
    </row>
    <row r="3401" spans="1:4" hidden="1" x14ac:dyDescent="0.25">
      <c r="A3401" t="s">
        <v>20</v>
      </c>
      <c r="B3401">
        <v>63</v>
      </c>
      <c r="C3401">
        <v>40</v>
      </c>
    </row>
    <row r="3402" spans="1:4" hidden="1" x14ac:dyDescent="0.25">
      <c r="A3402" t="s">
        <v>20</v>
      </c>
      <c r="B3402">
        <v>63</v>
      </c>
      <c r="C3402">
        <v>41</v>
      </c>
      <c r="D3402">
        <v>1</v>
      </c>
    </row>
    <row r="3403" spans="1:4" hidden="1" x14ac:dyDescent="0.25">
      <c r="A3403" t="s">
        <v>20</v>
      </c>
      <c r="B3403">
        <v>63</v>
      </c>
      <c r="C3403">
        <v>42</v>
      </c>
    </row>
    <row r="3404" spans="1:4" hidden="1" x14ac:dyDescent="0.25">
      <c r="A3404" t="s">
        <v>20</v>
      </c>
      <c r="B3404">
        <v>63</v>
      </c>
      <c r="C3404">
        <v>43</v>
      </c>
    </row>
    <row r="3405" spans="1:4" hidden="1" x14ac:dyDescent="0.25">
      <c r="A3405" t="s">
        <v>20</v>
      </c>
      <c r="B3405">
        <v>63</v>
      </c>
      <c r="C3405">
        <v>44</v>
      </c>
      <c r="D3405">
        <v>1</v>
      </c>
    </row>
    <row r="3406" spans="1:4" hidden="1" x14ac:dyDescent="0.25">
      <c r="A3406" t="s">
        <v>20</v>
      </c>
      <c r="B3406">
        <v>63</v>
      </c>
      <c r="C3406">
        <v>45</v>
      </c>
    </row>
    <row r="3407" spans="1:4" hidden="1" x14ac:dyDescent="0.25">
      <c r="A3407" t="s">
        <v>20</v>
      </c>
      <c r="B3407">
        <v>63</v>
      </c>
      <c r="C3407">
        <v>46</v>
      </c>
    </row>
    <row r="3408" spans="1:4" hidden="1" x14ac:dyDescent="0.25">
      <c r="A3408" t="s">
        <v>20</v>
      </c>
      <c r="B3408">
        <v>63</v>
      </c>
      <c r="C3408">
        <v>47</v>
      </c>
      <c r="D3408">
        <v>1</v>
      </c>
    </row>
    <row r="3409" spans="1:4" hidden="1" x14ac:dyDescent="0.25">
      <c r="A3409" t="s">
        <v>20</v>
      </c>
      <c r="B3409">
        <v>63</v>
      </c>
      <c r="C3409">
        <v>48</v>
      </c>
    </row>
    <row r="3410" spans="1:4" hidden="1" x14ac:dyDescent="0.25">
      <c r="A3410" t="s">
        <v>20</v>
      </c>
      <c r="B3410">
        <v>63</v>
      </c>
      <c r="C3410">
        <v>49</v>
      </c>
    </row>
    <row r="3411" spans="1:4" hidden="1" x14ac:dyDescent="0.25">
      <c r="A3411" t="s">
        <v>20</v>
      </c>
      <c r="B3411">
        <v>63</v>
      </c>
      <c r="C3411">
        <v>50</v>
      </c>
      <c r="D3411">
        <v>1</v>
      </c>
    </row>
    <row r="3412" spans="1:4" hidden="1" x14ac:dyDescent="0.25">
      <c r="A3412" t="s">
        <v>20</v>
      </c>
      <c r="B3412">
        <v>63</v>
      </c>
      <c r="C3412">
        <v>51</v>
      </c>
    </row>
    <row r="3413" spans="1:4" hidden="1" x14ac:dyDescent="0.25">
      <c r="A3413" t="s">
        <v>20</v>
      </c>
      <c r="B3413">
        <v>63</v>
      </c>
      <c r="C3413">
        <v>52</v>
      </c>
    </row>
    <row r="3414" spans="1:4" hidden="1" x14ac:dyDescent="0.25">
      <c r="A3414" t="s">
        <v>20</v>
      </c>
      <c r="B3414">
        <v>63</v>
      </c>
      <c r="C3414">
        <v>53</v>
      </c>
      <c r="D3414">
        <v>1</v>
      </c>
    </row>
    <row r="3415" spans="1:4" hidden="1" x14ac:dyDescent="0.25">
      <c r="A3415" t="s">
        <v>20</v>
      </c>
      <c r="B3415">
        <v>63</v>
      </c>
      <c r="C3415">
        <v>54</v>
      </c>
    </row>
    <row r="3416" spans="1:4" hidden="1" x14ac:dyDescent="0.25">
      <c r="A3416" t="s">
        <v>20</v>
      </c>
      <c r="B3416">
        <v>63</v>
      </c>
      <c r="C3416">
        <v>55</v>
      </c>
    </row>
    <row r="3417" spans="1:4" hidden="1" x14ac:dyDescent="0.25">
      <c r="A3417" t="s">
        <v>20</v>
      </c>
      <c r="B3417">
        <v>63</v>
      </c>
      <c r="C3417">
        <v>56</v>
      </c>
      <c r="D3417">
        <v>1</v>
      </c>
    </row>
    <row r="3418" spans="1:4" hidden="1" x14ac:dyDescent="0.25">
      <c r="A3418" t="s">
        <v>20</v>
      </c>
      <c r="B3418">
        <v>63</v>
      </c>
      <c r="C3418">
        <v>57</v>
      </c>
    </row>
    <row r="3419" spans="1:4" hidden="1" x14ac:dyDescent="0.25">
      <c r="A3419" t="s">
        <v>20</v>
      </c>
      <c r="B3419">
        <v>63</v>
      </c>
      <c r="C3419">
        <v>58</v>
      </c>
    </row>
    <row r="3420" spans="1:4" hidden="1" x14ac:dyDescent="0.25">
      <c r="A3420" t="s">
        <v>20</v>
      </c>
      <c r="B3420">
        <v>63</v>
      </c>
      <c r="C3420">
        <v>59</v>
      </c>
    </row>
    <row r="3421" spans="1:4" hidden="1" x14ac:dyDescent="0.25">
      <c r="A3421" t="s">
        <v>20</v>
      </c>
      <c r="B3421">
        <v>63</v>
      </c>
      <c r="C3421">
        <v>60</v>
      </c>
    </row>
    <row r="3422" spans="1:4" hidden="1" x14ac:dyDescent="0.25">
      <c r="A3422" t="s">
        <v>20</v>
      </c>
      <c r="B3422">
        <v>63</v>
      </c>
      <c r="C3422">
        <v>61</v>
      </c>
    </row>
    <row r="3423" spans="1:4" hidden="1" x14ac:dyDescent="0.25">
      <c r="A3423" t="s">
        <v>20</v>
      </c>
      <c r="B3423">
        <v>63</v>
      </c>
      <c r="C3423">
        <v>62</v>
      </c>
      <c r="D3423">
        <v>1</v>
      </c>
    </row>
    <row r="3424" spans="1:4" hidden="1" x14ac:dyDescent="0.25">
      <c r="A3424" t="s">
        <v>20</v>
      </c>
      <c r="B3424">
        <v>63</v>
      </c>
      <c r="C3424">
        <v>63</v>
      </c>
    </row>
    <row r="3425" spans="1:4" hidden="1" x14ac:dyDescent="0.25">
      <c r="A3425" t="s">
        <v>20</v>
      </c>
      <c r="B3425">
        <v>63</v>
      </c>
      <c r="C3425">
        <v>64</v>
      </c>
    </row>
    <row r="3426" spans="1:4" hidden="1" x14ac:dyDescent="0.25">
      <c r="A3426" t="s">
        <v>20</v>
      </c>
      <c r="B3426">
        <v>63</v>
      </c>
      <c r="C3426">
        <v>65</v>
      </c>
      <c r="D3426">
        <v>1</v>
      </c>
    </row>
    <row r="3427" spans="1:4" hidden="1" x14ac:dyDescent="0.25">
      <c r="A3427" t="s">
        <v>20</v>
      </c>
      <c r="B3427">
        <v>63</v>
      </c>
      <c r="C3427">
        <v>66</v>
      </c>
    </row>
    <row r="3428" spans="1:4" hidden="1" x14ac:dyDescent="0.25">
      <c r="A3428" t="s">
        <v>20</v>
      </c>
      <c r="B3428">
        <v>63</v>
      </c>
      <c r="C3428">
        <v>67</v>
      </c>
    </row>
    <row r="3429" spans="1:4" hidden="1" x14ac:dyDescent="0.25">
      <c r="A3429" t="s">
        <v>20</v>
      </c>
      <c r="B3429">
        <v>63</v>
      </c>
      <c r="C3429">
        <v>68</v>
      </c>
      <c r="D3429">
        <v>1</v>
      </c>
    </row>
    <row r="3430" spans="1:4" hidden="1" x14ac:dyDescent="0.25">
      <c r="A3430" t="s">
        <v>20</v>
      </c>
      <c r="B3430">
        <v>63</v>
      </c>
      <c r="C3430">
        <v>69</v>
      </c>
    </row>
    <row r="3431" spans="1:4" hidden="1" x14ac:dyDescent="0.25">
      <c r="A3431" t="s">
        <v>20</v>
      </c>
      <c r="B3431">
        <v>63</v>
      </c>
      <c r="C3431">
        <v>70</v>
      </c>
    </row>
    <row r="3432" spans="1:4" hidden="1" x14ac:dyDescent="0.25">
      <c r="A3432" t="s">
        <v>20</v>
      </c>
      <c r="B3432">
        <v>63</v>
      </c>
      <c r="C3432">
        <v>71</v>
      </c>
      <c r="D3432">
        <v>1</v>
      </c>
    </row>
    <row r="3433" spans="1:4" hidden="1" x14ac:dyDescent="0.25">
      <c r="A3433" t="s">
        <v>20</v>
      </c>
      <c r="B3433">
        <v>63</v>
      </c>
      <c r="C3433">
        <v>72</v>
      </c>
    </row>
    <row r="3434" spans="1:4" hidden="1" x14ac:dyDescent="0.25">
      <c r="A3434" t="s">
        <v>20</v>
      </c>
      <c r="B3434">
        <v>63</v>
      </c>
      <c r="C3434">
        <v>73</v>
      </c>
    </row>
    <row r="3435" spans="1:4" hidden="1" x14ac:dyDescent="0.25">
      <c r="A3435" t="s">
        <v>20</v>
      </c>
      <c r="B3435">
        <v>63</v>
      </c>
      <c r="C3435">
        <v>74</v>
      </c>
      <c r="D3435">
        <v>1</v>
      </c>
    </row>
    <row r="3436" spans="1:4" hidden="1" x14ac:dyDescent="0.25">
      <c r="A3436" t="s">
        <v>20</v>
      </c>
      <c r="B3436">
        <v>63</v>
      </c>
      <c r="C3436">
        <v>75</v>
      </c>
    </row>
    <row r="3437" spans="1:4" hidden="1" x14ac:dyDescent="0.25">
      <c r="A3437" t="s">
        <v>20</v>
      </c>
      <c r="B3437">
        <v>63</v>
      </c>
      <c r="C3437">
        <v>76</v>
      </c>
    </row>
    <row r="3438" spans="1:4" hidden="1" x14ac:dyDescent="0.25">
      <c r="A3438" t="s">
        <v>20</v>
      </c>
      <c r="B3438">
        <v>63</v>
      </c>
      <c r="C3438">
        <v>77</v>
      </c>
      <c r="D3438">
        <v>1</v>
      </c>
    </row>
    <row r="3439" spans="1:4" hidden="1" x14ac:dyDescent="0.25">
      <c r="A3439" t="s">
        <v>20</v>
      </c>
      <c r="B3439">
        <v>63</v>
      </c>
      <c r="C3439">
        <v>78</v>
      </c>
    </row>
    <row r="3440" spans="1:4" hidden="1" x14ac:dyDescent="0.25">
      <c r="A3440" t="s">
        <v>20</v>
      </c>
      <c r="B3440">
        <v>63</v>
      </c>
      <c r="C3440">
        <v>79</v>
      </c>
    </row>
    <row r="3441" spans="1:4" hidden="1" x14ac:dyDescent="0.25">
      <c r="A3441" t="s">
        <v>20</v>
      </c>
      <c r="B3441">
        <v>63</v>
      </c>
      <c r="C3441">
        <v>80</v>
      </c>
    </row>
    <row r="3442" spans="1:4" hidden="1" x14ac:dyDescent="0.25">
      <c r="A3442" t="s">
        <v>20</v>
      </c>
      <c r="B3442">
        <v>63</v>
      </c>
      <c r="C3442">
        <v>81</v>
      </c>
    </row>
    <row r="3443" spans="1:4" hidden="1" x14ac:dyDescent="0.25">
      <c r="A3443" t="s">
        <v>20</v>
      </c>
      <c r="B3443">
        <v>63</v>
      </c>
      <c r="C3443">
        <v>82</v>
      </c>
    </row>
    <row r="3444" spans="1:4" hidden="1" x14ac:dyDescent="0.25">
      <c r="A3444" t="s">
        <v>20</v>
      </c>
      <c r="B3444">
        <v>63</v>
      </c>
      <c r="C3444">
        <v>83</v>
      </c>
    </row>
    <row r="3445" spans="1:4" hidden="1" x14ac:dyDescent="0.25">
      <c r="A3445" t="s">
        <v>20</v>
      </c>
      <c r="B3445">
        <v>63</v>
      </c>
      <c r="C3445">
        <v>84</v>
      </c>
    </row>
    <row r="3446" spans="1:4" hidden="1" x14ac:dyDescent="0.25">
      <c r="A3446" t="s">
        <v>20</v>
      </c>
      <c r="B3446">
        <v>65</v>
      </c>
      <c r="C3446">
        <v>1</v>
      </c>
    </row>
    <row r="3447" spans="1:4" hidden="1" x14ac:dyDescent="0.25">
      <c r="A3447" t="s">
        <v>20</v>
      </c>
      <c r="B3447">
        <v>65</v>
      </c>
      <c r="C3447">
        <v>2</v>
      </c>
      <c r="D3447">
        <v>1</v>
      </c>
    </row>
    <row r="3448" spans="1:4" hidden="1" x14ac:dyDescent="0.25">
      <c r="A3448" t="s">
        <v>20</v>
      </c>
      <c r="B3448">
        <v>65</v>
      </c>
      <c r="C3448">
        <v>3</v>
      </c>
    </row>
    <row r="3449" spans="1:4" hidden="1" x14ac:dyDescent="0.25">
      <c r="A3449" t="s">
        <v>20</v>
      </c>
      <c r="B3449">
        <v>65</v>
      </c>
      <c r="C3449">
        <v>4</v>
      </c>
    </row>
    <row r="3450" spans="1:4" hidden="1" x14ac:dyDescent="0.25">
      <c r="A3450" t="s">
        <v>20</v>
      </c>
      <c r="B3450">
        <v>65</v>
      </c>
      <c r="C3450">
        <v>5</v>
      </c>
      <c r="D3450">
        <v>1</v>
      </c>
    </row>
    <row r="3451" spans="1:4" hidden="1" x14ac:dyDescent="0.25">
      <c r="A3451" t="s">
        <v>20</v>
      </c>
      <c r="B3451">
        <v>65</v>
      </c>
      <c r="C3451">
        <v>6</v>
      </c>
    </row>
    <row r="3452" spans="1:4" hidden="1" x14ac:dyDescent="0.25">
      <c r="A3452" t="s">
        <v>20</v>
      </c>
      <c r="B3452">
        <v>65</v>
      </c>
      <c r="C3452">
        <v>7</v>
      </c>
    </row>
    <row r="3453" spans="1:4" hidden="1" x14ac:dyDescent="0.25">
      <c r="A3453" t="s">
        <v>20</v>
      </c>
      <c r="B3453">
        <v>65</v>
      </c>
      <c r="C3453">
        <v>8</v>
      </c>
      <c r="D3453">
        <v>1</v>
      </c>
    </row>
    <row r="3454" spans="1:4" hidden="1" x14ac:dyDescent="0.25">
      <c r="A3454" t="s">
        <v>20</v>
      </c>
      <c r="B3454">
        <v>65</v>
      </c>
      <c r="C3454">
        <v>9</v>
      </c>
    </row>
    <row r="3455" spans="1:4" hidden="1" x14ac:dyDescent="0.25">
      <c r="A3455" t="s">
        <v>20</v>
      </c>
      <c r="B3455">
        <v>65</v>
      </c>
      <c r="C3455">
        <v>10</v>
      </c>
    </row>
    <row r="3456" spans="1:4" hidden="1" x14ac:dyDescent="0.25">
      <c r="A3456" t="s">
        <v>20</v>
      </c>
      <c r="B3456">
        <v>65</v>
      </c>
      <c r="C3456">
        <v>11</v>
      </c>
      <c r="D3456">
        <v>1</v>
      </c>
    </row>
    <row r="3457" spans="1:4" hidden="1" x14ac:dyDescent="0.25">
      <c r="A3457" t="s">
        <v>20</v>
      </c>
      <c r="B3457">
        <v>65</v>
      </c>
      <c r="C3457">
        <v>12</v>
      </c>
    </row>
    <row r="3458" spans="1:4" hidden="1" x14ac:dyDescent="0.25">
      <c r="A3458" t="s">
        <v>20</v>
      </c>
      <c r="B3458">
        <v>65</v>
      </c>
      <c r="C3458">
        <v>13</v>
      </c>
      <c r="D3458">
        <v>1</v>
      </c>
    </row>
    <row r="3459" spans="1:4" hidden="1" x14ac:dyDescent="0.25">
      <c r="A3459" t="s">
        <v>20</v>
      </c>
      <c r="B3459">
        <v>65</v>
      </c>
      <c r="C3459">
        <v>14</v>
      </c>
    </row>
    <row r="3460" spans="1:4" hidden="1" x14ac:dyDescent="0.25">
      <c r="A3460" t="s">
        <v>20</v>
      </c>
      <c r="B3460">
        <v>65</v>
      </c>
      <c r="C3460">
        <v>15</v>
      </c>
    </row>
    <row r="3461" spans="1:4" hidden="1" x14ac:dyDescent="0.25">
      <c r="A3461" t="s">
        <v>20</v>
      </c>
      <c r="B3461">
        <v>65</v>
      </c>
      <c r="C3461">
        <v>16</v>
      </c>
      <c r="D3461">
        <v>1</v>
      </c>
    </row>
    <row r="3462" spans="1:4" hidden="1" x14ac:dyDescent="0.25">
      <c r="A3462" t="s">
        <v>20</v>
      </c>
      <c r="B3462">
        <v>65</v>
      </c>
      <c r="C3462">
        <v>17</v>
      </c>
    </row>
    <row r="3463" spans="1:4" hidden="1" x14ac:dyDescent="0.25">
      <c r="A3463" t="s">
        <v>20</v>
      </c>
      <c r="B3463">
        <v>65</v>
      </c>
      <c r="C3463">
        <v>18</v>
      </c>
    </row>
    <row r="3464" spans="1:4" hidden="1" x14ac:dyDescent="0.25">
      <c r="A3464" t="s">
        <v>20</v>
      </c>
      <c r="B3464">
        <v>65</v>
      </c>
      <c r="C3464">
        <v>19</v>
      </c>
    </row>
    <row r="3465" spans="1:4" hidden="1" x14ac:dyDescent="0.25">
      <c r="A3465" t="s">
        <v>20</v>
      </c>
      <c r="B3465">
        <v>65</v>
      </c>
      <c r="C3465">
        <v>20</v>
      </c>
    </row>
    <row r="3466" spans="1:4" hidden="1" x14ac:dyDescent="0.25">
      <c r="A3466" t="s">
        <v>20</v>
      </c>
      <c r="B3466">
        <v>65</v>
      </c>
      <c r="C3466">
        <v>21</v>
      </c>
    </row>
    <row r="3467" spans="1:4" hidden="1" x14ac:dyDescent="0.25">
      <c r="A3467" t="s">
        <v>20</v>
      </c>
      <c r="B3467">
        <v>65</v>
      </c>
      <c r="C3467">
        <v>22</v>
      </c>
    </row>
    <row r="3468" spans="1:4" hidden="1" x14ac:dyDescent="0.25">
      <c r="A3468" t="s">
        <v>20</v>
      </c>
      <c r="B3468">
        <v>65</v>
      </c>
      <c r="C3468">
        <v>23</v>
      </c>
      <c r="D3468">
        <v>1</v>
      </c>
    </row>
    <row r="3469" spans="1:4" hidden="1" x14ac:dyDescent="0.25">
      <c r="A3469" t="s">
        <v>20</v>
      </c>
      <c r="B3469">
        <v>65</v>
      </c>
      <c r="C3469">
        <v>24</v>
      </c>
    </row>
    <row r="3470" spans="1:4" hidden="1" x14ac:dyDescent="0.25">
      <c r="A3470" t="s">
        <v>20</v>
      </c>
      <c r="B3470">
        <v>65</v>
      </c>
      <c r="C3470">
        <v>25</v>
      </c>
    </row>
    <row r="3471" spans="1:4" hidden="1" x14ac:dyDescent="0.25">
      <c r="A3471" t="s">
        <v>20</v>
      </c>
      <c r="B3471">
        <v>65</v>
      </c>
      <c r="C3471">
        <v>26</v>
      </c>
    </row>
    <row r="3472" spans="1:4" hidden="1" x14ac:dyDescent="0.25">
      <c r="A3472" t="s">
        <v>20</v>
      </c>
      <c r="B3472">
        <v>65</v>
      </c>
      <c r="C3472">
        <v>27</v>
      </c>
    </row>
    <row r="3473" spans="1:4" hidden="1" x14ac:dyDescent="0.25">
      <c r="A3473" t="s">
        <v>20</v>
      </c>
      <c r="B3473">
        <v>65</v>
      </c>
      <c r="C3473">
        <v>28</v>
      </c>
    </row>
    <row r="3474" spans="1:4" hidden="1" x14ac:dyDescent="0.25">
      <c r="A3474" t="s">
        <v>20</v>
      </c>
      <c r="B3474">
        <v>65</v>
      </c>
      <c r="C3474">
        <v>29</v>
      </c>
      <c r="D3474">
        <v>1</v>
      </c>
    </row>
    <row r="3475" spans="1:4" hidden="1" x14ac:dyDescent="0.25">
      <c r="A3475" t="s">
        <v>20</v>
      </c>
      <c r="B3475">
        <v>65</v>
      </c>
      <c r="C3475">
        <v>30</v>
      </c>
    </row>
    <row r="3476" spans="1:4" hidden="1" x14ac:dyDescent="0.25">
      <c r="A3476" t="s">
        <v>20</v>
      </c>
      <c r="B3476">
        <v>65</v>
      </c>
      <c r="C3476">
        <v>31</v>
      </c>
    </row>
    <row r="3477" spans="1:4" hidden="1" x14ac:dyDescent="0.25">
      <c r="A3477" t="s">
        <v>20</v>
      </c>
      <c r="B3477">
        <v>65</v>
      </c>
      <c r="C3477">
        <v>32</v>
      </c>
      <c r="D3477">
        <v>1</v>
      </c>
    </row>
    <row r="3478" spans="1:4" hidden="1" x14ac:dyDescent="0.25">
      <c r="A3478" t="s">
        <v>20</v>
      </c>
      <c r="B3478">
        <v>65</v>
      </c>
      <c r="C3478">
        <v>33</v>
      </c>
    </row>
    <row r="3479" spans="1:4" hidden="1" x14ac:dyDescent="0.25">
      <c r="A3479" t="s">
        <v>20</v>
      </c>
      <c r="B3479">
        <v>65</v>
      </c>
      <c r="C3479">
        <v>34</v>
      </c>
      <c r="D3479">
        <v>1</v>
      </c>
    </row>
    <row r="3480" spans="1:4" hidden="1" x14ac:dyDescent="0.25">
      <c r="A3480" t="s">
        <v>20</v>
      </c>
      <c r="B3480">
        <v>65</v>
      </c>
      <c r="C3480">
        <v>35</v>
      </c>
    </row>
    <row r="3481" spans="1:4" hidden="1" x14ac:dyDescent="0.25">
      <c r="A3481" t="s">
        <v>20</v>
      </c>
      <c r="B3481">
        <v>65</v>
      </c>
      <c r="C3481">
        <v>36</v>
      </c>
    </row>
    <row r="3482" spans="1:4" hidden="1" x14ac:dyDescent="0.25">
      <c r="A3482" t="s">
        <v>20</v>
      </c>
      <c r="B3482">
        <v>65</v>
      </c>
      <c r="C3482">
        <v>37</v>
      </c>
    </row>
    <row r="3483" spans="1:4" hidden="1" x14ac:dyDescent="0.25">
      <c r="A3483" t="s">
        <v>20</v>
      </c>
      <c r="B3483">
        <v>65</v>
      </c>
      <c r="C3483">
        <v>38</v>
      </c>
    </row>
    <row r="3484" spans="1:4" hidden="1" x14ac:dyDescent="0.25">
      <c r="A3484" t="s">
        <v>20</v>
      </c>
      <c r="B3484">
        <v>65</v>
      </c>
      <c r="C3484">
        <v>39</v>
      </c>
    </row>
    <row r="3485" spans="1:4" hidden="1" x14ac:dyDescent="0.25">
      <c r="A3485" t="s">
        <v>20</v>
      </c>
      <c r="B3485">
        <v>65</v>
      </c>
      <c r="C3485">
        <v>40</v>
      </c>
    </row>
    <row r="3486" spans="1:4" hidden="1" x14ac:dyDescent="0.25">
      <c r="A3486" t="s">
        <v>20</v>
      </c>
      <c r="B3486">
        <v>65</v>
      </c>
      <c r="C3486">
        <v>41</v>
      </c>
    </row>
    <row r="3487" spans="1:4" hidden="1" x14ac:dyDescent="0.25">
      <c r="A3487" t="s">
        <v>20</v>
      </c>
      <c r="B3487">
        <v>65</v>
      </c>
      <c r="C3487">
        <v>42</v>
      </c>
    </row>
    <row r="3488" spans="1:4" hidden="1" x14ac:dyDescent="0.25">
      <c r="A3488" t="s">
        <v>20</v>
      </c>
      <c r="B3488">
        <v>65</v>
      </c>
      <c r="C3488">
        <v>43</v>
      </c>
    </row>
    <row r="3489" spans="1:4" hidden="1" x14ac:dyDescent="0.25">
      <c r="A3489" t="s">
        <v>20</v>
      </c>
      <c r="B3489">
        <v>65</v>
      </c>
      <c r="C3489">
        <v>44</v>
      </c>
    </row>
    <row r="3490" spans="1:4" hidden="1" x14ac:dyDescent="0.25">
      <c r="A3490" t="s">
        <v>20</v>
      </c>
      <c r="B3490">
        <v>65</v>
      </c>
      <c r="C3490">
        <v>45</v>
      </c>
    </row>
    <row r="3491" spans="1:4" hidden="1" x14ac:dyDescent="0.25">
      <c r="A3491" t="s">
        <v>20</v>
      </c>
      <c r="B3491">
        <v>65</v>
      </c>
      <c r="C3491">
        <v>46</v>
      </c>
    </row>
    <row r="3492" spans="1:4" hidden="1" x14ac:dyDescent="0.25">
      <c r="A3492" t="s">
        <v>20</v>
      </c>
      <c r="B3492">
        <v>65</v>
      </c>
      <c r="C3492">
        <v>47</v>
      </c>
      <c r="D3492">
        <v>1</v>
      </c>
    </row>
    <row r="3493" spans="1:4" hidden="1" x14ac:dyDescent="0.25">
      <c r="A3493" t="s">
        <v>20</v>
      </c>
      <c r="B3493">
        <v>65</v>
      </c>
      <c r="C3493">
        <v>48</v>
      </c>
    </row>
    <row r="3494" spans="1:4" hidden="1" x14ac:dyDescent="0.25">
      <c r="A3494" t="s">
        <v>20</v>
      </c>
      <c r="B3494">
        <v>65</v>
      </c>
      <c r="C3494">
        <v>49</v>
      </c>
    </row>
    <row r="3495" spans="1:4" hidden="1" x14ac:dyDescent="0.25">
      <c r="A3495" t="s">
        <v>20</v>
      </c>
      <c r="B3495">
        <v>65</v>
      </c>
      <c r="C3495">
        <v>50</v>
      </c>
      <c r="D3495">
        <v>1</v>
      </c>
    </row>
    <row r="3496" spans="1:4" hidden="1" x14ac:dyDescent="0.25">
      <c r="A3496" t="s">
        <v>20</v>
      </c>
      <c r="B3496">
        <v>65</v>
      </c>
      <c r="C3496">
        <v>51</v>
      </c>
    </row>
    <row r="3497" spans="1:4" hidden="1" x14ac:dyDescent="0.25">
      <c r="A3497" t="s">
        <v>20</v>
      </c>
      <c r="B3497">
        <v>65</v>
      </c>
      <c r="C3497">
        <v>52</v>
      </c>
    </row>
    <row r="3498" spans="1:4" hidden="1" x14ac:dyDescent="0.25">
      <c r="A3498" t="s">
        <v>20</v>
      </c>
      <c r="B3498">
        <v>65</v>
      </c>
      <c r="C3498">
        <v>53</v>
      </c>
    </row>
    <row r="3499" spans="1:4" hidden="1" x14ac:dyDescent="0.25">
      <c r="A3499" t="s">
        <v>20</v>
      </c>
      <c r="B3499">
        <v>65</v>
      </c>
      <c r="C3499">
        <v>54</v>
      </c>
    </row>
    <row r="3500" spans="1:4" hidden="1" x14ac:dyDescent="0.25">
      <c r="A3500" t="s">
        <v>20</v>
      </c>
      <c r="B3500">
        <v>65</v>
      </c>
      <c r="C3500">
        <v>55</v>
      </c>
      <c r="D3500">
        <v>1</v>
      </c>
    </row>
    <row r="3501" spans="1:4" hidden="1" x14ac:dyDescent="0.25">
      <c r="A3501" t="s">
        <v>20</v>
      </c>
      <c r="B3501">
        <v>65</v>
      </c>
      <c r="C3501">
        <v>56</v>
      </c>
    </row>
    <row r="3502" spans="1:4" hidden="1" x14ac:dyDescent="0.25">
      <c r="A3502" t="s">
        <v>20</v>
      </c>
      <c r="B3502">
        <v>65</v>
      </c>
      <c r="C3502">
        <v>57</v>
      </c>
    </row>
    <row r="3503" spans="1:4" hidden="1" x14ac:dyDescent="0.25">
      <c r="A3503" t="s">
        <v>20</v>
      </c>
      <c r="B3503">
        <v>65</v>
      </c>
      <c r="C3503">
        <v>58</v>
      </c>
    </row>
    <row r="3504" spans="1:4" hidden="1" x14ac:dyDescent="0.25">
      <c r="A3504" t="s">
        <v>20</v>
      </c>
      <c r="B3504">
        <v>65</v>
      </c>
      <c r="C3504">
        <v>59</v>
      </c>
    </row>
    <row r="3505" spans="1:4" hidden="1" x14ac:dyDescent="0.25">
      <c r="A3505" t="s">
        <v>20</v>
      </c>
      <c r="B3505">
        <v>65</v>
      </c>
      <c r="C3505">
        <v>60</v>
      </c>
    </row>
    <row r="3506" spans="1:4" hidden="1" x14ac:dyDescent="0.25">
      <c r="A3506" t="s">
        <v>20</v>
      </c>
      <c r="B3506">
        <v>65</v>
      </c>
      <c r="C3506">
        <v>61</v>
      </c>
    </row>
    <row r="3507" spans="1:4" hidden="1" x14ac:dyDescent="0.25">
      <c r="A3507" t="s">
        <v>20</v>
      </c>
      <c r="B3507">
        <v>65</v>
      </c>
      <c r="C3507">
        <v>62</v>
      </c>
      <c r="D3507">
        <v>1</v>
      </c>
    </row>
    <row r="3508" spans="1:4" hidden="1" x14ac:dyDescent="0.25">
      <c r="A3508" t="s">
        <v>20</v>
      </c>
      <c r="B3508">
        <v>65</v>
      </c>
      <c r="C3508">
        <v>63</v>
      </c>
    </row>
    <row r="3509" spans="1:4" hidden="1" x14ac:dyDescent="0.25">
      <c r="A3509" t="s">
        <v>20</v>
      </c>
      <c r="B3509">
        <v>65</v>
      </c>
      <c r="C3509">
        <v>64</v>
      </c>
    </row>
    <row r="3510" spans="1:4" hidden="1" x14ac:dyDescent="0.25">
      <c r="A3510" t="s">
        <v>20</v>
      </c>
      <c r="B3510">
        <v>65</v>
      </c>
      <c r="C3510">
        <v>65</v>
      </c>
      <c r="D3510">
        <v>1</v>
      </c>
    </row>
    <row r="3511" spans="1:4" hidden="1" x14ac:dyDescent="0.25">
      <c r="A3511" t="s">
        <v>20</v>
      </c>
      <c r="B3511">
        <v>65</v>
      </c>
      <c r="C3511">
        <v>66</v>
      </c>
    </row>
    <row r="3512" spans="1:4" hidden="1" x14ac:dyDescent="0.25">
      <c r="A3512" t="s">
        <v>20</v>
      </c>
      <c r="B3512">
        <v>65</v>
      </c>
      <c r="C3512">
        <v>67</v>
      </c>
    </row>
    <row r="3513" spans="1:4" hidden="1" x14ac:dyDescent="0.25">
      <c r="A3513" t="s">
        <v>20</v>
      </c>
      <c r="B3513">
        <v>65</v>
      </c>
      <c r="C3513">
        <v>68</v>
      </c>
    </row>
    <row r="3514" spans="1:4" hidden="1" x14ac:dyDescent="0.25">
      <c r="A3514" t="s">
        <v>20</v>
      </c>
      <c r="B3514">
        <v>65</v>
      </c>
      <c r="C3514">
        <v>69</v>
      </c>
    </row>
    <row r="3515" spans="1:4" hidden="1" x14ac:dyDescent="0.25">
      <c r="A3515" t="s">
        <v>20</v>
      </c>
      <c r="B3515">
        <v>65</v>
      </c>
      <c r="C3515">
        <v>70</v>
      </c>
    </row>
    <row r="3516" spans="1:4" hidden="1" x14ac:dyDescent="0.25">
      <c r="A3516" t="s">
        <v>20</v>
      </c>
      <c r="B3516">
        <v>65</v>
      </c>
      <c r="C3516">
        <v>71</v>
      </c>
      <c r="D3516">
        <v>1</v>
      </c>
    </row>
    <row r="3517" spans="1:4" hidden="1" x14ac:dyDescent="0.25">
      <c r="A3517" t="s">
        <v>20</v>
      </c>
      <c r="B3517">
        <v>65</v>
      </c>
      <c r="C3517">
        <v>72</v>
      </c>
    </row>
    <row r="3518" spans="1:4" hidden="1" x14ac:dyDescent="0.25">
      <c r="A3518" t="s">
        <v>20</v>
      </c>
      <c r="B3518">
        <v>65</v>
      </c>
      <c r="C3518">
        <v>73</v>
      </c>
    </row>
    <row r="3519" spans="1:4" hidden="1" x14ac:dyDescent="0.25">
      <c r="A3519" t="s">
        <v>20</v>
      </c>
      <c r="B3519">
        <v>65</v>
      </c>
      <c r="C3519">
        <v>74</v>
      </c>
      <c r="D3519">
        <v>1</v>
      </c>
    </row>
    <row r="3520" spans="1:4" hidden="1" x14ac:dyDescent="0.25">
      <c r="A3520" t="s">
        <v>20</v>
      </c>
      <c r="B3520">
        <v>65</v>
      </c>
      <c r="C3520">
        <v>75</v>
      </c>
    </row>
    <row r="3521" spans="1:4" hidden="1" x14ac:dyDescent="0.25">
      <c r="A3521" t="s">
        <v>20</v>
      </c>
      <c r="B3521">
        <v>65</v>
      </c>
      <c r="C3521">
        <v>76</v>
      </c>
      <c r="D3521">
        <v>1</v>
      </c>
    </row>
    <row r="3522" spans="1:4" hidden="1" x14ac:dyDescent="0.25">
      <c r="A3522" t="s">
        <v>20</v>
      </c>
      <c r="B3522">
        <v>65</v>
      </c>
      <c r="C3522">
        <v>77</v>
      </c>
    </row>
    <row r="3523" spans="1:4" hidden="1" x14ac:dyDescent="0.25">
      <c r="A3523" t="s">
        <v>20</v>
      </c>
      <c r="B3523">
        <v>65</v>
      </c>
      <c r="C3523">
        <v>78</v>
      </c>
    </row>
    <row r="3524" spans="1:4" hidden="1" x14ac:dyDescent="0.25">
      <c r="A3524" t="s">
        <v>20</v>
      </c>
      <c r="B3524">
        <v>65</v>
      </c>
      <c r="C3524">
        <v>79</v>
      </c>
    </row>
    <row r="3525" spans="1:4" hidden="1" x14ac:dyDescent="0.25">
      <c r="A3525" t="s">
        <v>20</v>
      </c>
      <c r="B3525">
        <v>65</v>
      </c>
      <c r="C3525">
        <v>80</v>
      </c>
    </row>
    <row r="3526" spans="1:4" hidden="1" x14ac:dyDescent="0.25">
      <c r="A3526" t="s">
        <v>20</v>
      </c>
      <c r="B3526">
        <v>65</v>
      </c>
      <c r="C3526">
        <v>81</v>
      </c>
    </row>
    <row r="3527" spans="1:4" hidden="1" x14ac:dyDescent="0.25">
      <c r="A3527" t="s">
        <v>20</v>
      </c>
      <c r="B3527">
        <v>65</v>
      </c>
      <c r="C3527">
        <v>82</v>
      </c>
    </row>
    <row r="3528" spans="1:4" hidden="1" x14ac:dyDescent="0.25">
      <c r="A3528" t="s">
        <v>20</v>
      </c>
      <c r="B3528">
        <v>65</v>
      </c>
      <c r="C3528">
        <v>83</v>
      </c>
    </row>
    <row r="3529" spans="1:4" hidden="1" x14ac:dyDescent="0.25">
      <c r="A3529" t="s">
        <v>20</v>
      </c>
      <c r="B3529">
        <v>65</v>
      </c>
      <c r="C3529">
        <v>84</v>
      </c>
    </row>
    <row r="3530" spans="1:4" hidden="1" x14ac:dyDescent="0.25">
      <c r="A3530" t="s">
        <v>20</v>
      </c>
      <c r="B3530">
        <v>66</v>
      </c>
      <c r="C3530">
        <v>1</v>
      </c>
    </row>
    <row r="3531" spans="1:4" hidden="1" x14ac:dyDescent="0.25">
      <c r="A3531" t="s">
        <v>20</v>
      </c>
      <c r="B3531">
        <v>66</v>
      </c>
      <c r="C3531">
        <v>2</v>
      </c>
    </row>
    <row r="3532" spans="1:4" hidden="1" x14ac:dyDescent="0.25">
      <c r="A3532" t="s">
        <v>20</v>
      </c>
      <c r="B3532">
        <v>66</v>
      </c>
      <c r="C3532">
        <v>3</v>
      </c>
    </row>
    <row r="3533" spans="1:4" hidden="1" x14ac:dyDescent="0.25">
      <c r="A3533" t="s">
        <v>20</v>
      </c>
      <c r="B3533">
        <v>66</v>
      </c>
      <c r="C3533">
        <v>4</v>
      </c>
    </row>
    <row r="3534" spans="1:4" hidden="1" x14ac:dyDescent="0.25">
      <c r="A3534" t="s">
        <v>20</v>
      </c>
      <c r="B3534">
        <v>66</v>
      </c>
      <c r="C3534">
        <v>5</v>
      </c>
    </row>
    <row r="3535" spans="1:4" hidden="1" x14ac:dyDescent="0.25">
      <c r="A3535" t="s">
        <v>20</v>
      </c>
      <c r="B3535">
        <v>66</v>
      </c>
      <c r="C3535">
        <v>6</v>
      </c>
    </row>
    <row r="3536" spans="1:4" hidden="1" x14ac:dyDescent="0.25">
      <c r="A3536" t="s">
        <v>20</v>
      </c>
      <c r="B3536">
        <v>66</v>
      </c>
      <c r="C3536">
        <v>7</v>
      </c>
    </row>
    <row r="3537" spans="1:3" hidden="1" x14ac:dyDescent="0.25">
      <c r="A3537" t="s">
        <v>20</v>
      </c>
      <c r="B3537">
        <v>66</v>
      </c>
      <c r="C3537">
        <v>8</v>
      </c>
    </row>
    <row r="3538" spans="1:3" hidden="1" x14ac:dyDescent="0.25">
      <c r="A3538" t="s">
        <v>20</v>
      </c>
      <c r="B3538">
        <v>66</v>
      </c>
      <c r="C3538">
        <v>9</v>
      </c>
    </row>
    <row r="3539" spans="1:3" hidden="1" x14ac:dyDescent="0.25">
      <c r="A3539" t="s">
        <v>20</v>
      </c>
      <c r="B3539">
        <v>66</v>
      </c>
      <c r="C3539">
        <v>10</v>
      </c>
    </row>
    <row r="3540" spans="1:3" hidden="1" x14ac:dyDescent="0.25">
      <c r="A3540" t="s">
        <v>20</v>
      </c>
      <c r="B3540">
        <v>66</v>
      </c>
      <c r="C3540">
        <v>11</v>
      </c>
    </row>
    <row r="3541" spans="1:3" hidden="1" x14ac:dyDescent="0.25">
      <c r="A3541" t="s">
        <v>20</v>
      </c>
      <c r="B3541">
        <v>66</v>
      </c>
      <c r="C3541">
        <v>12</v>
      </c>
    </row>
    <row r="3542" spans="1:3" hidden="1" x14ac:dyDescent="0.25">
      <c r="A3542" t="s">
        <v>20</v>
      </c>
      <c r="B3542">
        <v>66</v>
      </c>
      <c r="C3542">
        <v>13</v>
      </c>
    </row>
    <row r="3543" spans="1:3" hidden="1" x14ac:dyDescent="0.25">
      <c r="A3543" t="s">
        <v>20</v>
      </c>
      <c r="B3543">
        <v>66</v>
      </c>
      <c r="C3543">
        <v>14</v>
      </c>
    </row>
    <row r="3544" spans="1:3" hidden="1" x14ac:dyDescent="0.25">
      <c r="A3544" t="s">
        <v>20</v>
      </c>
      <c r="B3544">
        <v>66</v>
      </c>
      <c r="C3544">
        <v>15</v>
      </c>
    </row>
    <row r="3545" spans="1:3" hidden="1" x14ac:dyDescent="0.25">
      <c r="A3545" t="s">
        <v>20</v>
      </c>
      <c r="B3545">
        <v>66</v>
      </c>
      <c r="C3545">
        <v>16</v>
      </c>
    </row>
    <row r="3546" spans="1:3" hidden="1" x14ac:dyDescent="0.25">
      <c r="A3546" t="s">
        <v>20</v>
      </c>
      <c r="B3546">
        <v>66</v>
      </c>
      <c r="C3546">
        <v>17</v>
      </c>
    </row>
    <row r="3547" spans="1:3" hidden="1" x14ac:dyDescent="0.25">
      <c r="A3547" t="s">
        <v>20</v>
      </c>
      <c r="B3547">
        <v>66</v>
      </c>
      <c r="C3547">
        <v>18</v>
      </c>
    </row>
    <row r="3548" spans="1:3" hidden="1" x14ac:dyDescent="0.25">
      <c r="A3548" t="s">
        <v>20</v>
      </c>
      <c r="B3548">
        <v>66</v>
      </c>
      <c r="C3548">
        <v>19</v>
      </c>
    </row>
    <row r="3549" spans="1:3" hidden="1" x14ac:dyDescent="0.25">
      <c r="A3549" t="s">
        <v>20</v>
      </c>
      <c r="B3549">
        <v>66</v>
      </c>
      <c r="C3549">
        <v>20</v>
      </c>
    </row>
    <row r="3550" spans="1:3" hidden="1" x14ac:dyDescent="0.25">
      <c r="A3550" t="s">
        <v>20</v>
      </c>
      <c r="B3550">
        <v>66</v>
      </c>
      <c r="C3550">
        <v>21</v>
      </c>
    </row>
    <row r="3551" spans="1:3" hidden="1" x14ac:dyDescent="0.25">
      <c r="A3551" t="s">
        <v>20</v>
      </c>
      <c r="B3551">
        <v>66</v>
      </c>
      <c r="C3551">
        <v>22</v>
      </c>
    </row>
    <row r="3552" spans="1:3" hidden="1" x14ac:dyDescent="0.25">
      <c r="A3552" t="s">
        <v>20</v>
      </c>
      <c r="B3552">
        <v>66</v>
      </c>
      <c r="C3552">
        <v>23</v>
      </c>
    </row>
    <row r="3553" spans="1:3" hidden="1" x14ac:dyDescent="0.25">
      <c r="A3553" t="s">
        <v>20</v>
      </c>
      <c r="B3553">
        <v>66</v>
      </c>
      <c r="C3553">
        <v>24</v>
      </c>
    </row>
    <row r="3554" spans="1:3" hidden="1" x14ac:dyDescent="0.25">
      <c r="A3554" t="s">
        <v>20</v>
      </c>
      <c r="B3554">
        <v>66</v>
      </c>
      <c r="C3554">
        <v>25</v>
      </c>
    </row>
    <row r="3555" spans="1:3" hidden="1" x14ac:dyDescent="0.25">
      <c r="A3555" t="s">
        <v>20</v>
      </c>
      <c r="B3555">
        <v>66</v>
      </c>
      <c r="C3555">
        <v>26</v>
      </c>
    </row>
    <row r="3556" spans="1:3" hidden="1" x14ac:dyDescent="0.25">
      <c r="A3556" t="s">
        <v>20</v>
      </c>
      <c r="B3556">
        <v>66</v>
      </c>
      <c r="C3556">
        <v>27</v>
      </c>
    </row>
    <row r="3557" spans="1:3" hidden="1" x14ac:dyDescent="0.25">
      <c r="A3557" t="s">
        <v>20</v>
      </c>
      <c r="B3557">
        <v>66</v>
      </c>
      <c r="C3557">
        <v>28</v>
      </c>
    </row>
    <row r="3558" spans="1:3" hidden="1" x14ac:dyDescent="0.25">
      <c r="A3558" t="s">
        <v>20</v>
      </c>
      <c r="B3558">
        <v>66</v>
      </c>
      <c r="C3558">
        <v>29</v>
      </c>
    </row>
    <row r="3559" spans="1:3" hidden="1" x14ac:dyDescent="0.25">
      <c r="A3559" t="s">
        <v>20</v>
      </c>
      <c r="B3559">
        <v>66</v>
      </c>
      <c r="C3559">
        <v>30</v>
      </c>
    </row>
    <row r="3560" spans="1:3" hidden="1" x14ac:dyDescent="0.25">
      <c r="A3560" t="s">
        <v>20</v>
      </c>
      <c r="B3560">
        <v>66</v>
      </c>
      <c r="C3560">
        <v>31</v>
      </c>
    </row>
    <row r="3561" spans="1:3" hidden="1" x14ac:dyDescent="0.25">
      <c r="A3561" t="s">
        <v>20</v>
      </c>
      <c r="B3561">
        <v>66</v>
      </c>
      <c r="C3561">
        <v>32</v>
      </c>
    </row>
    <row r="3562" spans="1:3" hidden="1" x14ac:dyDescent="0.25">
      <c r="A3562" t="s">
        <v>20</v>
      </c>
      <c r="B3562">
        <v>66</v>
      </c>
      <c r="C3562">
        <v>33</v>
      </c>
    </row>
    <row r="3563" spans="1:3" hidden="1" x14ac:dyDescent="0.25">
      <c r="A3563" t="s">
        <v>20</v>
      </c>
      <c r="B3563">
        <v>66</v>
      </c>
      <c r="C3563">
        <v>34</v>
      </c>
    </row>
    <row r="3564" spans="1:3" hidden="1" x14ac:dyDescent="0.25">
      <c r="A3564" t="s">
        <v>20</v>
      </c>
      <c r="B3564">
        <v>66</v>
      </c>
      <c r="C3564">
        <v>35</v>
      </c>
    </row>
    <row r="3565" spans="1:3" hidden="1" x14ac:dyDescent="0.25">
      <c r="A3565" t="s">
        <v>20</v>
      </c>
      <c r="B3565">
        <v>66</v>
      </c>
      <c r="C3565">
        <v>36</v>
      </c>
    </row>
    <row r="3566" spans="1:3" hidden="1" x14ac:dyDescent="0.25">
      <c r="A3566" t="s">
        <v>20</v>
      </c>
      <c r="B3566">
        <v>66</v>
      </c>
      <c r="C3566">
        <v>37</v>
      </c>
    </row>
    <row r="3567" spans="1:3" hidden="1" x14ac:dyDescent="0.25">
      <c r="A3567" t="s">
        <v>20</v>
      </c>
      <c r="B3567">
        <v>66</v>
      </c>
      <c r="C3567">
        <v>38</v>
      </c>
    </row>
    <row r="3568" spans="1:3" hidden="1" x14ac:dyDescent="0.25">
      <c r="A3568" t="s">
        <v>20</v>
      </c>
      <c r="B3568">
        <v>66</v>
      </c>
      <c r="C3568">
        <v>39</v>
      </c>
    </row>
    <row r="3569" spans="1:3" hidden="1" x14ac:dyDescent="0.25">
      <c r="A3569" t="s">
        <v>20</v>
      </c>
      <c r="B3569">
        <v>66</v>
      </c>
      <c r="C3569">
        <v>40</v>
      </c>
    </row>
    <row r="3570" spans="1:3" hidden="1" x14ac:dyDescent="0.25">
      <c r="A3570" t="s">
        <v>20</v>
      </c>
      <c r="B3570">
        <v>66</v>
      </c>
      <c r="C3570">
        <v>41</v>
      </c>
    </row>
    <row r="3571" spans="1:3" hidden="1" x14ac:dyDescent="0.25">
      <c r="A3571" t="s">
        <v>20</v>
      </c>
      <c r="B3571">
        <v>66</v>
      </c>
      <c r="C3571">
        <v>42</v>
      </c>
    </row>
    <row r="3572" spans="1:3" hidden="1" x14ac:dyDescent="0.25">
      <c r="A3572" t="s">
        <v>20</v>
      </c>
      <c r="B3572">
        <v>66</v>
      </c>
      <c r="C3572">
        <v>43</v>
      </c>
    </row>
    <row r="3573" spans="1:3" hidden="1" x14ac:dyDescent="0.25">
      <c r="A3573" t="s">
        <v>20</v>
      </c>
      <c r="B3573">
        <v>66</v>
      </c>
      <c r="C3573">
        <v>44</v>
      </c>
    </row>
    <row r="3574" spans="1:3" hidden="1" x14ac:dyDescent="0.25">
      <c r="A3574" t="s">
        <v>20</v>
      </c>
      <c r="B3574">
        <v>66</v>
      </c>
      <c r="C3574">
        <v>45</v>
      </c>
    </row>
    <row r="3575" spans="1:3" hidden="1" x14ac:dyDescent="0.25">
      <c r="A3575" t="s">
        <v>20</v>
      </c>
      <c r="B3575">
        <v>66</v>
      </c>
      <c r="C3575">
        <v>46</v>
      </c>
    </row>
    <row r="3576" spans="1:3" hidden="1" x14ac:dyDescent="0.25">
      <c r="A3576" t="s">
        <v>20</v>
      </c>
      <c r="B3576">
        <v>66</v>
      </c>
      <c r="C3576">
        <v>47</v>
      </c>
    </row>
    <row r="3577" spans="1:3" hidden="1" x14ac:dyDescent="0.25">
      <c r="A3577" t="s">
        <v>20</v>
      </c>
      <c r="B3577">
        <v>66</v>
      </c>
      <c r="C3577">
        <v>48</v>
      </c>
    </row>
    <row r="3578" spans="1:3" hidden="1" x14ac:dyDescent="0.25">
      <c r="A3578" t="s">
        <v>20</v>
      </c>
      <c r="B3578">
        <v>66</v>
      </c>
      <c r="C3578">
        <v>49</v>
      </c>
    </row>
    <row r="3579" spans="1:3" hidden="1" x14ac:dyDescent="0.25">
      <c r="A3579" t="s">
        <v>20</v>
      </c>
      <c r="B3579">
        <v>66</v>
      </c>
      <c r="C3579">
        <v>50</v>
      </c>
    </row>
    <row r="3580" spans="1:3" hidden="1" x14ac:dyDescent="0.25">
      <c r="A3580" t="s">
        <v>20</v>
      </c>
      <c r="B3580">
        <v>66</v>
      </c>
      <c r="C3580">
        <v>51</v>
      </c>
    </row>
    <row r="3581" spans="1:3" hidden="1" x14ac:dyDescent="0.25">
      <c r="A3581" t="s">
        <v>20</v>
      </c>
      <c r="B3581">
        <v>66</v>
      </c>
      <c r="C3581">
        <v>52</v>
      </c>
    </row>
    <row r="3582" spans="1:3" hidden="1" x14ac:dyDescent="0.25">
      <c r="A3582" t="s">
        <v>20</v>
      </c>
      <c r="B3582">
        <v>66</v>
      </c>
      <c r="C3582">
        <v>53</v>
      </c>
    </row>
    <row r="3583" spans="1:3" hidden="1" x14ac:dyDescent="0.25">
      <c r="A3583" t="s">
        <v>20</v>
      </c>
      <c r="B3583">
        <v>66</v>
      </c>
      <c r="C3583">
        <v>54</v>
      </c>
    </row>
    <row r="3584" spans="1:3" hidden="1" x14ac:dyDescent="0.25">
      <c r="A3584" t="s">
        <v>20</v>
      </c>
      <c r="B3584">
        <v>66</v>
      </c>
      <c r="C3584">
        <v>55</v>
      </c>
    </row>
    <row r="3585" spans="1:3" hidden="1" x14ac:dyDescent="0.25">
      <c r="A3585" t="s">
        <v>20</v>
      </c>
      <c r="B3585">
        <v>66</v>
      </c>
      <c r="C3585">
        <v>56</v>
      </c>
    </row>
    <row r="3586" spans="1:3" hidden="1" x14ac:dyDescent="0.25">
      <c r="A3586" t="s">
        <v>20</v>
      </c>
      <c r="B3586">
        <v>66</v>
      </c>
      <c r="C3586">
        <v>57</v>
      </c>
    </row>
    <row r="3587" spans="1:3" hidden="1" x14ac:dyDescent="0.25">
      <c r="A3587" t="s">
        <v>20</v>
      </c>
      <c r="B3587">
        <v>66</v>
      </c>
      <c r="C3587">
        <v>58</v>
      </c>
    </row>
    <row r="3588" spans="1:3" hidden="1" x14ac:dyDescent="0.25">
      <c r="A3588" t="s">
        <v>20</v>
      </c>
      <c r="B3588">
        <v>66</v>
      </c>
      <c r="C3588">
        <v>59</v>
      </c>
    </row>
    <row r="3589" spans="1:3" hidden="1" x14ac:dyDescent="0.25">
      <c r="A3589" t="s">
        <v>20</v>
      </c>
      <c r="B3589">
        <v>66</v>
      </c>
      <c r="C3589">
        <v>60</v>
      </c>
    </row>
    <row r="3590" spans="1:3" hidden="1" x14ac:dyDescent="0.25">
      <c r="A3590" t="s">
        <v>20</v>
      </c>
      <c r="B3590">
        <v>66</v>
      </c>
      <c r="C3590">
        <v>61</v>
      </c>
    </row>
    <row r="3591" spans="1:3" hidden="1" x14ac:dyDescent="0.25">
      <c r="A3591" t="s">
        <v>20</v>
      </c>
      <c r="B3591">
        <v>66</v>
      </c>
      <c r="C3591">
        <v>62</v>
      </c>
    </row>
    <row r="3592" spans="1:3" hidden="1" x14ac:dyDescent="0.25">
      <c r="A3592" t="s">
        <v>20</v>
      </c>
      <c r="B3592">
        <v>66</v>
      </c>
      <c r="C3592">
        <v>63</v>
      </c>
    </row>
    <row r="3593" spans="1:3" hidden="1" x14ac:dyDescent="0.25">
      <c r="A3593" t="s">
        <v>20</v>
      </c>
      <c r="B3593">
        <v>66</v>
      </c>
      <c r="C3593">
        <v>64</v>
      </c>
    </row>
    <row r="3594" spans="1:3" hidden="1" x14ac:dyDescent="0.25">
      <c r="A3594" t="s">
        <v>20</v>
      </c>
      <c r="B3594">
        <v>66</v>
      </c>
      <c r="C3594">
        <v>65</v>
      </c>
    </row>
    <row r="3595" spans="1:3" hidden="1" x14ac:dyDescent="0.25">
      <c r="A3595" t="s">
        <v>20</v>
      </c>
      <c r="B3595">
        <v>66</v>
      </c>
      <c r="C3595">
        <v>66</v>
      </c>
    </row>
    <row r="3596" spans="1:3" hidden="1" x14ac:dyDescent="0.25">
      <c r="A3596" t="s">
        <v>20</v>
      </c>
      <c r="B3596">
        <v>66</v>
      </c>
      <c r="C3596">
        <v>67</v>
      </c>
    </row>
    <row r="3597" spans="1:3" hidden="1" x14ac:dyDescent="0.25">
      <c r="A3597" t="s">
        <v>20</v>
      </c>
      <c r="B3597">
        <v>66</v>
      </c>
      <c r="C3597">
        <v>68</v>
      </c>
    </row>
    <row r="3598" spans="1:3" hidden="1" x14ac:dyDescent="0.25">
      <c r="A3598" t="s">
        <v>20</v>
      </c>
      <c r="B3598">
        <v>66</v>
      </c>
      <c r="C3598">
        <v>69</v>
      </c>
    </row>
    <row r="3599" spans="1:3" hidden="1" x14ac:dyDescent="0.25">
      <c r="A3599" t="s">
        <v>20</v>
      </c>
      <c r="B3599">
        <v>66</v>
      </c>
      <c r="C3599">
        <v>70</v>
      </c>
    </row>
    <row r="3600" spans="1:3" hidden="1" x14ac:dyDescent="0.25">
      <c r="A3600" t="s">
        <v>20</v>
      </c>
      <c r="B3600">
        <v>66</v>
      </c>
      <c r="C3600">
        <v>71</v>
      </c>
    </row>
    <row r="3601" spans="1:3" hidden="1" x14ac:dyDescent="0.25">
      <c r="A3601" t="s">
        <v>20</v>
      </c>
      <c r="B3601">
        <v>66</v>
      </c>
      <c r="C3601">
        <v>72</v>
      </c>
    </row>
    <row r="3602" spans="1:3" hidden="1" x14ac:dyDescent="0.25">
      <c r="A3602" t="s">
        <v>20</v>
      </c>
      <c r="B3602">
        <v>66</v>
      </c>
      <c r="C3602">
        <v>73</v>
      </c>
    </row>
    <row r="3603" spans="1:3" hidden="1" x14ac:dyDescent="0.25">
      <c r="A3603" t="s">
        <v>20</v>
      </c>
      <c r="B3603">
        <v>66</v>
      </c>
      <c r="C3603">
        <v>74</v>
      </c>
    </row>
    <row r="3604" spans="1:3" hidden="1" x14ac:dyDescent="0.25">
      <c r="A3604" t="s">
        <v>20</v>
      </c>
      <c r="B3604">
        <v>66</v>
      </c>
      <c r="C3604">
        <v>75</v>
      </c>
    </row>
    <row r="3605" spans="1:3" hidden="1" x14ac:dyDescent="0.25">
      <c r="A3605" t="s">
        <v>20</v>
      </c>
      <c r="B3605">
        <v>66</v>
      </c>
      <c r="C3605">
        <v>76</v>
      </c>
    </row>
    <row r="3606" spans="1:3" hidden="1" x14ac:dyDescent="0.25">
      <c r="A3606" t="s">
        <v>20</v>
      </c>
      <c r="B3606">
        <v>66</v>
      </c>
      <c r="C3606">
        <v>77</v>
      </c>
    </row>
    <row r="3607" spans="1:3" hidden="1" x14ac:dyDescent="0.25">
      <c r="A3607" t="s">
        <v>20</v>
      </c>
      <c r="B3607">
        <v>66</v>
      </c>
      <c r="C3607">
        <v>78</v>
      </c>
    </row>
    <row r="3608" spans="1:3" hidden="1" x14ac:dyDescent="0.25">
      <c r="A3608" t="s">
        <v>20</v>
      </c>
      <c r="B3608">
        <v>66</v>
      </c>
      <c r="C3608">
        <v>79</v>
      </c>
    </row>
    <row r="3609" spans="1:3" hidden="1" x14ac:dyDescent="0.25">
      <c r="A3609" t="s">
        <v>20</v>
      </c>
      <c r="B3609">
        <v>66</v>
      </c>
      <c r="C3609">
        <v>80</v>
      </c>
    </row>
    <row r="3610" spans="1:3" hidden="1" x14ac:dyDescent="0.25">
      <c r="A3610" t="s">
        <v>20</v>
      </c>
      <c r="B3610">
        <v>66</v>
      </c>
      <c r="C3610">
        <v>81</v>
      </c>
    </row>
    <row r="3611" spans="1:3" hidden="1" x14ac:dyDescent="0.25">
      <c r="A3611" t="s">
        <v>20</v>
      </c>
      <c r="B3611">
        <v>66</v>
      </c>
      <c r="C3611">
        <v>82</v>
      </c>
    </row>
    <row r="3612" spans="1:3" hidden="1" x14ac:dyDescent="0.25">
      <c r="A3612" t="s">
        <v>20</v>
      </c>
      <c r="B3612">
        <v>66</v>
      </c>
      <c r="C3612">
        <v>83</v>
      </c>
    </row>
    <row r="3613" spans="1:3" hidden="1" x14ac:dyDescent="0.25">
      <c r="A3613" t="s">
        <v>20</v>
      </c>
      <c r="B3613">
        <v>66</v>
      </c>
      <c r="C3613">
        <v>84</v>
      </c>
    </row>
    <row r="3614" spans="1:3" hidden="1" x14ac:dyDescent="0.25">
      <c r="A3614" t="s">
        <v>20</v>
      </c>
      <c r="B3614">
        <v>67</v>
      </c>
      <c r="C3614">
        <v>1</v>
      </c>
    </row>
    <row r="3615" spans="1:3" hidden="1" x14ac:dyDescent="0.25">
      <c r="A3615" t="s">
        <v>20</v>
      </c>
      <c r="B3615">
        <v>67</v>
      </c>
      <c r="C3615">
        <v>2</v>
      </c>
    </row>
    <row r="3616" spans="1:3" hidden="1" x14ac:dyDescent="0.25">
      <c r="A3616" t="s">
        <v>20</v>
      </c>
      <c r="B3616">
        <v>67</v>
      </c>
      <c r="C3616">
        <v>3</v>
      </c>
    </row>
    <row r="3617" spans="1:4" hidden="1" x14ac:dyDescent="0.25">
      <c r="A3617" t="s">
        <v>20</v>
      </c>
      <c r="B3617">
        <v>67</v>
      </c>
      <c r="C3617">
        <v>4</v>
      </c>
    </row>
    <row r="3618" spans="1:4" hidden="1" x14ac:dyDescent="0.25">
      <c r="A3618" t="s">
        <v>20</v>
      </c>
      <c r="B3618">
        <v>67</v>
      </c>
      <c r="C3618">
        <v>5</v>
      </c>
      <c r="D3618">
        <v>1</v>
      </c>
    </row>
    <row r="3619" spans="1:4" hidden="1" x14ac:dyDescent="0.25">
      <c r="A3619" t="s">
        <v>20</v>
      </c>
      <c r="B3619">
        <v>67</v>
      </c>
      <c r="C3619">
        <v>6</v>
      </c>
    </row>
    <row r="3620" spans="1:4" hidden="1" x14ac:dyDescent="0.25">
      <c r="A3620" t="s">
        <v>20</v>
      </c>
      <c r="B3620">
        <v>67</v>
      </c>
      <c r="C3620">
        <v>7</v>
      </c>
    </row>
    <row r="3621" spans="1:4" hidden="1" x14ac:dyDescent="0.25">
      <c r="A3621" t="s">
        <v>20</v>
      </c>
      <c r="B3621">
        <v>67</v>
      </c>
      <c r="C3621">
        <v>8</v>
      </c>
      <c r="D3621">
        <v>1</v>
      </c>
    </row>
    <row r="3622" spans="1:4" hidden="1" x14ac:dyDescent="0.25">
      <c r="A3622" t="s">
        <v>20</v>
      </c>
      <c r="B3622">
        <v>67</v>
      </c>
      <c r="C3622">
        <v>9</v>
      </c>
    </row>
    <row r="3623" spans="1:4" hidden="1" x14ac:dyDescent="0.25">
      <c r="A3623" t="s">
        <v>20</v>
      </c>
      <c r="B3623">
        <v>67</v>
      </c>
      <c r="C3623">
        <v>10</v>
      </c>
    </row>
    <row r="3624" spans="1:4" hidden="1" x14ac:dyDescent="0.25">
      <c r="A3624" t="s">
        <v>20</v>
      </c>
      <c r="B3624">
        <v>67</v>
      </c>
      <c r="C3624">
        <v>11</v>
      </c>
      <c r="D3624">
        <v>1</v>
      </c>
    </row>
    <row r="3625" spans="1:4" hidden="1" x14ac:dyDescent="0.25">
      <c r="A3625" t="s">
        <v>20</v>
      </c>
      <c r="B3625">
        <v>67</v>
      </c>
      <c r="C3625">
        <v>12</v>
      </c>
    </row>
    <row r="3626" spans="1:4" hidden="1" x14ac:dyDescent="0.25">
      <c r="A3626" t="s">
        <v>20</v>
      </c>
      <c r="B3626">
        <v>67</v>
      </c>
      <c r="C3626">
        <v>13</v>
      </c>
    </row>
    <row r="3627" spans="1:4" hidden="1" x14ac:dyDescent="0.25">
      <c r="A3627" t="s">
        <v>20</v>
      </c>
      <c r="B3627">
        <v>67</v>
      </c>
      <c r="C3627">
        <v>14</v>
      </c>
      <c r="D3627">
        <v>1</v>
      </c>
    </row>
    <row r="3628" spans="1:4" hidden="1" x14ac:dyDescent="0.25">
      <c r="A3628" t="s">
        <v>20</v>
      </c>
      <c r="B3628">
        <v>67</v>
      </c>
      <c r="C3628">
        <v>15</v>
      </c>
    </row>
    <row r="3629" spans="1:4" hidden="1" x14ac:dyDescent="0.25">
      <c r="A3629" t="s">
        <v>20</v>
      </c>
      <c r="B3629">
        <v>67</v>
      </c>
      <c r="C3629">
        <v>16</v>
      </c>
      <c r="D3629">
        <v>1</v>
      </c>
    </row>
    <row r="3630" spans="1:4" hidden="1" x14ac:dyDescent="0.25">
      <c r="A3630" t="s">
        <v>20</v>
      </c>
      <c r="B3630">
        <v>67</v>
      </c>
      <c r="C3630">
        <v>17</v>
      </c>
    </row>
    <row r="3631" spans="1:4" hidden="1" x14ac:dyDescent="0.25">
      <c r="A3631" t="s">
        <v>20</v>
      </c>
      <c r="B3631">
        <v>67</v>
      </c>
      <c r="C3631">
        <v>18</v>
      </c>
    </row>
    <row r="3632" spans="1:4" hidden="1" x14ac:dyDescent="0.25">
      <c r="A3632" t="s">
        <v>20</v>
      </c>
      <c r="B3632">
        <v>67</v>
      </c>
      <c r="C3632">
        <v>19</v>
      </c>
    </row>
    <row r="3633" spans="1:4" hidden="1" x14ac:dyDescent="0.25">
      <c r="A3633" t="s">
        <v>20</v>
      </c>
      <c r="B3633">
        <v>67</v>
      </c>
      <c r="C3633">
        <v>20</v>
      </c>
    </row>
    <row r="3634" spans="1:4" hidden="1" x14ac:dyDescent="0.25">
      <c r="A3634" t="s">
        <v>20</v>
      </c>
      <c r="B3634">
        <v>67</v>
      </c>
      <c r="C3634">
        <v>21</v>
      </c>
    </row>
    <row r="3635" spans="1:4" hidden="1" x14ac:dyDescent="0.25">
      <c r="A3635" t="s">
        <v>20</v>
      </c>
      <c r="B3635">
        <v>67</v>
      </c>
      <c r="C3635">
        <v>22</v>
      </c>
    </row>
    <row r="3636" spans="1:4" hidden="1" x14ac:dyDescent="0.25">
      <c r="A3636" t="s">
        <v>20</v>
      </c>
      <c r="B3636">
        <v>67</v>
      </c>
      <c r="C3636">
        <v>23</v>
      </c>
    </row>
    <row r="3637" spans="1:4" hidden="1" x14ac:dyDescent="0.25">
      <c r="A3637" t="s">
        <v>20</v>
      </c>
      <c r="B3637">
        <v>67</v>
      </c>
      <c r="C3637">
        <v>24</v>
      </c>
    </row>
    <row r="3638" spans="1:4" hidden="1" x14ac:dyDescent="0.25">
      <c r="A3638" t="s">
        <v>20</v>
      </c>
      <c r="B3638">
        <v>67</v>
      </c>
      <c r="C3638">
        <v>25</v>
      </c>
    </row>
    <row r="3639" spans="1:4" hidden="1" x14ac:dyDescent="0.25">
      <c r="A3639" t="s">
        <v>20</v>
      </c>
      <c r="B3639">
        <v>67</v>
      </c>
      <c r="C3639">
        <v>26</v>
      </c>
    </row>
    <row r="3640" spans="1:4" hidden="1" x14ac:dyDescent="0.25">
      <c r="A3640" t="s">
        <v>20</v>
      </c>
      <c r="B3640">
        <v>67</v>
      </c>
      <c r="C3640">
        <v>27</v>
      </c>
    </row>
    <row r="3641" spans="1:4" hidden="1" x14ac:dyDescent="0.25">
      <c r="A3641" t="s">
        <v>20</v>
      </c>
      <c r="B3641">
        <v>67</v>
      </c>
      <c r="C3641">
        <v>28</v>
      </c>
    </row>
    <row r="3642" spans="1:4" hidden="1" x14ac:dyDescent="0.25">
      <c r="A3642" t="s">
        <v>20</v>
      </c>
      <c r="B3642">
        <v>67</v>
      </c>
      <c r="C3642">
        <v>29</v>
      </c>
      <c r="D3642">
        <v>1</v>
      </c>
    </row>
    <row r="3643" spans="1:4" hidden="1" x14ac:dyDescent="0.25">
      <c r="A3643" t="s">
        <v>20</v>
      </c>
      <c r="B3643">
        <v>67</v>
      </c>
      <c r="C3643">
        <v>30</v>
      </c>
    </row>
    <row r="3644" spans="1:4" hidden="1" x14ac:dyDescent="0.25">
      <c r="A3644" t="s">
        <v>20</v>
      </c>
      <c r="B3644">
        <v>67</v>
      </c>
      <c r="C3644">
        <v>31</v>
      </c>
    </row>
    <row r="3645" spans="1:4" hidden="1" x14ac:dyDescent="0.25">
      <c r="A3645" t="s">
        <v>20</v>
      </c>
      <c r="B3645">
        <v>67</v>
      </c>
      <c r="C3645">
        <v>32</v>
      </c>
      <c r="D3645">
        <v>1</v>
      </c>
    </row>
    <row r="3646" spans="1:4" hidden="1" x14ac:dyDescent="0.25">
      <c r="A3646" t="s">
        <v>20</v>
      </c>
      <c r="B3646">
        <v>67</v>
      </c>
      <c r="C3646">
        <v>33</v>
      </c>
    </row>
    <row r="3647" spans="1:4" hidden="1" x14ac:dyDescent="0.25">
      <c r="A3647" t="s">
        <v>20</v>
      </c>
      <c r="B3647">
        <v>67</v>
      </c>
      <c r="C3647">
        <v>34</v>
      </c>
    </row>
    <row r="3648" spans="1:4" hidden="1" x14ac:dyDescent="0.25">
      <c r="A3648" t="s">
        <v>20</v>
      </c>
      <c r="B3648">
        <v>67</v>
      </c>
      <c r="C3648">
        <v>35</v>
      </c>
    </row>
    <row r="3649" spans="1:4" hidden="1" x14ac:dyDescent="0.25">
      <c r="A3649" t="s">
        <v>20</v>
      </c>
      <c r="B3649">
        <v>67</v>
      </c>
      <c r="C3649">
        <v>36</v>
      </c>
    </row>
    <row r="3650" spans="1:4" hidden="1" x14ac:dyDescent="0.25">
      <c r="A3650" t="s">
        <v>20</v>
      </c>
      <c r="B3650">
        <v>67</v>
      </c>
      <c r="C3650">
        <v>37</v>
      </c>
    </row>
    <row r="3651" spans="1:4" hidden="1" x14ac:dyDescent="0.25">
      <c r="A3651" t="s">
        <v>20</v>
      </c>
      <c r="B3651">
        <v>67</v>
      </c>
      <c r="C3651">
        <v>38</v>
      </c>
    </row>
    <row r="3652" spans="1:4" hidden="1" x14ac:dyDescent="0.25">
      <c r="A3652" t="s">
        <v>20</v>
      </c>
      <c r="B3652">
        <v>67</v>
      </c>
      <c r="C3652">
        <v>39</v>
      </c>
    </row>
    <row r="3653" spans="1:4" hidden="1" x14ac:dyDescent="0.25">
      <c r="A3653" t="s">
        <v>20</v>
      </c>
      <c r="B3653">
        <v>67</v>
      </c>
      <c r="C3653">
        <v>40</v>
      </c>
    </row>
    <row r="3654" spans="1:4" hidden="1" x14ac:dyDescent="0.25">
      <c r="A3654" t="s">
        <v>20</v>
      </c>
      <c r="B3654">
        <v>67</v>
      </c>
      <c r="C3654">
        <v>41</v>
      </c>
      <c r="D3654">
        <v>1</v>
      </c>
    </row>
    <row r="3655" spans="1:4" hidden="1" x14ac:dyDescent="0.25">
      <c r="A3655" t="s">
        <v>20</v>
      </c>
      <c r="B3655">
        <v>67</v>
      </c>
      <c r="C3655">
        <v>42</v>
      </c>
    </row>
    <row r="3656" spans="1:4" hidden="1" x14ac:dyDescent="0.25">
      <c r="A3656" t="s">
        <v>20</v>
      </c>
      <c r="B3656">
        <v>67</v>
      </c>
      <c r="C3656">
        <v>43</v>
      </c>
    </row>
    <row r="3657" spans="1:4" hidden="1" x14ac:dyDescent="0.25">
      <c r="A3657" t="s">
        <v>20</v>
      </c>
      <c r="B3657">
        <v>67</v>
      </c>
      <c r="C3657">
        <v>44</v>
      </c>
    </row>
    <row r="3658" spans="1:4" hidden="1" x14ac:dyDescent="0.25">
      <c r="A3658" t="s">
        <v>20</v>
      </c>
      <c r="B3658">
        <v>67</v>
      </c>
      <c r="C3658">
        <v>45</v>
      </c>
    </row>
    <row r="3659" spans="1:4" hidden="1" x14ac:dyDescent="0.25">
      <c r="A3659" t="s">
        <v>20</v>
      </c>
      <c r="B3659">
        <v>67</v>
      </c>
      <c r="C3659">
        <v>46</v>
      </c>
    </row>
    <row r="3660" spans="1:4" hidden="1" x14ac:dyDescent="0.25">
      <c r="A3660" t="s">
        <v>20</v>
      </c>
      <c r="B3660">
        <v>67</v>
      </c>
      <c r="C3660">
        <v>47</v>
      </c>
    </row>
    <row r="3661" spans="1:4" hidden="1" x14ac:dyDescent="0.25">
      <c r="A3661" t="s">
        <v>20</v>
      </c>
      <c r="B3661">
        <v>67</v>
      </c>
      <c r="C3661">
        <v>48</v>
      </c>
    </row>
    <row r="3662" spans="1:4" hidden="1" x14ac:dyDescent="0.25">
      <c r="A3662" t="s">
        <v>20</v>
      </c>
      <c r="B3662">
        <v>67</v>
      </c>
      <c r="C3662">
        <v>49</v>
      </c>
    </row>
    <row r="3663" spans="1:4" hidden="1" x14ac:dyDescent="0.25">
      <c r="A3663" t="s">
        <v>20</v>
      </c>
      <c r="B3663">
        <v>67</v>
      </c>
      <c r="C3663">
        <v>50</v>
      </c>
      <c r="D3663">
        <v>1</v>
      </c>
    </row>
    <row r="3664" spans="1:4" hidden="1" x14ac:dyDescent="0.25">
      <c r="A3664" t="s">
        <v>20</v>
      </c>
      <c r="B3664">
        <v>67</v>
      </c>
      <c r="C3664">
        <v>51</v>
      </c>
    </row>
    <row r="3665" spans="1:4" hidden="1" x14ac:dyDescent="0.25">
      <c r="A3665" t="s">
        <v>20</v>
      </c>
      <c r="B3665">
        <v>67</v>
      </c>
      <c r="C3665">
        <v>52</v>
      </c>
    </row>
    <row r="3666" spans="1:4" hidden="1" x14ac:dyDescent="0.25">
      <c r="A3666" t="s">
        <v>20</v>
      </c>
      <c r="B3666">
        <v>67</v>
      </c>
      <c r="C3666">
        <v>53</v>
      </c>
    </row>
    <row r="3667" spans="1:4" hidden="1" x14ac:dyDescent="0.25">
      <c r="A3667" t="s">
        <v>20</v>
      </c>
      <c r="B3667">
        <v>67</v>
      </c>
      <c r="C3667">
        <v>54</v>
      </c>
    </row>
    <row r="3668" spans="1:4" hidden="1" x14ac:dyDescent="0.25">
      <c r="A3668" t="s">
        <v>20</v>
      </c>
      <c r="B3668">
        <v>67</v>
      </c>
      <c r="C3668">
        <v>55</v>
      </c>
    </row>
    <row r="3669" spans="1:4" hidden="1" x14ac:dyDescent="0.25">
      <c r="A3669" t="s">
        <v>20</v>
      </c>
      <c r="B3669">
        <v>67</v>
      </c>
      <c r="C3669">
        <v>56</v>
      </c>
    </row>
    <row r="3670" spans="1:4" hidden="1" x14ac:dyDescent="0.25">
      <c r="A3670" t="s">
        <v>20</v>
      </c>
      <c r="B3670">
        <v>67</v>
      </c>
      <c r="C3670">
        <v>57</v>
      </c>
    </row>
    <row r="3671" spans="1:4" hidden="1" x14ac:dyDescent="0.25">
      <c r="A3671" t="s">
        <v>20</v>
      </c>
      <c r="B3671">
        <v>67</v>
      </c>
      <c r="C3671">
        <v>58</v>
      </c>
      <c r="D3671">
        <v>1</v>
      </c>
    </row>
    <row r="3672" spans="1:4" hidden="1" x14ac:dyDescent="0.25">
      <c r="A3672" t="s">
        <v>20</v>
      </c>
      <c r="B3672">
        <v>67</v>
      </c>
      <c r="C3672">
        <v>59</v>
      </c>
    </row>
    <row r="3673" spans="1:4" hidden="1" x14ac:dyDescent="0.25">
      <c r="A3673" t="s">
        <v>20</v>
      </c>
      <c r="B3673">
        <v>67</v>
      </c>
      <c r="C3673">
        <v>60</v>
      </c>
    </row>
    <row r="3674" spans="1:4" hidden="1" x14ac:dyDescent="0.25">
      <c r="A3674" t="s">
        <v>20</v>
      </c>
      <c r="B3674">
        <v>67</v>
      </c>
      <c r="C3674">
        <v>61</v>
      </c>
      <c r="D3674">
        <v>1</v>
      </c>
    </row>
    <row r="3675" spans="1:4" hidden="1" x14ac:dyDescent="0.25">
      <c r="A3675" t="s">
        <v>20</v>
      </c>
      <c r="B3675">
        <v>67</v>
      </c>
      <c r="C3675">
        <v>62</v>
      </c>
    </row>
    <row r="3676" spans="1:4" hidden="1" x14ac:dyDescent="0.25">
      <c r="A3676" t="s">
        <v>20</v>
      </c>
      <c r="B3676">
        <v>67</v>
      </c>
      <c r="C3676">
        <v>63</v>
      </c>
    </row>
    <row r="3677" spans="1:4" hidden="1" x14ac:dyDescent="0.25">
      <c r="A3677" t="s">
        <v>20</v>
      </c>
      <c r="B3677">
        <v>67</v>
      </c>
      <c r="C3677">
        <v>64</v>
      </c>
    </row>
    <row r="3678" spans="1:4" hidden="1" x14ac:dyDescent="0.25">
      <c r="A3678" t="s">
        <v>20</v>
      </c>
      <c r="B3678">
        <v>67</v>
      </c>
      <c r="C3678">
        <v>65</v>
      </c>
    </row>
    <row r="3679" spans="1:4" hidden="1" x14ac:dyDescent="0.25">
      <c r="A3679" t="s">
        <v>20</v>
      </c>
      <c r="B3679">
        <v>67</v>
      </c>
      <c r="C3679">
        <v>66</v>
      </c>
    </row>
    <row r="3680" spans="1:4" hidden="1" x14ac:dyDescent="0.25">
      <c r="A3680" t="s">
        <v>20</v>
      </c>
      <c r="B3680">
        <v>67</v>
      </c>
      <c r="C3680">
        <v>67</v>
      </c>
    </row>
    <row r="3681" spans="1:4" hidden="1" x14ac:dyDescent="0.25">
      <c r="A3681" t="s">
        <v>20</v>
      </c>
      <c r="B3681">
        <v>67</v>
      </c>
      <c r="C3681">
        <v>68</v>
      </c>
      <c r="D3681">
        <v>1</v>
      </c>
    </row>
    <row r="3682" spans="1:4" hidden="1" x14ac:dyDescent="0.25">
      <c r="A3682" t="s">
        <v>20</v>
      </c>
      <c r="B3682">
        <v>67</v>
      </c>
      <c r="C3682">
        <v>69</v>
      </c>
    </row>
    <row r="3683" spans="1:4" hidden="1" x14ac:dyDescent="0.25">
      <c r="A3683" t="s">
        <v>20</v>
      </c>
      <c r="B3683">
        <v>67</v>
      </c>
      <c r="C3683">
        <v>70</v>
      </c>
    </row>
    <row r="3684" spans="1:4" hidden="1" x14ac:dyDescent="0.25">
      <c r="A3684" t="s">
        <v>20</v>
      </c>
      <c r="B3684">
        <v>67</v>
      </c>
      <c r="C3684">
        <v>71</v>
      </c>
      <c r="D3684">
        <v>1</v>
      </c>
    </row>
    <row r="3685" spans="1:4" hidden="1" x14ac:dyDescent="0.25">
      <c r="A3685" t="s">
        <v>20</v>
      </c>
      <c r="B3685">
        <v>67</v>
      </c>
      <c r="C3685">
        <v>72</v>
      </c>
    </row>
    <row r="3686" spans="1:4" hidden="1" x14ac:dyDescent="0.25">
      <c r="A3686" t="s">
        <v>20</v>
      </c>
      <c r="B3686">
        <v>67</v>
      </c>
      <c r="C3686">
        <v>73</v>
      </c>
    </row>
    <row r="3687" spans="1:4" hidden="1" x14ac:dyDescent="0.25">
      <c r="A3687" t="s">
        <v>20</v>
      </c>
      <c r="B3687">
        <v>67</v>
      </c>
      <c r="C3687">
        <v>74</v>
      </c>
      <c r="D3687">
        <v>1</v>
      </c>
    </row>
    <row r="3688" spans="1:4" hidden="1" x14ac:dyDescent="0.25">
      <c r="A3688" t="s">
        <v>20</v>
      </c>
      <c r="B3688">
        <v>67</v>
      </c>
      <c r="C3688">
        <v>75</v>
      </c>
    </row>
    <row r="3689" spans="1:4" hidden="1" x14ac:dyDescent="0.25">
      <c r="A3689" t="s">
        <v>20</v>
      </c>
      <c r="B3689">
        <v>67</v>
      </c>
      <c r="C3689">
        <v>76</v>
      </c>
    </row>
    <row r="3690" spans="1:4" hidden="1" x14ac:dyDescent="0.25">
      <c r="A3690" t="s">
        <v>20</v>
      </c>
      <c r="B3690">
        <v>67</v>
      </c>
      <c r="C3690">
        <v>77</v>
      </c>
    </row>
    <row r="3691" spans="1:4" hidden="1" x14ac:dyDescent="0.25">
      <c r="A3691" t="s">
        <v>20</v>
      </c>
      <c r="B3691">
        <v>67</v>
      </c>
      <c r="C3691">
        <v>78</v>
      </c>
    </row>
    <row r="3692" spans="1:4" hidden="1" x14ac:dyDescent="0.25">
      <c r="A3692" t="s">
        <v>20</v>
      </c>
      <c r="B3692">
        <v>67</v>
      </c>
      <c r="C3692">
        <v>79</v>
      </c>
    </row>
    <row r="3693" spans="1:4" hidden="1" x14ac:dyDescent="0.25">
      <c r="A3693" t="s">
        <v>20</v>
      </c>
      <c r="B3693">
        <v>67</v>
      </c>
      <c r="C3693">
        <v>80</v>
      </c>
    </row>
    <row r="3694" spans="1:4" hidden="1" x14ac:dyDescent="0.25">
      <c r="A3694" t="s">
        <v>20</v>
      </c>
      <c r="B3694">
        <v>67</v>
      </c>
      <c r="C3694">
        <v>81</v>
      </c>
    </row>
    <row r="3695" spans="1:4" hidden="1" x14ac:dyDescent="0.25">
      <c r="A3695" t="s">
        <v>20</v>
      </c>
      <c r="B3695">
        <v>67</v>
      </c>
      <c r="C3695">
        <v>82</v>
      </c>
      <c r="D3695">
        <v>1</v>
      </c>
    </row>
    <row r="3696" spans="1:4" hidden="1" x14ac:dyDescent="0.25">
      <c r="A3696" t="s">
        <v>20</v>
      </c>
      <c r="B3696">
        <v>67</v>
      </c>
      <c r="C3696">
        <v>83</v>
      </c>
    </row>
    <row r="3697" spans="1:4" hidden="1" x14ac:dyDescent="0.25">
      <c r="A3697" t="s">
        <v>20</v>
      </c>
      <c r="B3697">
        <v>67</v>
      </c>
      <c r="C3697">
        <v>84</v>
      </c>
    </row>
    <row r="3698" spans="1:4" hidden="1" x14ac:dyDescent="0.25">
      <c r="A3698" t="s">
        <v>20</v>
      </c>
      <c r="B3698">
        <v>68</v>
      </c>
      <c r="C3698">
        <v>1</v>
      </c>
    </row>
    <row r="3699" spans="1:4" hidden="1" x14ac:dyDescent="0.25">
      <c r="A3699" t="s">
        <v>20</v>
      </c>
      <c r="B3699">
        <v>68</v>
      </c>
      <c r="C3699">
        <v>2</v>
      </c>
      <c r="D3699">
        <v>1</v>
      </c>
    </row>
    <row r="3700" spans="1:4" hidden="1" x14ac:dyDescent="0.25">
      <c r="A3700" t="s">
        <v>20</v>
      </c>
      <c r="B3700">
        <v>68</v>
      </c>
      <c r="C3700">
        <v>3</v>
      </c>
    </row>
    <row r="3701" spans="1:4" hidden="1" x14ac:dyDescent="0.25">
      <c r="A3701" t="s">
        <v>20</v>
      </c>
      <c r="B3701">
        <v>68</v>
      </c>
      <c r="C3701">
        <v>4</v>
      </c>
      <c r="D3701">
        <v>1</v>
      </c>
    </row>
    <row r="3702" spans="1:4" hidden="1" x14ac:dyDescent="0.25">
      <c r="A3702" t="s">
        <v>20</v>
      </c>
      <c r="B3702">
        <v>68</v>
      </c>
      <c r="C3702">
        <v>5</v>
      </c>
    </row>
    <row r="3703" spans="1:4" hidden="1" x14ac:dyDescent="0.25">
      <c r="A3703" t="s">
        <v>20</v>
      </c>
      <c r="B3703">
        <v>68</v>
      </c>
      <c r="C3703">
        <v>6</v>
      </c>
    </row>
    <row r="3704" spans="1:4" hidden="1" x14ac:dyDescent="0.25">
      <c r="A3704" t="s">
        <v>20</v>
      </c>
      <c r="B3704">
        <v>68</v>
      </c>
      <c r="C3704">
        <v>7</v>
      </c>
    </row>
    <row r="3705" spans="1:4" hidden="1" x14ac:dyDescent="0.25">
      <c r="A3705" t="s">
        <v>20</v>
      </c>
      <c r="B3705">
        <v>68</v>
      </c>
      <c r="C3705">
        <v>8</v>
      </c>
      <c r="D3705">
        <v>1</v>
      </c>
    </row>
    <row r="3706" spans="1:4" hidden="1" x14ac:dyDescent="0.25">
      <c r="A3706" t="s">
        <v>20</v>
      </c>
      <c r="B3706">
        <v>68</v>
      </c>
      <c r="C3706">
        <v>9</v>
      </c>
    </row>
    <row r="3707" spans="1:4" hidden="1" x14ac:dyDescent="0.25">
      <c r="A3707" t="s">
        <v>20</v>
      </c>
      <c r="B3707">
        <v>68</v>
      </c>
      <c r="C3707">
        <v>10</v>
      </c>
      <c r="D3707">
        <v>1</v>
      </c>
    </row>
    <row r="3708" spans="1:4" hidden="1" x14ac:dyDescent="0.25">
      <c r="A3708" t="s">
        <v>20</v>
      </c>
      <c r="B3708">
        <v>68</v>
      </c>
      <c r="C3708">
        <v>11</v>
      </c>
    </row>
    <row r="3709" spans="1:4" hidden="1" x14ac:dyDescent="0.25">
      <c r="A3709" t="s">
        <v>20</v>
      </c>
      <c r="B3709">
        <v>68</v>
      </c>
      <c r="C3709">
        <v>12</v>
      </c>
    </row>
    <row r="3710" spans="1:4" hidden="1" x14ac:dyDescent="0.25">
      <c r="A3710" t="s">
        <v>20</v>
      </c>
      <c r="B3710">
        <v>68</v>
      </c>
      <c r="C3710">
        <v>13</v>
      </c>
      <c r="D3710">
        <v>1</v>
      </c>
    </row>
    <row r="3711" spans="1:4" hidden="1" x14ac:dyDescent="0.25">
      <c r="A3711" t="s">
        <v>20</v>
      </c>
      <c r="B3711">
        <v>68</v>
      </c>
      <c r="C3711">
        <v>14</v>
      </c>
    </row>
    <row r="3712" spans="1:4" hidden="1" x14ac:dyDescent="0.25">
      <c r="A3712" t="s">
        <v>20</v>
      </c>
      <c r="B3712">
        <v>68</v>
      </c>
      <c r="C3712">
        <v>15</v>
      </c>
    </row>
    <row r="3713" spans="1:4" hidden="1" x14ac:dyDescent="0.25">
      <c r="A3713" t="s">
        <v>20</v>
      </c>
      <c r="B3713">
        <v>68</v>
      </c>
      <c r="C3713">
        <v>16</v>
      </c>
      <c r="D3713">
        <v>1</v>
      </c>
    </row>
    <row r="3714" spans="1:4" hidden="1" x14ac:dyDescent="0.25">
      <c r="A3714" t="s">
        <v>20</v>
      </c>
      <c r="B3714">
        <v>68</v>
      </c>
      <c r="C3714">
        <v>17</v>
      </c>
    </row>
    <row r="3715" spans="1:4" hidden="1" x14ac:dyDescent="0.25">
      <c r="A3715" t="s">
        <v>20</v>
      </c>
      <c r="B3715">
        <v>68</v>
      </c>
      <c r="C3715">
        <v>18</v>
      </c>
    </row>
    <row r="3716" spans="1:4" hidden="1" x14ac:dyDescent="0.25">
      <c r="A3716" t="s">
        <v>20</v>
      </c>
      <c r="B3716">
        <v>68</v>
      </c>
      <c r="C3716">
        <v>19</v>
      </c>
    </row>
    <row r="3717" spans="1:4" hidden="1" x14ac:dyDescent="0.25">
      <c r="A3717" t="s">
        <v>20</v>
      </c>
      <c r="B3717">
        <v>68</v>
      </c>
      <c r="C3717">
        <v>20</v>
      </c>
    </row>
    <row r="3718" spans="1:4" hidden="1" x14ac:dyDescent="0.25">
      <c r="A3718" t="s">
        <v>20</v>
      </c>
      <c r="B3718">
        <v>68</v>
      </c>
      <c r="C3718">
        <v>21</v>
      </c>
    </row>
    <row r="3719" spans="1:4" hidden="1" x14ac:dyDescent="0.25">
      <c r="A3719" t="s">
        <v>20</v>
      </c>
      <c r="B3719">
        <v>68</v>
      </c>
      <c r="C3719">
        <v>22</v>
      </c>
      <c r="D3719">
        <v>1</v>
      </c>
    </row>
    <row r="3720" spans="1:4" hidden="1" x14ac:dyDescent="0.25">
      <c r="A3720" t="s">
        <v>20</v>
      </c>
      <c r="B3720">
        <v>68</v>
      </c>
      <c r="C3720">
        <v>23</v>
      </c>
    </row>
    <row r="3721" spans="1:4" hidden="1" x14ac:dyDescent="0.25">
      <c r="A3721" t="s">
        <v>20</v>
      </c>
      <c r="B3721">
        <v>68</v>
      </c>
      <c r="C3721">
        <v>24</v>
      </c>
    </row>
    <row r="3722" spans="1:4" hidden="1" x14ac:dyDescent="0.25">
      <c r="A3722" t="s">
        <v>20</v>
      </c>
      <c r="B3722">
        <v>68</v>
      </c>
      <c r="C3722">
        <v>25</v>
      </c>
      <c r="D3722">
        <v>1</v>
      </c>
    </row>
    <row r="3723" spans="1:4" hidden="1" x14ac:dyDescent="0.25">
      <c r="A3723" t="s">
        <v>20</v>
      </c>
      <c r="B3723">
        <v>68</v>
      </c>
      <c r="C3723">
        <v>26</v>
      </c>
    </row>
    <row r="3724" spans="1:4" hidden="1" x14ac:dyDescent="0.25">
      <c r="A3724" t="s">
        <v>20</v>
      </c>
      <c r="B3724">
        <v>68</v>
      </c>
      <c r="C3724">
        <v>27</v>
      </c>
    </row>
    <row r="3725" spans="1:4" hidden="1" x14ac:dyDescent="0.25">
      <c r="A3725" t="s">
        <v>20</v>
      </c>
      <c r="B3725">
        <v>68</v>
      </c>
      <c r="C3725">
        <v>28</v>
      </c>
      <c r="D3725">
        <v>1</v>
      </c>
    </row>
    <row r="3726" spans="1:4" hidden="1" x14ac:dyDescent="0.25">
      <c r="A3726" t="s">
        <v>20</v>
      </c>
      <c r="B3726">
        <v>68</v>
      </c>
      <c r="C3726">
        <v>29</v>
      </c>
    </row>
    <row r="3727" spans="1:4" hidden="1" x14ac:dyDescent="0.25">
      <c r="A3727" t="s">
        <v>20</v>
      </c>
      <c r="B3727">
        <v>68</v>
      </c>
      <c r="C3727">
        <v>30</v>
      </c>
    </row>
    <row r="3728" spans="1:4" hidden="1" x14ac:dyDescent="0.25">
      <c r="A3728" t="s">
        <v>20</v>
      </c>
      <c r="B3728">
        <v>68</v>
      </c>
      <c r="C3728">
        <v>31</v>
      </c>
      <c r="D3728">
        <v>1</v>
      </c>
    </row>
    <row r="3729" spans="1:4" hidden="1" x14ac:dyDescent="0.25">
      <c r="A3729" t="s">
        <v>20</v>
      </c>
      <c r="B3729">
        <v>68</v>
      </c>
      <c r="C3729">
        <v>32</v>
      </c>
    </row>
    <row r="3730" spans="1:4" hidden="1" x14ac:dyDescent="0.25">
      <c r="A3730" t="s">
        <v>20</v>
      </c>
      <c r="B3730">
        <v>68</v>
      </c>
      <c r="C3730">
        <v>33</v>
      </c>
    </row>
    <row r="3731" spans="1:4" hidden="1" x14ac:dyDescent="0.25">
      <c r="A3731" t="s">
        <v>20</v>
      </c>
      <c r="B3731">
        <v>68</v>
      </c>
      <c r="C3731">
        <v>34</v>
      </c>
      <c r="D3731">
        <v>1</v>
      </c>
    </row>
    <row r="3732" spans="1:4" hidden="1" x14ac:dyDescent="0.25">
      <c r="A3732" t="s">
        <v>20</v>
      </c>
      <c r="B3732">
        <v>68</v>
      </c>
      <c r="C3732">
        <v>35</v>
      </c>
    </row>
    <row r="3733" spans="1:4" hidden="1" x14ac:dyDescent="0.25">
      <c r="A3733" t="s">
        <v>20</v>
      </c>
      <c r="B3733">
        <v>68</v>
      </c>
      <c r="C3733">
        <v>36</v>
      </c>
    </row>
    <row r="3734" spans="1:4" hidden="1" x14ac:dyDescent="0.25">
      <c r="A3734" t="s">
        <v>20</v>
      </c>
      <c r="B3734">
        <v>68</v>
      </c>
      <c r="C3734">
        <v>37</v>
      </c>
    </row>
    <row r="3735" spans="1:4" hidden="1" x14ac:dyDescent="0.25">
      <c r="A3735" t="s">
        <v>20</v>
      </c>
      <c r="B3735">
        <v>68</v>
      </c>
      <c r="C3735">
        <v>38</v>
      </c>
    </row>
    <row r="3736" spans="1:4" hidden="1" x14ac:dyDescent="0.25">
      <c r="A3736" t="s">
        <v>20</v>
      </c>
      <c r="B3736">
        <v>68</v>
      </c>
      <c r="C3736">
        <v>39</v>
      </c>
    </row>
    <row r="3737" spans="1:4" hidden="1" x14ac:dyDescent="0.25">
      <c r="A3737" t="s">
        <v>20</v>
      </c>
      <c r="B3737">
        <v>68</v>
      </c>
      <c r="C3737">
        <v>40</v>
      </c>
      <c r="D3737">
        <v>1</v>
      </c>
    </row>
    <row r="3738" spans="1:4" hidden="1" x14ac:dyDescent="0.25">
      <c r="A3738" t="s">
        <v>20</v>
      </c>
      <c r="B3738">
        <v>68</v>
      </c>
      <c r="C3738">
        <v>41</v>
      </c>
    </row>
    <row r="3739" spans="1:4" hidden="1" x14ac:dyDescent="0.25">
      <c r="A3739" t="s">
        <v>20</v>
      </c>
      <c r="B3739">
        <v>68</v>
      </c>
      <c r="C3739">
        <v>42</v>
      </c>
    </row>
    <row r="3740" spans="1:4" hidden="1" x14ac:dyDescent="0.25">
      <c r="A3740" t="s">
        <v>20</v>
      </c>
      <c r="B3740">
        <v>68</v>
      </c>
      <c r="C3740">
        <v>43</v>
      </c>
    </row>
    <row r="3741" spans="1:4" hidden="1" x14ac:dyDescent="0.25">
      <c r="A3741" t="s">
        <v>20</v>
      </c>
      <c r="B3741">
        <v>68</v>
      </c>
      <c r="C3741">
        <v>44</v>
      </c>
    </row>
    <row r="3742" spans="1:4" hidden="1" x14ac:dyDescent="0.25">
      <c r="A3742" t="s">
        <v>20</v>
      </c>
      <c r="B3742">
        <v>68</v>
      </c>
      <c r="C3742">
        <v>45</v>
      </c>
    </row>
    <row r="3743" spans="1:4" hidden="1" x14ac:dyDescent="0.25">
      <c r="A3743" t="s">
        <v>20</v>
      </c>
      <c r="B3743">
        <v>68</v>
      </c>
      <c r="C3743">
        <v>46</v>
      </c>
      <c r="D3743">
        <v>1</v>
      </c>
    </row>
    <row r="3744" spans="1:4" hidden="1" x14ac:dyDescent="0.25">
      <c r="A3744" t="s">
        <v>20</v>
      </c>
      <c r="B3744">
        <v>68</v>
      </c>
      <c r="C3744">
        <v>47</v>
      </c>
    </row>
    <row r="3745" spans="1:4" hidden="1" x14ac:dyDescent="0.25">
      <c r="A3745" t="s">
        <v>20</v>
      </c>
      <c r="B3745">
        <v>68</v>
      </c>
      <c r="C3745">
        <v>48</v>
      </c>
    </row>
    <row r="3746" spans="1:4" hidden="1" x14ac:dyDescent="0.25">
      <c r="A3746" t="s">
        <v>20</v>
      </c>
      <c r="B3746">
        <v>68</v>
      </c>
      <c r="C3746">
        <v>49</v>
      </c>
      <c r="D3746">
        <v>1</v>
      </c>
    </row>
    <row r="3747" spans="1:4" hidden="1" x14ac:dyDescent="0.25">
      <c r="A3747" t="s">
        <v>20</v>
      </c>
      <c r="B3747">
        <v>68</v>
      </c>
      <c r="C3747">
        <v>50</v>
      </c>
    </row>
    <row r="3748" spans="1:4" hidden="1" x14ac:dyDescent="0.25">
      <c r="A3748" t="s">
        <v>20</v>
      </c>
      <c r="B3748">
        <v>68</v>
      </c>
      <c r="C3748">
        <v>51</v>
      </c>
    </row>
    <row r="3749" spans="1:4" hidden="1" x14ac:dyDescent="0.25">
      <c r="A3749" t="s">
        <v>20</v>
      </c>
      <c r="B3749">
        <v>68</v>
      </c>
      <c r="C3749">
        <v>52</v>
      </c>
      <c r="D3749">
        <v>1</v>
      </c>
    </row>
    <row r="3750" spans="1:4" hidden="1" x14ac:dyDescent="0.25">
      <c r="A3750" t="s">
        <v>20</v>
      </c>
      <c r="B3750">
        <v>68</v>
      </c>
      <c r="C3750">
        <v>53</v>
      </c>
    </row>
    <row r="3751" spans="1:4" hidden="1" x14ac:dyDescent="0.25">
      <c r="A3751" t="s">
        <v>20</v>
      </c>
      <c r="B3751">
        <v>68</v>
      </c>
      <c r="C3751">
        <v>54</v>
      </c>
    </row>
    <row r="3752" spans="1:4" hidden="1" x14ac:dyDescent="0.25">
      <c r="A3752" t="s">
        <v>20</v>
      </c>
      <c r="B3752">
        <v>68</v>
      </c>
      <c r="C3752">
        <v>55</v>
      </c>
      <c r="D3752">
        <v>1</v>
      </c>
    </row>
    <row r="3753" spans="1:4" hidden="1" x14ac:dyDescent="0.25">
      <c r="A3753" t="s">
        <v>20</v>
      </c>
      <c r="B3753">
        <v>68</v>
      </c>
      <c r="C3753">
        <v>56</v>
      </c>
    </row>
    <row r="3754" spans="1:4" hidden="1" x14ac:dyDescent="0.25">
      <c r="A3754" t="s">
        <v>20</v>
      </c>
      <c r="B3754">
        <v>68</v>
      </c>
      <c r="C3754">
        <v>57</v>
      </c>
    </row>
    <row r="3755" spans="1:4" hidden="1" x14ac:dyDescent="0.25">
      <c r="A3755" t="s">
        <v>20</v>
      </c>
      <c r="B3755">
        <v>68</v>
      </c>
      <c r="C3755">
        <v>58</v>
      </c>
    </row>
    <row r="3756" spans="1:4" hidden="1" x14ac:dyDescent="0.25">
      <c r="A3756" t="s">
        <v>20</v>
      </c>
      <c r="B3756">
        <v>68</v>
      </c>
      <c r="C3756">
        <v>59</v>
      </c>
    </row>
    <row r="3757" spans="1:4" hidden="1" x14ac:dyDescent="0.25">
      <c r="A3757" t="s">
        <v>20</v>
      </c>
      <c r="B3757">
        <v>68</v>
      </c>
      <c r="C3757">
        <v>60</v>
      </c>
    </row>
    <row r="3758" spans="1:4" hidden="1" x14ac:dyDescent="0.25">
      <c r="A3758" t="s">
        <v>20</v>
      </c>
      <c r="B3758">
        <v>68</v>
      </c>
      <c r="C3758">
        <v>61</v>
      </c>
    </row>
    <row r="3759" spans="1:4" hidden="1" x14ac:dyDescent="0.25">
      <c r="A3759" t="s">
        <v>20</v>
      </c>
      <c r="B3759">
        <v>68</v>
      </c>
      <c r="C3759">
        <v>62</v>
      </c>
    </row>
    <row r="3760" spans="1:4" hidden="1" x14ac:dyDescent="0.25">
      <c r="A3760" t="s">
        <v>20</v>
      </c>
      <c r="B3760">
        <v>68</v>
      </c>
      <c r="C3760">
        <v>63</v>
      </c>
    </row>
    <row r="3761" spans="1:4" hidden="1" x14ac:dyDescent="0.25">
      <c r="A3761" t="s">
        <v>20</v>
      </c>
      <c r="B3761">
        <v>68</v>
      </c>
      <c r="C3761">
        <v>64</v>
      </c>
    </row>
    <row r="3762" spans="1:4" hidden="1" x14ac:dyDescent="0.25">
      <c r="A3762" t="s">
        <v>20</v>
      </c>
      <c r="B3762">
        <v>68</v>
      </c>
      <c r="C3762">
        <v>65</v>
      </c>
    </row>
    <row r="3763" spans="1:4" hidden="1" x14ac:dyDescent="0.25">
      <c r="A3763" t="s">
        <v>20</v>
      </c>
      <c r="B3763">
        <v>68</v>
      </c>
      <c r="C3763">
        <v>66</v>
      </c>
    </row>
    <row r="3764" spans="1:4" hidden="1" x14ac:dyDescent="0.25">
      <c r="A3764" t="s">
        <v>20</v>
      </c>
      <c r="B3764">
        <v>68</v>
      </c>
      <c r="C3764">
        <v>67</v>
      </c>
      <c r="D3764">
        <v>1</v>
      </c>
    </row>
    <row r="3765" spans="1:4" hidden="1" x14ac:dyDescent="0.25">
      <c r="A3765" t="s">
        <v>20</v>
      </c>
      <c r="B3765">
        <v>68</v>
      </c>
      <c r="C3765">
        <v>68</v>
      </c>
    </row>
    <row r="3766" spans="1:4" hidden="1" x14ac:dyDescent="0.25">
      <c r="A3766" t="s">
        <v>20</v>
      </c>
      <c r="B3766">
        <v>68</v>
      </c>
      <c r="C3766">
        <v>69</v>
      </c>
    </row>
    <row r="3767" spans="1:4" hidden="1" x14ac:dyDescent="0.25">
      <c r="A3767" t="s">
        <v>20</v>
      </c>
      <c r="B3767">
        <v>68</v>
      </c>
      <c r="C3767">
        <v>70</v>
      </c>
      <c r="D3767">
        <v>1</v>
      </c>
    </row>
    <row r="3768" spans="1:4" hidden="1" x14ac:dyDescent="0.25">
      <c r="A3768" t="s">
        <v>20</v>
      </c>
      <c r="B3768">
        <v>68</v>
      </c>
      <c r="C3768">
        <v>71</v>
      </c>
    </row>
    <row r="3769" spans="1:4" hidden="1" x14ac:dyDescent="0.25">
      <c r="A3769" t="s">
        <v>20</v>
      </c>
      <c r="B3769">
        <v>68</v>
      </c>
      <c r="C3769">
        <v>72</v>
      </c>
    </row>
    <row r="3770" spans="1:4" hidden="1" x14ac:dyDescent="0.25">
      <c r="A3770" t="s">
        <v>20</v>
      </c>
      <c r="B3770">
        <v>68</v>
      </c>
      <c r="C3770">
        <v>73</v>
      </c>
      <c r="D3770">
        <v>1</v>
      </c>
    </row>
    <row r="3771" spans="1:4" hidden="1" x14ac:dyDescent="0.25">
      <c r="A3771" t="s">
        <v>20</v>
      </c>
      <c r="B3771">
        <v>68</v>
      </c>
      <c r="C3771">
        <v>74</v>
      </c>
    </row>
    <row r="3772" spans="1:4" hidden="1" x14ac:dyDescent="0.25">
      <c r="A3772" t="s">
        <v>20</v>
      </c>
      <c r="B3772">
        <v>68</v>
      </c>
      <c r="C3772">
        <v>75</v>
      </c>
    </row>
    <row r="3773" spans="1:4" hidden="1" x14ac:dyDescent="0.25">
      <c r="A3773" t="s">
        <v>20</v>
      </c>
      <c r="B3773">
        <v>68</v>
      </c>
      <c r="C3773">
        <v>76</v>
      </c>
      <c r="D3773">
        <v>1</v>
      </c>
    </row>
    <row r="3774" spans="1:4" hidden="1" x14ac:dyDescent="0.25">
      <c r="A3774" t="s">
        <v>20</v>
      </c>
      <c r="B3774">
        <v>68</v>
      </c>
      <c r="C3774">
        <v>77</v>
      </c>
    </row>
    <row r="3775" spans="1:4" hidden="1" x14ac:dyDescent="0.25">
      <c r="A3775" t="s">
        <v>20</v>
      </c>
      <c r="B3775">
        <v>68</v>
      </c>
      <c r="C3775">
        <v>78</v>
      </c>
    </row>
    <row r="3776" spans="1:4" hidden="1" x14ac:dyDescent="0.25">
      <c r="A3776" t="s">
        <v>20</v>
      </c>
      <c r="B3776">
        <v>68</v>
      </c>
      <c r="C3776">
        <v>79</v>
      </c>
    </row>
    <row r="3777" spans="1:4" hidden="1" x14ac:dyDescent="0.25">
      <c r="A3777" t="s">
        <v>20</v>
      </c>
      <c r="B3777">
        <v>68</v>
      </c>
      <c r="C3777">
        <v>80</v>
      </c>
    </row>
    <row r="3778" spans="1:4" hidden="1" x14ac:dyDescent="0.25">
      <c r="A3778" t="s">
        <v>20</v>
      </c>
      <c r="B3778">
        <v>68</v>
      </c>
      <c r="C3778">
        <v>81</v>
      </c>
    </row>
    <row r="3779" spans="1:4" hidden="1" x14ac:dyDescent="0.25">
      <c r="A3779" t="s">
        <v>20</v>
      </c>
      <c r="B3779">
        <v>68</v>
      </c>
      <c r="C3779">
        <v>82</v>
      </c>
      <c r="D3779">
        <v>1</v>
      </c>
    </row>
    <row r="3780" spans="1:4" hidden="1" x14ac:dyDescent="0.25">
      <c r="A3780" t="s">
        <v>20</v>
      </c>
      <c r="B3780">
        <v>68</v>
      </c>
      <c r="C3780">
        <v>83</v>
      </c>
    </row>
    <row r="3781" spans="1:4" hidden="1" x14ac:dyDescent="0.25">
      <c r="A3781" t="s">
        <v>20</v>
      </c>
      <c r="B3781">
        <v>68</v>
      </c>
      <c r="C3781">
        <v>84</v>
      </c>
    </row>
    <row r="3782" spans="1:4" hidden="1" x14ac:dyDescent="0.25">
      <c r="A3782" t="s">
        <v>20</v>
      </c>
      <c r="B3782">
        <v>69</v>
      </c>
      <c r="C3782">
        <v>1</v>
      </c>
      <c r="D3782">
        <v>1</v>
      </c>
    </row>
    <row r="3783" spans="1:4" hidden="1" x14ac:dyDescent="0.25">
      <c r="A3783" t="s">
        <v>20</v>
      </c>
      <c r="B3783">
        <v>69</v>
      </c>
      <c r="C3783">
        <v>2</v>
      </c>
    </row>
    <row r="3784" spans="1:4" hidden="1" x14ac:dyDescent="0.25">
      <c r="A3784" t="s">
        <v>20</v>
      </c>
      <c r="B3784">
        <v>69</v>
      </c>
      <c r="C3784">
        <v>3</v>
      </c>
    </row>
    <row r="3785" spans="1:4" hidden="1" x14ac:dyDescent="0.25">
      <c r="A3785" t="s">
        <v>20</v>
      </c>
      <c r="B3785">
        <v>69</v>
      </c>
      <c r="C3785">
        <v>4</v>
      </c>
      <c r="D3785">
        <v>1</v>
      </c>
    </row>
    <row r="3786" spans="1:4" hidden="1" x14ac:dyDescent="0.25">
      <c r="A3786" t="s">
        <v>20</v>
      </c>
      <c r="B3786">
        <v>69</v>
      </c>
      <c r="C3786">
        <v>5</v>
      </c>
    </row>
    <row r="3787" spans="1:4" hidden="1" x14ac:dyDescent="0.25">
      <c r="A3787" t="s">
        <v>20</v>
      </c>
      <c r="B3787">
        <v>69</v>
      </c>
      <c r="C3787">
        <v>6</v>
      </c>
    </row>
    <row r="3788" spans="1:4" hidden="1" x14ac:dyDescent="0.25">
      <c r="A3788" t="s">
        <v>20</v>
      </c>
      <c r="B3788">
        <v>69</v>
      </c>
      <c r="C3788">
        <v>7</v>
      </c>
    </row>
    <row r="3789" spans="1:4" hidden="1" x14ac:dyDescent="0.25">
      <c r="A3789" t="s">
        <v>20</v>
      </c>
      <c r="B3789">
        <v>69</v>
      </c>
      <c r="C3789">
        <v>8</v>
      </c>
    </row>
    <row r="3790" spans="1:4" hidden="1" x14ac:dyDescent="0.25">
      <c r="A3790" t="s">
        <v>20</v>
      </c>
      <c r="B3790">
        <v>69</v>
      </c>
      <c r="C3790">
        <v>9</v>
      </c>
    </row>
    <row r="3791" spans="1:4" hidden="1" x14ac:dyDescent="0.25">
      <c r="A3791" t="s">
        <v>20</v>
      </c>
      <c r="B3791">
        <v>69</v>
      </c>
      <c r="C3791">
        <v>10</v>
      </c>
    </row>
    <row r="3792" spans="1:4" hidden="1" x14ac:dyDescent="0.25">
      <c r="A3792" t="s">
        <v>20</v>
      </c>
      <c r="B3792">
        <v>69</v>
      </c>
      <c r="C3792">
        <v>11</v>
      </c>
    </row>
    <row r="3793" spans="1:4" hidden="1" x14ac:dyDescent="0.25">
      <c r="A3793" t="s">
        <v>20</v>
      </c>
      <c r="B3793">
        <v>69</v>
      </c>
      <c r="C3793">
        <v>12</v>
      </c>
    </row>
    <row r="3794" spans="1:4" hidden="1" x14ac:dyDescent="0.25">
      <c r="A3794" t="s">
        <v>20</v>
      </c>
      <c r="B3794">
        <v>69</v>
      </c>
      <c r="C3794">
        <v>13</v>
      </c>
      <c r="D3794">
        <v>1</v>
      </c>
    </row>
    <row r="3795" spans="1:4" hidden="1" x14ac:dyDescent="0.25">
      <c r="A3795" t="s">
        <v>20</v>
      </c>
      <c r="B3795">
        <v>69</v>
      </c>
      <c r="C3795">
        <v>14</v>
      </c>
    </row>
    <row r="3796" spans="1:4" hidden="1" x14ac:dyDescent="0.25">
      <c r="A3796" t="s">
        <v>20</v>
      </c>
      <c r="B3796">
        <v>69</v>
      </c>
      <c r="C3796">
        <v>15</v>
      </c>
    </row>
    <row r="3797" spans="1:4" hidden="1" x14ac:dyDescent="0.25">
      <c r="A3797" t="s">
        <v>20</v>
      </c>
      <c r="B3797">
        <v>69</v>
      </c>
      <c r="C3797">
        <v>16</v>
      </c>
    </row>
    <row r="3798" spans="1:4" hidden="1" x14ac:dyDescent="0.25">
      <c r="A3798" t="s">
        <v>20</v>
      </c>
      <c r="B3798">
        <v>69</v>
      </c>
      <c r="C3798">
        <v>17</v>
      </c>
    </row>
    <row r="3799" spans="1:4" hidden="1" x14ac:dyDescent="0.25">
      <c r="A3799" t="s">
        <v>20</v>
      </c>
      <c r="B3799">
        <v>69</v>
      </c>
      <c r="C3799">
        <v>18</v>
      </c>
    </row>
    <row r="3800" spans="1:4" hidden="1" x14ac:dyDescent="0.25">
      <c r="A3800" t="s">
        <v>20</v>
      </c>
      <c r="B3800">
        <v>69</v>
      </c>
      <c r="C3800">
        <v>19</v>
      </c>
    </row>
    <row r="3801" spans="1:4" hidden="1" x14ac:dyDescent="0.25">
      <c r="A3801" t="s">
        <v>20</v>
      </c>
      <c r="B3801">
        <v>69</v>
      </c>
      <c r="C3801">
        <v>20</v>
      </c>
    </row>
    <row r="3802" spans="1:4" hidden="1" x14ac:dyDescent="0.25">
      <c r="A3802" t="s">
        <v>20</v>
      </c>
      <c r="B3802">
        <v>69</v>
      </c>
      <c r="C3802">
        <v>21</v>
      </c>
    </row>
    <row r="3803" spans="1:4" hidden="1" x14ac:dyDescent="0.25">
      <c r="A3803" t="s">
        <v>20</v>
      </c>
      <c r="B3803">
        <v>69</v>
      </c>
      <c r="C3803">
        <v>22</v>
      </c>
    </row>
    <row r="3804" spans="1:4" hidden="1" x14ac:dyDescent="0.25">
      <c r="A3804" t="s">
        <v>20</v>
      </c>
      <c r="B3804">
        <v>69</v>
      </c>
      <c r="C3804">
        <v>23</v>
      </c>
    </row>
    <row r="3805" spans="1:4" hidden="1" x14ac:dyDescent="0.25">
      <c r="A3805" t="s">
        <v>20</v>
      </c>
      <c r="B3805">
        <v>69</v>
      </c>
      <c r="C3805">
        <v>24</v>
      </c>
    </row>
    <row r="3806" spans="1:4" hidden="1" x14ac:dyDescent="0.25">
      <c r="A3806" t="s">
        <v>20</v>
      </c>
      <c r="B3806">
        <v>69</v>
      </c>
      <c r="C3806">
        <v>25</v>
      </c>
    </row>
    <row r="3807" spans="1:4" hidden="1" x14ac:dyDescent="0.25">
      <c r="A3807" t="s">
        <v>20</v>
      </c>
      <c r="B3807">
        <v>69</v>
      </c>
      <c r="C3807">
        <v>26</v>
      </c>
    </row>
    <row r="3808" spans="1:4" hidden="1" x14ac:dyDescent="0.25">
      <c r="A3808" t="s">
        <v>20</v>
      </c>
      <c r="B3808">
        <v>69</v>
      </c>
      <c r="C3808">
        <v>27</v>
      </c>
    </row>
    <row r="3809" spans="1:4" hidden="1" x14ac:dyDescent="0.25">
      <c r="A3809" t="s">
        <v>20</v>
      </c>
      <c r="B3809">
        <v>69</v>
      </c>
      <c r="C3809">
        <v>28</v>
      </c>
    </row>
    <row r="3810" spans="1:4" hidden="1" x14ac:dyDescent="0.25">
      <c r="A3810" t="s">
        <v>20</v>
      </c>
      <c r="B3810">
        <v>69</v>
      </c>
      <c r="C3810">
        <v>29</v>
      </c>
    </row>
    <row r="3811" spans="1:4" hidden="1" x14ac:dyDescent="0.25">
      <c r="A3811" t="s">
        <v>20</v>
      </c>
      <c r="B3811">
        <v>69</v>
      </c>
      <c r="C3811">
        <v>30</v>
      </c>
    </row>
    <row r="3812" spans="1:4" hidden="1" x14ac:dyDescent="0.25">
      <c r="A3812" t="s">
        <v>20</v>
      </c>
      <c r="B3812">
        <v>69</v>
      </c>
      <c r="C3812">
        <v>31</v>
      </c>
    </row>
    <row r="3813" spans="1:4" hidden="1" x14ac:dyDescent="0.25">
      <c r="A3813" t="s">
        <v>20</v>
      </c>
      <c r="B3813">
        <v>69</v>
      </c>
      <c r="C3813">
        <v>32</v>
      </c>
    </row>
    <row r="3814" spans="1:4" hidden="1" x14ac:dyDescent="0.25">
      <c r="A3814" t="s">
        <v>20</v>
      </c>
      <c r="B3814">
        <v>69</v>
      </c>
      <c r="C3814">
        <v>33</v>
      </c>
    </row>
    <row r="3815" spans="1:4" hidden="1" x14ac:dyDescent="0.25">
      <c r="A3815" t="s">
        <v>20</v>
      </c>
      <c r="B3815">
        <v>69</v>
      </c>
      <c r="C3815">
        <v>34</v>
      </c>
    </row>
    <row r="3816" spans="1:4" hidden="1" x14ac:dyDescent="0.25">
      <c r="A3816" t="s">
        <v>20</v>
      </c>
      <c r="B3816">
        <v>69</v>
      </c>
      <c r="C3816">
        <v>35</v>
      </c>
    </row>
    <row r="3817" spans="1:4" hidden="1" x14ac:dyDescent="0.25">
      <c r="A3817" t="s">
        <v>20</v>
      </c>
      <c r="B3817">
        <v>69</v>
      </c>
      <c r="C3817">
        <v>36</v>
      </c>
    </row>
    <row r="3818" spans="1:4" hidden="1" x14ac:dyDescent="0.25">
      <c r="A3818" t="s">
        <v>20</v>
      </c>
      <c r="B3818">
        <v>69</v>
      </c>
      <c r="C3818">
        <v>37</v>
      </c>
    </row>
    <row r="3819" spans="1:4" hidden="1" x14ac:dyDescent="0.25">
      <c r="A3819" t="s">
        <v>20</v>
      </c>
      <c r="B3819">
        <v>69</v>
      </c>
      <c r="C3819">
        <v>38</v>
      </c>
    </row>
    <row r="3820" spans="1:4" hidden="1" x14ac:dyDescent="0.25">
      <c r="A3820" t="s">
        <v>20</v>
      </c>
      <c r="B3820">
        <v>69</v>
      </c>
      <c r="C3820">
        <v>39</v>
      </c>
    </row>
    <row r="3821" spans="1:4" hidden="1" x14ac:dyDescent="0.25">
      <c r="A3821" t="s">
        <v>20</v>
      </c>
      <c r="B3821">
        <v>69</v>
      </c>
      <c r="C3821">
        <v>40</v>
      </c>
    </row>
    <row r="3822" spans="1:4" hidden="1" x14ac:dyDescent="0.25">
      <c r="A3822" t="s">
        <v>20</v>
      </c>
      <c r="B3822">
        <v>69</v>
      </c>
      <c r="C3822">
        <v>41</v>
      </c>
    </row>
    <row r="3823" spans="1:4" hidden="1" x14ac:dyDescent="0.25">
      <c r="A3823" t="s">
        <v>20</v>
      </c>
      <c r="B3823">
        <v>69</v>
      </c>
      <c r="C3823">
        <v>42</v>
      </c>
    </row>
    <row r="3824" spans="1:4" hidden="1" x14ac:dyDescent="0.25">
      <c r="A3824" t="s">
        <v>20</v>
      </c>
      <c r="B3824">
        <v>69</v>
      </c>
      <c r="C3824">
        <v>43</v>
      </c>
      <c r="D3824">
        <v>1</v>
      </c>
    </row>
    <row r="3825" spans="1:4" hidden="1" x14ac:dyDescent="0.25">
      <c r="A3825" t="s">
        <v>20</v>
      </c>
      <c r="B3825">
        <v>69</v>
      </c>
      <c r="C3825">
        <v>44</v>
      </c>
    </row>
    <row r="3826" spans="1:4" hidden="1" x14ac:dyDescent="0.25">
      <c r="A3826" t="s">
        <v>20</v>
      </c>
      <c r="B3826">
        <v>69</v>
      </c>
      <c r="C3826">
        <v>45</v>
      </c>
    </row>
    <row r="3827" spans="1:4" hidden="1" x14ac:dyDescent="0.25">
      <c r="A3827" t="s">
        <v>20</v>
      </c>
      <c r="B3827">
        <v>69</v>
      </c>
      <c r="C3827">
        <v>46</v>
      </c>
    </row>
    <row r="3828" spans="1:4" hidden="1" x14ac:dyDescent="0.25">
      <c r="A3828" t="s">
        <v>20</v>
      </c>
      <c r="B3828">
        <v>69</v>
      </c>
      <c r="C3828">
        <v>47</v>
      </c>
    </row>
    <row r="3829" spans="1:4" hidden="1" x14ac:dyDescent="0.25">
      <c r="A3829" t="s">
        <v>20</v>
      </c>
      <c r="B3829">
        <v>69</v>
      </c>
      <c r="C3829">
        <v>48</v>
      </c>
    </row>
    <row r="3830" spans="1:4" hidden="1" x14ac:dyDescent="0.25">
      <c r="A3830" t="s">
        <v>20</v>
      </c>
      <c r="B3830">
        <v>69</v>
      </c>
      <c r="C3830">
        <v>49</v>
      </c>
    </row>
    <row r="3831" spans="1:4" hidden="1" x14ac:dyDescent="0.25">
      <c r="A3831" t="s">
        <v>20</v>
      </c>
      <c r="B3831">
        <v>69</v>
      </c>
      <c r="C3831">
        <v>50</v>
      </c>
    </row>
    <row r="3832" spans="1:4" hidden="1" x14ac:dyDescent="0.25">
      <c r="A3832" t="s">
        <v>20</v>
      </c>
      <c r="B3832">
        <v>69</v>
      </c>
      <c r="C3832">
        <v>51</v>
      </c>
    </row>
    <row r="3833" spans="1:4" hidden="1" x14ac:dyDescent="0.25">
      <c r="A3833" t="s">
        <v>20</v>
      </c>
      <c r="B3833">
        <v>69</v>
      </c>
      <c r="C3833">
        <v>52</v>
      </c>
    </row>
    <row r="3834" spans="1:4" hidden="1" x14ac:dyDescent="0.25">
      <c r="A3834" t="s">
        <v>20</v>
      </c>
      <c r="B3834">
        <v>69</v>
      </c>
      <c r="C3834">
        <v>53</v>
      </c>
    </row>
    <row r="3835" spans="1:4" hidden="1" x14ac:dyDescent="0.25">
      <c r="A3835" t="s">
        <v>20</v>
      </c>
      <c r="B3835">
        <v>69</v>
      </c>
      <c r="C3835">
        <v>54</v>
      </c>
    </row>
    <row r="3836" spans="1:4" hidden="1" x14ac:dyDescent="0.25">
      <c r="A3836" t="s">
        <v>20</v>
      </c>
      <c r="B3836">
        <v>69</v>
      </c>
      <c r="C3836">
        <v>55</v>
      </c>
      <c r="D3836">
        <v>1</v>
      </c>
    </row>
    <row r="3837" spans="1:4" hidden="1" x14ac:dyDescent="0.25">
      <c r="A3837" t="s">
        <v>20</v>
      </c>
      <c r="B3837">
        <v>69</v>
      </c>
      <c r="C3837">
        <v>56</v>
      </c>
    </row>
    <row r="3838" spans="1:4" hidden="1" x14ac:dyDescent="0.25">
      <c r="A3838" t="s">
        <v>20</v>
      </c>
      <c r="B3838">
        <v>69</v>
      </c>
      <c r="C3838">
        <v>57</v>
      </c>
    </row>
    <row r="3839" spans="1:4" hidden="1" x14ac:dyDescent="0.25">
      <c r="A3839" t="s">
        <v>20</v>
      </c>
      <c r="B3839">
        <v>69</v>
      </c>
      <c r="C3839">
        <v>58</v>
      </c>
    </row>
    <row r="3840" spans="1:4" hidden="1" x14ac:dyDescent="0.25">
      <c r="A3840" t="s">
        <v>20</v>
      </c>
      <c r="B3840">
        <v>69</v>
      </c>
      <c r="C3840">
        <v>59</v>
      </c>
    </row>
    <row r="3841" spans="1:4" hidden="1" x14ac:dyDescent="0.25">
      <c r="A3841" t="s">
        <v>20</v>
      </c>
      <c r="B3841">
        <v>69</v>
      </c>
      <c r="C3841">
        <v>60</v>
      </c>
    </row>
    <row r="3842" spans="1:4" hidden="1" x14ac:dyDescent="0.25">
      <c r="A3842" t="s">
        <v>20</v>
      </c>
      <c r="B3842">
        <v>69</v>
      </c>
      <c r="C3842">
        <v>61</v>
      </c>
      <c r="D3842">
        <v>1</v>
      </c>
    </row>
    <row r="3843" spans="1:4" hidden="1" x14ac:dyDescent="0.25">
      <c r="A3843" t="s">
        <v>20</v>
      </c>
      <c r="B3843">
        <v>69</v>
      </c>
      <c r="C3843">
        <v>62</v>
      </c>
    </row>
    <row r="3844" spans="1:4" hidden="1" x14ac:dyDescent="0.25">
      <c r="A3844" t="s">
        <v>20</v>
      </c>
      <c r="B3844">
        <v>69</v>
      </c>
      <c r="C3844">
        <v>63</v>
      </c>
    </row>
    <row r="3845" spans="1:4" hidden="1" x14ac:dyDescent="0.25">
      <c r="A3845" t="s">
        <v>20</v>
      </c>
      <c r="B3845">
        <v>69</v>
      </c>
      <c r="C3845">
        <v>64</v>
      </c>
      <c r="D3845">
        <v>1</v>
      </c>
    </row>
    <row r="3846" spans="1:4" hidden="1" x14ac:dyDescent="0.25">
      <c r="A3846" t="s">
        <v>20</v>
      </c>
      <c r="B3846">
        <v>69</v>
      </c>
      <c r="C3846">
        <v>65</v>
      </c>
    </row>
    <row r="3847" spans="1:4" hidden="1" x14ac:dyDescent="0.25">
      <c r="A3847" t="s">
        <v>20</v>
      </c>
      <c r="B3847">
        <v>69</v>
      </c>
      <c r="C3847">
        <v>66</v>
      </c>
    </row>
    <row r="3848" spans="1:4" hidden="1" x14ac:dyDescent="0.25">
      <c r="A3848" t="s">
        <v>20</v>
      </c>
      <c r="B3848">
        <v>69</v>
      </c>
      <c r="C3848">
        <v>67</v>
      </c>
      <c r="D3848">
        <v>1</v>
      </c>
    </row>
    <row r="3849" spans="1:4" hidden="1" x14ac:dyDescent="0.25">
      <c r="A3849" t="s">
        <v>20</v>
      </c>
      <c r="B3849">
        <v>69</v>
      </c>
      <c r="C3849">
        <v>68</v>
      </c>
    </row>
    <row r="3850" spans="1:4" hidden="1" x14ac:dyDescent="0.25">
      <c r="A3850" t="s">
        <v>20</v>
      </c>
      <c r="B3850">
        <v>69</v>
      </c>
      <c r="C3850">
        <v>69</v>
      </c>
    </row>
    <row r="3851" spans="1:4" hidden="1" x14ac:dyDescent="0.25">
      <c r="A3851" t="s">
        <v>20</v>
      </c>
      <c r="B3851">
        <v>69</v>
      </c>
      <c r="C3851">
        <v>70</v>
      </c>
    </row>
    <row r="3852" spans="1:4" hidden="1" x14ac:dyDescent="0.25">
      <c r="A3852" t="s">
        <v>20</v>
      </c>
      <c r="B3852">
        <v>69</v>
      </c>
      <c r="C3852">
        <v>71</v>
      </c>
    </row>
    <row r="3853" spans="1:4" hidden="1" x14ac:dyDescent="0.25">
      <c r="A3853" t="s">
        <v>20</v>
      </c>
      <c r="B3853">
        <v>69</v>
      </c>
      <c r="C3853">
        <v>72</v>
      </c>
    </row>
    <row r="3854" spans="1:4" hidden="1" x14ac:dyDescent="0.25">
      <c r="A3854" t="s">
        <v>20</v>
      </c>
      <c r="B3854">
        <v>69</v>
      </c>
      <c r="C3854">
        <v>73</v>
      </c>
      <c r="D3854">
        <v>1</v>
      </c>
    </row>
    <row r="3855" spans="1:4" hidden="1" x14ac:dyDescent="0.25">
      <c r="A3855" t="s">
        <v>20</v>
      </c>
      <c r="B3855">
        <v>69</v>
      </c>
      <c r="C3855">
        <v>74</v>
      </c>
    </row>
    <row r="3856" spans="1:4" hidden="1" x14ac:dyDescent="0.25">
      <c r="A3856" t="s">
        <v>20</v>
      </c>
      <c r="B3856">
        <v>69</v>
      </c>
      <c r="C3856">
        <v>75</v>
      </c>
    </row>
    <row r="3857" spans="1:6" hidden="1" x14ac:dyDescent="0.25">
      <c r="A3857" t="s">
        <v>20</v>
      </c>
      <c r="B3857">
        <v>69</v>
      </c>
      <c r="C3857">
        <v>76</v>
      </c>
      <c r="D3857">
        <v>1</v>
      </c>
    </row>
    <row r="3858" spans="1:6" hidden="1" x14ac:dyDescent="0.25">
      <c r="A3858" t="s">
        <v>20</v>
      </c>
      <c r="B3858">
        <v>69</v>
      </c>
      <c r="C3858">
        <v>77</v>
      </c>
    </row>
    <row r="3859" spans="1:6" hidden="1" x14ac:dyDescent="0.25">
      <c r="A3859" t="s">
        <v>20</v>
      </c>
      <c r="B3859">
        <v>69</v>
      </c>
      <c r="C3859">
        <v>78</v>
      </c>
    </row>
    <row r="3860" spans="1:6" hidden="1" x14ac:dyDescent="0.25">
      <c r="A3860" t="s">
        <v>20</v>
      </c>
      <c r="B3860">
        <v>69</v>
      </c>
      <c r="C3860">
        <v>79</v>
      </c>
      <c r="D3860">
        <v>1</v>
      </c>
    </row>
    <row r="3861" spans="1:6" hidden="1" x14ac:dyDescent="0.25">
      <c r="A3861" t="s">
        <v>20</v>
      </c>
      <c r="B3861">
        <v>69</v>
      </c>
      <c r="C3861">
        <v>80</v>
      </c>
    </row>
    <row r="3862" spans="1:6" hidden="1" x14ac:dyDescent="0.25">
      <c r="A3862" t="s">
        <v>20</v>
      </c>
      <c r="B3862">
        <v>69</v>
      </c>
      <c r="C3862">
        <v>81</v>
      </c>
    </row>
    <row r="3863" spans="1:6" hidden="1" x14ac:dyDescent="0.25">
      <c r="A3863" t="s">
        <v>20</v>
      </c>
      <c r="B3863">
        <v>69</v>
      </c>
      <c r="C3863">
        <v>82</v>
      </c>
    </row>
    <row r="3864" spans="1:6" hidden="1" x14ac:dyDescent="0.25">
      <c r="A3864" t="s">
        <v>20</v>
      </c>
      <c r="B3864">
        <v>69</v>
      </c>
      <c r="C3864">
        <v>83</v>
      </c>
    </row>
    <row r="3865" spans="1:6" hidden="1" x14ac:dyDescent="0.25">
      <c r="A3865" t="s">
        <v>20</v>
      </c>
      <c r="B3865">
        <v>69</v>
      </c>
      <c r="C3865">
        <v>84</v>
      </c>
    </row>
    <row r="3866" spans="1:6" hidden="1" x14ac:dyDescent="0.25">
      <c r="A3866" t="s">
        <v>20</v>
      </c>
      <c r="B3866">
        <v>70</v>
      </c>
      <c r="C3866">
        <v>1</v>
      </c>
      <c r="E3866">
        <v>84</v>
      </c>
      <c r="F3866">
        <v>11</v>
      </c>
    </row>
    <row r="3867" spans="1:6" hidden="1" x14ac:dyDescent="0.25">
      <c r="A3867" t="s">
        <v>20</v>
      </c>
      <c r="B3867">
        <v>70</v>
      </c>
      <c r="C3867">
        <v>2</v>
      </c>
      <c r="E3867">
        <v>84</v>
      </c>
      <c r="F3867">
        <v>11</v>
      </c>
    </row>
    <row r="3868" spans="1:6" hidden="1" x14ac:dyDescent="0.25">
      <c r="A3868" t="s">
        <v>20</v>
      </c>
      <c r="B3868">
        <v>70</v>
      </c>
      <c r="C3868">
        <v>3</v>
      </c>
      <c r="E3868">
        <v>84</v>
      </c>
      <c r="F3868">
        <v>11</v>
      </c>
    </row>
    <row r="3869" spans="1:6" hidden="1" x14ac:dyDescent="0.25">
      <c r="A3869" t="s">
        <v>20</v>
      </c>
      <c r="B3869">
        <v>70</v>
      </c>
      <c r="C3869">
        <v>4</v>
      </c>
      <c r="E3869">
        <v>84</v>
      </c>
      <c r="F3869">
        <v>11</v>
      </c>
    </row>
    <row r="3870" spans="1:6" hidden="1" x14ac:dyDescent="0.25">
      <c r="A3870" t="s">
        <v>20</v>
      </c>
      <c r="B3870">
        <v>70</v>
      </c>
      <c r="C3870">
        <v>5</v>
      </c>
      <c r="E3870">
        <v>84</v>
      </c>
      <c r="F3870">
        <v>11</v>
      </c>
    </row>
    <row r="3871" spans="1:6" hidden="1" x14ac:dyDescent="0.25">
      <c r="A3871" t="s">
        <v>20</v>
      </c>
      <c r="B3871">
        <v>70</v>
      </c>
      <c r="C3871">
        <v>6</v>
      </c>
      <c r="E3871">
        <v>84</v>
      </c>
      <c r="F3871">
        <v>11</v>
      </c>
    </row>
    <row r="3872" spans="1:6" hidden="1" x14ac:dyDescent="0.25">
      <c r="A3872" t="s">
        <v>20</v>
      </c>
      <c r="B3872">
        <v>70</v>
      </c>
      <c r="C3872">
        <v>7</v>
      </c>
      <c r="D3872">
        <v>1</v>
      </c>
      <c r="E3872">
        <v>84</v>
      </c>
      <c r="F3872">
        <v>11</v>
      </c>
    </row>
    <row r="3873" spans="1:6" hidden="1" x14ac:dyDescent="0.25">
      <c r="A3873" t="s">
        <v>20</v>
      </c>
      <c r="B3873">
        <v>70</v>
      </c>
      <c r="C3873">
        <v>8</v>
      </c>
      <c r="E3873">
        <v>84</v>
      </c>
      <c r="F3873">
        <v>11</v>
      </c>
    </row>
    <row r="3874" spans="1:6" hidden="1" x14ac:dyDescent="0.25">
      <c r="A3874" t="s">
        <v>20</v>
      </c>
      <c r="B3874">
        <v>70</v>
      </c>
      <c r="C3874">
        <v>9</v>
      </c>
      <c r="E3874">
        <v>84</v>
      </c>
      <c r="F3874">
        <v>11</v>
      </c>
    </row>
    <row r="3875" spans="1:6" hidden="1" x14ac:dyDescent="0.25">
      <c r="A3875" t="s">
        <v>20</v>
      </c>
      <c r="B3875">
        <v>70</v>
      </c>
      <c r="C3875">
        <v>10</v>
      </c>
      <c r="E3875">
        <v>84</v>
      </c>
      <c r="F3875">
        <v>11</v>
      </c>
    </row>
    <row r="3876" spans="1:6" hidden="1" x14ac:dyDescent="0.25">
      <c r="A3876" t="s">
        <v>20</v>
      </c>
      <c r="B3876">
        <v>70</v>
      </c>
      <c r="C3876">
        <v>11</v>
      </c>
      <c r="E3876">
        <v>84</v>
      </c>
      <c r="F3876">
        <v>11</v>
      </c>
    </row>
    <row r="3877" spans="1:6" hidden="1" x14ac:dyDescent="0.25">
      <c r="A3877" t="s">
        <v>20</v>
      </c>
      <c r="B3877">
        <v>70</v>
      </c>
      <c r="C3877">
        <v>12</v>
      </c>
      <c r="D3877">
        <v>1</v>
      </c>
      <c r="E3877">
        <v>84</v>
      </c>
      <c r="F3877">
        <v>11</v>
      </c>
    </row>
    <row r="3878" spans="1:6" hidden="1" x14ac:dyDescent="0.25">
      <c r="A3878" t="s">
        <v>20</v>
      </c>
      <c r="B3878">
        <v>70</v>
      </c>
      <c r="C3878">
        <v>13</v>
      </c>
      <c r="E3878">
        <v>84</v>
      </c>
      <c r="F3878">
        <v>11</v>
      </c>
    </row>
    <row r="3879" spans="1:6" hidden="1" x14ac:dyDescent="0.25">
      <c r="A3879" t="s">
        <v>20</v>
      </c>
      <c r="B3879">
        <v>70</v>
      </c>
      <c r="C3879">
        <v>14</v>
      </c>
      <c r="E3879">
        <v>84</v>
      </c>
      <c r="F3879">
        <v>11</v>
      </c>
    </row>
    <row r="3880" spans="1:6" hidden="1" x14ac:dyDescent="0.25">
      <c r="A3880" t="s">
        <v>20</v>
      </c>
      <c r="B3880">
        <v>70</v>
      </c>
      <c r="C3880">
        <v>15</v>
      </c>
      <c r="E3880">
        <v>84</v>
      </c>
      <c r="F3880">
        <v>11</v>
      </c>
    </row>
    <row r="3881" spans="1:6" hidden="1" x14ac:dyDescent="0.25">
      <c r="A3881" t="s">
        <v>20</v>
      </c>
      <c r="B3881">
        <v>70</v>
      </c>
      <c r="C3881">
        <v>16</v>
      </c>
      <c r="D3881">
        <v>1</v>
      </c>
      <c r="E3881">
        <v>84</v>
      </c>
      <c r="F3881">
        <v>11</v>
      </c>
    </row>
    <row r="3882" spans="1:6" hidden="1" x14ac:dyDescent="0.25">
      <c r="A3882" t="s">
        <v>20</v>
      </c>
      <c r="B3882">
        <v>70</v>
      </c>
      <c r="C3882">
        <v>17</v>
      </c>
      <c r="E3882">
        <v>84</v>
      </c>
      <c r="F3882">
        <v>11</v>
      </c>
    </row>
    <row r="3883" spans="1:6" hidden="1" x14ac:dyDescent="0.25">
      <c r="A3883" t="s">
        <v>20</v>
      </c>
      <c r="B3883">
        <v>70</v>
      </c>
      <c r="C3883">
        <v>18</v>
      </c>
      <c r="E3883">
        <v>84</v>
      </c>
      <c r="F3883">
        <v>11</v>
      </c>
    </row>
    <row r="3884" spans="1:6" hidden="1" x14ac:dyDescent="0.25">
      <c r="A3884" t="s">
        <v>20</v>
      </c>
      <c r="B3884">
        <v>70</v>
      </c>
      <c r="C3884">
        <v>19</v>
      </c>
      <c r="E3884">
        <v>84</v>
      </c>
      <c r="F3884">
        <v>11</v>
      </c>
    </row>
    <row r="3885" spans="1:6" hidden="1" x14ac:dyDescent="0.25">
      <c r="A3885" t="s">
        <v>20</v>
      </c>
      <c r="B3885">
        <v>70</v>
      </c>
      <c r="C3885">
        <v>20</v>
      </c>
      <c r="E3885">
        <v>84</v>
      </c>
      <c r="F3885">
        <v>11</v>
      </c>
    </row>
    <row r="3886" spans="1:6" hidden="1" x14ac:dyDescent="0.25">
      <c r="A3886" t="s">
        <v>20</v>
      </c>
      <c r="B3886">
        <v>70</v>
      </c>
      <c r="C3886">
        <v>21</v>
      </c>
      <c r="E3886">
        <v>84</v>
      </c>
      <c r="F3886">
        <v>11</v>
      </c>
    </row>
    <row r="3887" spans="1:6" hidden="1" x14ac:dyDescent="0.25">
      <c r="A3887" t="s">
        <v>20</v>
      </c>
      <c r="B3887">
        <v>70</v>
      </c>
      <c r="C3887">
        <v>22</v>
      </c>
      <c r="E3887">
        <v>84</v>
      </c>
      <c r="F3887">
        <v>11</v>
      </c>
    </row>
    <row r="3888" spans="1:6" hidden="1" x14ac:dyDescent="0.25">
      <c r="A3888" t="s">
        <v>20</v>
      </c>
      <c r="B3888">
        <v>70</v>
      </c>
      <c r="C3888">
        <v>23</v>
      </c>
      <c r="E3888">
        <v>84</v>
      </c>
      <c r="F3888">
        <v>11</v>
      </c>
    </row>
    <row r="3889" spans="1:6" hidden="1" x14ac:dyDescent="0.25">
      <c r="A3889" t="s">
        <v>20</v>
      </c>
      <c r="B3889">
        <v>70</v>
      </c>
      <c r="C3889">
        <v>24</v>
      </c>
      <c r="E3889">
        <v>84</v>
      </c>
      <c r="F3889">
        <v>11</v>
      </c>
    </row>
    <row r="3890" spans="1:6" hidden="1" x14ac:dyDescent="0.25">
      <c r="A3890" t="s">
        <v>20</v>
      </c>
      <c r="B3890">
        <v>70</v>
      </c>
      <c r="C3890">
        <v>25</v>
      </c>
      <c r="E3890">
        <v>84</v>
      </c>
      <c r="F3890">
        <v>11</v>
      </c>
    </row>
    <row r="3891" spans="1:6" hidden="1" x14ac:dyDescent="0.25">
      <c r="A3891" t="s">
        <v>20</v>
      </c>
      <c r="B3891">
        <v>70</v>
      </c>
      <c r="C3891">
        <v>26</v>
      </c>
      <c r="E3891">
        <v>84</v>
      </c>
      <c r="F3891">
        <v>11</v>
      </c>
    </row>
    <row r="3892" spans="1:6" hidden="1" x14ac:dyDescent="0.25">
      <c r="A3892" t="s">
        <v>20</v>
      </c>
      <c r="B3892">
        <v>70</v>
      </c>
      <c r="C3892">
        <v>27</v>
      </c>
      <c r="E3892">
        <v>84</v>
      </c>
      <c r="F3892">
        <v>11</v>
      </c>
    </row>
    <row r="3893" spans="1:6" hidden="1" x14ac:dyDescent="0.25">
      <c r="A3893" t="s">
        <v>20</v>
      </c>
      <c r="B3893">
        <v>70</v>
      </c>
      <c r="C3893">
        <v>28</v>
      </c>
      <c r="E3893">
        <v>84</v>
      </c>
      <c r="F3893">
        <v>11</v>
      </c>
    </row>
    <row r="3894" spans="1:6" hidden="1" x14ac:dyDescent="0.25">
      <c r="A3894" t="s">
        <v>20</v>
      </c>
      <c r="B3894">
        <v>70</v>
      </c>
      <c r="C3894">
        <v>29</v>
      </c>
      <c r="E3894">
        <v>84</v>
      </c>
      <c r="F3894">
        <v>11</v>
      </c>
    </row>
    <row r="3895" spans="1:6" hidden="1" x14ac:dyDescent="0.25">
      <c r="A3895" t="s">
        <v>20</v>
      </c>
      <c r="B3895">
        <v>70</v>
      </c>
      <c r="C3895">
        <v>30</v>
      </c>
      <c r="D3895">
        <v>1</v>
      </c>
      <c r="E3895">
        <v>84</v>
      </c>
      <c r="F3895">
        <v>11</v>
      </c>
    </row>
    <row r="3896" spans="1:6" hidden="1" x14ac:dyDescent="0.25">
      <c r="A3896" t="s">
        <v>20</v>
      </c>
      <c r="B3896">
        <v>70</v>
      </c>
      <c r="C3896">
        <v>31</v>
      </c>
      <c r="E3896">
        <v>84</v>
      </c>
      <c r="F3896">
        <v>11</v>
      </c>
    </row>
    <row r="3897" spans="1:6" hidden="1" x14ac:dyDescent="0.25">
      <c r="A3897" t="s">
        <v>20</v>
      </c>
      <c r="B3897">
        <v>70</v>
      </c>
      <c r="C3897">
        <v>32</v>
      </c>
      <c r="E3897">
        <v>84</v>
      </c>
      <c r="F3897">
        <v>11</v>
      </c>
    </row>
    <row r="3898" spans="1:6" hidden="1" x14ac:dyDescent="0.25">
      <c r="A3898" t="s">
        <v>20</v>
      </c>
      <c r="B3898">
        <v>70</v>
      </c>
      <c r="C3898">
        <v>33</v>
      </c>
      <c r="E3898">
        <v>84</v>
      </c>
      <c r="F3898">
        <v>11</v>
      </c>
    </row>
    <row r="3899" spans="1:6" hidden="1" x14ac:dyDescent="0.25">
      <c r="A3899" t="s">
        <v>20</v>
      </c>
      <c r="B3899">
        <v>70</v>
      </c>
      <c r="C3899">
        <v>34</v>
      </c>
      <c r="E3899">
        <v>84</v>
      </c>
      <c r="F3899">
        <v>11</v>
      </c>
    </row>
    <row r="3900" spans="1:6" hidden="1" x14ac:dyDescent="0.25">
      <c r="A3900" t="s">
        <v>20</v>
      </c>
      <c r="B3900">
        <v>70</v>
      </c>
      <c r="C3900">
        <v>35</v>
      </c>
      <c r="E3900">
        <v>84</v>
      </c>
      <c r="F3900">
        <v>11</v>
      </c>
    </row>
    <row r="3901" spans="1:6" hidden="1" x14ac:dyDescent="0.25">
      <c r="A3901" t="s">
        <v>20</v>
      </c>
      <c r="B3901">
        <v>70</v>
      </c>
      <c r="C3901">
        <v>36</v>
      </c>
      <c r="E3901">
        <v>84</v>
      </c>
      <c r="F3901">
        <v>11</v>
      </c>
    </row>
    <row r="3902" spans="1:6" hidden="1" x14ac:dyDescent="0.25">
      <c r="A3902" t="s">
        <v>20</v>
      </c>
      <c r="B3902">
        <v>70</v>
      </c>
      <c r="C3902">
        <v>37</v>
      </c>
      <c r="D3902">
        <v>1</v>
      </c>
      <c r="E3902">
        <v>84</v>
      </c>
      <c r="F3902">
        <v>11</v>
      </c>
    </row>
    <row r="3903" spans="1:6" hidden="1" x14ac:dyDescent="0.25">
      <c r="A3903" t="s">
        <v>20</v>
      </c>
      <c r="B3903">
        <v>70</v>
      </c>
      <c r="C3903">
        <v>38</v>
      </c>
      <c r="E3903">
        <v>84</v>
      </c>
      <c r="F3903">
        <v>11</v>
      </c>
    </row>
    <row r="3904" spans="1:6" hidden="1" x14ac:dyDescent="0.25">
      <c r="A3904" t="s">
        <v>20</v>
      </c>
      <c r="B3904">
        <v>70</v>
      </c>
      <c r="C3904">
        <v>39</v>
      </c>
      <c r="E3904">
        <v>84</v>
      </c>
      <c r="F3904">
        <v>11</v>
      </c>
    </row>
    <row r="3905" spans="1:6" hidden="1" x14ac:dyDescent="0.25">
      <c r="A3905" t="s">
        <v>20</v>
      </c>
      <c r="B3905">
        <v>70</v>
      </c>
      <c r="C3905">
        <v>40</v>
      </c>
      <c r="D3905">
        <v>1</v>
      </c>
      <c r="E3905">
        <v>84</v>
      </c>
      <c r="F3905">
        <v>11</v>
      </c>
    </row>
    <row r="3906" spans="1:6" hidden="1" x14ac:dyDescent="0.25">
      <c r="A3906" t="s">
        <v>20</v>
      </c>
      <c r="B3906">
        <v>70</v>
      </c>
      <c r="C3906">
        <v>41</v>
      </c>
      <c r="E3906">
        <v>84</v>
      </c>
      <c r="F3906">
        <v>11</v>
      </c>
    </row>
    <row r="3907" spans="1:6" hidden="1" x14ac:dyDescent="0.25">
      <c r="A3907" t="s">
        <v>20</v>
      </c>
      <c r="B3907">
        <v>70</v>
      </c>
      <c r="C3907">
        <v>42</v>
      </c>
      <c r="E3907">
        <v>84</v>
      </c>
      <c r="F3907">
        <v>11</v>
      </c>
    </row>
    <row r="3908" spans="1:6" hidden="1" x14ac:dyDescent="0.25">
      <c r="A3908" t="s">
        <v>20</v>
      </c>
      <c r="B3908">
        <v>70</v>
      </c>
      <c r="C3908">
        <v>43</v>
      </c>
      <c r="D3908">
        <v>1</v>
      </c>
      <c r="E3908">
        <v>84</v>
      </c>
      <c r="F3908">
        <v>11</v>
      </c>
    </row>
    <row r="3909" spans="1:6" hidden="1" x14ac:dyDescent="0.25">
      <c r="A3909" t="s">
        <v>20</v>
      </c>
      <c r="B3909">
        <v>70</v>
      </c>
      <c r="C3909">
        <v>44</v>
      </c>
      <c r="E3909">
        <v>84</v>
      </c>
      <c r="F3909">
        <v>11</v>
      </c>
    </row>
    <row r="3910" spans="1:6" hidden="1" x14ac:dyDescent="0.25">
      <c r="A3910" t="s">
        <v>20</v>
      </c>
      <c r="B3910">
        <v>70</v>
      </c>
      <c r="C3910">
        <v>45</v>
      </c>
      <c r="E3910">
        <v>84</v>
      </c>
      <c r="F3910">
        <v>11</v>
      </c>
    </row>
    <row r="3911" spans="1:6" hidden="1" x14ac:dyDescent="0.25">
      <c r="A3911" t="s">
        <v>20</v>
      </c>
      <c r="B3911">
        <v>70</v>
      </c>
      <c r="C3911">
        <v>46</v>
      </c>
      <c r="E3911">
        <v>84</v>
      </c>
      <c r="F3911">
        <v>11</v>
      </c>
    </row>
    <row r="3912" spans="1:6" hidden="1" x14ac:dyDescent="0.25">
      <c r="A3912" t="s">
        <v>20</v>
      </c>
      <c r="B3912">
        <v>70</v>
      </c>
      <c r="C3912">
        <v>47</v>
      </c>
      <c r="E3912">
        <v>84</v>
      </c>
      <c r="F3912">
        <v>11</v>
      </c>
    </row>
    <row r="3913" spans="1:6" hidden="1" x14ac:dyDescent="0.25">
      <c r="A3913" t="s">
        <v>20</v>
      </c>
      <c r="B3913">
        <v>70</v>
      </c>
      <c r="C3913">
        <v>48</v>
      </c>
      <c r="E3913">
        <v>84</v>
      </c>
      <c r="F3913">
        <v>11</v>
      </c>
    </row>
    <row r="3914" spans="1:6" hidden="1" x14ac:dyDescent="0.25">
      <c r="A3914" t="s">
        <v>20</v>
      </c>
      <c r="B3914">
        <v>70</v>
      </c>
      <c r="C3914">
        <v>49</v>
      </c>
      <c r="E3914">
        <v>84</v>
      </c>
      <c r="F3914">
        <v>11</v>
      </c>
    </row>
    <row r="3915" spans="1:6" hidden="1" x14ac:dyDescent="0.25">
      <c r="A3915" t="s">
        <v>20</v>
      </c>
      <c r="B3915">
        <v>70</v>
      </c>
      <c r="C3915">
        <v>50</v>
      </c>
      <c r="E3915">
        <v>84</v>
      </c>
      <c r="F3915">
        <v>11</v>
      </c>
    </row>
    <row r="3916" spans="1:6" hidden="1" x14ac:dyDescent="0.25">
      <c r="A3916" t="s">
        <v>20</v>
      </c>
      <c r="B3916">
        <v>70</v>
      </c>
      <c r="C3916">
        <v>51</v>
      </c>
      <c r="E3916">
        <v>84</v>
      </c>
      <c r="F3916">
        <v>11</v>
      </c>
    </row>
    <row r="3917" spans="1:6" hidden="1" x14ac:dyDescent="0.25">
      <c r="A3917" t="s">
        <v>20</v>
      </c>
      <c r="B3917">
        <v>70</v>
      </c>
      <c r="C3917">
        <v>52</v>
      </c>
      <c r="E3917">
        <v>84</v>
      </c>
      <c r="F3917">
        <v>11</v>
      </c>
    </row>
    <row r="3918" spans="1:6" hidden="1" x14ac:dyDescent="0.25">
      <c r="A3918" t="s">
        <v>20</v>
      </c>
      <c r="B3918">
        <v>70</v>
      </c>
      <c r="C3918">
        <v>53</v>
      </c>
      <c r="E3918">
        <v>84</v>
      </c>
      <c r="F3918">
        <v>11</v>
      </c>
    </row>
    <row r="3919" spans="1:6" hidden="1" x14ac:dyDescent="0.25">
      <c r="A3919" t="s">
        <v>20</v>
      </c>
      <c r="B3919">
        <v>70</v>
      </c>
      <c r="C3919">
        <v>54</v>
      </c>
      <c r="E3919">
        <v>84</v>
      </c>
      <c r="F3919">
        <v>11</v>
      </c>
    </row>
    <row r="3920" spans="1:6" hidden="1" x14ac:dyDescent="0.25">
      <c r="A3920" t="s">
        <v>20</v>
      </c>
      <c r="B3920">
        <v>70</v>
      </c>
      <c r="C3920">
        <v>55</v>
      </c>
      <c r="E3920">
        <v>84</v>
      </c>
      <c r="F3920">
        <v>11</v>
      </c>
    </row>
    <row r="3921" spans="1:6" hidden="1" x14ac:dyDescent="0.25">
      <c r="A3921" t="s">
        <v>20</v>
      </c>
      <c r="B3921">
        <v>70</v>
      </c>
      <c r="C3921">
        <v>56</v>
      </c>
      <c r="E3921">
        <v>84</v>
      </c>
      <c r="F3921">
        <v>11</v>
      </c>
    </row>
    <row r="3922" spans="1:6" hidden="1" x14ac:dyDescent="0.25">
      <c r="A3922" t="s">
        <v>20</v>
      </c>
      <c r="B3922">
        <v>70</v>
      </c>
      <c r="C3922">
        <v>57</v>
      </c>
      <c r="E3922">
        <v>84</v>
      </c>
      <c r="F3922">
        <v>11</v>
      </c>
    </row>
    <row r="3923" spans="1:6" hidden="1" x14ac:dyDescent="0.25">
      <c r="A3923" t="s">
        <v>20</v>
      </c>
      <c r="B3923">
        <v>70</v>
      </c>
      <c r="C3923">
        <v>58</v>
      </c>
      <c r="D3923">
        <v>1</v>
      </c>
      <c r="E3923">
        <v>84</v>
      </c>
      <c r="F3923">
        <v>11</v>
      </c>
    </row>
    <row r="3924" spans="1:6" hidden="1" x14ac:dyDescent="0.25">
      <c r="A3924" t="s">
        <v>20</v>
      </c>
      <c r="B3924">
        <v>70</v>
      </c>
      <c r="C3924">
        <v>59</v>
      </c>
      <c r="E3924">
        <v>84</v>
      </c>
      <c r="F3924">
        <v>11</v>
      </c>
    </row>
    <row r="3925" spans="1:6" hidden="1" x14ac:dyDescent="0.25">
      <c r="A3925" t="s">
        <v>20</v>
      </c>
      <c r="B3925">
        <v>70</v>
      </c>
      <c r="C3925">
        <v>60</v>
      </c>
      <c r="E3925">
        <v>84</v>
      </c>
      <c r="F3925">
        <v>11</v>
      </c>
    </row>
    <row r="3926" spans="1:6" hidden="1" x14ac:dyDescent="0.25">
      <c r="A3926" t="s">
        <v>20</v>
      </c>
      <c r="B3926">
        <v>70</v>
      </c>
      <c r="C3926">
        <v>61</v>
      </c>
      <c r="E3926">
        <v>84</v>
      </c>
      <c r="F3926">
        <v>11</v>
      </c>
    </row>
    <row r="3927" spans="1:6" hidden="1" x14ac:dyDescent="0.25">
      <c r="A3927" t="s">
        <v>20</v>
      </c>
      <c r="B3927">
        <v>70</v>
      </c>
      <c r="C3927">
        <v>62</v>
      </c>
      <c r="E3927">
        <v>84</v>
      </c>
      <c r="F3927">
        <v>11</v>
      </c>
    </row>
    <row r="3928" spans="1:6" hidden="1" x14ac:dyDescent="0.25">
      <c r="A3928" t="s">
        <v>20</v>
      </c>
      <c r="B3928">
        <v>70</v>
      </c>
      <c r="C3928">
        <v>63</v>
      </c>
      <c r="E3928">
        <v>84</v>
      </c>
      <c r="F3928">
        <v>11</v>
      </c>
    </row>
    <row r="3929" spans="1:6" hidden="1" x14ac:dyDescent="0.25">
      <c r="A3929" t="s">
        <v>20</v>
      </c>
      <c r="B3929">
        <v>70</v>
      </c>
      <c r="C3929">
        <v>64</v>
      </c>
      <c r="D3929">
        <v>1</v>
      </c>
      <c r="E3929">
        <v>84</v>
      </c>
      <c r="F3929">
        <v>11</v>
      </c>
    </row>
    <row r="3930" spans="1:6" hidden="1" x14ac:dyDescent="0.25">
      <c r="A3930" t="s">
        <v>20</v>
      </c>
      <c r="B3930">
        <v>70</v>
      </c>
      <c r="C3930">
        <v>65</v>
      </c>
      <c r="E3930">
        <v>84</v>
      </c>
      <c r="F3930">
        <v>11</v>
      </c>
    </row>
    <row r="3931" spans="1:6" hidden="1" x14ac:dyDescent="0.25">
      <c r="A3931" t="s">
        <v>20</v>
      </c>
      <c r="B3931">
        <v>70</v>
      </c>
      <c r="C3931">
        <v>66</v>
      </c>
      <c r="E3931">
        <v>84</v>
      </c>
      <c r="F3931">
        <v>11</v>
      </c>
    </row>
    <row r="3932" spans="1:6" hidden="1" x14ac:dyDescent="0.25">
      <c r="A3932" t="s">
        <v>20</v>
      </c>
      <c r="B3932">
        <v>70</v>
      </c>
      <c r="C3932">
        <v>67</v>
      </c>
      <c r="E3932">
        <v>84</v>
      </c>
      <c r="F3932">
        <v>11</v>
      </c>
    </row>
    <row r="3933" spans="1:6" hidden="1" x14ac:dyDescent="0.25">
      <c r="A3933" t="s">
        <v>20</v>
      </c>
      <c r="B3933">
        <v>70</v>
      </c>
      <c r="C3933">
        <v>68</v>
      </c>
      <c r="E3933">
        <v>84</v>
      </c>
      <c r="F3933">
        <v>11</v>
      </c>
    </row>
    <row r="3934" spans="1:6" hidden="1" x14ac:dyDescent="0.25">
      <c r="A3934" t="s">
        <v>20</v>
      </c>
      <c r="B3934">
        <v>70</v>
      </c>
      <c r="C3934">
        <v>69</v>
      </c>
      <c r="E3934">
        <v>84</v>
      </c>
      <c r="F3934">
        <v>11</v>
      </c>
    </row>
    <row r="3935" spans="1:6" hidden="1" x14ac:dyDescent="0.25">
      <c r="A3935" t="s">
        <v>20</v>
      </c>
      <c r="B3935">
        <v>70</v>
      </c>
      <c r="C3935">
        <v>70</v>
      </c>
      <c r="E3935">
        <v>84</v>
      </c>
      <c r="F3935">
        <v>11</v>
      </c>
    </row>
    <row r="3936" spans="1:6" hidden="1" x14ac:dyDescent="0.25">
      <c r="A3936" t="s">
        <v>20</v>
      </c>
      <c r="B3936">
        <v>70</v>
      </c>
      <c r="C3936">
        <v>71</v>
      </c>
      <c r="E3936">
        <v>84</v>
      </c>
      <c r="F3936">
        <v>11</v>
      </c>
    </row>
    <row r="3937" spans="1:6" hidden="1" x14ac:dyDescent="0.25">
      <c r="A3937" t="s">
        <v>20</v>
      </c>
      <c r="B3937">
        <v>70</v>
      </c>
      <c r="C3937">
        <v>72</v>
      </c>
      <c r="E3937">
        <v>84</v>
      </c>
      <c r="F3937">
        <v>11</v>
      </c>
    </row>
    <row r="3938" spans="1:6" hidden="1" x14ac:dyDescent="0.25">
      <c r="A3938" t="s">
        <v>20</v>
      </c>
      <c r="B3938">
        <v>70</v>
      </c>
      <c r="C3938">
        <v>73</v>
      </c>
      <c r="D3938">
        <v>1</v>
      </c>
      <c r="E3938">
        <v>84</v>
      </c>
      <c r="F3938">
        <v>11</v>
      </c>
    </row>
    <row r="3939" spans="1:6" hidden="1" x14ac:dyDescent="0.25">
      <c r="A3939" t="s">
        <v>20</v>
      </c>
      <c r="B3939">
        <v>70</v>
      </c>
      <c r="C3939">
        <v>74</v>
      </c>
      <c r="E3939">
        <v>84</v>
      </c>
      <c r="F3939">
        <v>11</v>
      </c>
    </row>
    <row r="3940" spans="1:6" hidden="1" x14ac:dyDescent="0.25">
      <c r="A3940" t="s">
        <v>20</v>
      </c>
      <c r="B3940">
        <v>70</v>
      </c>
      <c r="C3940">
        <v>75</v>
      </c>
      <c r="E3940">
        <v>84</v>
      </c>
      <c r="F3940">
        <v>11</v>
      </c>
    </row>
    <row r="3941" spans="1:6" hidden="1" x14ac:dyDescent="0.25">
      <c r="A3941" t="s">
        <v>20</v>
      </c>
      <c r="B3941">
        <v>70</v>
      </c>
      <c r="C3941">
        <v>76</v>
      </c>
      <c r="E3941">
        <v>84</v>
      </c>
      <c r="F3941">
        <v>11</v>
      </c>
    </row>
    <row r="3942" spans="1:6" hidden="1" x14ac:dyDescent="0.25">
      <c r="A3942" t="s">
        <v>20</v>
      </c>
      <c r="B3942">
        <v>70</v>
      </c>
      <c r="C3942">
        <v>77</v>
      </c>
      <c r="E3942">
        <v>84</v>
      </c>
      <c r="F3942">
        <v>11</v>
      </c>
    </row>
    <row r="3943" spans="1:6" hidden="1" x14ac:dyDescent="0.25">
      <c r="A3943" t="s">
        <v>20</v>
      </c>
      <c r="B3943">
        <v>70</v>
      </c>
      <c r="C3943">
        <v>78</v>
      </c>
      <c r="E3943">
        <v>84</v>
      </c>
      <c r="F3943">
        <v>11</v>
      </c>
    </row>
    <row r="3944" spans="1:6" hidden="1" x14ac:dyDescent="0.25">
      <c r="A3944" t="s">
        <v>20</v>
      </c>
      <c r="B3944">
        <v>70</v>
      </c>
      <c r="C3944">
        <v>79</v>
      </c>
      <c r="D3944">
        <v>1</v>
      </c>
      <c r="E3944">
        <v>84</v>
      </c>
      <c r="F3944">
        <v>11</v>
      </c>
    </row>
    <row r="3945" spans="1:6" hidden="1" x14ac:dyDescent="0.25">
      <c r="A3945" t="s">
        <v>20</v>
      </c>
      <c r="B3945">
        <v>70</v>
      </c>
      <c r="C3945">
        <v>80</v>
      </c>
      <c r="E3945">
        <v>84</v>
      </c>
      <c r="F3945">
        <v>11</v>
      </c>
    </row>
    <row r="3946" spans="1:6" hidden="1" x14ac:dyDescent="0.25">
      <c r="A3946" t="s">
        <v>20</v>
      </c>
      <c r="B3946">
        <v>70</v>
      </c>
      <c r="C3946">
        <v>81</v>
      </c>
      <c r="E3946">
        <v>84</v>
      </c>
      <c r="F3946">
        <v>11</v>
      </c>
    </row>
    <row r="3947" spans="1:6" hidden="1" x14ac:dyDescent="0.25">
      <c r="A3947" t="s">
        <v>20</v>
      </c>
      <c r="B3947">
        <v>70</v>
      </c>
      <c r="C3947">
        <v>82</v>
      </c>
      <c r="E3947">
        <v>84</v>
      </c>
      <c r="F3947">
        <v>11</v>
      </c>
    </row>
    <row r="3948" spans="1:6" hidden="1" x14ac:dyDescent="0.25">
      <c r="A3948" t="s">
        <v>20</v>
      </c>
      <c r="B3948">
        <v>70</v>
      </c>
      <c r="C3948">
        <v>83</v>
      </c>
      <c r="E3948">
        <v>84</v>
      </c>
      <c r="F3948">
        <v>11</v>
      </c>
    </row>
    <row r="3949" spans="1:6" hidden="1" x14ac:dyDescent="0.25">
      <c r="A3949" t="s">
        <v>20</v>
      </c>
      <c r="B3949">
        <v>70</v>
      </c>
      <c r="C3949">
        <v>84</v>
      </c>
      <c r="E3949">
        <v>84</v>
      </c>
      <c r="F3949">
        <v>11</v>
      </c>
    </row>
    <row r="3950" spans="1:6" hidden="1" x14ac:dyDescent="0.25">
      <c r="A3950" t="s">
        <v>20</v>
      </c>
      <c r="B3950">
        <v>71</v>
      </c>
      <c r="C3950">
        <v>1</v>
      </c>
    </row>
    <row r="3951" spans="1:6" hidden="1" x14ac:dyDescent="0.25">
      <c r="A3951" t="s">
        <v>20</v>
      </c>
      <c r="B3951">
        <v>71</v>
      </c>
      <c r="C3951">
        <v>2</v>
      </c>
    </row>
    <row r="3952" spans="1:6" hidden="1" x14ac:dyDescent="0.25">
      <c r="A3952" t="s">
        <v>20</v>
      </c>
      <c r="B3952">
        <v>71</v>
      </c>
      <c r="C3952">
        <v>3</v>
      </c>
    </row>
    <row r="3953" spans="1:4" hidden="1" x14ac:dyDescent="0.25">
      <c r="A3953" t="s">
        <v>20</v>
      </c>
      <c r="B3953">
        <v>71</v>
      </c>
      <c r="C3953">
        <v>4</v>
      </c>
    </row>
    <row r="3954" spans="1:4" hidden="1" x14ac:dyDescent="0.25">
      <c r="A3954" t="s">
        <v>20</v>
      </c>
      <c r="B3954">
        <v>71</v>
      </c>
      <c r="C3954">
        <v>5</v>
      </c>
      <c r="D3954">
        <v>1</v>
      </c>
    </row>
    <row r="3955" spans="1:4" hidden="1" x14ac:dyDescent="0.25">
      <c r="A3955" t="s">
        <v>20</v>
      </c>
      <c r="B3955">
        <v>71</v>
      </c>
      <c r="C3955">
        <v>6</v>
      </c>
    </row>
    <row r="3956" spans="1:4" hidden="1" x14ac:dyDescent="0.25">
      <c r="A3956" t="s">
        <v>20</v>
      </c>
      <c r="B3956">
        <v>71</v>
      </c>
      <c r="C3956">
        <v>7</v>
      </c>
    </row>
    <row r="3957" spans="1:4" hidden="1" x14ac:dyDescent="0.25">
      <c r="A3957" t="s">
        <v>20</v>
      </c>
      <c r="B3957">
        <v>71</v>
      </c>
      <c r="C3957">
        <v>8</v>
      </c>
    </row>
    <row r="3958" spans="1:4" hidden="1" x14ac:dyDescent="0.25">
      <c r="A3958" t="s">
        <v>20</v>
      </c>
      <c r="B3958">
        <v>71</v>
      </c>
      <c r="C3958">
        <v>9</v>
      </c>
    </row>
    <row r="3959" spans="1:4" hidden="1" x14ac:dyDescent="0.25">
      <c r="A3959" t="s">
        <v>20</v>
      </c>
      <c r="B3959">
        <v>71</v>
      </c>
      <c r="C3959">
        <v>10</v>
      </c>
    </row>
    <row r="3960" spans="1:4" hidden="1" x14ac:dyDescent="0.25">
      <c r="A3960" t="s">
        <v>20</v>
      </c>
      <c r="B3960">
        <v>71</v>
      </c>
      <c r="C3960">
        <v>11</v>
      </c>
      <c r="D3960">
        <v>1</v>
      </c>
    </row>
    <row r="3961" spans="1:4" hidden="1" x14ac:dyDescent="0.25">
      <c r="A3961" t="s">
        <v>20</v>
      </c>
      <c r="B3961">
        <v>71</v>
      </c>
      <c r="C3961">
        <v>12</v>
      </c>
    </row>
    <row r="3962" spans="1:4" hidden="1" x14ac:dyDescent="0.25">
      <c r="A3962" t="s">
        <v>20</v>
      </c>
      <c r="B3962">
        <v>71</v>
      </c>
      <c r="C3962">
        <v>13</v>
      </c>
    </row>
    <row r="3963" spans="1:4" hidden="1" x14ac:dyDescent="0.25">
      <c r="A3963" t="s">
        <v>20</v>
      </c>
      <c r="B3963">
        <v>71</v>
      </c>
      <c r="C3963">
        <v>14</v>
      </c>
      <c r="D3963">
        <v>1</v>
      </c>
    </row>
    <row r="3964" spans="1:4" hidden="1" x14ac:dyDescent="0.25">
      <c r="A3964" t="s">
        <v>20</v>
      </c>
      <c r="B3964">
        <v>71</v>
      </c>
      <c r="C3964">
        <v>15</v>
      </c>
    </row>
    <row r="3965" spans="1:4" hidden="1" x14ac:dyDescent="0.25">
      <c r="A3965" t="s">
        <v>20</v>
      </c>
      <c r="B3965">
        <v>71</v>
      </c>
      <c r="C3965">
        <v>16</v>
      </c>
    </row>
    <row r="3966" spans="1:4" hidden="1" x14ac:dyDescent="0.25">
      <c r="A3966" t="s">
        <v>20</v>
      </c>
      <c r="B3966">
        <v>71</v>
      </c>
      <c r="C3966">
        <v>17</v>
      </c>
      <c r="D3966">
        <v>1</v>
      </c>
    </row>
    <row r="3967" spans="1:4" hidden="1" x14ac:dyDescent="0.25">
      <c r="A3967" t="s">
        <v>20</v>
      </c>
      <c r="B3967">
        <v>71</v>
      </c>
      <c r="C3967">
        <v>18</v>
      </c>
    </row>
    <row r="3968" spans="1:4" hidden="1" x14ac:dyDescent="0.25">
      <c r="A3968" t="s">
        <v>20</v>
      </c>
      <c r="B3968">
        <v>71</v>
      </c>
      <c r="C3968">
        <v>19</v>
      </c>
    </row>
    <row r="3969" spans="1:4" hidden="1" x14ac:dyDescent="0.25">
      <c r="A3969" t="s">
        <v>20</v>
      </c>
      <c r="B3969">
        <v>71</v>
      </c>
      <c r="C3969">
        <v>20</v>
      </c>
    </row>
    <row r="3970" spans="1:4" hidden="1" x14ac:dyDescent="0.25">
      <c r="A3970" t="s">
        <v>20</v>
      </c>
      <c r="B3970">
        <v>71</v>
      </c>
      <c r="C3970">
        <v>21</v>
      </c>
    </row>
    <row r="3971" spans="1:4" hidden="1" x14ac:dyDescent="0.25">
      <c r="A3971" t="s">
        <v>20</v>
      </c>
      <c r="B3971">
        <v>71</v>
      </c>
      <c r="C3971">
        <v>22</v>
      </c>
    </row>
    <row r="3972" spans="1:4" hidden="1" x14ac:dyDescent="0.25">
      <c r="A3972" t="s">
        <v>20</v>
      </c>
      <c r="B3972">
        <v>71</v>
      </c>
      <c r="C3972">
        <v>23</v>
      </c>
      <c r="D3972">
        <v>1</v>
      </c>
    </row>
    <row r="3973" spans="1:4" hidden="1" x14ac:dyDescent="0.25">
      <c r="A3973" t="s">
        <v>20</v>
      </c>
      <c r="B3973">
        <v>71</v>
      </c>
      <c r="C3973">
        <v>24</v>
      </c>
    </row>
    <row r="3974" spans="1:4" hidden="1" x14ac:dyDescent="0.25">
      <c r="A3974" t="s">
        <v>20</v>
      </c>
      <c r="B3974">
        <v>71</v>
      </c>
      <c r="C3974">
        <v>25</v>
      </c>
    </row>
    <row r="3975" spans="1:4" hidden="1" x14ac:dyDescent="0.25">
      <c r="A3975" t="s">
        <v>20</v>
      </c>
      <c r="B3975">
        <v>71</v>
      </c>
      <c r="C3975">
        <v>26</v>
      </c>
      <c r="D3975">
        <v>1</v>
      </c>
    </row>
    <row r="3976" spans="1:4" hidden="1" x14ac:dyDescent="0.25">
      <c r="A3976" t="s">
        <v>20</v>
      </c>
      <c r="B3976">
        <v>71</v>
      </c>
      <c r="C3976">
        <v>27</v>
      </c>
    </row>
    <row r="3977" spans="1:4" hidden="1" x14ac:dyDescent="0.25">
      <c r="A3977" t="s">
        <v>20</v>
      </c>
      <c r="B3977">
        <v>71</v>
      </c>
      <c r="C3977">
        <v>28</v>
      </c>
    </row>
    <row r="3978" spans="1:4" hidden="1" x14ac:dyDescent="0.25">
      <c r="A3978" t="s">
        <v>20</v>
      </c>
      <c r="B3978">
        <v>71</v>
      </c>
      <c r="C3978">
        <v>29</v>
      </c>
      <c r="D3978">
        <v>1</v>
      </c>
    </row>
    <row r="3979" spans="1:4" hidden="1" x14ac:dyDescent="0.25">
      <c r="A3979" t="s">
        <v>20</v>
      </c>
      <c r="B3979">
        <v>71</v>
      </c>
      <c r="C3979">
        <v>30</v>
      </c>
    </row>
    <row r="3980" spans="1:4" hidden="1" x14ac:dyDescent="0.25">
      <c r="A3980" t="s">
        <v>20</v>
      </c>
      <c r="B3980">
        <v>71</v>
      </c>
      <c r="C3980">
        <v>31</v>
      </c>
    </row>
    <row r="3981" spans="1:4" hidden="1" x14ac:dyDescent="0.25">
      <c r="A3981" t="s">
        <v>20</v>
      </c>
      <c r="B3981">
        <v>71</v>
      </c>
      <c r="C3981">
        <v>32</v>
      </c>
      <c r="D3981">
        <v>1</v>
      </c>
    </row>
    <row r="3982" spans="1:4" hidden="1" x14ac:dyDescent="0.25">
      <c r="A3982" t="s">
        <v>20</v>
      </c>
      <c r="B3982">
        <v>71</v>
      </c>
      <c r="C3982">
        <v>33</v>
      </c>
    </row>
    <row r="3983" spans="1:4" hidden="1" x14ac:dyDescent="0.25">
      <c r="A3983" t="s">
        <v>20</v>
      </c>
      <c r="B3983">
        <v>71</v>
      </c>
      <c r="C3983">
        <v>34</v>
      </c>
    </row>
    <row r="3984" spans="1:4" hidden="1" x14ac:dyDescent="0.25">
      <c r="A3984" t="s">
        <v>20</v>
      </c>
      <c r="B3984">
        <v>71</v>
      </c>
      <c r="C3984">
        <v>35</v>
      </c>
      <c r="D3984">
        <v>1</v>
      </c>
    </row>
    <row r="3985" spans="1:4" hidden="1" x14ac:dyDescent="0.25">
      <c r="A3985" t="s">
        <v>20</v>
      </c>
      <c r="B3985">
        <v>71</v>
      </c>
      <c r="C3985">
        <v>36</v>
      </c>
    </row>
    <row r="3986" spans="1:4" hidden="1" x14ac:dyDescent="0.25">
      <c r="A3986" t="s">
        <v>20</v>
      </c>
      <c r="B3986">
        <v>71</v>
      </c>
      <c r="C3986">
        <v>37</v>
      </c>
    </row>
    <row r="3987" spans="1:4" hidden="1" x14ac:dyDescent="0.25">
      <c r="A3987" t="s">
        <v>20</v>
      </c>
      <c r="B3987">
        <v>71</v>
      </c>
      <c r="C3987">
        <v>38</v>
      </c>
      <c r="D3987">
        <v>1</v>
      </c>
    </row>
    <row r="3988" spans="1:4" hidden="1" x14ac:dyDescent="0.25">
      <c r="A3988" t="s">
        <v>20</v>
      </c>
      <c r="B3988">
        <v>71</v>
      </c>
      <c r="C3988">
        <v>39</v>
      </c>
    </row>
    <row r="3989" spans="1:4" hidden="1" x14ac:dyDescent="0.25">
      <c r="A3989" t="s">
        <v>20</v>
      </c>
      <c r="B3989">
        <v>71</v>
      </c>
      <c r="C3989">
        <v>40</v>
      </c>
    </row>
    <row r="3990" spans="1:4" hidden="1" x14ac:dyDescent="0.25">
      <c r="A3990" t="s">
        <v>20</v>
      </c>
      <c r="B3990">
        <v>71</v>
      </c>
      <c r="C3990">
        <v>41</v>
      </c>
      <c r="D3990">
        <v>1</v>
      </c>
    </row>
    <row r="3991" spans="1:4" hidden="1" x14ac:dyDescent="0.25">
      <c r="A3991" t="s">
        <v>20</v>
      </c>
      <c r="B3991">
        <v>71</v>
      </c>
      <c r="C3991">
        <v>42</v>
      </c>
    </row>
    <row r="3992" spans="1:4" hidden="1" x14ac:dyDescent="0.25">
      <c r="A3992" t="s">
        <v>20</v>
      </c>
      <c r="B3992">
        <v>71</v>
      </c>
      <c r="C3992">
        <v>43</v>
      </c>
    </row>
    <row r="3993" spans="1:4" hidden="1" x14ac:dyDescent="0.25">
      <c r="A3993" t="s">
        <v>20</v>
      </c>
      <c r="B3993">
        <v>71</v>
      </c>
      <c r="C3993">
        <v>44</v>
      </c>
    </row>
    <row r="3994" spans="1:4" hidden="1" x14ac:dyDescent="0.25">
      <c r="A3994" t="s">
        <v>20</v>
      </c>
      <c r="B3994">
        <v>71</v>
      </c>
      <c r="C3994">
        <v>45</v>
      </c>
    </row>
    <row r="3995" spans="1:4" hidden="1" x14ac:dyDescent="0.25">
      <c r="A3995" t="s">
        <v>20</v>
      </c>
      <c r="B3995">
        <v>71</v>
      </c>
      <c r="C3995">
        <v>46</v>
      </c>
    </row>
    <row r="3996" spans="1:4" hidden="1" x14ac:dyDescent="0.25">
      <c r="A3996" t="s">
        <v>20</v>
      </c>
      <c r="B3996">
        <v>71</v>
      </c>
      <c r="C3996">
        <v>47</v>
      </c>
      <c r="D3996">
        <v>1</v>
      </c>
    </row>
    <row r="3997" spans="1:4" hidden="1" x14ac:dyDescent="0.25">
      <c r="A3997" t="s">
        <v>20</v>
      </c>
      <c r="B3997">
        <v>71</v>
      </c>
      <c r="C3997">
        <v>48</v>
      </c>
    </row>
    <row r="3998" spans="1:4" hidden="1" x14ac:dyDescent="0.25">
      <c r="A3998" t="s">
        <v>20</v>
      </c>
      <c r="B3998">
        <v>71</v>
      </c>
      <c r="C3998">
        <v>49</v>
      </c>
    </row>
    <row r="3999" spans="1:4" hidden="1" x14ac:dyDescent="0.25">
      <c r="A3999" t="s">
        <v>20</v>
      </c>
      <c r="B3999">
        <v>71</v>
      </c>
      <c r="C3999">
        <v>50</v>
      </c>
    </row>
    <row r="4000" spans="1:4" hidden="1" x14ac:dyDescent="0.25">
      <c r="A4000" t="s">
        <v>20</v>
      </c>
      <c r="B4000">
        <v>71</v>
      </c>
      <c r="C4000">
        <v>51</v>
      </c>
    </row>
    <row r="4001" spans="1:4" hidden="1" x14ac:dyDescent="0.25">
      <c r="A4001" t="s">
        <v>20</v>
      </c>
      <c r="B4001">
        <v>71</v>
      </c>
      <c r="C4001">
        <v>52</v>
      </c>
    </row>
    <row r="4002" spans="1:4" hidden="1" x14ac:dyDescent="0.25">
      <c r="A4002" t="s">
        <v>20</v>
      </c>
      <c r="B4002">
        <v>71</v>
      </c>
      <c r="C4002">
        <v>53</v>
      </c>
    </row>
    <row r="4003" spans="1:4" hidden="1" x14ac:dyDescent="0.25">
      <c r="A4003" t="s">
        <v>20</v>
      </c>
      <c r="B4003">
        <v>71</v>
      </c>
      <c r="C4003">
        <v>54</v>
      </c>
    </row>
    <row r="4004" spans="1:4" hidden="1" x14ac:dyDescent="0.25">
      <c r="A4004" t="s">
        <v>20</v>
      </c>
      <c r="B4004">
        <v>71</v>
      </c>
      <c r="C4004">
        <v>55</v>
      </c>
    </row>
    <row r="4005" spans="1:4" hidden="1" x14ac:dyDescent="0.25">
      <c r="A4005" t="s">
        <v>20</v>
      </c>
      <c r="B4005">
        <v>71</v>
      </c>
      <c r="C4005">
        <v>56</v>
      </c>
      <c r="D4005">
        <v>1</v>
      </c>
    </row>
    <row r="4006" spans="1:4" hidden="1" x14ac:dyDescent="0.25">
      <c r="A4006" t="s">
        <v>20</v>
      </c>
      <c r="B4006">
        <v>71</v>
      </c>
      <c r="C4006">
        <v>57</v>
      </c>
    </row>
    <row r="4007" spans="1:4" hidden="1" x14ac:dyDescent="0.25">
      <c r="A4007" t="s">
        <v>20</v>
      </c>
      <c r="B4007">
        <v>71</v>
      </c>
      <c r="C4007">
        <v>58</v>
      </c>
    </row>
    <row r="4008" spans="1:4" hidden="1" x14ac:dyDescent="0.25">
      <c r="A4008" t="s">
        <v>20</v>
      </c>
      <c r="B4008">
        <v>71</v>
      </c>
      <c r="C4008">
        <v>59</v>
      </c>
      <c r="D4008">
        <v>1</v>
      </c>
    </row>
    <row r="4009" spans="1:4" hidden="1" x14ac:dyDescent="0.25">
      <c r="A4009" t="s">
        <v>20</v>
      </c>
      <c r="B4009">
        <v>71</v>
      </c>
      <c r="C4009">
        <v>60</v>
      </c>
    </row>
    <row r="4010" spans="1:4" hidden="1" x14ac:dyDescent="0.25">
      <c r="A4010" t="s">
        <v>20</v>
      </c>
      <c r="B4010">
        <v>71</v>
      </c>
      <c r="C4010">
        <v>61</v>
      </c>
    </row>
    <row r="4011" spans="1:4" hidden="1" x14ac:dyDescent="0.25">
      <c r="A4011" t="s">
        <v>20</v>
      </c>
      <c r="B4011">
        <v>71</v>
      </c>
      <c r="C4011">
        <v>62</v>
      </c>
    </row>
    <row r="4012" spans="1:4" hidden="1" x14ac:dyDescent="0.25">
      <c r="A4012" t="s">
        <v>20</v>
      </c>
      <c r="B4012">
        <v>71</v>
      </c>
      <c r="C4012">
        <v>63</v>
      </c>
    </row>
    <row r="4013" spans="1:4" hidden="1" x14ac:dyDescent="0.25">
      <c r="A4013" t="s">
        <v>20</v>
      </c>
      <c r="B4013">
        <v>71</v>
      </c>
      <c r="C4013">
        <v>64</v>
      </c>
    </row>
    <row r="4014" spans="1:4" hidden="1" x14ac:dyDescent="0.25">
      <c r="A4014" t="s">
        <v>20</v>
      </c>
      <c r="B4014">
        <v>71</v>
      </c>
      <c r="C4014">
        <v>65</v>
      </c>
    </row>
    <row r="4015" spans="1:4" hidden="1" x14ac:dyDescent="0.25">
      <c r="A4015" t="s">
        <v>20</v>
      </c>
      <c r="B4015">
        <v>71</v>
      </c>
      <c r="C4015">
        <v>66</v>
      </c>
    </row>
    <row r="4016" spans="1:4" hidden="1" x14ac:dyDescent="0.25">
      <c r="A4016" t="s">
        <v>20</v>
      </c>
      <c r="B4016">
        <v>71</v>
      </c>
      <c r="C4016">
        <v>67</v>
      </c>
    </row>
    <row r="4017" spans="1:4" hidden="1" x14ac:dyDescent="0.25">
      <c r="A4017" t="s">
        <v>20</v>
      </c>
      <c r="B4017">
        <v>71</v>
      </c>
      <c r="C4017">
        <v>68</v>
      </c>
      <c r="D4017">
        <v>1</v>
      </c>
    </row>
    <row r="4018" spans="1:4" hidden="1" x14ac:dyDescent="0.25">
      <c r="A4018" t="s">
        <v>20</v>
      </c>
      <c r="B4018">
        <v>71</v>
      </c>
      <c r="C4018">
        <v>69</v>
      </c>
    </row>
    <row r="4019" spans="1:4" hidden="1" x14ac:dyDescent="0.25">
      <c r="A4019" t="s">
        <v>20</v>
      </c>
      <c r="B4019">
        <v>71</v>
      </c>
      <c r="C4019">
        <v>70</v>
      </c>
    </row>
    <row r="4020" spans="1:4" hidden="1" x14ac:dyDescent="0.25">
      <c r="A4020" t="s">
        <v>20</v>
      </c>
      <c r="B4020">
        <v>71</v>
      </c>
      <c r="C4020">
        <v>71</v>
      </c>
      <c r="D4020">
        <v>1</v>
      </c>
    </row>
    <row r="4021" spans="1:4" hidden="1" x14ac:dyDescent="0.25">
      <c r="A4021" t="s">
        <v>20</v>
      </c>
      <c r="B4021">
        <v>71</v>
      </c>
      <c r="C4021">
        <v>72</v>
      </c>
    </row>
    <row r="4022" spans="1:4" hidden="1" x14ac:dyDescent="0.25">
      <c r="A4022" t="s">
        <v>20</v>
      </c>
      <c r="B4022">
        <v>71</v>
      </c>
      <c r="C4022">
        <v>73</v>
      </c>
    </row>
    <row r="4023" spans="1:4" hidden="1" x14ac:dyDescent="0.25">
      <c r="A4023" t="s">
        <v>20</v>
      </c>
      <c r="B4023">
        <v>71</v>
      </c>
      <c r="C4023">
        <v>74</v>
      </c>
      <c r="D4023">
        <v>1</v>
      </c>
    </row>
    <row r="4024" spans="1:4" hidden="1" x14ac:dyDescent="0.25">
      <c r="A4024" t="s">
        <v>20</v>
      </c>
      <c r="B4024">
        <v>71</v>
      </c>
      <c r="C4024">
        <v>75</v>
      </c>
    </row>
    <row r="4025" spans="1:4" hidden="1" x14ac:dyDescent="0.25">
      <c r="A4025" t="s">
        <v>20</v>
      </c>
      <c r="B4025">
        <v>71</v>
      </c>
      <c r="C4025">
        <v>76</v>
      </c>
    </row>
    <row r="4026" spans="1:4" hidden="1" x14ac:dyDescent="0.25">
      <c r="A4026" t="s">
        <v>20</v>
      </c>
      <c r="B4026">
        <v>71</v>
      </c>
      <c r="C4026">
        <v>77</v>
      </c>
      <c r="D4026">
        <v>1</v>
      </c>
    </row>
    <row r="4027" spans="1:4" hidden="1" x14ac:dyDescent="0.25">
      <c r="A4027" t="s">
        <v>20</v>
      </c>
      <c r="B4027">
        <v>71</v>
      </c>
      <c r="C4027">
        <v>78</v>
      </c>
    </row>
    <row r="4028" spans="1:4" hidden="1" x14ac:dyDescent="0.25">
      <c r="A4028" t="s">
        <v>20</v>
      </c>
      <c r="B4028">
        <v>71</v>
      </c>
      <c r="C4028">
        <v>79</v>
      </c>
    </row>
    <row r="4029" spans="1:4" hidden="1" x14ac:dyDescent="0.25">
      <c r="A4029" t="s">
        <v>20</v>
      </c>
      <c r="B4029">
        <v>71</v>
      </c>
      <c r="C4029">
        <v>80</v>
      </c>
      <c r="D4029">
        <v>1</v>
      </c>
    </row>
    <row r="4030" spans="1:4" hidden="1" x14ac:dyDescent="0.25">
      <c r="A4030" t="s">
        <v>20</v>
      </c>
      <c r="B4030">
        <v>71</v>
      </c>
      <c r="C4030">
        <v>81</v>
      </c>
    </row>
    <row r="4031" spans="1:4" hidden="1" x14ac:dyDescent="0.25">
      <c r="A4031" t="s">
        <v>20</v>
      </c>
      <c r="B4031">
        <v>71</v>
      </c>
      <c r="C4031">
        <v>82</v>
      </c>
    </row>
    <row r="4032" spans="1:4" hidden="1" x14ac:dyDescent="0.25">
      <c r="A4032" t="s">
        <v>20</v>
      </c>
      <c r="B4032">
        <v>71</v>
      </c>
      <c r="C4032">
        <v>83</v>
      </c>
      <c r="D4032">
        <v>1</v>
      </c>
    </row>
    <row r="4033" spans="1:4" hidden="1" x14ac:dyDescent="0.25">
      <c r="A4033" t="s">
        <v>20</v>
      </c>
      <c r="B4033">
        <v>71</v>
      </c>
      <c r="C4033">
        <v>84</v>
      </c>
    </row>
    <row r="4034" spans="1:4" hidden="1" x14ac:dyDescent="0.25">
      <c r="A4034" t="s">
        <v>20</v>
      </c>
      <c r="B4034">
        <v>72</v>
      </c>
      <c r="C4034">
        <v>1</v>
      </c>
      <c r="D4034">
        <v>1</v>
      </c>
    </row>
    <row r="4035" spans="1:4" hidden="1" x14ac:dyDescent="0.25">
      <c r="A4035" t="s">
        <v>20</v>
      </c>
      <c r="B4035">
        <v>72</v>
      </c>
      <c r="C4035">
        <v>2</v>
      </c>
    </row>
    <row r="4036" spans="1:4" hidden="1" x14ac:dyDescent="0.25">
      <c r="A4036" t="s">
        <v>20</v>
      </c>
      <c r="B4036">
        <v>72</v>
      </c>
      <c r="C4036">
        <v>3</v>
      </c>
    </row>
    <row r="4037" spans="1:4" hidden="1" x14ac:dyDescent="0.25">
      <c r="A4037" t="s">
        <v>20</v>
      </c>
      <c r="B4037">
        <v>72</v>
      </c>
      <c r="C4037">
        <v>4</v>
      </c>
      <c r="D4037">
        <v>1</v>
      </c>
    </row>
    <row r="4038" spans="1:4" hidden="1" x14ac:dyDescent="0.25">
      <c r="A4038" t="s">
        <v>20</v>
      </c>
      <c r="B4038">
        <v>72</v>
      </c>
      <c r="C4038">
        <v>5</v>
      </c>
    </row>
    <row r="4039" spans="1:4" hidden="1" x14ac:dyDescent="0.25">
      <c r="A4039" t="s">
        <v>20</v>
      </c>
      <c r="B4039">
        <v>72</v>
      </c>
      <c r="C4039">
        <v>6</v>
      </c>
    </row>
    <row r="4040" spans="1:4" hidden="1" x14ac:dyDescent="0.25">
      <c r="A4040" t="s">
        <v>20</v>
      </c>
      <c r="B4040">
        <v>72</v>
      </c>
      <c r="C4040">
        <v>7</v>
      </c>
      <c r="D4040">
        <v>1</v>
      </c>
    </row>
    <row r="4041" spans="1:4" hidden="1" x14ac:dyDescent="0.25">
      <c r="A4041" t="s">
        <v>20</v>
      </c>
      <c r="B4041">
        <v>72</v>
      </c>
      <c r="C4041">
        <v>8</v>
      </c>
    </row>
    <row r="4042" spans="1:4" hidden="1" x14ac:dyDescent="0.25">
      <c r="A4042" t="s">
        <v>20</v>
      </c>
      <c r="B4042">
        <v>72</v>
      </c>
      <c r="C4042">
        <v>9</v>
      </c>
    </row>
    <row r="4043" spans="1:4" hidden="1" x14ac:dyDescent="0.25">
      <c r="A4043" t="s">
        <v>20</v>
      </c>
      <c r="B4043">
        <v>72</v>
      </c>
      <c r="C4043">
        <v>10</v>
      </c>
      <c r="D4043">
        <v>1</v>
      </c>
    </row>
    <row r="4044" spans="1:4" hidden="1" x14ac:dyDescent="0.25">
      <c r="A4044" t="s">
        <v>20</v>
      </c>
      <c r="B4044">
        <v>72</v>
      </c>
      <c r="C4044">
        <v>11</v>
      </c>
    </row>
    <row r="4045" spans="1:4" hidden="1" x14ac:dyDescent="0.25">
      <c r="A4045" t="s">
        <v>20</v>
      </c>
      <c r="B4045">
        <v>72</v>
      </c>
      <c r="C4045">
        <v>12</v>
      </c>
    </row>
    <row r="4046" spans="1:4" hidden="1" x14ac:dyDescent="0.25">
      <c r="A4046" t="s">
        <v>20</v>
      </c>
      <c r="B4046">
        <v>72</v>
      </c>
      <c r="C4046">
        <v>13</v>
      </c>
      <c r="D4046">
        <v>1</v>
      </c>
    </row>
    <row r="4047" spans="1:4" hidden="1" x14ac:dyDescent="0.25">
      <c r="A4047" t="s">
        <v>20</v>
      </c>
      <c r="B4047">
        <v>72</v>
      </c>
      <c r="C4047">
        <v>14</v>
      </c>
    </row>
    <row r="4048" spans="1:4" hidden="1" x14ac:dyDescent="0.25">
      <c r="A4048" t="s">
        <v>20</v>
      </c>
      <c r="B4048">
        <v>72</v>
      </c>
      <c r="C4048">
        <v>15</v>
      </c>
    </row>
    <row r="4049" spans="1:4" hidden="1" x14ac:dyDescent="0.25">
      <c r="A4049" t="s">
        <v>20</v>
      </c>
      <c r="B4049">
        <v>72</v>
      </c>
      <c r="C4049">
        <v>16</v>
      </c>
    </row>
    <row r="4050" spans="1:4" hidden="1" x14ac:dyDescent="0.25">
      <c r="A4050" t="s">
        <v>20</v>
      </c>
      <c r="B4050">
        <v>72</v>
      </c>
      <c r="C4050">
        <v>17</v>
      </c>
    </row>
    <row r="4051" spans="1:4" hidden="1" x14ac:dyDescent="0.25">
      <c r="A4051" t="s">
        <v>20</v>
      </c>
      <c r="B4051">
        <v>72</v>
      </c>
      <c r="C4051">
        <v>18</v>
      </c>
    </row>
    <row r="4052" spans="1:4" hidden="1" x14ac:dyDescent="0.25">
      <c r="A4052" t="s">
        <v>20</v>
      </c>
      <c r="B4052">
        <v>72</v>
      </c>
      <c r="C4052">
        <v>19</v>
      </c>
    </row>
    <row r="4053" spans="1:4" hidden="1" x14ac:dyDescent="0.25">
      <c r="A4053" t="s">
        <v>20</v>
      </c>
      <c r="B4053">
        <v>72</v>
      </c>
      <c r="C4053">
        <v>20</v>
      </c>
    </row>
    <row r="4054" spans="1:4" hidden="1" x14ac:dyDescent="0.25">
      <c r="A4054" t="s">
        <v>20</v>
      </c>
      <c r="B4054">
        <v>72</v>
      </c>
      <c r="C4054">
        <v>21</v>
      </c>
    </row>
    <row r="4055" spans="1:4" hidden="1" x14ac:dyDescent="0.25">
      <c r="A4055" t="s">
        <v>20</v>
      </c>
      <c r="B4055">
        <v>72</v>
      </c>
      <c r="C4055">
        <v>22</v>
      </c>
    </row>
    <row r="4056" spans="1:4" hidden="1" x14ac:dyDescent="0.25">
      <c r="A4056" t="s">
        <v>20</v>
      </c>
      <c r="B4056">
        <v>72</v>
      </c>
      <c r="C4056">
        <v>23</v>
      </c>
    </row>
    <row r="4057" spans="1:4" hidden="1" x14ac:dyDescent="0.25">
      <c r="A4057" t="s">
        <v>20</v>
      </c>
      <c r="B4057">
        <v>72</v>
      </c>
      <c r="C4057">
        <v>24</v>
      </c>
    </row>
    <row r="4058" spans="1:4" hidden="1" x14ac:dyDescent="0.25">
      <c r="A4058" t="s">
        <v>20</v>
      </c>
      <c r="B4058">
        <v>72</v>
      </c>
      <c r="C4058">
        <v>25</v>
      </c>
      <c r="D4058">
        <v>1</v>
      </c>
    </row>
    <row r="4059" spans="1:4" hidden="1" x14ac:dyDescent="0.25">
      <c r="A4059" t="s">
        <v>20</v>
      </c>
      <c r="B4059">
        <v>72</v>
      </c>
      <c r="C4059">
        <v>26</v>
      </c>
    </row>
    <row r="4060" spans="1:4" hidden="1" x14ac:dyDescent="0.25">
      <c r="A4060" t="s">
        <v>20</v>
      </c>
      <c r="B4060">
        <v>72</v>
      </c>
      <c r="C4060">
        <v>27</v>
      </c>
    </row>
    <row r="4061" spans="1:4" hidden="1" x14ac:dyDescent="0.25">
      <c r="A4061" t="s">
        <v>20</v>
      </c>
      <c r="B4061">
        <v>72</v>
      </c>
      <c r="C4061">
        <v>28</v>
      </c>
      <c r="D4061">
        <v>1</v>
      </c>
    </row>
    <row r="4062" spans="1:4" hidden="1" x14ac:dyDescent="0.25">
      <c r="A4062" t="s">
        <v>20</v>
      </c>
      <c r="B4062">
        <v>72</v>
      </c>
      <c r="C4062">
        <v>29</v>
      </c>
    </row>
    <row r="4063" spans="1:4" hidden="1" x14ac:dyDescent="0.25">
      <c r="A4063" t="s">
        <v>20</v>
      </c>
      <c r="B4063">
        <v>72</v>
      </c>
      <c r="C4063">
        <v>30</v>
      </c>
    </row>
    <row r="4064" spans="1:4" hidden="1" x14ac:dyDescent="0.25">
      <c r="A4064" t="s">
        <v>20</v>
      </c>
      <c r="B4064">
        <v>72</v>
      </c>
      <c r="C4064">
        <v>31</v>
      </c>
      <c r="D4064">
        <v>1</v>
      </c>
    </row>
    <row r="4065" spans="1:4" hidden="1" x14ac:dyDescent="0.25">
      <c r="A4065" t="s">
        <v>20</v>
      </c>
      <c r="B4065">
        <v>72</v>
      </c>
      <c r="C4065">
        <v>32</v>
      </c>
    </row>
    <row r="4066" spans="1:4" hidden="1" x14ac:dyDescent="0.25">
      <c r="A4066" t="s">
        <v>20</v>
      </c>
      <c r="B4066">
        <v>72</v>
      </c>
      <c r="C4066">
        <v>33</v>
      </c>
    </row>
    <row r="4067" spans="1:4" hidden="1" x14ac:dyDescent="0.25">
      <c r="A4067" t="s">
        <v>20</v>
      </c>
      <c r="B4067">
        <v>72</v>
      </c>
      <c r="C4067">
        <v>34</v>
      </c>
      <c r="D4067">
        <v>1</v>
      </c>
    </row>
    <row r="4068" spans="1:4" hidden="1" x14ac:dyDescent="0.25">
      <c r="A4068" t="s">
        <v>20</v>
      </c>
      <c r="B4068">
        <v>72</v>
      </c>
      <c r="C4068">
        <v>35</v>
      </c>
    </row>
    <row r="4069" spans="1:4" hidden="1" x14ac:dyDescent="0.25">
      <c r="A4069" t="s">
        <v>20</v>
      </c>
      <c r="B4069">
        <v>72</v>
      </c>
      <c r="C4069">
        <v>36</v>
      </c>
    </row>
    <row r="4070" spans="1:4" hidden="1" x14ac:dyDescent="0.25">
      <c r="A4070" t="s">
        <v>20</v>
      </c>
      <c r="B4070">
        <v>72</v>
      </c>
      <c r="C4070">
        <v>37</v>
      </c>
      <c r="D4070">
        <v>1</v>
      </c>
    </row>
    <row r="4071" spans="1:4" hidden="1" x14ac:dyDescent="0.25">
      <c r="A4071" t="s">
        <v>20</v>
      </c>
      <c r="B4071">
        <v>72</v>
      </c>
      <c r="C4071">
        <v>38</v>
      </c>
    </row>
    <row r="4072" spans="1:4" hidden="1" x14ac:dyDescent="0.25">
      <c r="A4072" t="s">
        <v>20</v>
      </c>
      <c r="B4072">
        <v>72</v>
      </c>
      <c r="C4072">
        <v>39</v>
      </c>
    </row>
    <row r="4073" spans="1:4" hidden="1" x14ac:dyDescent="0.25">
      <c r="A4073" t="s">
        <v>20</v>
      </c>
      <c r="B4073">
        <v>72</v>
      </c>
      <c r="C4073">
        <v>40</v>
      </c>
      <c r="D4073">
        <v>1</v>
      </c>
    </row>
    <row r="4074" spans="1:4" hidden="1" x14ac:dyDescent="0.25">
      <c r="A4074" t="s">
        <v>20</v>
      </c>
      <c r="B4074">
        <v>72</v>
      </c>
      <c r="C4074">
        <v>41</v>
      </c>
    </row>
    <row r="4075" spans="1:4" hidden="1" x14ac:dyDescent="0.25">
      <c r="A4075" t="s">
        <v>20</v>
      </c>
      <c r="B4075">
        <v>72</v>
      </c>
      <c r="C4075">
        <v>42</v>
      </c>
    </row>
    <row r="4076" spans="1:4" hidden="1" x14ac:dyDescent="0.25">
      <c r="A4076" t="s">
        <v>20</v>
      </c>
      <c r="B4076">
        <v>72</v>
      </c>
      <c r="C4076">
        <v>43</v>
      </c>
      <c r="D4076">
        <v>1</v>
      </c>
    </row>
    <row r="4077" spans="1:4" hidden="1" x14ac:dyDescent="0.25">
      <c r="A4077" t="s">
        <v>20</v>
      </c>
      <c r="B4077">
        <v>72</v>
      </c>
      <c r="C4077">
        <v>44</v>
      </c>
    </row>
    <row r="4078" spans="1:4" hidden="1" x14ac:dyDescent="0.25">
      <c r="A4078" t="s">
        <v>20</v>
      </c>
      <c r="B4078">
        <v>72</v>
      </c>
      <c r="C4078">
        <v>45</v>
      </c>
    </row>
    <row r="4079" spans="1:4" hidden="1" x14ac:dyDescent="0.25">
      <c r="A4079" t="s">
        <v>20</v>
      </c>
      <c r="B4079">
        <v>72</v>
      </c>
      <c r="C4079">
        <v>46</v>
      </c>
      <c r="D4079">
        <v>1</v>
      </c>
    </row>
    <row r="4080" spans="1:4" hidden="1" x14ac:dyDescent="0.25">
      <c r="A4080" t="s">
        <v>20</v>
      </c>
      <c r="B4080">
        <v>72</v>
      </c>
      <c r="C4080">
        <v>47</v>
      </c>
    </row>
    <row r="4081" spans="1:4" hidden="1" x14ac:dyDescent="0.25">
      <c r="A4081" t="s">
        <v>20</v>
      </c>
      <c r="B4081">
        <v>72</v>
      </c>
      <c r="C4081">
        <v>48</v>
      </c>
    </row>
    <row r="4082" spans="1:4" hidden="1" x14ac:dyDescent="0.25">
      <c r="A4082" t="s">
        <v>20</v>
      </c>
      <c r="B4082">
        <v>72</v>
      </c>
      <c r="C4082">
        <v>49</v>
      </c>
      <c r="D4082">
        <v>1</v>
      </c>
    </row>
    <row r="4083" spans="1:4" hidden="1" x14ac:dyDescent="0.25">
      <c r="A4083" t="s">
        <v>20</v>
      </c>
      <c r="B4083">
        <v>72</v>
      </c>
      <c r="C4083">
        <v>50</v>
      </c>
    </row>
    <row r="4084" spans="1:4" hidden="1" x14ac:dyDescent="0.25">
      <c r="A4084" t="s">
        <v>20</v>
      </c>
      <c r="B4084">
        <v>72</v>
      </c>
      <c r="C4084">
        <v>51</v>
      </c>
    </row>
    <row r="4085" spans="1:4" hidden="1" x14ac:dyDescent="0.25">
      <c r="A4085" t="s">
        <v>20</v>
      </c>
      <c r="B4085">
        <v>72</v>
      </c>
      <c r="C4085">
        <v>52</v>
      </c>
      <c r="D4085">
        <v>1</v>
      </c>
    </row>
    <row r="4086" spans="1:4" hidden="1" x14ac:dyDescent="0.25">
      <c r="A4086" t="s">
        <v>20</v>
      </c>
      <c r="B4086">
        <v>72</v>
      </c>
      <c r="C4086">
        <v>53</v>
      </c>
    </row>
    <row r="4087" spans="1:4" hidden="1" x14ac:dyDescent="0.25">
      <c r="A4087" t="s">
        <v>20</v>
      </c>
      <c r="B4087">
        <v>72</v>
      </c>
      <c r="C4087">
        <v>54</v>
      </c>
    </row>
    <row r="4088" spans="1:4" hidden="1" x14ac:dyDescent="0.25">
      <c r="A4088" t="s">
        <v>20</v>
      </c>
      <c r="B4088">
        <v>72</v>
      </c>
      <c r="C4088">
        <v>55</v>
      </c>
      <c r="D4088">
        <v>1</v>
      </c>
    </row>
    <row r="4089" spans="1:4" hidden="1" x14ac:dyDescent="0.25">
      <c r="A4089" t="s">
        <v>20</v>
      </c>
      <c r="B4089">
        <v>72</v>
      </c>
      <c r="C4089">
        <v>56</v>
      </c>
    </row>
    <row r="4090" spans="1:4" hidden="1" x14ac:dyDescent="0.25">
      <c r="A4090" t="s">
        <v>20</v>
      </c>
      <c r="B4090">
        <v>72</v>
      </c>
      <c r="C4090">
        <v>57</v>
      </c>
    </row>
    <row r="4091" spans="1:4" hidden="1" x14ac:dyDescent="0.25">
      <c r="A4091" t="s">
        <v>20</v>
      </c>
      <c r="B4091">
        <v>72</v>
      </c>
      <c r="C4091">
        <v>58</v>
      </c>
    </row>
    <row r="4092" spans="1:4" hidden="1" x14ac:dyDescent="0.25">
      <c r="A4092" t="s">
        <v>20</v>
      </c>
      <c r="B4092">
        <v>72</v>
      </c>
      <c r="C4092">
        <v>59</v>
      </c>
    </row>
    <row r="4093" spans="1:4" hidden="1" x14ac:dyDescent="0.25">
      <c r="A4093" t="s">
        <v>20</v>
      </c>
      <c r="B4093">
        <v>72</v>
      </c>
      <c r="C4093">
        <v>60</v>
      </c>
    </row>
    <row r="4094" spans="1:4" hidden="1" x14ac:dyDescent="0.25">
      <c r="A4094" t="s">
        <v>20</v>
      </c>
      <c r="B4094">
        <v>72</v>
      </c>
      <c r="C4094">
        <v>61</v>
      </c>
    </row>
    <row r="4095" spans="1:4" hidden="1" x14ac:dyDescent="0.25">
      <c r="A4095" t="s">
        <v>20</v>
      </c>
      <c r="B4095">
        <v>72</v>
      </c>
      <c r="C4095">
        <v>62</v>
      </c>
    </row>
    <row r="4096" spans="1:4" hidden="1" x14ac:dyDescent="0.25">
      <c r="A4096" t="s">
        <v>20</v>
      </c>
      <c r="B4096">
        <v>72</v>
      </c>
      <c r="C4096">
        <v>63</v>
      </c>
    </row>
    <row r="4097" spans="1:4" hidden="1" x14ac:dyDescent="0.25">
      <c r="A4097" t="s">
        <v>20</v>
      </c>
      <c r="B4097">
        <v>72</v>
      </c>
      <c r="C4097">
        <v>64</v>
      </c>
    </row>
    <row r="4098" spans="1:4" hidden="1" x14ac:dyDescent="0.25">
      <c r="A4098" t="s">
        <v>20</v>
      </c>
      <c r="B4098">
        <v>72</v>
      </c>
      <c r="C4098">
        <v>65</v>
      </c>
    </row>
    <row r="4099" spans="1:4" hidden="1" x14ac:dyDescent="0.25">
      <c r="A4099" t="s">
        <v>20</v>
      </c>
      <c r="B4099">
        <v>72</v>
      </c>
      <c r="C4099">
        <v>66</v>
      </c>
    </row>
    <row r="4100" spans="1:4" hidden="1" x14ac:dyDescent="0.25">
      <c r="A4100" t="s">
        <v>20</v>
      </c>
      <c r="B4100">
        <v>72</v>
      </c>
      <c r="C4100">
        <v>67</v>
      </c>
      <c r="D4100">
        <v>1</v>
      </c>
    </row>
    <row r="4101" spans="1:4" hidden="1" x14ac:dyDescent="0.25">
      <c r="A4101" t="s">
        <v>20</v>
      </c>
      <c r="B4101">
        <v>72</v>
      </c>
      <c r="C4101">
        <v>68</v>
      </c>
    </row>
    <row r="4102" spans="1:4" hidden="1" x14ac:dyDescent="0.25">
      <c r="A4102" t="s">
        <v>20</v>
      </c>
      <c r="B4102">
        <v>72</v>
      </c>
      <c r="C4102">
        <v>69</v>
      </c>
    </row>
    <row r="4103" spans="1:4" hidden="1" x14ac:dyDescent="0.25">
      <c r="A4103" t="s">
        <v>20</v>
      </c>
      <c r="B4103">
        <v>72</v>
      </c>
      <c r="C4103">
        <v>70</v>
      </c>
      <c r="D4103">
        <v>1</v>
      </c>
    </row>
    <row r="4104" spans="1:4" hidden="1" x14ac:dyDescent="0.25">
      <c r="A4104" t="s">
        <v>20</v>
      </c>
      <c r="B4104">
        <v>72</v>
      </c>
      <c r="C4104">
        <v>71</v>
      </c>
    </row>
    <row r="4105" spans="1:4" hidden="1" x14ac:dyDescent="0.25">
      <c r="A4105" t="s">
        <v>20</v>
      </c>
      <c r="B4105">
        <v>72</v>
      </c>
      <c r="C4105">
        <v>72</v>
      </c>
    </row>
    <row r="4106" spans="1:4" hidden="1" x14ac:dyDescent="0.25">
      <c r="A4106" t="s">
        <v>20</v>
      </c>
      <c r="B4106">
        <v>72</v>
      </c>
      <c r="C4106">
        <v>73</v>
      </c>
      <c r="D4106">
        <v>1</v>
      </c>
    </row>
    <row r="4107" spans="1:4" hidden="1" x14ac:dyDescent="0.25">
      <c r="A4107" t="s">
        <v>20</v>
      </c>
      <c r="B4107">
        <v>72</v>
      </c>
      <c r="C4107">
        <v>74</v>
      </c>
    </row>
    <row r="4108" spans="1:4" hidden="1" x14ac:dyDescent="0.25">
      <c r="A4108" t="s">
        <v>20</v>
      </c>
      <c r="B4108">
        <v>72</v>
      </c>
      <c r="C4108">
        <v>75</v>
      </c>
    </row>
    <row r="4109" spans="1:4" hidden="1" x14ac:dyDescent="0.25">
      <c r="A4109" t="s">
        <v>20</v>
      </c>
      <c r="B4109">
        <v>72</v>
      </c>
      <c r="C4109">
        <v>76</v>
      </c>
      <c r="D4109">
        <v>1</v>
      </c>
    </row>
    <row r="4110" spans="1:4" hidden="1" x14ac:dyDescent="0.25">
      <c r="A4110" t="s">
        <v>20</v>
      </c>
      <c r="B4110">
        <v>72</v>
      </c>
      <c r="C4110">
        <v>77</v>
      </c>
    </row>
    <row r="4111" spans="1:4" hidden="1" x14ac:dyDescent="0.25">
      <c r="A4111" t="s">
        <v>20</v>
      </c>
      <c r="B4111">
        <v>72</v>
      </c>
      <c r="C4111">
        <v>78</v>
      </c>
    </row>
    <row r="4112" spans="1:4" hidden="1" x14ac:dyDescent="0.25">
      <c r="A4112" t="s">
        <v>20</v>
      </c>
      <c r="B4112">
        <v>72</v>
      </c>
      <c r="C4112">
        <v>79</v>
      </c>
      <c r="D4112">
        <v>1</v>
      </c>
    </row>
    <row r="4113" spans="1:6" hidden="1" x14ac:dyDescent="0.25">
      <c r="A4113" t="s">
        <v>20</v>
      </c>
      <c r="B4113">
        <v>72</v>
      </c>
      <c r="C4113">
        <v>80</v>
      </c>
    </row>
    <row r="4114" spans="1:6" hidden="1" x14ac:dyDescent="0.25">
      <c r="A4114" t="s">
        <v>20</v>
      </c>
      <c r="B4114">
        <v>72</v>
      </c>
      <c r="C4114">
        <v>81</v>
      </c>
    </row>
    <row r="4115" spans="1:6" hidden="1" x14ac:dyDescent="0.25">
      <c r="A4115" t="s">
        <v>20</v>
      </c>
      <c r="B4115">
        <v>72</v>
      </c>
      <c r="C4115">
        <v>82</v>
      </c>
    </row>
    <row r="4116" spans="1:6" hidden="1" x14ac:dyDescent="0.25">
      <c r="A4116" t="s">
        <v>20</v>
      </c>
      <c r="B4116">
        <v>72</v>
      </c>
      <c r="C4116">
        <v>83</v>
      </c>
    </row>
    <row r="4117" spans="1:6" hidden="1" x14ac:dyDescent="0.25">
      <c r="A4117" t="s">
        <v>20</v>
      </c>
      <c r="B4117">
        <v>72</v>
      </c>
      <c r="C4117">
        <v>84</v>
      </c>
    </row>
    <row r="4118" spans="1:6" hidden="1" x14ac:dyDescent="0.25">
      <c r="A4118" t="s">
        <v>20</v>
      </c>
      <c r="B4118">
        <v>73</v>
      </c>
      <c r="C4118">
        <v>1</v>
      </c>
      <c r="D4118">
        <v>1</v>
      </c>
      <c r="E4118">
        <v>81</v>
      </c>
      <c r="F4118">
        <v>20</v>
      </c>
    </row>
    <row r="4119" spans="1:6" hidden="1" x14ac:dyDescent="0.25">
      <c r="A4119" t="s">
        <v>20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20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20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20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20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20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20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20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20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20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20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20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20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20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20</v>
      </c>
      <c r="B4133">
        <v>73</v>
      </c>
      <c r="C4133">
        <v>16</v>
      </c>
      <c r="E4133">
        <v>81</v>
      </c>
      <c r="F4133">
        <v>20</v>
      </c>
    </row>
    <row r="4134" spans="1:6" hidden="1" x14ac:dyDescent="0.25">
      <c r="A4134" t="s">
        <v>20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20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20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20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20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20</v>
      </c>
      <c r="B4139">
        <v>73</v>
      </c>
      <c r="C4139">
        <v>22</v>
      </c>
      <c r="D4139">
        <v>1</v>
      </c>
      <c r="E4139">
        <v>81</v>
      </c>
      <c r="F4139">
        <v>20</v>
      </c>
    </row>
    <row r="4140" spans="1:6" hidden="1" x14ac:dyDescent="0.25">
      <c r="A4140" t="s">
        <v>20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20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20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20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20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20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20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20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20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20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20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20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20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20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20</v>
      </c>
      <c r="B4154">
        <v>73</v>
      </c>
      <c r="C4154">
        <v>37</v>
      </c>
      <c r="D4154">
        <v>1</v>
      </c>
      <c r="E4154">
        <v>81</v>
      </c>
      <c r="F4154">
        <v>20</v>
      </c>
    </row>
    <row r="4155" spans="1:6" hidden="1" x14ac:dyDescent="0.25">
      <c r="A4155" t="s">
        <v>20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20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20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20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20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20</v>
      </c>
      <c r="B4160">
        <v>73</v>
      </c>
      <c r="C4160">
        <v>43</v>
      </c>
      <c r="E4160">
        <v>81</v>
      </c>
      <c r="F4160">
        <v>20</v>
      </c>
    </row>
    <row r="4161" spans="1:6" hidden="1" x14ac:dyDescent="0.25">
      <c r="A4161" t="s">
        <v>20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20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20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20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20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20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20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20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20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20</v>
      </c>
      <c r="B4170">
        <v>73</v>
      </c>
      <c r="C4170">
        <v>53</v>
      </c>
      <c r="E4170">
        <v>81</v>
      </c>
      <c r="F4170">
        <v>20</v>
      </c>
    </row>
    <row r="4171" spans="1:6" hidden="1" x14ac:dyDescent="0.25">
      <c r="A4171" t="s">
        <v>20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20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20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20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20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20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20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20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20</v>
      </c>
      <c r="B4179">
        <v>73</v>
      </c>
      <c r="C4179">
        <v>62</v>
      </c>
      <c r="D4179">
        <v>1</v>
      </c>
      <c r="E4179">
        <v>81</v>
      </c>
      <c r="F4179">
        <v>20</v>
      </c>
    </row>
    <row r="4180" spans="1:6" hidden="1" x14ac:dyDescent="0.25">
      <c r="A4180" t="s">
        <v>20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20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20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20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20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20</v>
      </c>
      <c r="B4185">
        <v>73</v>
      </c>
      <c r="C4185">
        <v>68</v>
      </c>
      <c r="D4185">
        <v>1</v>
      </c>
      <c r="E4185">
        <v>81</v>
      </c>
      <c r="F4185">
        <v>20</v>
      </c>
    </row>
    <row r="4186" spans="1:6" hidden="1" x14ac:dyDescent="0.25">
      <c r="A4186" t="s">
        <v>20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20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20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20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20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20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20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20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20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20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20</v>
      </c>
      <c r="B4196">
        <v>73</v>
      </c>
      <c r="C4196">
        <v>79</v>
      </c>
      <c r="D4196">
        <v>1</v>
      </c>
      <c r="E4196">
        <v>81</v>
      </c>
      <c r="F4196">
        <v>20</v>
      </c>
    </row>
    <row r="4197" spans="1:6" hidden="1" x14ac:dyDescent="0.25">
      <c r="A4197" t="s">
        <v>20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20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20</v>
      </c>
      <c r="B4199">
        <v>73</v>
      </c>
      <c r="C4199">
        <v>82</v>
      </c>
      <c r="E4199">
        <v>81</v>
      </c>
      <c r="F4199">
        <v>20</v>
      </c>
    </row>
    <row r="4200" spans="1:6" hidden="1" x14ac:dyDescent="0.25">
      <c r="A4200" t="s">
        <v>20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20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20</v>
      </c>
      <c r="B4202">
        <v>74</v>
      </c>
      <c r="C4202">
        <v>1</v>
      </c>
    </row>
    <row r="4203" spans="1:6" hidden="1" x14ac:dyDescent="0.25">
      <c r="A4203" t="s">
        <v>20</v>
      </c>
      <c r="B4203">
        <v>74</v>
      </c>
      <c r="C4203">
        <v>2</v>
      </c>
    </row>
    <row r="4204" spans="1:6" hidden="1" x14ac:dyDescent="0.25">
      <c r="A4204" t="s">
        <v>20</v>
      </c>
      <c r="B4204">
        <v>74</v>
      </c>
      <c r="C4204">
        <v>3</v>
      </c>
    </row>
    <row r="4205" spans="1:6" hidden="1" x14ac:dyDescent="0.25">
      <c r="A4205" t="s">
        <v>20</v>
      </c>
      <c r="B4205">
        <v>74</v>
      </c>
      <c r="C4205">
        <v>4</v>
      </c>
      <c r="D4205">
        <v>1</v>
      </c>
    </row>
    <row r="4206" spans="1:6" hidden="1" x14ac:dyDescent="0.25">
      <c r="A4206" t="s">
        <v>20</v>
      </c>
      <c r="B4206">
        <v>74</v>
      </c>
      <c r="C4206">
        <v>5</v>
      </c>
    </row>
    <row r="4207" spans="1:6" hidden="1" x14ac:dyDescent="0.25">
      <c r="A4207" t="s">
        <v>20</v>
      </c>
      <c r="B4207">
        <v>74</v>
      </c>
      <c r="C4207">
        <v>6</v>
      </c>
    </row>
    <row r="4208" spans="1:6" hidden="1" x14ac:dyDescent="0.25">
      <c r="A4208" t="s">
        <v>20</v>
      </c>
      <c r="B4208">
        <v>74</v>
      </c>
      <c r="C4208">
        <v>7</v>
      </c>
    </row>
    <row r="4209" spans="1:4" hidden="1" x14ac:dyDescent="0.25">
      <c r="A4209" t="s">
        <v>20</v>
      </c>
      <c r="B4209">
        <v>74</v>
      </c>
      <c r="C4209">
        <v>8</v>
      </c>
    </row>
    <row r="4210" spans="1:4" hidden="1" x14ac:dyDescent="0.25">
      <c r="A4210" t="s">
        <v>20</v>
      </c>
      <c r="B4210">
        <v>74</v>
      </c>
      <c r="C4210">
        <v>9</v>
      </c>
    </row>
    <row r="4211" spans="1:4" hidden="1" x14ac:dyDescent="0.25">
      <c r="A4211" t="s">
        <v>20</v>
      </c>
      <c r="B4211">
        <v>74</v>
      </c>
      <c r="C4211">
        <v>10</v>
      </c>
      <c r="D4211">
        <v>1</v>
      </c>
    </row>
    <row r="4212" spans="1:4" hidden="1" x14ac:dyDescent="0.25">
      <c r="A4212" t="s">
        <v>20</v>
      </c>
      <c r="B4212">
        <v>74</v>
      </c>
      <c r="C4212">
        <v>11</v>
      </c>
    </row>
    <row r="4213" spans="1:4" hidden="1" x14ac:dyDescent="0.25">
      <c r="A4213" t="s">
        <v>20</v>
      </c>
      <c r="B4213">
        <v>74</v>
      </c>
      <c r="C4213">
        <v>12</v>
      </c>
    </row>
    <row r="4214" spans="1:4" hidden="1" x14ac:dyDescent="0.25">
      <c r="A4214" t="s">
        <v>20</v>
      </c>
      <c r="B4214">
        <v>74</v>
      </c>
      <c r="C4214">
        <v>13</v>
      </c>
    </row>
    <row r="4215" spans="1:4" hidden="1" x14ac:dyDescent="0.25">
      <c r="A4215" t="s">
        <v>20</v>
      </c>
      <c r="B4215">
        <v>74</v>
      </c>
      <c r="C4215">
        <v>14</v>
      </c>
    </row>
    <row r="4216" spans="1:4" hidden="1" x14ac:dyDescent="0.25">
      <c r="A4216" t="s">
        <v>20</v>
      </c>
      <c r="B4216">
        <v>74</v>
      </c>
      <c r="C4216">
        <v>15</v>
      </c>
    </row>
    <row r="4217" spans="1:4" hidden="1" x14ac:dyDescent="0.25">
      <c r="A4217" t="s">
        <v>20</v>
      </c>
      <c r="B4217">
        <v>74</v>
      </c>
      <c r="C4217">
        <v>16</v>
      </c>
    </row>
    <row r="4218" spans="1:4" hidden="1" x14ac:dyDescent="0.25">
      <c r="A4218" t="s">
        <v>20</v>
      </c>
      <c r="B4218">
        <v>74</v>
      </c>
      <c r="C4218">
        <v>17</v>
      </c>
    </row>
    <row r="4219" spans="1:4" hidden="1" x14ac:dyDescent="0.25">
      <c r="A4219" t="s">
        <v>20</v>
      </c>
      <c r="B4219">
        <v>74</v>
      </c>
      <c r="C4219">
        <v>18</v>
      </c>
    </row>
    <row r="4220" spans="1:4" hidden="1" x14ac:dyDescent="0.25">
      <c r="A4220" t="s">
        <v>20</v>
      </c>
      <c r="B4220">
        <v>74</v>
      </c>
      <c r="C4220">
        <v>19</v>
      </c>
      <c r="D4220">
        <v>1</v>
      </c>
    </row>
    <row r="4221" spans="1:4" hidden="1" x14ac:dyDescent="0.25">
      <c r="A4221" t="s">
        <v>20</v>
      </c>
      <c r="B4221">
        <v>74</v>
      </c>
      <c r="C4221">
        <v>20</v>
      </c>
    </row>
    <row r="4222" spans="1:4" hidden="1" x14ac:dyDescent="0.25">
      <c r="A4222" t="s">
        <v>20</v>
      </c>
      <c r="B4222">
        <v>74</v>
      </c>
      <c r="C4222">
        <v>21</v>
      </c>
    </row>
    <row r="4223" spans="1:4" hidden="1" x14ac:dyDescent="0.25">
      <c r="A4223" t="s">
        <v>20</v>
      </c>
      <c r="B4223">
        <v>74</v>
      </c>
      <c r="C4223">
        <v>22</v>
      </c>
    </row>
    <row r="4224" spans="1:4" hidden="1" x14ac:dyDescent="0.25">
      <c r="A4224" t="s">
        <v>20</v>
      </c>
      <c r="B4224">
        <v>74</v>
      </c>
      <c r="C4224">
        <v>23</v>
      </c>
    </row>
    <row r="4225" spans="1:4" hidden="1" x14ac:dyDescent="0.25">
      <c r="A4225" t="s">
        <v>20</v>
      </c>
      <c r="B4225">
        <v>74</v>
      </c>
      <c r="C4225">
        <v>24</v>
      </c>
    </row>
    <row r="4226" spans="1:4" hidden="1" x14ac:dyDescent="0.25">
      <c r="A4226" t="s">
        <v>20</v>
      </c>
      <c r="B4226">
        <v>74</v>
      </c>
      <c r="C4226">
        <v>25</v>
      </c>
    </row>
    <row r="4227" spans="1:4" hidden="1" x14ac:dyDescent="0.25">
      <c r="A4227" t="s">
        <v>20</v>
      </c>
      <c r="B4227">
        <v>74</v>
      </c>
      <c r="C4227">
        <v>26</v>
      </c>
    </row>
    <row r="4228" spans="1:4" hidden="1" x14ac:dyDescent="0.25">
      <c r="A4228" t="s">
        <v>20</v>
      </c>
      <c r="B4228">
        <v>74</v>
      </c>
      <c r="C4228">
        <v>27</v>
      </c>
    </row>
    <row r="4229" spans="1:4" hidden="1" x14ac:dyDescent="0.25">
      <c r="A4229" t="s">
        <v>20</v>
      </c>
      <c r="B4229">
        <v>74</v>
      </c>
      <c r="C4229">
        <v>28</v>
      </c>
    </row>
    <row r="4230" spans="1:4" hidden="1" x14ac:dyDescent="0.25">
      <c r="A4230" t="s">
        <v>20</v>
      </c>
      <c r="B4230">
        <v>74</v>
      </c>
      <c r="C4230">
        <v>29</v>
      </c>
    </row>
    <row r="4231" spans="1:4" hidden="1" x14ac:dyDescent="0.25">
      <c r="A4231" t="s">
        <v>20</v>
      </c>
      <c r="B4231">
        <v>74</v>
      </c>
      <c r="C4231">
        <v>30</v>
      </c>
    </row>
    <row r="4232" spans="1:4" hidden="1" x14ac:dyDescent="0.25">
      <c r="A4232" t="s">
        <v>20</v>
      </c>
      <c r="B4232">
        <v>74</v>
      </c>
      <c r="C4232">
        <v>31</v>
      </c>
      <c r="D4232">
        <v>1</v>
      </c>
    </row>
    <row r="4233" spans="1:4" hidden="1" x14ac:dyDescent="0.25">
      <c r="A4233" t="s">
        <v>20</v>
      </c>
      <c r="B4233">
        <v>74</v>
      </c>
      <c r="C4233">
        <v>32</v>
      </c>
    </row>
    <row r="4234" spans="1:4" hidden="1" x14ac:dyDescent="0.25">
      <c r="A4234" t="s">
        <v>20</v>
      </c>
      <c r="B4234">
        <v>74</v>
      </c>
      <c r="C4234">
        <v>33</v>
      </c>
    </row>
    <row r="4235" spans="1:4" hidden="1" x14ac:dyDescent="0.25">
      <c r="A4235" t="s">
        <v>20</v>
      </c>
      <c r="B4235">
        <v>74</v>
      </c>
      <c r="C4235">
        <v>34</v>
      </c>
    </row>
    <row r="4236" spans="1:4" hidden="1" x14ac:dyDescent="0.25">
      <c r="A4236" t="s">
        <v>20</v>
      </c>
      <c r="B4236">
        <v>74</v>
      </c>
      <c r="C4236">
        <v>35</v>
      </c>
    </row>
    <row r="4237" spans="1:4" hidden="1" x14ac:dyDescent="0.25">
      <c r="A4237" t="s">
        <v>20</v>
      </c>
      <c r="B4237">
        <v>74</v>
      </c>
      <c r="C4237">
        <v>36</v>
      </c>
    </row>
    <row r="4238" spans="1:4" hidden="1" x14ac:dyDescent="0.25">
      <c r="A4238" t="s">
        <v>20</v>
      </c>
      <c r="B4238">
        <v>74</v>
      </c>
      <c r="C4238">
        <v>37</v>
      </c>
    </row>
    <row r="4239" spans="1:4" hidden="1" x14ac:dyDescent="0.25">
      <c r="A4239" t="s">
        <v>20</v>
      </c>
      <c r="B4239">
        <v>74</v>
      </c>
      <c r="C4239">
        <v>38</v>
      </c>
    </row>
    <row r="4240" spans="1:4" hidden="1" x14ac:dyDescent="0.25">
      <c r="A4240" t="s">
        <v>20</v>
      </c>
      <c r="B4240">
        <v>74</v>
      </c>
      <c r="C4240">
        <v>39</v>
      </c>
    </row>
    <row r="4241" spans="1:4" hidden="1" x14ac:dyDescent="0.25">
      <c r="A4241" t="s">
        <v>20</v>
      </c>
      <c r="B4241">
        <v>74</v>
      </c>
      <c r="C4241">
        <v>40</v>
      </c>
      <c r="D4241">
        <v>1</v>
      </c>
    </row>
    <row r="4242" spans="1:4" hidden="1" x14ac:dyDescent="0.25">
      <c r="A4242" t="s">
        <v>20</v>
      </c>
      <c r="B4242">
        <v>74</v>
      </c>
      <c r="C4242">
        <v>41</v>
      </c>
    </row>
    <row r="4243" spans="1:4" hidden="1" x14ac:dyDescent="0.25">
      <c r="A4243" t="s">
        <v>20</v>
      </c>
      <c r="B4243">
        <v>74</v>
      </c>
      <c r="C4243">
        <v>42</v>
      </c>
    </row>
    <row r="4244" spans="1:4" hidden="1" x14ac:dyDescent="0.25">
      <c r="A4244" t="s">
        <v>20</v>
      </c>
      <c r="B4244">
        <v>74</v>
      </c>
      <c r="C4244">
        <v>43</v>
      </c>
    </row>
    <row r="4245" spans="1:4" hidden="1" x14ac:dyDescent="0.25">
      <c r="A4245" t="s">
        <v>20</v>
      </c>
      <c r="B4245">
        <v>74</v>
      </c>
      <c r="C4245">
        <v>44</v>
      </c>
    </row>
    <row r="4246" spans="1:4" hidden="1" x14ac:dyDescent="0.25">
      <c r="A4246" t="s">
        <v>20</v>
      </c>
      <c r="B4246">
        <v>74</v>
      </c>
      <c r="C4246">
        <v>45</v>
      </c>
    </row>
    <row r="4247" spans="1:4" hidden="1" x14ac:dyDescent="0.25">
      <c r="A4247" t="s">
        <v>20</v>
      </c>
      <c r="B4247">
        <v>74</v>
      </c>
      <c r="C4247">
        <v>46</v>
      </c>
      <c r="D4247">
        <v>1</v>
      </c>
    </row>
    <row r="4248" spans="1:4" hidden="1" x14ac:dyDescent="0.25">
      <c r="A4248" t="s">
        <v>20</v>
      </c>
      <c r="B4248">
        <v>74</v>
      </c>
      <c r="C4248">
        <v>47</v>
      </c>
    </row>
    <row r="4249" spans="1:4" hidden="1" x14ac:dyDescent="0.25">
      <c r="A4249" t="s">
        <v>20</v>
      </c>
      <c r="B4249">
        <v>74</v>
      </c>
      <c r="C4249">
        <v>48</v>
      </c>
    </row>
    <row r="4250" spans="1:4" hidden="1" x14ac:dyDescent="0.25">
      <c r="A4250" t="s">
        <v>20</v>
      </c>
      <c r="B4250">
        <v>74</v>
      </c>
      <c r="C4250">
        <v>49</v>
      </c>
    </row>
    <row r="4251" spans="1:4" hidden="1" x14ac:dyDescent="0.25">
      <c r="A4251" t="s">
        <v>20</v>
      </c>
      <c r="B4251">
        <v>74</v>
      </c>
      <c r="C4251">
        <v>50</v>
      </c>
    </row>
    <row r="4252" spans="1:4" hidden="1" x14ac:dyDescent="0.25">
      <c r="A4252" t="s">
        <v>20</v>
      </c>
      <c r="B4252">
        <v>74</v>
      </c>
      <c r="C4252">
        <v>51</v>
      </c>
    </row>
    <row r="4253" spans="1:4" hidden="1" x14ac:dyDescent="0.25">
      <c r="A4253" t="s">
        <v>20</v>
      </c>
      <c r="B4253">
        <v>74</v>
      </c>
      <c r="C4253">
        <v>52</v>
      </c>
    </row>
    <row r="4254" spans="1:4" hidden="1" x14ac:dyDescent="0.25">
      <c r="A4254" t="s">
        <v>20</v>
      </c>
      <c r="B4254">
        <v>74</v>
      </c>
      <c r="C4254">
        <v>53</v>
      </c>
    </row>
    <row r="4255" spans="1:4" hidden="1" x14ac:dyDescent="0.25">
      <c r="A4255" t="s">
        <v>20</v>
      </c>
      <c r="B4255">
        <v>74</v>
      </c>
      <c r="C4255">
        <v>54</v>
      </c>
    </row>
    <row r="4256" spans="1:4" hidden="1" x14ac:dyDescent="0.25">
      <c r="A4256" t="s">
        <v>20</v>
      </c>
      <c r="B4256">
        <v>74</v>
      </c>
      <c r="C4256">
        <v>55</v>
      </c>
    </row>
    <row r="4257" spans="1:4" hidden="1" x14ac:dyDescent="0.25">
      <c r="A4257" t="s">
        <v>20</v>
      </c>
      <c r="B4257">
        <v>74</v>
      </c>
      <c r="C4257">
        <v>56</v>
      </c>
    </row>
    <row r="4258" spans="1:4" hidden="1" x14ac:dyDescent="0.25">
      <c r="A4258" t="s">
        <v>20</v>
      </c>
      <c r="B4258">
        <v>74</v>
      </c>
      <c r="C4258">
        <v>57</v>
      </c>
    </row>
    <row r="4259" spans="1:4" hidden="1" x14ac:dyDescent="0.25">
      <c r="A4259" t="s">
        <v>20</v>
      </c>
      <c r="B4259">
        <v>74</v>
      </c>
      <c r="C4259">
        <v>58</v>
      </c>
    </row>
    <row r="4260" spans="1:4" hidden="1" x14ac:dyDescent="0.25">
      <c r="A4260" t="s">
        <v>20</v>
      </c>
      <c r="B4260">
        <v>74</v>
      </c>
      <c r="C4260">
        <v>59</v>
      </c>
    </row>
    <row r="4261" spans="1:4" hidden="1" x14ac:dyDescent="0.25">
      <c r="A4261" t="s">
        <v>20</v>
      </c>
      <c r="B4261">
        <v>74</v>
      </c>
      <c r="C4261">
        <v>60</v>
      </c>
    </row>
    <row r="4262" spans="1:4" hidden="1" x14ac:dyDescent="0.25">
      <c r="A4262" t="s">
        <v>20</v>
      </c>
      <c r="B4262">
        <v>74</v>
      </c>
      <c r="C4262">
        <v>61</v>
      </c>
      <c r="D4262">
        <v>1</v>
      </c>
    </row>
    <row r="4263" spans="1:4" hidden="1" x14ac:dyDescent="0.25">
      <c r="A4263" t="s">
        <v>20</v>
      </c>
      <c r="B4263">
        <v>74</v>
      </c>
      <c r="C4263">
        <v>62</v>
      </c>
    </row>
    <row r="4264" spans="1:4" hidden="1" x14ac:dyDescent="0.25">
      <c r="A4264" t="s">
        <v>20</v>
      </c>
      <c r="B4264">
        <v>74</v>
      </c>
      <c r="C4264">
        <v>63</v>
      </c>
    </row>
    <row r="4265" spans="1:4" hidden="1" x14ac:dyDescent="0.25">
      <c r="A4265" t="s">
        <v>20</v>
      </c>
      <c r="B4265">
        <v>74</v>
      </c>
      <c r="C4265">
        <v>64</v>
      </c>
    </row>
    <row r="4266" spans="1:4" hidden="1" x14ac:dyDescent="0.25">
      <c r="A4266" t="s">
        <v>20</v>
      </c>
      <c r="B4266">
        <v>74</v>
      </c>
      <c r="C4266">
        <v>65</v>
      </c>
    </row>
    <row r="4267" spans="1:4" hidden="1" x14ac:dyDescent="0.25">
      <c r="A4267" t="s">
        <v>20</v>
      </c>
      <c r="B4267">
        <v>74</v>
      </c>
      <c r="C4267">
        <v>66</v>
      </c>
    </row>
    <row r="4268" spans="1:4" hidden="1" x14ac:dyDescent="0.25">
      <c r="A4268" t="s">
        <v>20</v>
      </c>
      <c r="B4268">
        <v>74</v>
      </c>
      <c r="C4268">
        <v>67</v>
      </c>
    </row>
    <row r="4269" spans="1:4" hidden="1" x14ac:dyDescent="0.25">
      <c r="A4269" t="s">
        <v>20</v>
      </c>
      <c r="B4269">
        <v>74</v>
      </c>
      <c r="C4269">
        <v>68</v>
      </c>
    </row>
    <row r="4270" spans="1:4" hidden="1" x14ac:dyDescent="0.25">
      <c r="A4270" t="s">
        <v>20</v>
      </c>
      <c r="B4270">
        <v>74</v>
      </c>
      <c r="C4270">
        <v>69</v>
      </c>
    </row>
    <row r="4271" spans="1:4" hidden="1" x14ac:dyDescent="0.25">
      <c r="A4271" t="s">
        <v>20</v>
      </c>
      <c r="B4271">
        <v>74</v>
      </c>
      <c r="C4271">
        <v>70</v>
      </c>
    </row>
    <row r="4272" spans="1:4" hidden="1" x14ac:dyDescent="0.25">
      <c r="A4272" t="s">
        <v>20</v>
      </c>
      <c r="B4272">
        <v>74</v>
      </c>
      <c r="C4272">
        <v>71</v>
      </c>
    </row>
    <row r="4273" spans="1:3" hidden="1" x14ac:dyDescent="0.25">
      <c r="A4273" t="s">
        <v>20</v>
      </c>
      <c r="B4273">
        <v>74</v>
      </c>
      <c r="C4273">
        <v>72</v>
      </c>
    </row>
    <row r="4274" spans="1:3" hidden="1" x14ac:dyDescent="0.25">
      <c r="A4274" t="s">
        <v>20</v>
      </c>
      <c r="B4274">
        <v>74</v>
      </c>
      <c r="C4274">
        <v>73</v>
      </c>
    </row>
    <row r="4275" spans="1:3" hidden="1" x14ac:dyDescent="0.25">
      <c r="A4275" t="s">
        <v>20</v>
      </c>
      <c r="B4275">
        <v>74</v>
      </c>
      <c r="C4275">
        <v>74</v>
      </c>
    </row>
    <row r="4276" spans="1:3" hidden="1" x14ac:dyDescent="0.25">
      <c r="A4276" t="s">
        <v>20</v>
      </c>
      <c r="B4276">
        <v>74</v>
      </c>
      <c r="C4276">
        <v>75</v>
      </c>
    </row>
    <row r="4277" spans="1:3" hidden="1" x14ac:dyDescent="0.25">
      <c r="A4277" t="s">
        <v>20</v>
      </c>
      <c r="B4277">
        <v>74</v>
      </c>
      <c r="C4277">
        <v>76</v>
      </c>
    </row>
    <row r="4278" spans="1:3" hidden="1" x14ac:dyDescent="0.25">
      <c r="A4278" t="s">
        <v>20</v>
      </c>
      <c r="B4278">
        <v>74</v>
      </c>
      <c r="C4278">
        <v>77</v>
      </c>
    </row>
    <row r="4279" spans="1:3" hidden="1" x14ac:dyDescent="0.25">
      <c r="A4279" t="s">
        <v>20</v>
      </c>
      <c r="B4279">
        <v>74</v>
      </c>
      <c r="C4279">
        <v>78</v>
      </c>
    </row>
    <row r="4280" spans="1:3" hidden="1" x14ac:dyDescent="0.25">
      <c r="A4280" t="s">
        <v>20</v>
      </c>
      <c r="B4280">
        <v>74</v>
      </c>
      <c r="C4280">
        <v>79</v>
      </c>
    </row>
    <row r="4281" spans="1:3" hidden="1" x14ac:dyDescent="0.25">
      <c r="A4281" t="s">
        <v>20</v>
      </c>
      <c r="B4281">
        <v>74</v>
      </c>
      <c r="C4281">
        <v>80</v>
      </c>
    </row>
    <row r="4282" spans="1:3" hidden="1" x14ac:dyDescent="0.25">
      <c r="A4282" t="s">
        <v>20</v>
      </c>
      <c r="B4282">
        <v>74</v>
      </c>
      <c r="C4282">
        <v>81</v>
      </c>
    </row>
    <row r="4283" spans="1:3" hidden="1" x14ac:dyDescent="0.25">
      <c r="A4283" t="s">
        <v>20</v>
      </c>
      <c r="B4283">
        <v>74</v>
      </c>
      <c r="C4283">
        <v>82</v>
      </c>
    </row>
    <row r="4284" spans="1:3" hidden="1" x14ac:dyDescent="0.25">
      <c r="A4284" t="s">
        <v>20</v>
      </c>
      <c r="B4284">
        <v>74</v>
      </c>
      <c r="C4284">
        <v>83</v>
      </c>
    </row>
    <row r="4285" spans="1:3" hidden="1" x14ac:dyDescent="0.25">
      <c r="A4285" t="s">
        <v>20</v>
      </c>
      <c r="B4285">
        <v>74</v>
      </c>
      <c r="C4285">
        <v>84</v>
      </c>
    </row>
    <row r="4286" spans="1:3" hidden="1" x14ac:dyDescent="0.25">
      <c r="A4286" t="s">
        <v>20</v>
      </c>
      <c r="B4286">
        <v>75</v>
      </c>
      <c r="C4286">
        <v>1</v>
      </c>
    </row>
    <row r="4287" spans="1:3" hidden="1" x14ac:dyDescent="0.25">
      <c r="A4287" t="s">
        <v>20</v>
      </c>
      <c r="B4287">
        <v>75</v>
      </c>
      <c r="C4287">
        <v>2</v>
      </c>
    </row>
    <row r="4288" spans="1:3" hidden="1" x14ac:dyDescent="0.25">
      <c r="A4288" t="s">
        <v>20</v>
      </c>
      <c r="B4288">
        <v>75</v>
      </c>
      <c r="C4288">
        <v>3</v>
      </c>
    </row>
    <row r="4289" spans="1:4" hidden="1" x14ac:dyDescent="0.25">
      <c r="A4289" t="s">
        <v>20</v>
      </c>
      <c r="B4289">
        <v>75</v>
      </c>
      <c r="C4289">
        <v>4</v>
      </c>
    </row>
    <row r="4290" spans="1:4" hidden="1" x14ac:dyDescent="0.25">
      <c r="A4290" t="s">
        <v>20</v>
      </c>
      <c r="B4290">
        <v>75</v>
      </c>
      <c r="C4290">
        <v>5</v>
      </c>
    </row>
    <row r="4291" spans="1:4" hidden="1" x14ac:dyDescent="0.25">
      <c r="A4291" t="s">
        <v>20</v>
      </c>
      <c r="B4291">
        <v>75</v>
      </c>
      <c r="C4291">
        <v>6</v>
      </c>
    </row>
    <row r="4292" spans="1:4" hidden="1" x14ac:dyDescent="0.25">
      <c r="A4292" t="s">
        <v>20</v>
      </c>
      <c r="B4292">
        <v>75</v>
      </c>
      <c r="C4292">
        <v>7</v>
      </c>
    </row>
    <row r="4293" spans="1:4" hidden="1" x14ac:dyDescent="0.25">
      <c r="A4293" t="s">
        <v>20</v>
      </c>
      <c r="B4293">
        <v>75</v>
      </c>
      <c r="C4293">
        <v>8</v>
      </c>
    </row>
    <row r="4294" spans="1:4" hidden="1" x14ac:dyDescent="0.25">
      <c r="A4294" t="s">
        <v>20</v>
      </c>
      <c r="B4294">
        <v>75</v>
      </c>
      <c r="C4294">
        <v>9</v>
      </c>
    </row>
    <row r="4295" spans="1:4" hidden="1" x14ac:dyDescent="0.25">
      <c r="A4295" t="s">
        <v>20</v>
      </c>
      <c r="B4295">
        <v>75</v>
      </c>
      <c r="C4295">
        <v>10</v>
      </c>
    </row>
    <row r="4296" spans="1:4" hidden="1" x14ac:dyDescent="0.25">
      <c r="A4296" t="s">
        <v>20</v>
      </c>
      <c r="B4296">
        <v>75</v>
      </c>
      <c r="C4296">
        <v>11</v>
      </c>
    </row>
    <row r="4297" spans="1:4" hidden="1" x14ac:dyDescent="0.25">
      <c r="A4297" t="s">
        <v>20</v>
      </c>
      <c r="B4297">
        <v>75</v>
      </c>
      <c r="C4297">
        <v>12</v>
      </c>
    </row>
    <row r="4298" spans="1:4" hidden="1" x14ac:dyDescent="0.25">
      <c r="A4298" t="s">
        <v>20</v>
      </c>
      <c r="B4298">
        <v>75</v>
      </c>
      <c r="C4298">
        <v>13</v>
      </c>
    </row>
    <row r="4299" spans="1:4" hidden="1" x14ac:dyDescent="0.25">
      <c r="A4299" t="s">
        <v>20</v>
      </c>
      <c r="B4299">
        <v>75</v>
      </c>
      <c r="C4299">
        <v>14</v>
      </c>
      <c r="D4299">
        <v>1</v>
      </c>
    </row>
    <row r="4300" spans="1:4" hidden="1" x14ac:dyDescent="0.25">
      <c r="A4300" t="s">
        <v>20</v>
      </c>
      <c r="B4300">
        <v>75</v>
      </c>
      <c r="C4300">
        <v>15</v>
      </c>
    </row>
    <row r="4301" spans="1:4" hidden="1" x14ac:dyDescent="0.25">
      <c r="A4301" t="s">
        <v>20</v>
      </c>
      <c r="B4301">
        <v>75</v>
      </c>
      <c r="C4301">
        <v>16</v>
      </c>
    </row>
    <row r="4302" spans="1:4" hidden="1" x14ac:dyDescent="0.25">
      <c r="A4302" t="s">
        <v>20</v>
      </c>
      <c r="B4302">
        <v>75</v>
      </c>
      <c r="C4302">
        <v>17</v>
      </c>
    </row>
    <row r="4303" spans="1:4" hidden="1" x14ac:dyDescent="0.25">
      <c r="A4303" t="s">
        <v>20</v>
      </c>
      <c r="B4303">
        <v>75</v>
      </c>
      <c r="C4303">
        <v>18</v>
      </c>
    </row>
    <row r="4304" spans="1:4" hidden="1" x14ac:dyDescent="0.25">
      <c r="A4304" t="s">
        <v>20</v>
      </c>
      <c r="B4304">
        <v>75</v>
      </c>
      <c r="C4304">
        <v>19</v>
      </c>
    </row>
    <row r="4305" spans="1:4" hidden="1" x14ac:dyDescent="0.25">
      <c r="A4305" t="s">
        <v>20</v>
      </c>
      <c r="B4305">
        <v>75</v>
      </c>
      <c r="C4305">
        <v>20</v>
      </c>
    </row>
    <row r="4306" spans="1:4" hidden="1" x14ac:dyDescent="0.25">
      <c r="A4306" t="s">
        <v>20</v>
      </c>
      <c r="B4306">
        <v>75</v>
      </c>
      <c r="C4306">
        <v>21</v>
      </c>
    </row>
    <row r="4307" spans="1:4" hidden="1" x14ac:dyDescent="0.25">
      <c r="A4307" t="s">
        <v>20</v>
      </c>
      <c r="B4307">
        <v>75</v>
      </c>
      <c r="C4307">
        <v>22</v>
      </c>
    </row>
    <row r="4308" spans="1:4" hidden="1" x14ac:dyDescent="0.25">
      <c r="A4308" t="s">
        <v>20</v>
      </c>
      <c r="B4308">
        <v>75</v>
      </c>
      <c r="C4308">
        <v>23</v>
      </c>
    </row>
    <row r="4309" spans="1:4" hidden="1" x14ac:dyDescent="0.25">
      <c r="A4309" t="s">
        <v>20</v>
      </c>
      <c r="B4309">
        <v>75</v>
      </c>
      <c r="C4309">
        <v>24</v>
      </c>
    </row>
    <row r="4310" spans="1:4" hidden="1" x14ac:dyDescent="0.25">
      <c r="A4310" t="s">
        <v>20</v>
      </c>
      <c r="B4310">
        <v>75</v>
      </c>
      <c r="C4310">
        <v>25</v>
      </c>
    </row>
    <row r="4311" spans="1:4" hidden="1" x14ac:dyDescent="0.25">
      <c r="A4311" t="s">
        <v>20</v>
      </c>
      <c r="B4311">
        <v>75</v>
      </c>
      <c r="C4311">
        <v>26</v>
      </c>
    </row>
    <row r="4312" spans="1:4" hidden="1" x14ac:dyDescent="0.25">
      <c r="A4312" t="s">
        <v>20</v>
      </c>
      <c r="B4312">
        <v>75</v>
      </c>
      <c r="C4312">
        <v>27</v>
      </c>
    </row>
    <row r="4313" spans="1:4" hidden="1" x14ac:dyDescent="0.25">
      <c r="A4313" t="s">
        <v>20</v>
      </c>
      <c r="B4313">
        <v>75</v>
      </c>
      <c r="C4313">
        <v>28</v>
      </c>
    </row>
    <row r="4314" spans="1:4" hidden="1" x14ac:dyDescent="0.25">
      <c r="A4314" t="s">
        <v>20</v>
      </c>
      <c r="B4314">
        <v>75</v>
      </c>
      <c r="C4314">
        <v>29</v>
      </c>
    </row>
    <row r="4315" spans="1:4" hidden="1" x14ac:dyDescent="0.25">
      <c r="A4315" t="s">
        <v>20</v>
      </c>
      <c r="B4315">
        <v>75</v>
      </c>
      <c r="C4315">
        <v>30</v>
      </c>
    </row>
    <row r="4316" spans="1:4" hidden="1" x14ac:dyDescent="0.25">
      <c r="A4316" t="s">
        <v>20</v>
      </c>
      <c r="B4316">
        <v>75</v>
      </c>
      <c r="C4316">
        <v>31</v>
      </c>
    </row>
    <row r="4317" spans="1:4" hidden="1" x14ac:dyDescent="0.25">
      <c r="A4317" t="s">
        <v>20</v>
      </c>
      <c r="B4317">
        <v>75</v>
      </c>
      <c r="C4317">
        <v>32</v>
      </c>
    </row>
    <row r="4318" spans="1:4" hidden="1" x14ac:dyDescent="0.25">
      <c r="A4318" t="s">
        <v>20</v>
      </c>
      <c r="B4318">
        <v>75</v>
      </c>
      <c r="C4318">
        <v>33</v>
      </c>
    </row>
    <row r="4319" spans="1:4" hidden="1" x14ac:dyDescent="0.25">
      <c r="A4319" t="s">
        <v>20</v>
      </c>
      <c r="B4319">
        <v>75</v>
      </c>
      <c r="C4319">
        <v>34</v>
      </c>
    </row>
    <row r="4320" spans="1:4" hidden="1" x14ac:dyDescent="0.25">
      <c r="A4320" t="s">
        <v>20</v>
      </c>
      <c r="B4320">
        <v>75</v>
      </c>
      <c r="C4320">
        <v>35</v>
      </c>
      <c r="D4320">
        <v>1</v>
      </c>
    </row>
    <row r="4321" spans="1:4" hidden="1" x14ac:dyDescent="0.25">
      <c r="A4321" t="s">
        <v>20</v>
      </c>
      <c r="B4321">
        <v>75</v>
      </c>
      <c r="C4321">
        <v>36</v>
      </c>
    </row>
    <row r="4322" spans="1:4" hidden="1" x14ac:dyDescent="0.25">
      <c r="A4322" t="s">
        <v>20</v>
      </c>
      <c r="B4322">
        <v>75</v>
      </c>
      <c r="C4322">
        <v>37</v>
      </c>
    </row>
    <row r="4323" spans="1:4" hidden="1" x14ac:dyDescent="0.25">
      <c r="A4323" t="s">
        <v>20</v>
      </c>
      <c r="B4323">
        <v>75</v>
      </c>
      <c r="C4323">
        <v>38</v>
      </c>
      <c r="D4323">
        <v>1</v>
      </c>
    </row>
    <row r="4324" spans="1:4" hidden="1" x14ac:dyDescent="0.25">
      <c r="A4324" t="s">
        <v>20</v>
      </c>
      <c r="B4324">
        <v>75</v>
      </c>
      <c r="C4324">
        <v>39</v>
      </c>
    </row>
    <row r="4325" spans="1:4" hidden="1" x14ac:dyDescent="0.25">
      <c r="A4325" t="s">
        <v>20</v>
      </c>
      <c r="B4325">
        <v>75</v>
      </c>
      <c r="C4325">
        <v>40</v>
      </c>
    </row>
    <row r="4326" spans="1:4" hidden="1" x14ac:dyDescent="0.25">
      <c r="A4326" t="s">
        <v>20</v>
      </c>
      <c r="B4326">
        <v>75</v>
      </c>
      <c r="C4326">
        <v>41</v>
      </c>
    </row>
    <row r="4327" spans="1:4" hidden="1" x14ac:dyDescent="0.25">
      <c r="A4327" t="s">
        <v>20</v>
      </c>
      <c r="B4327">
        <v>75</v>
      </c>
      <c r="C4327">
        <v>42</v>
      </c>
    </row>
    <row r="4328" spans="1:4" hidden="1" x14ac:dyDescent="0.25">
      <c r="A4328" t="s">
        <v>20</v>
      </c>
      <c r="B4328">
        <v>75</v>
      </c>
      <c r="C4328">
        <v>43</v>
      </c>
    </row>
    <row r="4329" spans="1:4" hidden="1" x14ac:dyDescent="0.25">
      <c r="A4329" t="s">
        <v>20</v>
      </c>
      <c r="B4329">
        <v>75</v>
      </c>
      <c r="C4329">
        <v>44</v>
      </c>
    </row>
    <row r="4330" spans="1:4" hidden="1" x14ac:dyDescent="0.25">
      <c r="A4330" t="s">
        <v>20</v>
      </c>
      <c r="B4330">
        <v>75</v>
      </c>
      <c r="C4330">
        <v>45</v>
      </c>
    </row>
    <row r="4331" spans="1:4" hidden="1" x14ac:dyDescent="0.25">
      <c r="A4331" t="s">
        <v>20</v>
      </c>
      <c r="B4331">
        <v>75</v>
      </c>
      <c r="C4331">
        <v>46</v>
      </c>
    </row>
    <row r="4332" spans="1:4" hidden="1" x14ac:dyDescent="0.25">
      <c r="A4332" t="s">
        <v>20</v>
      </c>
      <c r="B4332">
        <v>75</v>
      </c>
      <c r="C4332">
        <v>47</v>
      </c>
    </row>
    <row r="4333" spans="1:4" hidden="1" x14ac:dyDescent="0.25">
      <c r="A4333" t="s">
        <v>20</v>
      </c>
      <c r="B4333">
        <v>75</v>
      </c>
      <c r="C4333">
        <v>48</v>
      </c>
    </row>
    <row r="4334" spans="1:4" hidden="1" x14ac:dyDescent="0.25">
      <c r="A4334" t="s">
        <v>20</v>
      </c>
      <c r="B4334">
        <v>75</v>
      </c>
      <c r="C4334">
        <v>49</v>
      </c>
    </row>
    <row r="4335" spans="1:4" hidden="1" x14ac:dyDescent="0.25">
      <c r="A4335" t="s">
        <v>20</v>
      </c>
      <c r="B4335">
        <v>75</v>
      </c>
      <c r="C4335">
        <v>50</v>
      </c>
    </row>
    <row r="4336" spans="1:4" hidden="1" x14ac:dyDescent="0.25">
      <c r="A4336" t="s">
        <v>20</v>
      </c>
      <c r="B4336">
        <v>75</v>
      </c>
      <c r="C4336">
        <v>51</v>
      </c>
    </row>
    <row r="4337" spans="1:4" hidden="1" x14ac:dyDescent="0.25">
      <c r="A4337" t="s">
        <v>20</v>
      </c>
      <c r="B4337">
        <v>75</v>
      </c>
      <c r="C4337">
        <v>52</v>
      </c>
    </row>
    <row r="4338" spans="1:4" hidden="1" x14ac:dyDescent="0.25">
      <c r="A4338" t="s">
        <v>20</v>
      </c>
      <c r="B4338">
        <v>75</v>
      </c>
      <c r="C4338">
        <v>53</v>
      </c>
    </row>
    <row r="4339" spans="1:4" hidden="1" x14ac:dyDescent="0.25">
      <c r="A4339" t="s">
        <v>20</v>
      </c>
      <c r="B4339">
        <v>75</v>
      </c>
      <c r="C4339">
        <v>54</v>
      </c>
    </row>
    <row r="4340" spans="1:4" hidden="1" x14ac:dyDescent="0.25">
      <c r="A4340" t="s">
        <v>20</v>
      </c>
      <c r="B4340">
        <v>75</v>
      </c>
      <c r="C4340">
        <v>55</v>
      </c>
    </row>
    <row r="4341" spans="1:4" hidden="1" x14ac:dyDescent="0.25">
      <c r="A4341" t="s">
        <v>20</v>
      </c>
      <c r="B4341">
        <v>75</v>
      </c>
      <c r="C4341">
        <v>56</v>
      </c>
    </row>
    <row r="4342" spans="1:4" hidden="1" x14ac:dyDescent="0.25">
      <c r="A4342" t="s">
        <v>20</v>
      </c>
      <c r="B4342">
        <v>75</v>
      </c>
      <c r="C4342">
        <v>57</v>
      </c>
    </row>
    <row r="4343" spans="1:4" hidden="1" x14ac:dyDescent="0.25">
      <c r="A4343" t="s">
        <v>20</v>
      </c>
      <c r="B4343">
        <v>75</v>
      </c>
      <c r="C4343">
        <v>58</v>
      </c>
    </row>
    <row r="4344" spans="1:4" hidden="1" x14ac:dyDescent="0.25">
      <c r="A4344" t="s">
        <v>20</v>
      </c>
      <c r="B4344">
        <v>75</v>
      </c>
      <c r="C4344">
        <v>59</v>
      </c>
      <c r="D4344">
        <v>1</v>
      </c>
    </row>
    <row r="4345" spans="1:4" hidden="1" x14ac:dyDescent="0.25">
      <c r="A4345" t="s">
        <v>20</v>
      </c>
      <c r="B4345">
        <v>75</v>
      </c>
      <c r="C4345">
        <v>60</v>
      </c>
    </row>
    <row r="4346" spans="1:4" hidden="1" x14ac:dyDescent="0.25">
      <c r="A4346" t="s">
        <v>20</v>
      </c>
      <c r="B4346">
        <v>75</v>
      </c>
      <c r="C4346">
        <v>61</v>
      </c>
    </row>
    <row r="4347" spans="1:4" hidden="1" x14ac:dyDescent="0.25">
      <c r="A4347" t="s">
        <v>20</v>
      </c>
      <c r="B4347">
        <v>75</v>
      </c>
      <c r="C4347">
        <v>62</v>
      </c>
    </row>
    <row r="4348" spans="1:4" hidden="1" x14ac:dyDescent="0.25">
      <c r="A4348" t="s">
        <v>20</v>
      </c>
      <c r="B4348">
        <v>75</v>
      </c>
      <c r="C4348">
        <v>63</v>
      </c>
    </row>
    <row r="4349" spans="1:4" hidden="1" x14ac:dyDescent="0.25">
      <c r="A4349" t="s">
        <v>20</v>
      </c>
      <c r="B4349">
        <v>75</v>
      </c>
      <c r="C4349">
        <v>64</v>
      </c>
    </row>
    <row r="4350" spans="1:4" hidden="1" x14ac:dyDescent="0.25">
      <c r="A4350" t="s">
        <v>20</v>
      </c>
      <c r="B4350">
        <v>75</v>
      </c>
      <c r="C4350">
        <v>65</v>
      </c>
    </row>
    <row r="4351" spans="1:4" hidden="1" x14ac:dyDescent="0.25">
      <c r="A4351" t="s">
        <v>20</v>
      </c>
      <c r="B4351">
        <v>75</v>
      </c>
      <c r="C4351">
        <v>66</v>
      </c>
    </row>
    <row r="4352" spans="1:4" hidden="1" x14ac:dyDescent="0.25">
      <c r="A4352" t="s">
        <v>20</v>
      </c>
      <c r="B4352">
        <v>75</v>
      </c>
      <c r="C4352">
        <v>67</v>
      </c>
    </row>
    <row r="4353" spans="1:4" hidden="1" x14ac:dyDescent="0.25">
      <c r="A4353" t="s">
        <v>20</v>
      </c>
      <c r="B4353">
        <v>75</v>
      </c>
      <c r="C4353">
        <v>68</v>
      </c>
    </row>
    <row r="4354" spans="1:4" hidden="1" x14ac:dyDescent="0.25">
      <c r="A4354" t="s">
        <v>20</v>
      </c>
      <c r="B4354">
        <v>75</v>
      </c>
      <c r="C4354">
        <v>69</v>
      </c>
    </row>
    <row r="4355" spans="1:4" hidden="1" x14ac:dyDescent="0.25">
      <c r="A4355" t="s">
        <v>20</v>
      </c>
      <c r="B4355">
        <v>75</v>
      </c>
      <c r="C4355">
        <v>70</v>
      </c>
    </row>
    <row r="4356" spans="1:4" hidden="1" x14ac:dyDescent="0.25">
      <c r="A4356" t="s">
        <v>20</v>
      </c>
      <c r="B4356">
        <v>75</v>
      </c>
      <c r="C4356">
        <v>71</v>
      </c>
    </row>
    <row r="4357" spans="1:4" hidden="1" x14ac:dyDescent="0.25">
      <c r="A4357" t="s">
        <v>20</v>
      </c>
      <c r="B4357">
        <v>75</v>
      </c>
      <c r="C4357">
        <v>72</v>
      </c>
    </row>
    <row r="4358" spans="1:4" hidden="1" x14ac:dyDescent="0.25">
      <c r="A4358" t="s">
        <v>20</v>
      </c>
      <c r="B4358">
        <v>75</v>
      </c>
      <c r="C4358">
        <v>73</v>
      </c>
    </row>
    <row r="4359" spans="1:4" hidden="1" x14ac:dyDescent="0.25">
      <c r="A4359" t="s">
        <v>20</v>
      </c>
      <c r="B4359">
        <v>75</v>
      </c>
      <c r="C4359">
        <v>74</v>
      </c>
    </row>
    <row r="4360" spans="1:4" hidden="1" x14ac:dyDescent="0.25">
      <c r="A4360" t="s">
        <v>20</v>
      </c>
      <c r="B4360">
        <v>75</v>
      </c>
      <c r="C4360">
        <v>75</v>
      </c>
    </row>
    <row r="4361" spans="1:4" hidden="1" x14ac:dyDescent="0.25">
      <c r="A4361" t="s">
        <v>20</v>
      </c>
      <c r="B4361">
        <v>75</v>
      </c>
      <c r="C4361">
        <v>76</v>
      </c>
    </row>
    <row r="4362" spans="1:4" hidden="1" x14ac:dyDescent="0.25">
      <c r="A4362" t="s">
        <v>20</v>
      </c>
      <c r="B4362">
        <v>75</v>
      </c>
      <c r="C4362">
        <v>77</v>
      </c>
      <c r="D4362">
        <v>1</v>
      </c>
    </row>
    <row r="4363" spans="1:4" hidden="1" x14ac:dyDescent="0.25">
      <c r="A4363" t="s">
        <v>20</v>
      </c>
      <c r="B4363">
        <v>75</v>
      </c>
      <c r="C4363">
        <v>78</v>
      </c>
    </row>
    <row r="4364" spans="1:4" hidden="1" x14ac:dyDescent="0.25">
      <c r="A4364" t="s">
        <v>20</v>
      </c>
      <c r="B4364">
        <v>75</v>
      </c>
      <c r="C4364">
        <v>79</v>
      </c>
    </row>
    <row r="4365" spans="1:4" hidden="1" x14ac:dyDescent="0.25">
      <c r="A4365" t="s">
        <v>20</v>
      </c>
      <c r="B4365">
        <v>75</v>
      </c>
      <c r="C4365">
        <v>80</v>
      </c>
      <c r="D4365">
        <v>1</v>
      </c>
    </row>
    <row r="4366" spans="1:4" hidden="1" x14ac:dyDescent="0.25">
      <c r="A4366" t="s">
        <v>20</v>
      </c>
      <c r="B4366">
        <v>75</v>
      </c>
      <c r="C4366">
        <v>81</v>
      </c>
    </row>
    <row r="4367" spans="1:4" hidden="1" x14ac:dyDescent="0.25">
      <c r="A4367" t="s">
        <v>20</v>
      </c>
      <c r="B4367">
        <v>75</v>
      </c>
      <c r="C4367">
        <v>82</v>
      </c>
    </row>
    <row r="4368" spans="1:4" hidden="1" x14ac:dyDescent="0.25">
      <c r="A4368" t="s">
        <v>20</v>
      </c>
      <c r="B4368">
        <v>75</v>
      </c>
      <c r="C4368">
        <v>83</v>
      </c>
    </row>
    <row r="4369" spans="1:4" hidden="1" x14ac:dyDescent="0.25">
      <c r="A4369" t="s">
        <v>20</v>
      </c>
      <c r="B4369">
        <v>75</v>
      </c>
      <c r="C4369">
        <v>84</v>
      </c>
    </row>
    <row r="4370" spans="1:4" hidden="1" x14ac:dyDescent="0.25">
      <c r="A4370" t="s">
        <v>20</v>
      </c>
      <c r="B4370">
        <v>76</v>
      </c>
      <c r="C4370">
        <v>1</v>
      </c>
    </row>
    <row r="4371" spans="1:4" hidden="1" x14ac:dyDescent="0.25">
      <c r="A4371" t="s">
        <v>20</v>
      </c>
      <c r="B4371">
        <v>76</v>
      </c>
      <c r="C4371">
        <v>2</v>
      </c>
    </row>
    <row r="4372" spans="1:4" hidden="1" x14ac:dyDescent="0.25">
      <c r="A4372" t="s">
        <v>20</v>
      </c>
      <c r="B4372">
        <v>76</v>
      </c>
      <c r="C4372">
        <v>3</v>
      </c>
    </row>
    <row r="4373" spans="1:4" hidden="1" x14ac:dyDescent="0.25">
      <c r="A4373" t="s">
        <v>20</v>
      </c>
      <c r="B4373">
        <v>76</v>
      </c>
      <c r="C4373">
        <v>4</v>
      </c>
    </row>
    <row r="4374" spans="1:4" hidden="1" x14ac:dyDescent="0.25">
      <c r="A4374" t="s">
        <v>20</v>
      </c>
      <c r="B4374">
        <v>76</v>
      </c>
      <c r="C4374">
        <v>5</v>
      </c>
      <c r="D4374">
        <v>1</v>
      </c>
    </row>
    <row r="4375" spans="1:4" hidden="1" x14ac:dyDescent="0.25">
      <c r="A4375" t="s">
        <v>20</v>
      </c>
      <c r="B4375">
        <v>76</v>
      </c>
      <c r="C4375">
        <v>6</v>
      </c>
    </row>
    <row r="4376" spans="1:4" hidden="1" x14ac:dyDescent="0.25">
      <c r="A4376" t="s">
        <v>20</v>
      </c>
      <c r="B4376">
        <v>76</v>
      </c>
      <c r="C4376">
        <v>7</v>
      </c>
    </row>
    <row r="4377" spans="1:4" hidden="1" x14ac:dyDescent="0.25">
      <c r="A4377" t="s">
        <v>20</v>
      </c>
      <c r="B4377">
        <v>76</v>
      </c>
      <c r="C4377">
        <v>8</v>
      </c>
      <c r="D4377">
        <v>1</v>
      </c>
    </row>
    <row r="4378" spans="1:4" hidden="1" x14ac:dyDescent="0.25">
      <c r="A4378" t="s">
        <v>20</v>
      </c>
      <c r="B4378">
        <v>76</v>
      </c>
      <c r="C4378">
        <v>9</v>
      </c>
    </row>
    <row r="4379" spans="1:4" hidden="1" x14ac:dyDescent="0.25">
      <c r="A4379" t="s">
        <v>20</v>
      </c>
      <c r="B4379">
        <v>76</v>
      </c>
      <c r="C4379">
        <v>10</v>
      </c>
    </row>
    <row r="4380" spans="1:4" hidden="1" x14ac:dyDescent="0.25">
      <c r="A4380" t="s">
        <v>20</v>
      </c>
      <c r="B4380">
        <v>76</v>
      </c>
      <c r="C4380">
        <v>11</v>
      </c>
      <c r="D4380">
        <v>1</v>
      </c>
    </row>
    <row r="4381" spans="1:4" hidden="1" x14ac:dyDescent="0.25">
      <c r="A4381" t="s">
        <v>20</v>
      </c>
      <c r="B4381">
        <v>76</v>
      </c>
      <c r="C4381">
        <v>12</v>
      </c>
    </row>
    <row r="4382" spans="1:4" hidden="1" x14ac:dyDescent="0.25">
      <c r="A4382" t="s">
        <v>20</v>
      </c>
      <c r="B4382">
        <v>76</v>
      </c>
      <c r="C4382">
        <v>13</v>
      </c>
    </row>
    <row r="4383" spans="1:4" hidden="1" x14ac:dyDescent="0.25">
      <c r="A4383" t="s">
        <v>20</v>
      </c>
      <c r="B4383">
        <v>76</v>
      </c>
      <c r="C4383">
        <v>14</v>
      </c>
    </row>
    <row r="4384" spans="1:4" hidden="1" x14ac:dyDescent="0.25">
      <c r="A4384" t="s">
        <v>20</v>
      </c>
      <c r="B4384">
        <v>76</v>
      </c>
      <c r="C4384">
        <v>15</v>
      </c>
    </row>
    <row r="4385" spans="1:4" hidden="1" x14ac:dyDescent="0.25">
      <c r="A4385" t="s">
        <v>20</v>
      </c>
      <c r="B4385">
        <v>76</v>
      </c>
      <c r="C4385">
        <v>16</v>
      </c>
    </row>
    <row r="4386" spans="1:4" hidden="1" x14ac:dyDescent="0.25">
      <c r="A4386" t="s">
        <v>20</v>
      </c>
      <c r="B4386">
        <v>76</v>
      </c>
      <c r="C4386">
        <v>17</v>
      </c>
      <c r="D4386">
        <v>1</v>
      </c>
    </row>
    <row r="4387" spans="1:4" hidden="1" x14ac:dyDescent="0.25">
      <c r="A4387" t="s">
        <v>20</v>
      </c>
      <c r="B4387">
        <v>76</v>
      </c>
      <c r="C4387">
        <v>18</v>
      </c>
    </row>
    <row r="4388" spans="1:4" hidden="1" x14ac:dyDescent="0.25">
      <c r="A4388" t="s">
        <v>20</v>
      </c>
      <c r="B4388">
        <v>76</v>
      </c>
      <c r="C4388">
        <v>19</v>
      </c>
      <c r="D4388">
        <v>1</v>
      </c>
    </row>
    <row r="4389" spans="1:4" hidden="1" x14ac:dyDescent="0.25">
      <c r="A4389" t="s">
        <v>20</v>
      </c>
      <c r="B4389">
        <v>76</v>
      </c>
      <c r="C4389">
        <v>20</v>
      </c>
    </row>
    <row r="4390" spans="1:4" hidden="1" x14ac:dyDescent="0.25">
      <c r="A4390" t="s">
        <v>20</v>
      </c>
      <c r="B4390">
        <v>76</v>
      </c>
      <c r="C4390">
        <v>21</v>
      </c>
    </row>
    <row r="4391" spans="1:4" hidden="1" x14ac:dyDescent="0.25">
      <c r="A4391" t="s">
        <v>20</v>
      </c>
      <c r="B4391">
        <v>76</v>
      </c>
      <c r="C4391">
        <v>22</v>
      </c>
    </row>
    <row r="4392" spans="1:4" hidden="1" x14ac:dyDescent="0.25">
      <c r="A4392" t="s">
        <v>20</v>
      </c>
      <c r="B4392">
        <v>76</v>
      </c>
      <c r="C4392">
        <v>23</v>
      </c>
      <c r="D4392">
        <v>1</v>
      </c>
    </row>
    <row r="4393" spans="1:4" hidden="1" x14ac:dyDescent="0.25">
      <c r="A4393" t="s">
        <v>20</v>
      </c>
      <c r="B4393">
        <v>76</v>
      </c>
      <c r="C4393">
        <v>24</v>
      </c>
    </row>
    <row r="4394" spans="1:4" hidden="1" x14ac:dyDescent="0.25">
      <c r="A4394" t="s">
        <v>20</v>
      </c>
      <c r="B4394">
        <v>76</v>
      </c>
      <c r="C4394">
        <v>25</v>
      </c>
    </row>
    <row r="4395" spans="1:4" hidden="1" x14ac:dyDescent="0.25">
      <c r="A4395" t="s">
        <v>20</v>
      </c>
      <c r="B4395">
        <v>76</v>
      </c>
      <c r="C4395">
        <v>26</v>
      </c>
    </row>
    <row r="4396" spans="1:4" hidden="1" x14ac:dyDescent="0.25">
      <c r="A4396" t="s">
        <v>20</v>
      </c>
      <c r="B4396">
        <v>76</v>
      </c>
      <c r="C4396">
        <v>27</v>
      </c>
    </row>
    <row r="4397" spans="1:4" hidden="1" x14ac:dyDescent="0.25">
      <c r="A4397" t="s">
        <v>20</v>
      </c>
      <c r="B4397">
        <v>76</v>
      </c>
      <c r="C4397">
        <v>28</v>
      </c>
    </row>
    <row r="4398" spans="1:4" hidden="1" x14ac:dyDescent="0.25">
      <c r="A4398" t="s">
        <v>20</v>
      </c>
      <c r="B4398">
        <v>76</v>
      </c>
      <c r="C4398">
        <v>29</v>
      </c>
      <c r="D4398">
        <v>1</v>
      </c>
    </row>
    <row r="4399" spans="1:4" hidden="1" x14ac:dyDescent="0.25">
      <c r="A4399" t="s">
        <v>20</v>
      </c>
      <c r="B4399">
        <v>76</v>
      </c>
      <c r="C4399">
        <v>30</v>
      </c>
    </row>
    <row r="4400" spans="1:4" hidden="1" x14ac:dyDescent="0.25">
      <c r="A4400" t="s">
        <v>20</v>
      </c>
      <c r="B4400">
        <v>76</v>
      </c>
      <c r="C4400">
        <v>31</v>
      </c>
    </row>
    <row r="4401" spans="1:4" hidden="1" x14ac:dyDescent="0.25">
      <c r="A4401" t="s">
        <v>20</v>
      </c>
      <c r="B4401">
        <v>76</v>
      </c>
      <c r="C4401">
        <v>32</v>
      </c>
      <c r="D4401">
        <v>1</v>
      </c>
    </row>
    <row r="4402" spans="1:4" hidden="1" x14ac:dyDescent="0.25">
      <c r="A4402" t="s">
        <v>20</v>
      </c>
      <c r="B4402">
        <v>76</v>
      </c>
      <c r="C4402">
        <v>33</v>
      </c>
    </row>
    <row r="4403" spans="1:4" hidden="1" x14ac:dyDescent="0.25">
      <c r="A4403" t="s">
        <v>20</v>
      </c>
      <c r="B4403">
        <v>76</v>
      </c>
      <c r="C4403">
        <v>34</v>
      </c>
    </row>
    <row r="4404" spans="1:4" hidden="1" x14ac:dyDescent="0.25">
      <c r="A4404" t="s">
        <v>20</v>
      </c>
      <c r="B4404">
        <v>76</v>
      </c>
      <c r="C4404">
        <v>35</v>
      </c>
    </row>
    <row r="4405" spans="1:4" hidden="1" x14ac:dyDescent="0.25">
      <c r="A4405" t="s">
        <v>20</v>
      </c>
      <c r="B4405">
        <v>76</v>
      </c>
      <c r="C4405">
        <v>36</v>
      </c>
    </row>
    <row r="4406" spans="1:4" hidden="1" x14ac:dyDescent="0.25">
      <c r="A4406" t="s">
        <v>20</v>
      </c>
      <c r="B4406">
        <v>76</v>
      </c>
      <c r="C4406">
        <v>37</v>
      </c>
    </row>
    <row r="4407" spans="1:4" hidden="1" x14ac:dyDescent="0.25">
      <c r="A4407" t="s">
        <v>20</v>
      </c>
      <c r="B4407">
        <v>76</v>
      </c>
      <c r="C4407">
        <v>38</v>
      </c>
    </row>
    <row r="4408" spans="1:4" hidden="1" x14ac:dyDescent="0.25">
      <c r="A4408" t="s">
        <v>20</v>
      </c>
      <c r="B4408">
        <v>76</v>
      </c>
      <c r="C4408">
        <v>39</v>
      </c>
    </row>
    <row r="4409" spans="1:4" hidden="1" x14ac:dyDescent="0.25">
      <c r="A4409" t="s">
        <v>20</v>
      </c>
      <c r="B4409">
        <v>76</v>
      </c>
      <c r="C4409">
        <v>40</v>
      </c>
      <c r="D4409">
        <v>1</v>
      </c>
    </row>
    <row r="4410" spans="1:4" hidden="1" x14ac:dyDescent="0.25">
      <c r="A4410" t="s">
        <v>20</v>
      </c>
      <c r="B4410">
        <v>76</v>
      </c>
      <c r="C4410">
        <v>41</v>
      </c>
    </row>
    <row r="4411" spans="1:4" hidden="1" x14ac:dyDescent="0.25">
      <c r="A4411" t="s">
        <v>20</v>
      </c>
      <c r="B4411">
        <v>76</v>
      </c>
      <c r="C4411">
        <v>42</v>
      </c>
    </row>
    <row r="4412" spans="1:4" hidden="1" x14ac:dyDescent="0.25">
      <c r="A4412" t="s">
        <v>20</v>
      </c>
      <c r="B4412">
        <v>76</v>
      </c>
      <c r="C4412">
        <v>43</v>
      </c>
    </row>
    <row r="4413" spans="1:4" hidden="1" x14ac:dyDescent="0.25">
      <c r="A4413" t="s">
        <v>20</v>
      </c>
      <c r="B4413">
        <v>76</v>
      </c>
      <c r="C4413">
        <v>44</v>
      </c>
      <c r="D4413">
        <v>1</v>
      </c>
    </row>
    <row r="4414" spans="1:4" hidden="1" x14ac:dyDescent="0.25">
      <c r="A4414" t="s">
        <v>20</v>
      </c>
      <c r="B4414">
        <v>76</v>
      </c>
      <c r="C4414">
        <v>45</v>
      </c>
    </row>
    <row r="4415" spans="1:4" hidden="1" x14ac:dyDescent="0.25">
      <c r="A4415" t="s">
        <v>20</v>
      </c>
      <c r="B4415">
        <v>76</v>
      </c>
      <c r="C4415">
        <v>46</v>
      </c>
    </row>
    <row r="4416" spans="1:4" hidden="1" x14ac:dyDescent="0.25">
      <c r="A4416" t="s">
        <v>20</v>
      </c>
      <c r="B4416">
        <v>76</v>
      </c>
      <c r="C4416">
        <v>47</v>
      </c>
      <c r="D4416">
        <v>1</v>
      </c>
    </row>
    <row r="4417" spans="1:4" hidden="1" x14ac:dyDescent="0.25">
      <c r="A4417" t="s">
        <v>20</v>
      </c>
      <c r="B4417">
        <v>76</v>
      </c>
      <c r="C4417">
        <v>48</v>
      </c>
    </row>
    <row r="4418" spans="1:4" hidden="1" x14ac:dyDescent="0.25">
      <c r="A4418" t="s">
        <v>20</v>
      </c>
      <c r="B4418">
        <v>76</v>
      </c>
      <c r="C4418">
        <v>49</v>
      </c>
    </row>
    <row r="4419" spans="1:4" hidden="1" x14ac:dyDescent="0.25">
      <c r="A4419" t="s">
        <v>20</v>
      </c>
      <c r="B4419">
        <v>76</v>
      </c>
      <c r="C4419">
        <v>50</v>
      </c>
    </row>
    <row r="4420" spans="1:4" hidden="1" x14ac:dyDescent="0.25">
      <c r="A4420" t="s">
        <v>20</v>
      </c>
      <c r="B4420">
        <v>76</v>
      </c>
      <c r="C4420">
        <v>51</v>
      </c>
    </row>
    <row r="4421" spans="1:4" hidden="1" x14ac:dyDescent="0.25">
      <c r="A4421" t="s">
        <v>20</v>
      </c>
      <c r="B4421">
        <v>76</v>
      </c>
      <c r="C4421">
        <v>52</v>
      </c>
    </row>
    <row r="4422" spans="1:4" hidden="1" x14ac:dyDescent="0.25">
      <c r="A4422" t="s">
        <v>20</v>
      </c>
      <c r="B4422">
        <v>76</v>
      </c>
      <c r="C4422">
        <v>53</v>
      </c>
    </row>
    <row r="4423" spans="1:4" hidden="1" x14ac:dyDescent="0.25">
      <c r="A4423" t="s">
        <v>20</v>
      </c>
      <c r="B4423">
        <v>76</v>
      </c>
      <c r="C4423">
        <v>54</v>
      </c>
    </row>
    <row r="4424" spans="1:4" hidden="1" x14ac:dyDescent="0.25">
      <c r="A4424" t="s">
        <v>20</v>
      </c>
      <c r="B4424">
        <v>76</v>
      </c>
      <c r="C4424">
        <v>55</v>
      </c>
    </row>
    <row r="4425" spans="1:4" hidden="1" x14ac:dyDescent="0.25">
      <c r="A4425" t="s">
        <v>20</v>
      </c>
      <c r="B4425">
        <v>76</v>
      </c>
      <c r="C4425">
        <v>56</v>
      </c>
    </row>
    <row r="4426" spans="1:4" hidden="1" x14ac:dyDescent="0.25">
      <c r="A4426" t="s">
        <v>20</v>
      </c>
      <c r="B4426">
        <v>76</v>
      </c>
      <c r="C4426">
        <v>57</v>
      </c>
    </row>
    <row r="4427" spans="1:4" hidden="1" x14ac:dyDescent="0.25">
      <c r="A4427" t="s">
        <v>20</v>
      </c>
      <c r="B4427">
        <v>76</v>
      </c>
      <c r="C4427">
        <v>58</v>
      </c>
    </row>
    <row r="4428" spans="1:4" hidden="1" x14ac:dyDescent="0.25">
      <c r="A4428" t="s">
        <v>20</v>
      </c>
      <c r="B4428">
        <v>76</v>
      </c>
      <c r="C4428">
        <v>59</v>
      </c>
      <c r="D4428">
        <v>1</v>
      </c>
    </row>
    <row r="4429" spans="1:4" hidden="1" x14ac:dyDescent="0.25">
      <c r="A4429" t="s">
        <v>20</v>
      </c>
      <c r="B4429">
        <v>76</v>
      </c>
      <c r="C4429">
        <v>60</v>
      </c>
    </row>
    <row r="4430" spans="1:4" hidden="1" x14ac:dyDescent="0.25">
      <c r="A4430" t="s">
        <v>20</v>
      </c>
      <c r="B4430">
        <v>76</v>
      </c>
      <c r="C4430">
        <v>61</v>
      </c>
    </row>
    <row r="4431" spans="1:4" hidden="1" x14ac:dyDescent="0.25">
      <c r="A4431" t="s">
        <v>20</v>
      </c>
      <c r="B4431">
        <v>76</v>
      </c>
      <c r="C4431">
        <v>62</v>
      </c>
      <c r="D4431">
        <v>1</v>
      </c>
    </row>
    <row r="4432" spans="1:4" hidden="1" x14ac:dyDescent="0.25">
      <c r="A4432" t="s">
        <v>20</v>
      </c>
      <c r="B4432">
        <v>76</v>
      </c>
      <c r="C4432">
        <v>63</v>
      </c>
    </row>
    <row r="4433" spans="1:4" hidden="1" x14ac:dyDescent="0.25">
      <c r="A4433" t="s">
        <v>20</v>
      </c>
      <c r="B4433">
        <v>76</v>
      </c>
      <c r="C4433">
        <v>64</v>
      </c>
    </row>
    <row r="4434" spans="1:4" hidden="1" x14ac:dyDescent="0.25">
      <c r="A4434" t="s">
        <v>20</v>
      </c>
      <c r="B4434">
        <v>76</v>
      </c>
      <c r="C4434">
        <v>65</v>
      </c>
      <c r="D4434">
        <v>1</v>
      </c>
    </row>
    <row r="4435" spans="1:4" hidden="1" x14ac:dyDescent="0.25">
      <c r="A4435" t="s">
        <v>20</v>
      </c>
      <c r="B4435">
        <v>76</v>
      </c>
      <c r="C4435">
        <v>66</v>
      </c>
    </row>
    <row r="4436" spans="1:4" hidden="1" x14ac:dyDescent="0.25">
      <c r="A4436" t="s">
        <v>20</v>
      </c>
      <c r="B4436">
        <v>76</v>
      </c>
      <c r="C4436">
        <v>67</v>
      </c>
    </row>
    <row r="4437" spans="1:4" hidden="1" x14ac:dyDescent="0.25">
      <c r="A4437" t="s">
        <v>20</v>
      </c>
      <c r="B4437">
        <v>76</v>
      </c>
      <c r="C4437">
        <v>68</v>
      </c>
      <c r="D4437">
        <v>1</v>
      </c>
    </row>
    <row r="4438" spans="1:4" hidden="1" x14ac:dyDescent="0.25">
      <c r="A4438" t="s">
        <v>20</v>
      </c>
      <c r="B4438">
        <v>76</v>
      </c>
      <c r="C4438">
        <v>69</v>
      </c>
    </row>
    <row r="4439" spans="1:4" hidden="1" x14ac:dyDescent="0.25">
      <c r="A4439" t="s">
        <v>20</v>
      </c>
      <c r="B4439">
        <v>76</v>
      </c>
      <c r="C4439">
        <v>70</v>
      </c>
    </row>
    <row r="4440" spans="1:4" hidden="1" x14ac:dyDescent="0.25">
      <c r="A4440" t="s">
        <v>20</v>
      </c>
      <c r="B4440">
        <v>76</v>
      </c>
      <c r="C4440">
        <v>71</v>
      </c>
      <c r="D4440">
        <v>1</v>
      </c>
    </row>
    <row r="4441" spans="1:4" hidden="1" x14ac:dyDescent="0.25">
      <c r="A4441" t="s">
        <v>20</v>
      </c>
      <c r="B4441">
        <v>76</v>
      </c>
      <c r="C4441">
        <v>72</v>
      </c>
    </row>
    <row r="4442" spans="1:4" hidden="1" x14ac:dyDescent="0.25">
      <c r="A4442" t="s">
        <v>20</v>
      </c>
      <c r="B4442">
        <v>76</v>
      </c>
      <c r="C4442">
        <v>73</v>
      </c>
    </row>
    <row r="4443" spans="1:4" hidden="1" x14ac:dyDescent="0.25">
      <c r="A4443" t="s">
        <v>20</v>
      </c>
      <c r="B4443">
        <v>76</v>
      </c>
      <c r="C4443">
        <v>74</v>
      </c>
      <c r="D4443">
        <v>1</v>
      </c>
    </row>
    <row r="4444" spans="1:4" hidden="1" x14ac:dyDescent="0.25">
      <c r="A4444" t="s">
        <v>20</v>
      </c>
      <c r="B4444">
        <v>76</v>
      </c>
      <c r="C4444">
        <v>75</v>
      </c>
    </row>
    <row r="4445" spans="1:4" hidden="1" x14ac:dyDescent="0.25">
      <c r="A4445" t="s">
        <v>20</v>
      </c>
      <c r="B4445">
        <v>76</v>
      </c>
      <c r="C4445">
        <v>76</v>
      </c>
    </row>
    <row r="4446" spans="1:4" hidden="1" x14ac:dyDescent="0.25">
      <c r="A4446" t="s">
        <v>20</v>
      </c>
      <c r="B4446">
        <v>76</v>
      </c>
      <c r="C4446">
        <v>77</v>
      </c>
    </row>
    <row r="4447" spans="1:4" hidden="1" x14ac:dyDescent="0.25">
      <c r="A4447" t="s">
        <v>20</v>
      </c>
      <c r="B4447">
        <v>76</v>
      </c>
      <c r="C4447">
        <v>78</v>
      </c>
    </row>
    <row r="4448" spans="1:4" hidden="1" x14ac:dyDescent="0.25">
      <c r="A4448" t="s">
        <v>20</v>
      </c>
      <c r="B4448">
        <v>76</v>
      </c>
      <c r="C4448">
        <v>79</v>
      </c>
    </row>
    <row r="4449" spans="1:6" hidden="1" x14ac:dyDescent="0.25">
      <c r="A4449" t="s">
        <v>20</v>
      </c>
      <c r="B4449">
        <v>76</v>
      </c>
      <c r="C4449">
        <v>80</v>
      </c>
    </row>
    <row r="4450" spans="1:6" hidden="1" x14ac:dyDescent="0.25">
      <c r="A4450" t="s">
        <v>20</v>
      </c>
      <c r="B4450">
        <v>76</v>
      </c>
      <c r="C4450">
        <v>81</v>
      </c>
    </row>
    <row r="4451" spans="1:6" hidden="1" x14ac:dyDescent="0.25">
      <c r="A4451" t="s">
        <v>20</v>
      </c>
      <c r="B4451">
        <v>76</v>
      </c>
      <c r="C4451">
        <v>82</v>
      </c>
      <c r="D4451">
        <v>1</v>
      </c>
    </row>
    <row r="4452" spans="1:6" hidden="1" x14ac:dyDescent="0.25">
      <c r="A4452" t="s">
        <v>20</v>
      </c>
      <c r="B4452">
        <v>76</v>
      </c>
      <c r="C4452">
        <v>83</v>
      </c>
    </row>
    <row r="4453" spans="1:6" hidden="1" x14ac:dyDescent="0.25">
      <c r="A4453" t="s">
        <v>20</v>
      </c>
      <c r="B4453">
        <v>76</v>
      </c>
      <c r="C4453">
        <v>84</v>
      </c>
    </row>
    <row r="4454" spans="1:6" hidden="1" x14ac:dyDescent="0.25">
      <c r="A4454" t="s">
        <v>20</v>
      </c>
      <c r="B4454">
        <v>78</v>
      </c>
      <c r="C4454">
        <v>1</v>
      </c>
      <c r="E4454">
        <v>28</v>
      </c>
      <c r="F4454">
        <v>11</v>
      </c>
    </row>
    <row r="4455" spans="1:6" hidden="1" x14ac:dyDescent="0.25">
      <c r="A4455" t="s">
        <v>20</v>
      </c>
      <c r="B4455">
        <v>78</v>
      </c>
      <c r="C4455">
        <v>2</v>
      </c>
      <c r="E4455">
        <v>28</v>
      </c>
      <c r="F4455">
        <v>11</v>
      </c>
    </row>
    <row r="4456" spans="1:6" hidden="1" x14ac:dyDescent="0.25">
      <c r="A4456" t="s">
        <v>20</v>
      </c>
      <c r="B4456">
        <v>78</v>
      </c>
      <c r="C4456">
        <v>3</v>
      </c>
      <c r="E4456">
        <v>28</v>
      </c>
      <c r="F4456">
        <v>11</v>
      </c>
    </row>
    <row r="4457" spans="1:6" hidden="1" x14ac:dyDescent="0.25">
      <c r="A4457" t="s">
        <v>20</v>
      </c>
      <c r="B4457">
        <v>78</v>
      </c>
      <c r="C4457">
        <v>4</v>
      </c>
      <c r="E4457">
        <v>28</v>
      </c>
      <c r="F4457">
        <v>11</v>
      </c>
    </row>
    <row r="4458" spans="1:6" hidden="1" x14ac:dyDescent="0.25">
      <c r="A4458" t="s">
        <v>20</v>
      </c>
      <c r="B4458">
        <v>78</v>
      </c>
      <c r="C4458">
        <v>5</v>
      </c>
      <c r="E4458">
        <v>28</v>
      </c>
      <c r="F4458">
        <v>11</v>
      </c>
    </row>
    <row r="4459" spans="1:6" hidden="1" x14ac:dyDescent="0.25">
      <c r="A4459" t="s">
        <v>20</v>
      </c>
      <c r="B4459">
        <v>78</v>
      </c>
      <c r="C4459">
        <v>6</v>
      </c>
      <c r="E4459">
        <v>28</v>
      </c>
      <c r="F4459">
        <v>11</v>
      </c>
    </row>
    <row r="4460" spans="1:6" hidden="1" x14ac:dyDescent="0.25">
      <c r="A4460" t="s">
        <v>20</v>
      </c>
      <c r="B4460">
        <v>78</v>
      </c>
      <c r="C4460">
        <v>7</v>
      </c>
      <c r="E4460">
        <v>28</v>
      </c>
      <c r="F4460">
        <v>11</v>
      </c>
    </row>
    <row r="4461" spans="1:6" hidden="1" x14ac:dyDescent="0.25">
      <c r="A4461" t="s">
        <v>20</v>
      </c>
      <c r="B4461">
        <v>78</v>
      </c>
      <c r="C4461">
        <v>8</v>
      </c>
      <c r="E4461">
        <v>28</v>
      </c>
      <c r="F4461">
        <v>11</v>
      </c>
    </row>
    <row r="4462" spans="1:6" hidden="1" x14ac:dyDescent="0.25">
      <c r="A4462" t="s">
        <v>20</v>
      </c>
      <c r="B4462">
        <v>78</v>
      </c>
      <c r="C4462">
        <v>9</v>
      </c>
      <c r="E4462">
        <v>28</v>
      </c>
      <c r="F4462">
        <v>11</v>
      </c>
    </row>
    <row r="4463" spans="1:6" hidden="1" x14ac:dyDescent="0.25">
      <c r="A4463" t="s">
        <v>20</v>
      </c>
      <c r="B4463">
        <v>78</v>
      </c>
      <c r="C4463">
        <v>10</v>
      </c>
      <c r="E4463">
        <v>28</v>
      </c>
      <c r="F4463">
        <v>11</v>
      </c>
    </row>
    <row r="4464" spans="1:6" hidden="1" x14ac:dyDescent="0.25">
      <c r="A4464" t="s">
        <v>20</v>
      </c>
      <c r="B4464">
        <v>78</v>
      </c>
      <c r="C4464">
        <v>11</v>
      </c>
      <c r="E4464">
        <v>28</v>
      </c>
      <c r="F4464">
        <v>11</v>
      </c>
    </row>
    <row r="4465" spans="1:6" hidden="1" x14ac:dyDescent="0.25">
      <c r="A4465" t="s">
        <v>20</v>
      </c>
      <c r="B4465">
        <v>78</v>
      </c>
      <c r="C4465">
        <v>12</v>
      </c>
      <c r="E4465">
        <v>28</v>
      </c>
      <c r="F4465">
        <v>11</v>
      </c>
    </row>
    <row r="4466" spans="1:6" hidden="1" x14ac:dyDescent="0.25">
      <c r="A4466" t="s">
        <v>20</v>
      </c>
      <c r="B4466">
        <v>78</v>
      </c>
      <c r="C4466">
        <v>13</v>
      </c>
      <c r="E4466">
        <v>28</v>
      </c>
      <c r="F4466">
        <v>11</v>
      </c>
    </row>
    <row r="4467" spans="1:6" hidden="1" x14ac:dyDescent="0.25">
      <c r="A4467" t="s">
        <v>20</v>
      </c>
      <c r="B4467">
        <v>78</v>
      </c>
      <c r="C4467">
        <v>14</v>
      </c>
      <c r="D4467">
        <v>1</v>
      </c>
      <c r="E4467">
        <v>28</v>
      </c>
      <c r="F4467">
        <v>11</v>
      </c>
    </row>
    <row r="4468" spans="1:6" hidden="1" x14ac:dyDescent="0.25">
      <c r="A4468" t="s">
        <v>20</v>
      </c>
      <c r="B4468">
        <v>78</v>
      </c>
      <c r="C4468">
        <v>15</v>
      </c>
      <c r="E4468">
        <v>28</v>
      </c>
      <c r="F4468">
        <v>11</v>
      </c>
    </row>
    <row r="4469" spans="1:6" hidden="1" x14ac:dyDescent="0.25">
      <c r="A4469" t="s">
        <v>20</v>
      </c>
      <c r="B4469">
        <v>78</v>
      </c>
      <c r="C4469">
        <v>16</v>
      </c>
      <c r="E4469">
        <v>28</v>
      </c>
      <c r="F4469">
        <v>11</v>
      </c>
    </row>
    <row r="4470" spans="1:6" hidden="1" x14ac:dyDescent="0.25">
      <c r="A4470" t="s">
        <v>20</v>
      </c>
      <c r="B4470">
        <v>78</v>
      </c>
      <c r="C4470">
        <v>17</v>
      </c>
      <c r="D4470">
        <v>1</v>
      </c>
      <c r="E4470">
        <v>28</v>
      </c>
      <c r="F4470">
        <v>11</v>
      </c>
    </row>
    <row r="4471" spans="1:6" hidden="1" x14ac:dyDescent="0.25">
      <c r="A4471" t="s">
        <v>20</v>
      </c>
      <c r="B4471">
        <v>78</v>
      </c>
      <c r="C4471">
        <v>18</v>
      </c>
      <c r="E4471">
        <v>28</v>
      </c>
      <c r="F4471">
        <v>11</v>
      </c>
    </row>
    <row r="4472" spans="1:6" hidden="1" x14ac:dyDescent="0.25">
      <c r="A4472" t="s">
        <v>20</v>
      </c>
      <c r="B4472">
        <v>78</v>
      </c>
      <c r="C4472">
        <v>19</v>
      </c>
      <c r="E4472">
        <v>28</v>
      </c>
      <c r="F4472">
        <v>11</v>
      </c>
    </row>
    <row r="4473" spans="1:6" hidden="1" x14ac:dyDescent="0.25">
      <c r="A4473" t="s">
        <v>20</v>
      </c>
      <c r="B4473">
        <v>78</v>
      </c>
      <c r="C4473">
        <v>20</v>
      </c>
      <c r="D4473">
        <v>1</v>
      </c>
      <c r="E4473">
        <v>28</v>
      </c>
      <c r="F4473">
        <v>11</v>
      </c>
    </row>
    <row r="4474" spans="1:6" hidden="1" x14ac:dyDescent="0.25">
      <c r="A4474" t="s">
        <v>20</v>
      </c>
      <c r="B4474">
        <v>78</v>
      </c>
      <c r="C4474">
        <v>21</v>
      </c>
      <c r="E4474">
        <v>28</v>
      </c>
      <c r="F4474">
        <v>11</v>
      </c>
    </row>
    <row r="4475" spans="1:6" hidden="1" x14ac:dyDescent="0.25">
      <c r="A4475" t="s">
        <v>20</v>
      </c>
      <c r="B4475">
        <v>78</v>
      </c>
      <c r="C4475">
        <v>22</v>
      </c>
      <c r="E4475">
        <v>28</v>
      </c>
      <c r="F4475">
        <v>11</v>
      </c>
    </row>
    <row r="4476" spans="1:6" hidden="1" x14ac:dyDescent="0.25">
      <c r="A4476" t="s">
        <v>20</v>
      </c>
      <c r="B4476">
        <v>78</v>
      </c>
      <c r="C4476">
        <v>23</v>
      </c>
      <c r="D4476">
        <v>1</v>
      </c>
      <c r="E4476">
        <v>28</v>
      </c>
      <c r="F4476">
        <v>11</v>
      </c>
    </row>
    <row r="4477" spans="1:6" hidden="1" x14ac:dyDescent="0.25">
      <c r="A4477" t="s">
        <v>20</v>
      </c>
      <c r="B4477">
        <v>78</v>
      </c>
      <c r="C4477">
        <v>24</v>
      </c>
      <c r="E4477">
        <v>28</v>
      </c>
      <c r="F4477">
        <v>11</v>
      </c>
    </row>
    <row r="4478" spans="1:6" hidden="1" x14ac:dyDescent="0.25">
      <c r="A4478" t="s">
        <v>20</v>
      </c>
      <c r="B4478">
        <v>78</v>
      </c>
      <c r="C4478">
        <v>25</v>
      </c>
      <c r="E4478">
        <v>28</v>
      </c>
      <c r="F4478">
        <v>11</v>
      </c>
    </row>
    <row r="4479" spans="1:6" hidden="1" x14ac:dyDescent="0.25">
      <c r="A4479" t="s">
        <v>20</v>
      </c>
      <c r="B4479">
        <v>78</v>
      </c>
      <c r="C4479">
        <v>26</v>
      </c>
      <c r="D4479">
        <v>1</v>
      </c>
      <c r="E4479">
        <v>28</v>
      </c>
      <c r="F4479">
        <v>11</v>
      </c>
    </row>
    <row r="4480" spans="1:6" hidden="1" x14ac:dyDescent="0.25">
      <c r="A4480" t="s">
        <v>20</v>
      </c>
      <c r="B4480">
        <v>78</v>
      </c>
      <c r="C4480">
        <v>27</v>
      </c>
      <c r="E4480">
        <v>28</v>
      </c>
      <c r="F4480">
        <v>11</v>
      </c>
    </row>
    <row r="4481" spans="1:6" hidden="1" x14ac:dyDescent="0.25">
      <c r="A4481" t="s">
        <v>20</v>
      </c>
      <c r="B4481">
        <v>78</v>
      </c>
      <c r="C4481">
        <v>28</v>
      </c>
      <c r="E4481">
        <v>28</v>
      </c>
      <c r="F4481">
        <v>11</v>
      </c>
    </row>
    <row r="4482" spans="1:6" hidden="1" x14ac:dyDescent="0.25">
      <c r="A4482" t="s">
        <v>20</v>
      </c>
      <c r="B4482">
        <v>78</v>
      </c>
      <c r="C4482">
        <v>29</v>
      </c>
      <c r="D4482">
        <v>1</v>
      </c>
      <c r="E4482">
        <v>28</v>
      </c>
      <c r="F4482">
        <v>11</v>
      </c>
    </row>
    <row r="4483" spans="1:6" hidden="1" x14ac:dyDescent="0.25">
      <c r="A4483" t="s">
        <v>20</v>
      </c>
      <c r="B4483">
        <v>78</v>
      </c>
      <c r="C4483">
        <v>30</v>
      </c>
      <c r="E4483">
        <v>28</v>
      </c>
      <c r="F4483">
        <v>11</v>
      </c>
    </row>
    <row r="4484" spans="1:6" hidden="1" x14ac:dyDescent="0.25">
      <c r="A4484" t="s">
        <v>20</v>
      </c>
      <c r="B4484">
        <v>78</v>
      </c>
      <c r="C4484">
        <v>31</v>
      </c>
      <c r="E4484">
        <v>28</v>
      </c>
      <c r="F4484">
        <v>11</v>
      </c>
    </row>
    <row r="4485" spans="1:6" hidden="1" x14ac:dyDescent="0.25">
      <c r="A4485" t="s">
        <v>20</v>
      </c>
      <c r="B4485">
        <v>78</v>
      </c>
      <c r="C4485">
        <v>32</v>
      </c>
      <c r="E4485">
        <v>28</v>
      </c>
      <c r="F4485">
        <v>11</v>
      </c>
    </row>
    <row r="4486" spans="1:6" hidden="1" x14ac:dyDescent="0.25">
      <c r="A4486" t="s">
        <v>20</v>
      </c>
      <c r="B4486">
        <v>78</v>
      </c>
      <c r="C4486">
        <v>33</v>
      </c>
      <c r="E4486">
        <v>28</v>
      </c>
      <c r="F4486">
        <v>11</v>
      </c>
    </row>
    <row r="4487" spans="1:6" hidden="1" x14ac:dyDescent="0.25">
      <c r="A4487" t="s">
        <v>20</v>
      </c>
      <c r="B4487">
        <v>78</v>
      </c>
      <c r="C4487">
        <v>34</v>
      </c>
      <c r="E4487">
        <v>28</v>
      </c>
      <c r="F4487">
        <v>11</v>
      </c>
    </row>
    <row r="4488" spans="1:6" hidden="1" x14ac:dyDescent="0.25">
      <c r="A4488" t="s">
        <v>20</v>
      </c>
      <c r="B4488">
        <v>78</v>
      </c>
      <c r="C4488">
        <v>35</v>
      </c>
      <c r="D4488">
        <v>1</v>
      </c>
      <c r="E4488">
        <v>28</v>
      </c>
      <c r="F4488">
        <v>11</v>
      </c>
    </row>
    <row r="4489" spans="1:6" hidden="1" x14ac:dyDescent="0.25">
      <c r="A4489" t="s">
        <v>20</v>
      </c>
      <c r="B4489">
        <v>78</v>
      </c>
      <c r="C4489">
        <v>36</v>
      </c>
      <c r="E4489">
        <v>28</v>
      </c>
      <c r="F4489">
        <v>11</v>
      </c>
    </row>
    <row r="4490" spans="1:6" hidden="1" x14ac:dyDescent="0.25">
      <c r="A4490" t="s">
        <v>20</v>
      </c>
      <c r="B4490">
        <v>78</v>
      </c>
      <c r="C4490">
        <v>37</v>
      </c>
      <c r="E4490">
        <v>28</v>
      </c>
      <c r="F4490">
        <v>11</v>
      </c>
    </row>
    <row r="4491" spans="1:6" hidden="1" x14ac:dyDescent="0.25">
      <c r="A4491" t="s">
        <v>20</v>
      </c>
      <c r="B4491">
        <v>78</v>
      </c>
      <c r="C4491">
        <v>38</v>
      </c>
      <c r="D4491">
        <v>1</v>
      </c>
      <c r="E4491">
        <v>28</v>
      </c>
      <c r="F4491">
        <v>11</v>
      </c>
    </row>
    <row r="4492" spans="1:6" hidden="1" x14ac:dyDescent="0.25">
      <c r="A4492" t="s">
        <v>20</v>
      </c>
      <c r="B4492">
        <v>78</v>
      </c>
      <c r="C4492">
        <v>39</v>
      </c>
      <c r="E4492">
        <v>28</v>
      </c>
      <c r="F4492">
        <v>11</v>
      </c>
    </row>
    <row r="4493" spans="1:6" hidden="1" x14ac:dyDescent="0.25">
      <c r="A4493" t="s">
        <v>20</v>
      </c>
      <c r="B4493">
        <v>78</v>
      </c>
      <c r="C4493">
        <v>40</v>
      </c>
      <c r="E4493">
        <v>28</v>
      </c>
      <c r="F4493">
        <v>11</v>
      </c>
    </row>
    <row r="4494" spans="1:6" hidden="1" x14ac:dyDescent="0.25">
      <c r="A4494" t="s">
        <v>20</v>
      </c>
      <c r="B4494">
        <v>78</v>
      </c>
      <c r="C4494">
        <v>41</v>
      </c>
      <c r="D4494">
        <v>1</v>
      </c>
      <c r="E4494">
        <v>28</v>
      </c>
      <c r="F4494">
        <v>11</v>
      </c>
    </row>
    <row r="4495" spans="1:6" hidden="1" x14ac:dyDescent="0.25">
      <c r="A4495" t="s">
        <v>20</v>
      </c>
      <c r="B4495">
        <v>78</v>
      </c>
      <c r="C4495">
        <v>42</v>
      </c>
      <c r="E4495">
        <v>28</v>
      </c>
      <c r="F4495">
        <v>11</v>
      </c>
    </row>
    <row r="4496" spans="1:6" hidden="1" x14ac:dyDescent="0.25">
      <c r="A4496" t="s">
        <v>20</v>
      </c>
      <c r="B4496">
        <v>78</v>
      </c>
      <c r="C4496">
        <v>43</v>
      </c>
      <c r="E4496">
        <v>28</v>
      </c>
      <c r="F4496">
        <v>11</v>
      </c>
    </row>
    <row r="4497" spans="1:6" hidden="1" x14ac:dyDescent="0.25">
      <c r="A4497" t="s">
        <v>20</v>
      </c>
      <c r="B4497">
        <v>78</v>
      </c>
      <c r="C4497">
        <v>44</v>
      </c>
      <c r="E4497">
        <v>28</v>
      </c>
      <c r="F4497">
        <v>11</v>
      </c>
    </row>
    <row r="4498" spans="1:6" hidden="1" x14ac:dyDescent="0.25">
      <c r="A4498" t="s">
        <v>20</v>
      </c>
      <c r="B4498">
        <v>78</v>
      </c>
      <c r="C4498">
        <v>45</v>
      </c>
      <c r="E4498">
        <v>28</v>
      </c>
      <c r="F4498">
        <v>11</v>
      </c>
    </row>
    <row r="4499" spans="1:6" hidden="1" x14ac:dyDescent="0.25">
      <c r="A4499" t="s">
        <v>20</v>
      </c>
      <c r="B4499">
        <v>78</v>
      </c>
      <c r="C4499">
        <v>46</v>
      </c>
      <c r="E4499">
        <v>28</v>
      </c>
      <c r="F4499">
        <v>11</v>
      </c>
    </row>
    <row r="4500" spans="1:6" hidden="1" x14ac:dyDescent="0.25">
      <c r="A4500" t="s">
        <v>20</v>
      </c>
      <c r="B4500">
        <v>78</v>
      </c>
      <c r="C4500">
        <v>47</v>
      </c>
      <c r="E4500">
        <v>28</v>
      </c>
      <c r="F4500">
        <v>11</v>
      </c>
    </row>
    <row r="4501" spans="1:6" hidden="1" x14ac:dyDescent="0.25">
      <c r="A4501" t="s">
        <v>20</v>
      </c>
      <c r="B4501">
        <v>78</v>
      </c>
      <c r="C4501">
        <v>48</v>
      </c>
      <c r="E4501">
        <v>28</v>
      </c>
      <c r="F4501">
        <v>11</v>
      </c>
    </row>
    <row r="4502" spans="1:6" hidden="1" x14ac:dyDescent="0.25">
      <c r="A4502" t="s">
        <v>20</v>
      </c>
      <c r="B4502">
        <v>78</v>
      </c>
      <c r="C4502">
        <v>49</v>
      </c>
      <c r="E4502">
        <v>28</v>
      </c>
      <c r="F4502">
        <v>11</v>
      </c>
    </row>
    <row r="4503" spans="1:6" hidden="1" x14ac:dyDescent="0.25">
      <c r="A4503" t="s">
        <v>20</v>
      </c>
      <c r="B4503">
        <v>78</v>
      </c>
      <c r="C4503">
        <v>50</v>
      </c>
      <c r="E4503">
        <v>28</v>
      </c>
      <c r="F4503">
        <v>11</v>
      </c>
    </row>
    <row r="4504" spans="1:6" hidden="1" x14ac:dyDescent="0.25">
      <c r="A4504" t="s">
        <v>20</v>
      </c>
      <c r="B4504">
        <v>78</v>
      </c>
      <c r="C4504">
        <v>51</v>
      </c>
      <c r="E4504">
        <v>28</v>
      </c>
      <c r="F4504">
        <v>11</v>
      </c>
    </row>
    <row r="4505" spans="1:6" hidden="1" x14ac:dyDescent="0.25">
      <c r="A4505" t="s">
        <v>20</v>
      </c>
      <c r="B4505">
        <v>78</v>
      </c>
      <c r="C4505">
        <v>52</v>
      </c>
      <c r="E4505">
        <v>28</v>
      </c>
      <c r="F4505">
        <v>11</v>
      </c>
    </row>
    <row r="4506" spans="1:6" hidden="1" x14ac:dyDescent="0.25">
      <c r="A4506" t="s">
        <v>20</v>
      </c>
      <c r="B4506">
        <v>78</v>
      </c>
      <c r="C4506">
        <v>53</v>
      </c>
      <c r="D4506">
        <v>1</v>
      </c>
      <c r="E4506">
        <v>28</v>
      </c>
      <c r="F4506">
        <v>11</v>
      </c>
    </row>
    <row r="4507" spans="1:6" hidden="1" x14ac:dyDescent="0.25">
      <c r="A4507" t="s">
        <v>20</v>
      </c>
      <c r="B4507">
        <v>78</v>
      </c>
      <c r="C4507">
        <v>54</v>
      </c>
      <c r="E4507">
        <v>28</v>
      </c>
      <c r="F4507">
        <v>11</v>
      </c>
    </row>
    <row r="4508" spans="1:6" hidden="1" x14ac:dyDescent="0.25">
      <c r="A4508" t="s">
        <v>20</v>
      </c>
      <c r="B4508">
        <v>78</v>
      </c>
      <c r="C4508">
        <v>55</v>
      </c>
      <c r="E4508">
        <v>28</v>
      </c>
      <c r="F4508">
        <v>11</v>
      </c>
    </row>
    <row r="4509" spans="1:6" hidden="1" x14ac:dyDescent="0.25">
      <c r="A4509" t="s">
        <v>20</v>
      </c>
      <c r="B4509">
        <v>78</v>
      </c>
      <c r="C4509">
        <v>56</v>
      </c>
      <c r="D4509">
        <v>1</v>
      </c>
      <c r="E4509">
        <v>28</v>
      </c>
      <c r="F4509">
        <v>11</v>
      </c>
    </row>
    <row r="4510" spans="1:6" hidden="1" x14ac:dyDescent="0.25">
      <c r="A4510" t="s">
        <v>20</v>
      </c>
      <c r="B4510">
        <v>78</v>
      </c>
      <c r="C4510">
        <v>57</v>
      </c>
      <c r="E4510">
        <v>28</v>
      </c>
      <c r="F4510">
        <v>11</v>
      </c>
    </row>
    <row r="4511" spans="1:6" hidden="1" x14ac:dyDescent="0.25">
      <c r="A4511" t="s">
        <v>20</v>
      </c>
      <c r="B4511">
        <v>78</v>
      </c>
      <c r="C4511">
        <v>58</v>
      </c>
      <c r="E4511">
        <v>28</v>
      </c>
      <c r="F4511">
        <v>11</v>
      </c>
    </row>
    <row r="4512" spans="1:6" hidden="1" x14ac:dyDescent="0.25">
      <c r="A4512" t="s">
        <v>20</v>
      </c>
      <c r="B4512">
        <v>78</v>
      </c>
      <c r="C4512">
        <v>59</v>
      </c>
      <c r="E4512">
        <v>28</v>
      </c>
      <c r="F4512">
        <v>11</v>
      </c>
    </row>
    <row r="4513" spans="1:6" hidden="1" x14ac:dyDescent="0.25">
      <c r="A4513" t="s">
        <v>20</v>
      </c>
      <c r="B4513">
        <v>78</v>
      </c>
      <c r="C4513">
        <v>60</v>
      </c>
      <c r="E4513">
        <v>28</v>
      </c>
      <c r="F4513">
        <v>11</v>
      </c>
    </row>
    <row r="4514" spans="1:6" hidden="1" x14ac:dyDescent="0.25">
      <c r="A4514" t="s">
        <v>20</v>
      </c>
      <c r="B4514">
        <v>78</v>
      </c>
      <c r="C4514">
        <v>61</v>
      </c>
      <c r="E4514">
        <v>28</v>
      </c>
      <c r="F4514">
        <v>11</v>
      </c>
    </row>
    <row r="4515" spans="1:6" hidden="1" x14ac:dyDescent="0.25">
      <c r="A4515" t="s">
        <v>20</v>
      </c>
      <c r="B4515">
        <v>78</v>
      </c>
      <c r="C4515">
        <v>62</v>
      </c>
      <c r="D4515">
        <v>1</v>
      </c>
      <c r="E4515">
        <v>28</v>
      </c>
      <c r="F4515">
        <v>11</v>
      </c>
    </row>
    <row r="4516" spans="1:6" hidden="1" x14ac:dyDescent="0.25">
      <c r="A4516" t="s">
        <v>20</v>
      </c>
      <c r="B4516">
        <v>78</v>
      </c>
      <c r="C4516">
        <v>63</v>
      </c>
      <c r="E4516">
        <v>28</v>
      </c>
      <c r="F4516">
        <v>11</v>
      </c>
    </row>
    <row r="4517" spans="1:6" hidden="1" x14ac:dyDescent="0.25">
      <c r="A4517" t="s">
        <v>20</v>
      </c>
      <c r="B4517">
        <v>78</v>
      </c>
      <c r="C4517">
        <v>64</v>
      </c>
      <c r="E4517">
        <v>28</v>
      </c>
      <c r="F4517">
        <v>11</v>
      </c>
    </row>
    <row r="4518" spans="1:6" hidden="1" x14ac:dyDescent="0.25">
      <c r="A4518" t="s">
        <v>20</v>
      </c>
      <c r="B4518">
        <v>78</v>
      </c>
      <c r="C4518">
        <v>65</v>
      </c>
      <c r="E4518">
        <v>28</v>
      </c>
      <c r="F4518">
        <v>11</v>
      </c>
    </row>
    <row r="4519" spans="1:6" hidden="1" x14ac:dyDescent="0.25">
      <c r="A4519" t="s">
        <v>20</v>
      </c>
      <c r="B4519">
        <v>78</v>
      </c>
      <c r="C4519">
        <v>66</v>
      </c>
      <c r="E4519">
        <v>28</v>
      </c>
      <c r="F4519">
        <v>11</v>
      </c>
    </row>
    <row r="4520" spans="1:6" hidden="1" x14ac:dyDescent="0.25">
      <c r="A4520" t="s">
        <v>20</v>
      </c>
      <c r="B4520">
        <v>78</v>
      </c>
      <c r="C4520">
        <v>67</v>
      </c>
      <c r="E4520">
        <v>28</v>
      </c>
      <c r="F4520">
        <v>11</v>
      </c>
    </row>
    <row r="4521" spans="1:6" hidden="1" x14ac:dyDescent="0.25">
      <c r="A4521" t="s">
        <v>20</v>
      </c>
      <c r="B4521">
        <v>78</v>
      </c>
      <c r="C4521">
        <v>68</v>
      </c>
      <c r="D4521">
        <v>1</v>
      </c>
      <c r="E4521">
        <v>28</v>
      </c>
      <c r="F4521">
        <v>11</v>
      </c>
    </row>
    <row r="4522" spans="1:6" hidden="1" x14ac:dyDescent="0.25">
      <c r="A4522" t="s">
        <v>20</v>
      </c>
      <c r="B4522">
        <v>78</v>
      </c>
      <c r="C4522">
        <v>69</v>
      </c>
      <c r="E4522">
        <v>28</v>
      </c>
      <c r="F4522">
        <v>11</v>
      </c>
    </row>
    <row r="4523" spans="1:6" hidden="1" x14ac:dyDescent="0.25">
      <c r="A4523" t="s">
        <v>20</v>
      </c>
      <c r="B4523">
        <v>78</v>
      </c>
      <c r="C4523">
        <v>70</v>
      </c>
      <c r="E4523">
        <v>28</v>
      </c>
      <c r="F4523">
        <v>11</v>
      </c>
    </row>
    <row r="4524" spans="1:6" hidden="1" x14ac:dyDescent="0.25">
      <c r="A4524" t="s">
        <v>20</v>
      </c>
      <c r="B4524">
        <v>78</v>
      </c>
      <c r="C4524">
        <v>71</v>
      </c>
      <c r="D4524">
        <v>1</v>
      </c>
      <c r="E4524">
        <v>28</v>
      </c>
      <c r="F4524">
        <v>11</v>
      </c>
    </row>
    <row r="4525" spans="1:6" hidden="1" x14ac:dyDescent="0.25">
      <c r="A4525" t="s">
        <v>20</v>
      </c>
      <c r="B4525">
        <v>78</v>
      </c>
      <c r="C4525">
        <v>72</v>
      </c>
      <c r="E4525">
        <v>28</v>
      </c>
      <c r="F4525">
        <v>11</v>
      </c>
    </row>
    <row r="4526" spans="1:6" hidden="1" x14ac:dyDescent="0.25">
      <c r="A4526" t="s">
        <v>20</v>
      </c>
      <c r="B4526">
        <v>78</v>
      </c>
      <c r="C4526">
        <v>73</v>
      </c>
      <c r="E4526">
        <v>28</v>
      </c>
      <c r="F4526">
        <v>11</v>
      </c>
    </row>
    <row r="4527" spans="1:6" hidden="1" x14ac:dyDescent="0.25">
      <c r="A4527" t="s">
        <v>20</v>
      </c>
      <c r="B4527">
        <v>78</v>
      </c>
      <c r="C4527">
        <v>74</v>
      </c>
      <c r="E4527">
        <v>28</v>
      </c>
      <c r="F4527">
        <v>11</v>
      </c>
    </row>
    <row r="4528" spans="1:6" hidden="1" x14ac:dyDescent="0.25">
      <c r="A4528" t="s">
        <v>20</v>
      </c>
      <c r="B4528">
        <v>78</v>
      </c>
      <c r="C4528">
        <v>75</v>
      </c>
      <c r="E4528">
        <v>28</v>
      </c>
      <c r="F4528">
        <v>11</v>
      </c>
    </row>
    <row r="4529" spans="1:6" hidden="1" x14ac:dyDescent="0.25">
      <c r="A4529" t="s">
        <v>20</v>
      </c>
      <c r="B4529">
        <v>78</v>
      </c>
      <c r="C4529">
        <v>76</v>
      </c>
      <c r="E4529">
        <v>28</v>
      </c>
      <c r="F4529">
        <v>11</v>
      </c>
    </row>
    <row r="4530" spans="1:6" hidden="1" x14ac:dyDescent="0.25">
      <c r="A4530" t="s">
        <v>20</v>
      </c>
      <c r="B4530">
        <v>78</v>
      </c>
      <c r="C4530">
        <v>77</v>
      </c>
      <c r="E4530">
        <v>28</v>
      </c>
      <c r="F4530">
        <v>11</v>
      </c>
    </row>
    <row r="4531" spans="1:6" hidden="1" x14ac:dyDescent="0.25">
      <c r="A4531" t="s">
        <v>20</v>
      </c>
      <c r="B4531">
        <v>78</v>
      </c>
      <c r="C4531">
        <v>78</v>
      </c>
      <c r="E4531">
        <v>28</v>
      </c>
      <c r="F4531">
        <v>11</v>
      </c>
    </row>
    <row r="4532" spans="1:6" hidden="1" x14ac:dyDescent="0.25">
      <c r="A4532" t="s">
        <v>20</v>
      </c>
      <c r="B4532">
        <v>78</v>
      </c>
      <c r="C4532">
        <v>79</v>
      </c>
      <c r="E4532">
        <v>28</v>
      </c>
      <c r="F4532">
        <v>11</v>
      </c>
    </row>
    <row r="4533" spans="1:6" hidden="1" x14ac:dyDescent="0.25">
      <c r="A4533" t="s">
        <v>20</v>
      </c>
      <c r="B4533">
        <v>78</v>
      </c>
      <c r="C4533">
        <v>80</v>
      </c>
      <c r="D4533">
        <v>1</v>
      </c>
      <c r="E4533">
        <v>28</v>
      </c>
      <c r="F4533">
        <v>11</v>
      </c>
    </row>
    <row r="4534" spans="1:6" hidden="1" x14ac:dyDescent="0.25">
      <c r="A4534" t="s">
        <v>20</v>
      </c>
      <c r="B4534">
        <v>78</v>
      </c>
      <c r="C4534">
        <v>81</v>
      </c>
      <c r="E4534">
        <v>28</v>
      </c>
      <c r="F4534">
        <v>11</v>
      </c>
    </row>
    <row r="4535" spans="1:6" hidden="1" x14ac:dyDescent="0.25">
      <c r="A4535" t="s">
        <v>20</v>
      </c>
      <c r="B4535">
        <v>78</v>
      </c>
      <c r="C4535">
        <v>82</v>
      </c>
      <c r="E4535">
        <v>28</v>
      </c>
      <c r="F4535">
        <v>11</v>
      </c>
    </row>
    <row r="4536" spans="1:6" hidden="1" x14ac:dyDescent="0.25">
      <c r="A4536" t="s">
        <v>20</v>
      </c>
      <c r="B4536">
        <v>78</v>
      </c>
      <c r="C4536">
        <v>83</v>
      </c>
      <c r="D4536">
        <v>1</v>
      </c>
      <c r="E4536">
        <v>28</v>
      </c>
      <c r="F4536">
        <v>11</v>
      </c>
    </row>
    <row r="4537" spans="1:6" hidden="1" x14ac:dyDescent="0.25">
      <c r="A4537" t="s">
        <v>20</v>
      </c>
      <c r="B4537">
        <v>78</v>
      </c>
      <c r="C4537">
        <v>84</v>
      </c>
      <c r="E4537">
        <v>28</v>
      </c>
      <c r="F4537">
        <v>11</v>
      </c>
    </row>
    <row r="4538" spans="1:6" hidden="1" x14ac:dyDescent="0.25">
      <c r="A4538" t="s">
        <v>20</v>
      </c>
      <c r="B4538">
        <v>79</v>
      </c>
      <c r="C4538">
        <v>1</v>
      </c>
    </row>
    <row r="4539" spans="1:6" hidden="1" x14ac:dyDescent="0.25">
      <c r="A4539" t="s">
        <v>20</v>
      </c>
      <c r="B4539">
        <v>79</v>
      </c>
      <c r="C4539">
        <v>2</v>
      </c>
      <c r="D4539">
        <v>1</v>
      </c>
    </row>
    <row r="4540" spans="1:6" hidden="1" x14ac:dyDescent="0.25">
      <c r="A4540" t="s">
        <v>20</v>
      </c>
      <c r="B4540">
        <v>79</v>
      </c>
      <c r="C4540">
        <v>3</v>
      </c>
    </row>
    <row r="4541" spans="1:6" hidden="1" x14ac:dyDescent="0.25">
      <c r="A4541" t="s">
        <v>20</v>
      </c>
      <c r="B4541">
        <v>79</v>
      </c>
      <c r="C4541">
        <v>4</v>
      </c>
    </row>
    <row r="4542" spans="1:6" hidden="1" x14ac:dyDescent="0.25">
      <c r="A4542" t="s">
        <v>20</v>
      </c>
      <c r="B4542">
        <v>79</v>
      </c>
      <c r="C4542">
        <v>5</v>
      </c>
      <c r="D4542">
        <v>1</v>
      </c>
    </row>
    <row r="4543" spans="1:6" hidden="1" x14ac:dyDescent="0.25">
      <c r="A4543" t="s">
        <v>20</v>
      </c>
      <c r="B4543">
        <v>79</v>
      </c>
      <c r="C4543">
        <v>6</v>
      </c>
    </row>
    <row r="4544" spans="1:6" hidden="1" x14ac:dyDescent="0.25">
      <c r="A4544" t="s">
        <v>20</v>
      </c>
      <c r="B4544">
        <v>79</v>
      </c>
      <c r="C4544">
        <v>7</v>
      </c>
    </row>
    <row r="4545" spans="1:4" hidden="1" x14ac:dyDescent="0.25">
      <c r="A4545" t="s">
        <v>20</v>
      </c>
      <c r="B4545">
        <v>79</v>
      </c>
      <c r="C4545">
        <v>8</v>
      </c>
    </row>
    <row r="4546" spans="1:4" hidden="1" x14ac:dyDescent="0.25">
      <c r="A4546" t="s">
        <v>20</v>
      </c>
      <c r="B4546">
        <v>79</v>
      </c>
      <c r="C4546">
        <v>9</v>
      </c>
    </row>
    <row r="4547" spans="1:4" hidden="1" x14ac:dyDescent="0.25">
      <c r="A4547" t="s">
        <v>20</v>
      </c>
      <c r="B4547">
        <v>79</v>
      </c>
      <c r="C4547">
        <v>10</v>
      </c>
    </row>
    <row r="4548" spans="1:4" hidden="1" x14ac:dyDescent="0.25">
      <c r="A4548" t="s">
        <v>20</v>
      </c>
      <c r="B4548">
        <v>79</v>
      </c>
      <c r="C4548">
        <v>11</v>
      </c>
      <c r="D4548">
        <v>1</v>
      </c>
    </row>
    <row r="4549" spans="1:4" hidden="1" x14ac:dyDescent="0.25">
      <c r="A4549" t="s">
        <v>20</v>
      </c>
      <c r="B4549">
        <v>79</v>
      </c>
      <c r="C4549">
        <v>12</v>
      </c>
    </row>
    <row r="4550" spans="1:4" hidden="1" x14ac:dyDescent="0.25">
      <c r="A4550" t="s">
        <v>20</v>
      </c>
      <c r="B4550">
        <v>79</v>
      </c>
      <c r="C4550">
        <v>13</v>
      </c>
    </row>
    <row r="4551" spans="1:4" hidden="1" x14ac:dyDescent="0.25">
      <c r="A4551" t="s">
        <v>20</v>
      </c>
      <c r="B4551">
        <v>79</v>
      </c>
      <c r="C4551">
        <v>14</v>
      </c>
    </row>
    <row r="4552" spans="1:4" hidden="1" x14ac:dyDescent="0.25">
      <c r="A4552" t="s">
        <v>20</v>
      </c>
      <c r="B4552">
        <v>79</v>
      </c>
      <c r="C4552">
        <v>15</v>
      </c>
    </row>
    <row r="4553" spans="1:4" hidden="1" x14ac:dyDescent="0.25">
      <c r="A4553" t="s">
        <v>20</v>
      </c>
      <c r="B4553">
        <v>79</v>
      </c>
      <c r="C4553">
        <v>16</v>
      </c>
    </row>
    <row r="4554" spans="1:4" hidden="1" x14ac:dyDescent="0.25">
      <c r="A4554" t="s">
        <v>20</v>
      </c>
      <c r="B4554">
        <v>79</v>
      </c>
      <c r="C4554">
        <v>17</v>
      </c>
      <c r="D4554">
        <v>1</v>
      </c>
    </row>
    <row r="4555" spans="1:4" hidden="1" x14ac:dyDescent="0.25">
      <c r="A4555" t="s">
        <v>20</v>
      </c>
      <c r="B4555">
        <v>79</v>
      </c>
      <c r="C4555">
        <v>18</v>
      </c>
    </row>
    <row r="4556" spans="1:4" hidden="1" x14ac:dyDescent="0.25">
      <c r="A4556" t="s">
        <v>20</v>
      </c>
      <c r="B4556">
        <v>79</v>
      </c>
      <c r="C4556">
        <v>19</v>
      </c>
    </row>
    <row r="4557" spans="1:4" hidden="1" x14ac:dyDescent="0.25">
      <c r="A4557" t="s">
        <v>20</v>
      </c>
      <c r="B4557">
        <v>79</v>
      </c>
      <c r="C4557">
        <v>20</v>
      </c>
      <c r="D4557">
        <v>1</v>
      </c>
    </row>
    <row r="4558" spans="1:4" hidden="1" x14ac:dyDescent="0.25">
      <c r="A4558" t="s">
        <v>20</v>
      </c>
      <c r="B4558">
        <v>79</v>
      </c>
      <c r="C4558">
        <v>21</v>
      </c>
    </row>
    <row r="4559" spans="1:4" hidden="1" x14ac:dyDescent="0.25">
      <c r="A4559" t="s">
        <v>20</v>
      </c>
      <c r="B4559">
        <v>79</v>
      </c>
      <c r="C4559">
        <v>22</v>
      </c>
    </row>
    <row r="4560" spans="1:4" hidden="1" x14ac:dyDescent="0.25">
      <c r="A4560" t="s">
        <v>20</v>
      </c>
      <c r="B4560">
        <v>79</v>
      </c>
      <c r="C4560">
        <v>23</v>
      </c>
      <c r="D4560">
        <v>1</v>
      </c>
    </row>
    <row r="4561" spans="1:4" hidden="1" x14ac:dyDescent="0.25">
      <c r="A4561" t="s">
        <v>20</v>
      </c>
      <c r="B4561">
        <v>79</v>
      </c>
      <c r="C4561">
        <v>24</v>
      </c>
    </row>
    <row r="4562" spans="1:4" hidden="1" x14ac:dyDescent="0.25">
      <c r="A4562" t="s">
        <v>20</v>
      </c>
      <c r="B4562">
        <v>79</v>
      </c>
      <c r="C4562">
        <v>25</v>
      </c>
    </row>
    <row r="4563" spans="1:4" hidden="1" x14ac:dyDescent="0.25">
      <c r="A4563" t="s">
        <v>20</v>
      </c>
      <c r="B4563">
        <v>79</v>
      </c>
      <c r="C4563">
        <v>26</v>
      </c>
      <c r="D4563">
        <v>1</v>
      </c>
    </row>
    <row r="4564" spans="1:4" hidden="1" x14ac:dyDescent="0.25">
      <c r="A4564" t="s">
        <v>20</v>
      </c>
      <c r="B4564">
        <v>79</v>
      </c>
      <c r="C4564">
        <v>27</v>
      </c>
    </row>
    <row r="4565" spans="1:4" hidden="1" x14ac:dyDescent="0.25">
      <c r="A4565" t="s">
        <v>20</v>
      </c>
      <c r="B4565">
        <v>79</v>
      </c>
      <c r="C4565">
        <v>28</v>
      </c>
    </row>
    <row r="4566" spans="1:4" hidden="1" x14ac:dyDescent="0.25">
      <c r="A4566" t="s">
        <v>20</v>
      </c>
      <c r="B4566">
        <v>79</v>
      </c>
      <c r="C4566">
        <v>29</v>
      </c>
    </row>
    <row r="4567" spans="1:4" hidden="1" x14ac:dyDescent="0.25">
      <c r="A4567" t="s">
        <v>20</v>
      </c>
      <c r="B4567">
        <v>79</v>
      </c>
      <c r="C4567">
        <v>30</v>
      </c>
    </row>
    <row r="4568" spans="1:4" hidden="1" x14ac:dyDescent="0.25">
      <c r="A4568" t="s">
        <v>20</v>
      </c>
      <c r="B4568">
        <v>79</v>
      </c>
      <c r="C4568">
        <v>31</v>
      </c>
    </row>
    <row r="4569" spans="1:4" hidden="1" x14ac:dyDescent="0.25">
      <c r="A4569" t="s">
        <v>20</v>
      </c>
      <c r="B4569">
        <v>79</v>
      </c>
      <c r="C4569">
        <v>32</v>
      </c>
    </row>
    <row r="4570" spans="1:4" hidden="1" x14ac:dyDescent="0.25">
      <c r="A4570" t="s">
        <v>20</v>
      </c>
      <c r="B4570">
        <v>79</v>
      </c>
      <c r="C4570">
        <v>33</v>
      </c>
    </row>
    <row r="4571" spans="1:4" hidden="1" x14ac:dyDescent="0.25">
      <c r="A4571" t="s">
        <v>20</v>
      </c>
      <c r="B4571">
        <v>79</v>
      </c>
      <c r="C4571">
        <v>34</v>
      </c>
    </row>
    <row r="4572" spans="1:4" hidden="1" x14ac:dyDescent="0.25">
      <c r="A4572" t="s">
        <v>20</v>
      </c>
      <c r="B4572">
        <v>79</v>
      </c>
      <c r="C4572">
        <v>35</v>
      </c>
    </row>
    <row r="4573" spans="1:4" hidden="1" x14ac:dyDescent="0.25">
      <c r="A4573" t="s">
        <v>20</v>
      </c>
      <c r="B4573">
        <v>79</v>
      </c>
      <c r="C4573">
        <v>36</v>
      </c>
    </row>
    <row r="4574" spans="1:4" hidden="1" x14ac:dyDescent="0.25">
      <c r="A4574" t="s">
        <v>20</v>
      </c>
      <c r="B4574">
        <v>79</v>
      </c>
      <c r="C4574">
        <v>37</v>
      </c>
    </row>
    <row r="4575" spans="1:4" hidden="1" x14ac:dyDescent="0.25">
      <c r="A4575" t="s">
        <v>20</v>
      </c>
      <c r="B4575">
        <v>79</v>
      </c>
      <c r="C4575">
        <v>38</v>
      </c>
    </row>
    <row r="4576" spans="1:4" hidden="1" x14ac:dyDescent="0.25">
      <c r="A4576" t="s">
        <v>20</v>
      </c>
      <c r="B4576">
        <v>79</v>
      </c>
      <c r="C4576">
        <v>39</v>
      </c>
    </row>
    <row r="4577" spans="1:4" hidden="1" x14ac:dyDescent="0.25">
      <c r="A4577" t="s">
        <v>20</v>
      </c>
      <c r="B4577">
        <v>79</v>
      </c>
      <c r="C4577">
        <v>40</v>
      </c>
    </row>
    <row r="4578" spans="1:4" hidden="1" x14ac:dyDescent="0.25">
      <c r="A4578" t="s">
        <v>20</v>
      </c>
      <c r="B4578">
        <v>79</v>
      </c>
      <c r="C4578">
        <v>41</v>
      </c>
      <c r="D4578">
        <v>1</v>
      </c>
    </row>
    <row r="4579" spans="1:4" hidden="1" x14ac:dyDescent="0.25">
      <c r="A4579" t="s">
        <v>20</v>
      </c>
      <c r="B4579">
        <v>79</v>
      </c>
      <c r="C4579">
        <v>42</v>
      </c>
    </row>
    <row r="4580" spans="1:4" hidden="1" x14ac:dyDescent="0.25">
      <c r="A4580" t="s">
        <v>20</v>
      </c>
      <c r="B4580">
        <v>79</v>
      </c>
      <c r="C4580">
        <v>43</v>
      </c>
    </row>
    <row r="4581" spans="1:4" hidden="1" x14ac:dyDescent="0.25">
      <c r="A4581" t="s">
        <v>20</v>
      </c>
      <c r="B4581">
        <v>79</v>
      </c>
      <c r="C4581">
        <v>44</v>
      </c>
      <c r="D4581">
        <v>1</v>
      </c>
    </row>
    <row r="4582" spans="1:4" hidden="1" x14ac:dyDescent="0.25">
      <c r="A4582" t="s">
        <v>20</v>
      </c>
      <c r="B4582">
        <v>79</v>
      </c>
      <c r="C4582">
        <v>45</v>
      </c>
    </row>
    <row r="4583" spans="1:4" hidden="1" x14ac:dyDescent="0.25">
      <c r="A4583" t="s">
        <v>20</v>
      </c>
      <c r="B4583">
        <v>79</v>
      </c>
      <c r="C4583">
        <v>46</v>
      </c>
    </row>
    <row r="4584" spans="1:4" hidden="1" x14ac:dyDescent="0.25">
      <c r="A4584" t="s">
        <v>20</v>
      </c>
      <c r="B4584">
        <v>79</v>
      </c>
      <c r="C4584">
        <v>47</v>
      </c>
      <c r="D4584">
        <v>1</v>
      </c>
    </row>
    <row r="4585" spans="1:4" hidden="1" x14ac:dyDescent="0.25">
      <c r="A4585" t="s">
        <v>20</v>
      </c>
      <c r="B4585">
        <v>79</v>
      </c>
      <c r="C4585">
        <v>48</v>
      </c>
    </row>
    <row r="4586" spans="1:4" hidden="1" x14ac:dyDescent="0.25">
      <c r="A4586" t="s">
        <v>20</v>
      </c>
      <c r="B4586">
        <v>79</v>
      </c>
      <c r="C4586">
        <v>49</v>
      </c>
    </row>
    <row r="4587" spans="1:4" hidden="1" x14ac:dyDescent="0.25">
      <c r="A4587" t="s">
        <v>20</v>
      </c>
      <c r="B4587">
        <v>79</v>
      </c>
      <c r="C4587">
        <v>50</v>
      </c>
    </row>
    <row r="4588" spans="1:4" hidden="1" x14ac:dyDescent="0.25">
      <c r="A4588" t="s">
        <v>20</v>
      </c>
      <c r="B4588">
        <v>79</v>
      </c>
      <c r="C4588">
        <v>51</v>
      </c>
    </row>
    <row r="4589" spans="1:4" hidden="1" x14ac:dyDescent="0.25">
      <c r="A4589" t="s">
        <v>20</v>
      </c>
      <c r="B4589">
        <v>79</v>
      </c>
      <c r="C4589">
        <v>52</v>
      </c>
    </row>
    <row r="4590" spans="1:4" hidden="1" x14ac:dyDescent="0.25">
      <c r="A4590" t="s">
        <v>20</v>
      </c>
      <c r="B4590">
        <v>79</v>
      </c>
      <c r="C4590">
        <v>53</v>
      </c>
      <c r="D4590">
        <v>1</v>
      </c>
    </row>
    <row r="4591" spans="1:4" hidden="1" x14ac:dyDescent="0.25">
      <c r="A4591" t="s">
        <v>20</v>
      </c>
      <c r="B4591">
        <v>79</v>
      </c>
      <c r="C4591">
        <v>54</v>
      </c>
    </row>
    <row r="4592" spans="1:4" hidden="1" x14ac:dyDescent="0.25">
      <c r="A4592" t="s">
        <v>20</v>
      </c>
      <c r="B4592">
        <v>79</v>
      </c>
      <c r="C4592">
        <v>55</v>
      </c>
    </row>
    <row r="4593" spans="1:4" hidden="1" x14ac:dyDescent="0.25">
      <c r="A4593" t="s">
        <v>20</v>
      </c>
      <c r="B4593">
        <v>79</v>
      </c>
      <c r="C4593">
        <v>56</v>
      </c>
    </row>
    <row r="4594" spans="1:4" hidden="1" x14ac:dyDescent="0.25">
      <c r="A4594" t="s">
        <v>20</v>
      </c>
      <c r="B4594">
        <v>79</v>
      </c>
      <c r="C4594">
        <v>57</v>
      </c>
    </row>
    <row r="4595" spans="1:4" hidden="1" x14ac:dyDescent="0.25">
      <c r="A4595" t="s">
        <v>20</v>
      </c>
      <c r="B4595">
        <v>79</v>
      </c>
      <c r="C4595">
        <v>58</v>
      </c>
    </row>
    <row r="4596" spans="1:4" hidden="1" x14ac:dyDescent="0.25">
      <c r="A4596" t="s">
        <v>20</v>
      </c>
      <c r="B4596">
        <v>79</v>
      </c>
      <c r="C4596">
        <v>59</v>
      </c>
      <c r="D4596">
        <v>1</v>
      </c>
    </row>
    <row r="4597" spans="1:4" hidden="1" x14ac:dyDescent="0.25">
      <c r="A4597" t="s">
        <v>20</v>
      </c>
      <c r="B4597">
        <v>79</v>
      </c>
      <c r="C4597">
        <v>60</v>
      </c>
    </row>
    <row r="4598" spans="1:4" hidden="1" x14ac:dyDescent="0.25">
      <c r="A4598" t="s">
        <v>20</v>
      </c>
      <c r="B4598">
        <v>79</v>
      </c>
      <c r="C4598">
        <v>61</v>
      </c>
    </row>
    <row r="4599" spans="1:4" hidden="1" x14ac:dyDescent="0.25">
      <c r="A4599" t="s">
        <v>20</v>
      </c>
      <c r="B4599">
        <v>79</v>
      </c>
      <c r="C4599">
        <v>62</v>
      </c>
      <c r="D4599">
        <v>1</v>
      </c>
    </row>
    <row r="4600" spans="1:4" hidden="1" x14ac:dyDescent="0.25">
      <c r="A4600" t="s">
        <v>20</v>
      </c>
      <c r="B4600">
        <v>79</v>
      </c>
      <c r="C4600">
        <v>63</v>
      </c>
    </row>
    <row r="4601" spans="1:4" hidden="1" x14ac:dyDescent="0.25">
      <c r="A4601" t="s">
        <v>20</v>
      </c>
      <c r="B4601">
        <v>79</v>
      </c>
      <c r="C4601">
        <v>64</v>
      </c>
    </row>
    <row r="4602" spans="1:4" hidden="1" x14ac:dyDescent="0.25">
      <c r="A4602" t="s">
        <v>20</v>
      </c>
      <c r="B4602">
        <v>79</v>
      </c>
      <c r="C4602">
        <v>65</v>
      </c>
      <c r="D4602">
        <v>1</v>
      </c>
    </row>
    <row r="4603" spans="1:4" hidden="1" x14ac:dyDescent="0.25">
      <c r="A4603" t="s">
        <v>20</v>
      </c>
      <c r="B4603">
        <v>79</v>
      </c>
      <c r="C4603">
        <v>66</v>
      </c>
    </row>
    <row r="4604" spans="1:4" hidden="1" x14ac:dyDescent="0.25">
      <c r="A4604" t="s">
        <v>20</v>
      </c>
      <c r="B4604">
        <v>79</v>
      </c>
      <c r="C4604">
        <v>67</v>
      </c>
    </row>
    <row r="4605" spans="1:4" hidden="1" x14ac:dyDescent="0.25">
      <c r="A4605" t="s">
        <v>20</v>
      </c>
      <c r="B4605">
        <v>79</v>
      </c>
      <c r="C4605">
        <v>68</v>
      </c>
      <c r="D4605">
        <v>1</v>
      </c>
    </row>
    <row r="4606" spans="1:4" hidden="1" x14ac:dyDescent="0.25">
      <c r="A4606" t="s">
        <v>20</v>
      </c>
      <c r="B4606">
        <v>79</v>
      </c>
      <c r="C4606">
        <v>69</v>
      </c>
    </row>
    <row r="4607" spans="1:4" hidden="1" x14ac:dyDescent="0.25">
      <c r="A4607" t="s">
        <v>20</v>
      </c>
      <c r="B4607">
        <v>79</v>
      </c>
      <c r="C4607">
        <v>70</v>
      </c>
    </row>
    <row r="4608" spans="1:4" hidden="1" x14ac:dyDescent="0.25">
      <c r="A4608" t="s">
        <v>20</v>
      </c>
      <c r="B4608">
        <v>79</v>
      </c>
      <c r="C4608">
        <v>71</v>
      </c>
      <c r="D4608">
        <v>1</v>
      </c>
    </row>
    <row r="4609" spans="1:4" hidden="1" x14ac:dyDescent="0.25">
      <c r="A4609" t="s">
        <v>20</v>
      </c>
      <c r="B4609">
        <v>79</v>
      </c>
      <c r="C4609">
        <v>72</v>
      </c>
    </row>
    <row r="4610" spans="1:4" hidden="1" x14ac:dyDescent="0.25">
      <c r="A4610" t="s">
        <v>20</v>
      </c>
      <c r="B4610">
        <v>79</v>
      </c>
      <c r="C4610">
        <v>73</v>
      </c>
    </row>
    <row r="4611" spans="1:4" hidden="1" x14ac:dyDescent="0.25">
      <c r="A4611" t="s">
        <v>20</v>
      </c>
      <c r="B4611">
        <v>79</v>
      </c>
      <c r="C4611">
        <v>74</v>
      </c>
    </row>
    <row r="4612" spans="1:4" hidden="1" x14ac:dyDescent="0.25">
      <c r="A4612" t="s">
        <v>20</v>
      </c>
      <c r="B4612">
        <v>79</v>
      </c>
      <c r="C4612">
        <v>75</v>
      </c>
    </row>
    <row r="4613" spans="1:4" hidden="1" x14ac:dyDescent="0.25">
      <c r="A4613" t="s">
        <v>20</v>
      </c>
      <c r="B4613">
        <v>79</v>
      </c>
      <c r="C4613">
        <v>76</v>
      </c>
    </row>
    <row r="4614" spans="1:4" hidden="1" x14ac:dyDescent="0.25">
      <c r="A4614" t="s">
        <v>20</v>
      </c>
      <c r="B4614">
        <v>79</v>
      </c>
      <c r="C4614">
        <v>77</v>
      </c>
    </row>
    <row r="4615" spans="1:4" hidden="1" x14ac:dyDescent="0.25">
      <c r="A4615" t="s">
        <v>20</v>
      </c>
      <c r="B4615">
        <v>79</v>
      </c>
      <c r="C4615">
        <v>78</v>
      </c>
    </row>
    <row r="4616" spans="1:4" hidden="1" x14ac:dyDescent="0.25">
      <c r="A4616" t="s">
        <v>20</v>
      </c>
      <c r="B4616">
        <v>79</v>
      </c>
      <c r="C4616">
        <v>79</v>
      </c>
    </row>
    <row r="4617" spans="1:4" hidden="1" x14ac:dyDescent="0.25">
      <c r="A4617" t="s">
        <v>20</v>
      </c>
      <c r="B4617">
        <v>79</v>
      </c>
      <c r="C4617">
        <v>80</v>
      </c>
    </row>
    <row r="4618" spans="1:4" hidden="1" x14ac:dyDescent="0.25">
      <c r="A4618" t="s">
        <v>20</v>
      </c>
      <c r="B4618">
        <v>79</v>
      </c>
      <c r="C4618">
        <v>81</v>
      </c>
    </row>
    <row r="4619" spans="1:4" hidden="1" x14ac:dyDescent="0.25">
      <c r="A4619" t="s">
        <v>20</v>
      </c>
      <c r="B4619">
        <v>79</v>
      </c>
      <c r="C4619">
        <v>82</v>
      </c>
    </row>
    <row r="4620" spans="1:4" hidden="1" x14ac:dyDescent="0.25">
      <c r="A4620" t="s">
        <v>20</v>
      </c>
      <c r="B4620">
        <v>79</v>
      </c>
      <c r="C4620">
        <v>83</v>
      </c>
      <c r="D4620">
        <v>1</v>
      </c>
    </row>
    <row r="4621" spans="1:4" hidden="1" x14ac:dyDescent="0.25">
      <c r="A4621" t="s">
        <v>20</v>
      </c>
      <c r="B4621">
        <v>79</v>
      </c>
      <c r="C4621">
        <v>84</v>
      </c>
    </row>
    <row r="4622" spans="1:4" hidden="1" x14ac:dyDescent="0.25">
      <c r="A4622" t="s">
        <v>20</v>
      </c>
      <c r="B4622">
        <v>81</v>
      </c>
      <c r="C4622">
        <v>1</v>
      </c>
      <c r="D4622">
        <v>1</v>
      </c>
    </row>
    <row r="4623" spans="1:4" hidden="1" x14ac:dyDescent="0.25">
      <c r="A4623" t="s">
        <v>20</v>
      </c>
      <c r="B4623">
        <v>81</v>
      </c>
      <c r="C4623">
        <v>2</v>
      </c>
    </row>
    <row r="4624" spans="1:4" hidden="1" x14ac:dyDescent="0.25">
      <c r="A4624" t="s">
        <v>20</v>
      </c>
      <c r="B4624">
        <v>81</v>
      </c>
      <c r="C4624">
        <v>3</v>
      </c>
    </row>
    <row r="4625" spans="1:4" hidden="1" x14ac:dyDescent="0.25">
      <c r="A4625" t="s">
        <v>20</v>
      </c>
      <c r="B4625">
        <v>81</v>
      </c>
      <c r="C4625">
        <v>4</v>
      </c>
      <c r="D4625">
        <v>1</v>
      </c>
    </row>
    <row r="4626" spans="1:4" hidden="1" x14ac:dyDescent="0.25">
      <c r="A4626" t="s">
        <v>20</v>
      </c>
      <c r="B4626">
        <v>81</v>
      </c>
      <c r="C4626">
        <v>5</v>
      </c>
    </row>
    <row r="4627" spans="1:4" hidden="1" x14ac:dyDescent="0.25">
      <c r="A4627" t="s">
        <v>20</v>
      </c>
      <c r="B4627">
        <v>81</v>
      </c>
      <c r="C4627">
        <v>6</v>
      </c>
    </row>
    <row r="4628" spans="1:4" hidden="1" x14ac:dyDescent="0.25">
      <c r="A4628" t="s">
        <v>20</v>
      </c>
      <c r="B4628">
        <v>81</v>
      </c>
      <c r="C4628">
        <v>7</v>
      </c>
    </row>
    <row r="4629" spans="1:4" hidden="1" x14ac:dyDescent="0.25">
      <c r="A4629" t="s">
        <v>20</v>
      </c>
      <c r="B4629">
        <v>81</v>
      </c>
      <c r="C4629">
        <v>8</v>
      </c>
      <c r="D4629">
        <v>1</v>
      </c>
    </row>
    <row r="4630" spans="1:4" hidden="1" x14ac:dyDescent="0.25">
      <c r="A4630" t="s">
        <v>20</v>
      </c>
      <c r="B4630">
        <v>81</v>
      </c>
      <c r="C4630">
        <v>9</v>
      </c>
    </row>
    <row r="4631" spans="1:4" hidden="1" x14ac:dyDescent="0.25">
      <c r="A4631" t="s">
        <v>20</v>
      </c>
      <c r="B4631">
        <v>81</v>
      </c>
      <c r="C4631">
        <v>10</v>
      </c>
    </row>
    <row r="4632" spans="1:4" hidden="1" x14ac:dyDescent="0.25">
      <c r="A4632" t="s">
        <v>20</v>
      </c>
      <c r="B4632">
        <v>81</v>
      </c>
      <c r="C4632">
        <v>11</v>
      </c>
      <c r="D4632">
        <v>1</v>
      </c>
    </row>
    <row r="4633" spans="1:4" hidden="1" x14ac:dyDescent="0.25">
      <c r="A4633" t="s">
        <v>20</v>
      </c>
      <c r="B4633">
        <v>81</v>
      </c>
      <c r="C4633">
        <v>12</v>
      </c>
    </row>
    <row r="4634" spans="1:4" hidden="1" x14ac:dyDescent="0.25">
      <c r="A4634" t="s">
        <v>20</v>
      </c>
      <c r="B4634">
        <v>81</v>
      </c>
      <c r="C4634">
        <v>13</v>
      </c>
    </row>
    <row r="4635" spans="1:4" hidden="1" x14ac:dyDescent="0.25">
      <c r="A4635" t="s">
        <v>20</v>
      </c>
      <c r="B4635">
        <v>81</v>
      </c>
      <c r="C4635">
        <v>14</v>
      </c>
      <c r="D4635">
        <v>1</v>
      </c>
    </row>
    <row r="4636" spans="1:4" hidden="1" x14ac:dyDescent="0.25">
      <c r="A4636" t="s">
        <v>20</v>
      </c>
      <c r="B4636">
        <v>81</v>
      </c>
      <c r="C4636">
        <v>15</v>
      </c>
    </row>
    <row r="4637" spans="1:4" hidden="1" x14ac:dyDescent="0.25">
      <c r="A4637" t="s">
        <v>20</v>
      </c>
      <c r="B4637">
        <v>81</v>
      </c>
      <c r="C4637">
        <v>16</v>
      </c>
    </row>
    <row r="4638" spans="1:4" hidden="1" x14ac:dyDescent="0.25">
      <c r="A4638" t="s">
        <v>20</v>
      </c>
      <c r="B4638">
        <v>81</v>
      </c>
      <c r="C4638">
        <v>17</v>
      </c>
    </row>
    <row r="4639" spans="1:4" hidden="1" x14ac:dyDescent="0.25">
      <c r="A4639" t="s">
        <v>20</v>
      </c>
      <c r="B4639">
        <v>81</v>
      </c>
      <c r="C4639">
        <v>18</v>
      </c>
    </row>
    <row r="4640" spans="1:4" hidden="1" x14ac:dyDescent="0.25">
      <c r="A4640" t="s">
        <v>20</v>
      </c>
      <c r="B4640">
        <v>81</v>
      </c>
      <c r="C4640">
        <v>19</v>
      </c>
    </row>
    <row r="4641" spans="1:4" hidden="1" x14ac:dyDescent="0.25">
      <c r="A4641" t="s">
        <v>20</v>
      </c>
      <c r="B4641">
        <v>81</v>
      </c>
      <c r="C4641">
        <v>20</v>
      </c>
      <c r="D4641">
        <v>1</v>
      </c>
    </row>
    <row r="4642" spans="1:4" hidden="1" x14ac:dyDescent="0.25">
      <c r="A4642" t="s">
        <v>20</v>
      </c>
      <c r="B4642">
        <v>81</v>
      </c>
      <c r="C4642">
        <v>21</v>
      </c>
    </row>
    <row r="4643" spans="1:4" hidden="1" x14ac:dyDescent="0.25">
      <c r="A4643" t="s">
        <v>20</v>
      </c>
      <c r="B4643">
        <v>81</v>
      </c>
      <c r="C4643">
        <v>22</v>
      </c>
      <c r="D4643">
        <v>1</v>
      </c>
    </row>
    <row r="4644" spans="1:4" hidden="1" x14ac:dyDescent="0.25">
      <c r="A4644" t="s">
        <v>20</v>
      </c>
      <c r="B4644">
        <v>81</v>
      </c>
      <c r="C4644">
        <v>23</v>
      </c>
    </row>
    <row r="4645" spans="1:4" hidden="1" x14ac:dyDescent="0.25">
      <c r="A4645" t="s">
        <v>20</v>
      </c>
      <c r="B4645">
        <v>81</v>
      </c>
      <c r="C4645">
        <v>24</v>
      </c>
    </row>
    <row r="4646" spans="1:4" hidden="1" x14ac:dyDescent="0.25">
      <c r="A4646" t="s">
        <v>20</v>
      </c>
      <c r="B4646">
        <v>81</v>
      </c>
      <c r="C4646">
        <v>25</v>
      </c>
      <c r="D4646">
        <v>1</v>
      </c>
    </row>
    <row r="4647" spans="1:4" hidden="1" x14ac:dyDescent="0.25">
      <c r="A4647" t="s">
        <v>20</v>
      </c>
      <c r="B4647">
        <v>81</v>
      </c>
      <c r="C4647">
        <v>26</v>
      </c>
    </row>
    <row r="4648" spans="1:4" hidden="1" x14ac:dyDescent="0.25">
      <c r="A4648" t="s">
        <v>20</v>
      </c>
      <c r="B4648">
        <v>81</v>
      </c>
      <c r="C4648">
        <v>27</v>
      </c>
    </row>
    <row r="4649" spans="1:4" hidden="1" x14ac:dyDescent="0.25">
      <c r="A4649" t="s">
        <v>20</v>
      </c>
      <c r="B4649">
        <v>81</v>
      </c>
      <c r="C4649">
        <v>28</v>
      </c>
    </row>
    <row r="4650" spans="1:4" hidden="1" x14ac:dyDescent="0.25">
      <c r="A4650" t="s">
        <v>20</v>
      </c>
      <c r="B4650">
        <v>81</v>
      </c>
      <c r="C4650">
        <v>29</v>
      </c>
    </row>
    <row r="4651" spans="1:4" hidden="1" x14ac:dyDescent="0.25">
      <c r="A4651" t="s">
        <v>20</v>
      </c>
      <c r="B4651">
        <v>81</v>
      </c>
      <c r="C4651">
        <v>30</v>
      </c>
    </row>
    <row r="4652" spans="1:4" hidden="1" x14ac:dyDescent="0.25">
      <c r="A4652" t="s">
        <v>20</v>
      </c>
      <c r="B4652">
        <v>81</v>
      </c>
      <c r="C4652">
        <v>31</v>
      </c>
    </row>
    <row r="4653" spans="1:4" hidden="1" x14ac:dyDescent="0.25">
      <c r="A4653" t="s">
        <v>20</v>
      </c>
      <c r="B4653">
        <v>81</v>
      </c>
      <c r="C4653">
        <v>32</v>
      </c>
      <c r="D4653">
        <v>1</v>
      </c>
    </row>
    <row r="4654" spans="1:4" hidden="1" x14ac:dyDescent="0.25">
      <c r="A4654" t="s">
        <v>20</v>
      </c>
      <c r="B4654">
        <v>81</v>
      </c>
      <c r="C4654">
        <v>33</v>
      </c>
    </row>
    <row r="4655" spans="1:4" hidden="1" x14ac:dyDescent="0.25">
      <c r="A4655" t="s">
        <v>20</v>
      </c>
      <c r="B4655">
        <v>81</v>
      </c>
      <c r="C4655">
        <v>34</v>
      </c>
    </row>
    <row r="4656" spans="1:4" hidden="1" x14ac:dyDescent="0.25">
      <c r="A4656" t="s">
        <v>20</v>
      </c>
      <c r="B4656">
        <v>81</v>
      </c>
      <c r="C4656">
        <v>35</v>
      </c>
      <c r="D4656">
        <v>1</v>
      </c>
    </row>
    <row r="4657" spans="1:4" hidden="1" x14ac:dyDescent="0.25">
      <c r="A4657" t="s">
        <v>20</v>
      </c>
      <c r="B4657">
        <v>81</v>
      </c>
      <c r="C4657">
        <v>36</v>
      </c>
    </row>
    <row r="4658" spans="1:4" hidden="1" x14ac:dyDescent="0.25">
      <c r="A4658" t="s">
        <v>20</v>
      </c>
      <c r="B4658">
        <v>81</v>
      </c>
      <c r="C4658">
        <v>37</v>
      </c>
    </row>
    <row r="4659" spans="1:4" hidden="1" x14ac:dyDescent="0.25">
      <c r="A4659" t="s">
        <v>20</v>
      </c>
      <c r="B4659">
        <v>81</v>
      </c>
      <c r="C4659">
        <v>38</v>
      </c>
      <c r="D4659">
        <v>1</v>
      </c>
    </row>
    <row r="4660" spans="1:4" hidden="1" x14ac:dyDescent="0.25">
      <c r="A4660" t="s">
        <v>20</v>
      </c>
      <c r="B4660">
        <v>81</v>
      </c>
      <c r="C4660">
        <v>39</v>
      </c>
    </row>
    <row r="4661" spans="1:4" hidden="1" x14ac:dyDescent="0.25">
      <c r="A4661" t="s">
        <v>20</v>
      </c>
      <c r="B4661">
        <v>81</v>
      </c>
      <c r="C4661">
        <v>40</v>
      </c>
    </row>
    <row r="4662" spans="1:4" hidden="1" x14ac:dyDescent="0.25">
      <c r="A4662" t="s">
        <v>20</v>
      </c>
      <c r="B4662">
        <v>81</v>
      </c>
      <c r="C4662">
        <v>41</v>
      </c>
      <c r="D4662">
        <v>1</v>
      </c>
    </row>
    <row r="4663" spans="1:4" hidden="1" x14ac:dyDescent="0.25">
      <c r="A4663" t="s">
        <v>20</v>
      </c>
      <c r="B4663">
        <v>81</v>
      </c>
      <c r="C4663">
        <v>42</v>
      </c>
    </row>
    <row r="4664" spans="1:4" hidden="1" x14ac:dyDescent="0.25">
      <c r="A4664" t="s">
        <v>20</v>
      </c>
      <c r="B4664">
        <v>81</v>
      </c>
      <c r="C4664">
        <v>43</v>
      </c>
      <c r="D4664">
        <v>1</v>
      </c>
    </row>
    <row r="4665" spans="1:4" hidden="1" x14ac:dyDescent="0.25">
      <c r="A4665" t="s">
        <v>20</v>
      </c>
      <c r="B4665">
        <v>81</v>
      </c>
      <c r="C4665">
        <v>44</v>
      </c>
    </row>
    <row r="4666" spans="1:4" hidden="1" x14ac:dyDescent="0.25">
      <c r="A4666" t="s">
        <v>20</v>
      </c>
      <c r="B4666">
        <v>81</v>
      </c>
      <c r="C4666">
        <v>45</v>
      </c>
    </row>
    <row r="4667" spans="1:4" hidden="1" x14ac:dyDescent="0.25">
      <c r="A4667" t="s">
        <v>20</v>
      </c>
      <c r="B4667">
        <v>81</v>
      </c>
      <c r="C4667">
        <v>46</v>
      </c>
      <c r="D4667">
        <v>1</v>
      </c>
    </row>
    <row r="4668" spans="1:4" hidden="1" x14ac:dyDescent="0.25">
      <c r="A4668" t="s">
        <v>20</v>
      </c>
      <c r="B4668">
        <v>81</v>
      </c>
      <c r="C4668">
        <v>47</v>
      </c>
    </row>
    <row r="4669" spans="1:4" hidden="1" x14ac:dyDescent="0.25">
      <c r="A4669" t="s">
        <v>20</v>
      </c>
      <c r="B4669">
        <v>81</v>
      </c>
      <c r="C4669">
        <v>48</v>
      </c>
    </row>
    <row r="4670" spans="1:4" hidden="1" x14ac:dyDescent="0.25">
      <c r="A4670" t="s">
        <v>20</v>
      </c>
      <c r="B4670">
        <v>81</v>
      </c>
      <c r="C4670">
        <v>49</v>
      </c>
    </row>
    <row r="4671" spans="1:4" hidden="1" x14ac:dyDescent="0.25">
      <c r="A4671" t="s">
        <v>20</v>
      </c>
      <c r="B4671">
        <v>81</v>
      </c>
      <c r="C4671">
        <v>50</v>
      </c>
    </row>
    <row r="4672" spans="1:4" hidden="1" x14ac:dyDescent="0.25">
      <c r="A4672" t="s">
        <v>20</v>
      </c>
      <c r="B4672">
        <v>81</v>
      </c>
      <c r="C4672">
        <v>51</v>
      </c>
    </row>
    <row r="4673" spans="1:4" hidden="1" x14ac:dyDescent="0.25">
      <c r="A4673" t="s">
        <v>20</v>
      </c>
      <c r="B4673">
        <v>81</v>
      </c>
      <c r="C4673">
        <v>52</v>
      </c>
    </row>
    <row r="4674" spans="1:4" hidden="1" x14ac:dyDescent="0.25">
      <c r="A4674" t="s">
        <v>20</v>
      </c>
      <c r="B4674">
        <v>81</v>
      </c>
      <c r="C4674">
        <v>53</v>
      </c>
      <c r="D4674">
        <v>1</v>
      </c>
    </row>
    <row r="4675" spans="1:4" hidden="1" x14ac:dyDescent="0.25">
      <c r="A4675" t="s">
        <v>20</v>
      </c>
      <c r="B4675">
        <v>81</v>
      </c>
      <c r="C4675">
        <v>54</v>
      </c>
    </row>
    <row r="4676" spans="1:4" hidden="1" x14ac:dyDescent="0.25">
      <c r="A4676" t="s">
        <v>20</v>
      </c>
      <c r="B4676">
        <v>81</v>
      </c>
      <c r="C4676">
        <v>55</v>
      </c>
    </row>
    <row r="4677" spans="1:4" hidden="1" x14ac:dyDescent="0.25">
      <c r="A4677" t="s">
        <v>20</v>
      </c>
      <c r="B4677">
        <v>81</v>
      </c>
      <c r="C4677">
        <v>56</v>
      </c>
      <c r="D4677">
        <v>1</v>
      </c>
    </row>
    <row r="4678" spans="1:4" hidden="1" x14ac:dyDescent="0.25">
      <c r="A4678" t="s">
        <v>20</v>
      </c>
      <c r="B4678">
        <v>81</v>
      </c>
      <c r="C4678">
        <v>57</v>
      </c>
    </row>
    <row r="4679" spans="1:4" hidden="1" x14ac:dyDescent="0.25">
      <c r="A4679" t="s">
        <v>20</v>
      </c>
      <c r="B4679">
        <v>81</v>
      </c>
      <c r="C4679">
        <v>58</v>
      </c>
    </row>
    <row r="4680" spans="1:4" hidden="1" x14ac:dyDescent="0.25">
      <c r="A4680" t="s">
        <v>20</v>
      </c>
      <c r="B4680">
        <v>81</v>
      </c>
      <c r="C4680">
        <v>59</v>
      </c>
      <c r="D4680">
        <v>1</v>
      </c>
    </row>
    <row r="4681" spans="1:4" hidden="1" x14ac:dyDescent="0.25">
      <c r="A4681" t="s">
        <v>20</v>
      </c>
      <c r="B4681">
        <v>81</v>
      </c>
      <c r="C4681">
        <v>60</v>
      </c>
    </row>
    <row r="4682" spans="1:4" hidden="1" x14ac:dyDescent="0.25">
      <c r="A4682" t="s">
        <v>20</v>
      </c>
      <c r="B4682">
        <v>81</v>
      </c>
      <c r="C4682">
        <v>61</v>
      </c>
    </row>
    <row r="4683" spans="1:4" hidden="1" x14ac:dyDescent="0.25">
      <c r="A4683" t="s">
        <v>20</v>
      </c>
      <c r="B4683">
        <v>81</v>
      </c>
      <c r="C4683">
        <v>62</v>
      </c>
      <c r="D4683">
        <v>1</v>
      </c>
    </row>
    <row r="4684" spans="1:4" hidden="1" x14ac:dyDescent="0.25">
      <c r="A4684" t="s">
        <v>20</v>
      </c>
      <c r="B4684">
        <v>81</v>
      </c>
      <c r="C4684">
        <v>63</v>
      </c>
    </row>
    <row r="4685" spans="1:4" hidden="1" x14ac:dyDescent="0.25">
      <c r="A4685" t="s">
        <v>20</v>
      </c>
      <c r="B4685">
        <v>81</v>
      </c>
      <c r="C4685">
        <v>64</v>
      </c>
      <c r="D4685">
        <v>1</v>
      </c>
    </row>
    <row r="4686" spans="1:4" hidden="1" x14ac:dyDescent="0.25">
      <c r="A4686" t="s">
        <v>20</v>
      </c>
      <c r="B4686">
        <v>81</v>
      </c>
      <c r="C4686">
        <v>65</v>
      </c>
    </row>
    <row r="4687" spans="1:4" hidden="1" x14ac:dyDescent="0.25">
      <c r="A4687" t="s">
        <v>20</v>
      </c>
      <c r="B4687">
        <v>81</v>
      </c>
      <c r="C4687">
        <v>66</v>
      </c>
    </row>
    <row r="4688" spans="1:4" hidden="1" x14ac:dyDescent="0.25">
      <c r="A4688" t="s">
        <v>20</v>
      </c>
      <c r="B4688">
        <v>81</v>
      </c>
      <c r="C4688">
        <v>67</v>
      </c>
      <c r="D4688">
        <v>1</v>
      </c>
    </row>
    <row r="4689" spans="1:4" hidden="1" x14ac:dyDescent="0.25">
      <c r="A4689" t="s">
        <v>20</v>
      </c>
      <c r="B4689">
        <v>81</v>
      </c>
      <c r="C4689">
        <v>68</v>
      </c>
    </row>
    <row r="4690" spans="1:4" hidden="1" x14ac:dyDescent="0.25">
      <c r="A4690" t="s">
        <v>20</v>
      </c>
      <c r="B4690">
        <v>81</v>
      </c>
      <c r="C4690">
        <v>69</v>
      </c>
    </row>
    <row r="4691" spans="1:4" hidden="1" x14ac:dyDescent="0.25">
      <c r="A4691" t="s">
        <v>20</v>
      </c>
      <c r="B4691">
        <v>81</v>
      </c>
      <c r="C4691">
        <v>70</v>
      </c>
    </row>
    <row r="4692" spans="1:4" hidden="1" x14ac:dyDescent="0.25">
      <c r="A4692" t="s">
        <v>20</v>
      </c>
      <c r="B4692">
        <v>81</v>
      </c>
      <c r="C4692">
        <v>71</v>
      </c>
    </row>
    <row r="4693" spans="1:4" hidden="1" x14ac:dyDescent="0.25">
      <c r="A4693" t="s">
        <v>20</v>
      </c>
      <c r="B4693">
        <v>81</v>
      </c>
      <c r="C4693">
        <v>72</v>
      </c>
    </row>
    <row r="4694" spans="1:4" hidden="1" x14ac:dyDescent="0.25">
      <c r="A4694" t="s">
        <v>20</v>
      </c>
      <c r="B4694">
        <v>81</v>
      </c>
      <c r="C4694">
        <v>73</v>
      </c>
    </row>
    <row r="4695" spans="1:4" hidden="1" x14ac:dyDescent="0.25">
      <c r="A4695" t="s">
        <v>20</v>
      </c>
      <c r="B4695">
        <v>81</v>
      </c>
      <c r="C4695">
        <v>74</v>
      </c>
      <c r="D4695">
        <v>1</v>
      </c>
    </row>
    <row r="4696" spans="1:4" hidden="1" x14ac:dyDescent="0.25">
      <c r="A4696" t="s">
        <v>20</v>
      </c>
      <c r="B4696">
        <v>81</v>
      </c>
      <c r="C4696">
        <v>75</v>
      </c>
    </row>
    <row r="4697" spans="1:4" hidden="1" x14ac:dyDescent="0.25">
      <c r="A4697" t="s">
        <v>20</v>
      </c>
      <c r="B4697">
        <v>81</v>
      </c>
      <c r="C4697">
        <v>76</v>
      </c>
    </row>
    <row r="4698" spans="1:4" hidden="1" x14ac:dyDescent="0.25">
      <c r="A4698" t="s">
        <v>20</v>
      </c>
      <c r="B4698">
        <v>81</v>
      </c>
      <c r="C4698">
        <v>77</v>
      </c>
      <c r="D4698">
        <v>1</v>
      </c>
    </row>
    <row r="4699" spans="1:4" hidden="1" x14ac:dyDescent="0.25">
      <c r="A4699" t="s">
        <v>20</v>
      </c>
      <c r="B4699">
        <v>81</v>
      </c>
      <c r="C4699">
        <v>78</v>
      </c>
    </row>
    <row r="4700" spans="1:4" hidden="1" x14ac:dyDescent="0.25">
      <c r="A4700" t="s">
        <v>20</v>
      </c>
      <c r="B4700">
        <v>81</v>
      </c>
      <c r="C4700">
        <v>79</v>
      </c>
    </row>
    <row r="4701" spans="1:4" hidden="1" x14ac:dyDescent="0.25">
      <c r="A4701" t="s">
        <v>20</v>
      </c>
      <c r="B4701">
        <v>81</v>
      </c>
      <c r="C4701">
        <v>80</v>
      </c>
      <c r="D4701">
        <v>1</v>
      </c>
    </row>
    <row r="4702" spans="1:4" hidden="1" x14ac:dyDescent="0.25">
      <c r="A4702" t="s">
        <v>20</v>
      </c>
      <c r="B4702">
        <v>81</v>
      </c>
      <c r="C4702">
        <v>81</v>
      </c>
    </row>
    <row r="4703" spans="1:4" hidden="1" x14ac:dyDescent="0.25">
      <c r="A4703" t="s">
        <v>20</v>
      </c>
      <c r="B4703">
        <v>81</v>
      </c>
      <c r="C4703">
        <v>82</v>
      </c>
    </row>
    <row r="4704" spans="1:4" hidden="1" x14ac:dyDescent="0.25">
      <c r="A4704" t="s">
        <v>20</v>
      </c>
      <c r="B4704">
        <v>81</v>
      </c>
      <c r="C4704">
        <v>83</v>
      </c>
      <c r="D4704">
        <v>1</v>
      </c>
    </row>
    <row r="4705" spans="1:6" hidden="1" x14ac:dyDescent="0.25">
      <c r="A4705" t="s">
        <v>20</v>
      </c>
      <c r="B4705">
        <v>81</v>
      </c>
      <c r="C4705">
        <v>84</v>
      </c>
    </row>
    <row r="4706" spans="1:6" hidden="1" x14ac:dyDescent="0.25">
      <c r="A4706" t="s">
        <v>20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20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20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20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20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20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20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20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20</v>
      </c>
      <c r="B4714">
        <v>82</v>
      </c>
      <c r="C4714">
        <v>9</v>
      </c>
      <c r="E4714">
        <v>84</v>
      </c>
      <c r="F4714">
        <v>20</v>
      </c>
    </row>
    <row r="4715" spans="1:6" hidden="1" x14ac:dyDescent="0.25">
      <c r="A4715" t="s">
        <v>20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20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20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20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20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20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20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20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20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20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20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20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20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20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20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20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20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20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20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20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20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20</v>
      </c>
      <c r="B4736">
        <v>82</v>
      </c>
      <c r="C4736">
        <v>31</v>
      </c>
      <c r="D4736">
        <v>1</v>
      </c>
      <c r="E4736">
        <v>84</v>
      </c>
      <c r="F4736">
        <v>20</v>
      </c>
    </row>
    <row r="4737" spans="1:6" hidden="1" x14ac:dyDescent="0.25">
      <c r="A4737" t="s">
        <v>20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20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20</v>
      </c>
      <c r="B4739">
        <v>82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20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20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20</v>
      </c>
      <c r="B4742">
        <v>82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20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20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20</v>
      </c>
      <c r="B4745">
        <v>82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20</v>
      </c>
      <c r="B4746">
        <v>82</v>
      </c>
      <c r="C4746">
        <v>41</v>
      </c>
      <c r="E4746">
        <v>84</v>
      </c>
      <c r="F4746">
        <v>20</v>
      </c>
    </row>
    <row r="4747" spans="1:6" hidden="1" x14ac:dyDescent="0.25">
      <c r="A4747" t="s">
        <v>20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20</v>
      </c>
      <c r="B4748">
        <v>82</v>
      </c>
      <c r="C4748">
        <v>43</v>
      </c>
      <c r="D4748">
        <v>1</v>
      </c>
      <c r="E4748">
        <v>84</v>
      </c>
      <c r="F4748">
        <v>20</v>
      </c>
    </row>
    <row r="4749" spans="1:6" hidden="1" x14ac:dyDescent="0.25">
      <c r="A4749" t="s">
        <v>20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20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20</v>
      </c>
      <c r="B4751">
        <v>82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20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20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20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20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20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20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20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20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20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20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20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20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20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20</v>
      </c>
      <c r="B4765">
        <v>82</v>
      </c>
      <c r="C4765">
        <v>60</v>
      </c>
      <c r="D4765">
        <v>1</v>
      </c>
      <c r="E4765">
        <v>84</v>
      </c>
      <c r="F4765">
        <v>20</v>
      </c>
    </row>
    <row r="4766" spans="1:6" hidden="1" x14ac:dyDescent="0.25">
      <c r="A4766" t="s">
        <v>20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20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20</v>
      </c>
      <c r="B4768">
        <v>82</v>
      </c>
      <c r="C4768">
        <v>63</v>
      </c>
      <c r="D4768">
        <v>1</v>
      </c>
      <c r="E4768">
        <v>84</v>
      </c>
      <c r="F4768">
        <v>20</v>
      </c>
    </row>
    <row r="4769" spans="1:6" hidden="1" x14ac:dyDescent="0.25">
      <c r="A4769" t="s">
        <v>20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20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20</v>
      </c>
      <c r="B4771">
        <v>82</v>
      </c>
      <c r="C4771">
        <v>66</v>
      </c>
      <c r="D4771">
        <v>1</v>
      </c>
      <c r="E4771">
        <v>84</v>
      </c>
      <c r="F4771">
        <v>20</v>
      </c>
    </row>
    <row r="4772" spans="1:6" hidden="1" x14ac:dyDescent="0.25">
      <c r="A4772" t="s">
        <v>20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20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20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20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20</v>
      </c>
      <c r="B4776">
        <v>82</v>
      </c>
      <c r="C4776">
        <v>71</v>
      </c>
      <c r="D4776">
        <v>1</v>
      </c>
      <c r="E4776">
        <v>84</v>
      </c>
      <c r="F4776">
        <v>20</v>
      </c>
    </row>
    <row r="4777" spans="1:6" hidden="1" x14ac:dyDescent="0.25">
      <c r="A4777" t="s">
        <v>20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20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20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20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20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20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20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20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20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20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20</v>
      </c>
      <c r="B4787">
        <v>82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20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20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20</v>
      </c>
      <c r="B4790">
        <v>83</v>
      </c>
      <c r="C4790">
        <v>1</v>
      </c>
      <c r="D4790">
        <v>1</v>
      </c>
    </row>
    <row r="4791" spans="1:6" hidden="1" x14ac:dyDescent="0.25">
      <c r="A4791" t="s">
        <v>20</v>
      </c>
      <c r="B4791">
        <v>83</v>
      </c>
      <c r="C4791">
        <v>2</v>
      </c>
    </row>
    <row r="4792" spans="1:6" hidden="1" x14ac:dyDescent="0.25">
      <c r="A4792" t="s">
        <v>20</v>
      </c>
      <c r="B4792">
        <v>83</v>
      </c>
      <c r="C4792">
        <v>3</v>
      </c>
    </row>
    <row r="4793" spans="1:6" hidden="1" x14ac:dyDescent="0.25">
      <c r="A4793" t="s">
        <v>20</v>
      </c>
      <c r="B4793">
        <v>83</v>
      </c>
      <c r="C4793">
        <v>4</v>
      </c>
      <c r="D4793">
        <v>1</v>
      </c>
    </row>
    <row r="4794" spans="1:6" hidden="1" x14ac:dyDescent="0.25">
      <c r="A4794" t="s">
        <v>20</v>
      </c>
      <c r="B4794">
        <v>83</v>
      </c>
      <c r="C4794">
        <v>5</v>
      </c>
    </row>
    <row r="4795" spans="1:6" hidden="1" x14ac:dyDescent="0.25">
      <c r="A4795" t="s">
        <v>20</v>
      </c>
      <c r="B4795">
        <v>83</v>
      </c>
      <c r="C4795">
        <v>6</v>
      </c>
    </row>
    <row r="4796" spans="1:6" hidden="1" x14ac:dyDescent="0.25">
      <c r="A4796" t="s">
        <v>20</v>
      </c>
      <c r="B4796">
        <v>83</v>
      </c>
      <c r="C4796">
        <v>7</v>
      </c>
      <c r="D4796">
        <v>1</v>
      </c>
    </row>
    <row r="4797" spans="1:6" hidden="1" x14ac:dyDescent="0.25">
      <c r="A4797" t="s">
        <v>20</v>
      </c>
      <c r="B4797">
        <v>83</v>
      </c>
      <c r="C4797">
        <v>8</v>
      </c>
    </row>
    <row r="4798" spans="1:6" hidden="1" x14ac:dyDescent="0.25">
      <c r="A4798" t="s">
        <v>20</v>
      </c>
      <c r="B4798">
        <v>83</v>
      </c>
      <c r="C4798">
        <v>9</v>
      </c>
    </row>
    <row r="4799" spans="1:6" hidden="1" x14ac:dyDescent="0.25">
      <c r="A4799" t="s">
        <v>20</v>
      </c>
      <c r="B4799">
        <v>83</v>
      </c>
      <c r="C4799">
        <v>10</v>
      </c>
    </row>
    <row r="4800" spans="1:6" hidden="1" x14ac:dyDescent="0.25">
      <c r="A4800" t="s">
        <v>20</v>
      </c>
      <c r="B4800">
        <v>83</v>
      </c>
      <c r="C4800">
        <v>11</v>
      </c>
    </row>
    <row r="4801" spans="1:4" hidden="1" x14ac:dyDescent="0.25">
      <c r="A4801" t="s">
        <v>20</v>
      </c>
      <c r="B4801">
        <v>83</v>
      </c>
      <c r="C4801">
        <v>12</v>
      </c>
    </row>
    <row r="4802" spans="1:4" hidden="1" x14ac:dyDescent="0.25">
      <c r="A4802" t="s">
        <v>20</v>
      </c>
      <c r="B4802">
        <v>83</v>
      </c>
      <c r="C4802">
        <v>13</v>
      </c>
    </row>
    <row r="4803" spans="1:4" hidden="1" x14ac:dyDescent="0.25">
      <c r="A4803" t="s">
        <v>20</v>
      </c>
      <c r="B4803">
        <v>83</v>
      </c>
      <c r="C4803">
        <v>14</v>
      </c>
    </row>
    <row r="4804" spans="1:4" hidden="1" x14ac:dyDescent="0.25">
      <c r="A4804" t="s">
        <v>20</v>
      </c>
      <c r="B4804">
        <v>83</v>
      </c>
      <c r="C4804">
        <v>15</v>
      </c>
    </row>
    <row r="4805" spans="1:4" hidden="1" x14ac:dyDescent="0.25">
      <c r="A4805" t="s">
        <v>20</v>
      </c>
      <c r="B4805">
        <v>83</v>
      </c>
      <c r="C4805">
        <v>16</v>
      </c>
      <c r="D4805">
        <v>1</v>
      </c>
    </row>
    <row r="4806" spans="1:4" hidden="1" x14ac:dyDescent="0.25">
      <c r="A4806" t="s">
        <v>20</v>
      </c>
      <c r="B4806">
        <v>83</v>
      </c>
      <c r="C4806">
        <v>17</v>
      </c>
    </row>
    <row r="4807" spans="1:4" hidden="1" x14ac:dyDescent="0.25">
      <c r="A4807" t="s">
        <v>20</v>
      </c>
      <c r="B4807">
        <v>83</v>
      </c>
      <c r="C4807">
        <v>18</v>
      </c>
    </row>
    <row r="4808" spans="1:4" hidden="1" x14ac:dyDescent="0.25">
      <c r="A4808" t="s">
        <v>20</v>
      </c>
      <c r="B4808">
        <v>83</v>
      </c>
      <c r="C4808">
        <v>19</v>
      </c>
      <c r="D4808">
        <v>1</v>
      </c>
    </row>
    <row r="4809" spans="1:4" hidden="1" x14ac:dyDescent="0.25">
      <c r="A4809" t="s">
        <v>20</v>
      </c>
      <c r="B4809">
        <v>83</v>
      </c>
      <c r="C4809">
        <v>20</v>
      </c>
    </row>
    <row r="4810" spans="1:4" hidden="1" x14ac:dyDescent="0.25">
      <c r="A4810" t="s">
        <v>20</v>
      </c>
      <c r="B4810">
        <v>83</v>
      </c>
      <c r="C4810">
        <v>21</v>
      </c>
    </row>
    <row r="4811" spans="1:4" hidden="1" x14ac:dyDescent="0.25">
      <c r="A4811" t="s">
        <v>20</v>
      </c>
      <c r="B4811">
        <v>83</v>
      </c>
      <c r="C4811">
        <v>22</v>
      </c>
    </row>
    <row r="4812" spans="1:4" hidden="1" x14ac:dyDescent="0.25">
      <c r="A4812" t="s">
        <v>20</v>
      </c>
      <c r="B4812">
        <v>83</v>
      </c>
      <c r="C4812">
        <v>23</v>
      </c>
    </row>
    <row r="4813" spans="1:4" hidden="1" x14ac:dyDescent="0.25">
      <c r="A4813" t="s">
        <v>20</v>
      </c>
      <c r="B4813">
        <v>83</v>
      </c>
      <c r="C4813">
        <v>24</v>
      </c>
    </row>
    <row r="4814" spans="1:4" hidden="1" x14ac:dyDescent="0.25">
      <c r="A4814" t="s">
        <v>20</v>
      </c>
      <c r="B4814">
        <v>83</v>
      </c>
      <c r="C4814">
        <v>25</v>
      </c>
    </row>
    <row r="4815" spans="1:4" hidden="1" x14ac:dyDescent="0.25">
      <c r="A4815" t="s">
        <v>20</v>
      </c>
      <c r="B4815">
        <v>83</v>
      </c>
      <c r="C4815">
        <v>26</v>
      </c>
    </row>
    <row r="4816" spans="1:4" hidden="1" x14ac:dyDescent="0.25">
      <c r="A4816" t="s">
        <v>20</v>
      </c>
      <c r="B4816">
        <v>83</v>
      </c>
      <c r="C4816">
        <v>27</v>
      </c>
    </row>
    <row r="4817" spans="1:4" hidden="1" x14ac:dyDescent="0.25">
      <c r="A4817" t="s">
        <v>20</v>
      </c>
      <c r="B4817">
        <v>83</v>
      </c>
      <c r="C4817">
        <v>28</v>
      </c>
      <c r="D4817">
        <v>1</v>
      </c>
    </row>
    <row r="4818" spans="1:4" hidden="1" x14ac:dyDescent="0.25">
      <c r="A4818" t="s">
        <v>20</v>
      </c>
      <c r="B4818">
        <v>83</v>
      </c>
      <c r="C4818">
        <v>29</v>
      </c>
    </row>
    <row r="4819" spans="1:4" hidden="1" x14ac:dyDescent="0.25">
      <c r="A4819" t="s">
        <v>20</v>
      </c>
      <c r="B4819">
        <v>83</v>
      </c>
      <c r="C4819">
        <v>30</v>
      </c>
    </row>
    <row r="4820" spans="1:4" hidden="1" x14ac:dyDescent="0.25">
      <c r="A4820" t="s">
        <v>20</v>
      </c>
      <c r="B4820">
        <v>83</v>
      </c>
      <c r="C4820">
        <v>31</v>
      </c>
    </row>
    <row r="4821" spans="1:4" hidden="1" x14ac:dyDescent="0.25">
      <c r="A4821" t="s">
        <v>20</v>
      </c>
      <c r="B4821">
        <v>83</v>
      </c>
      <c r="C4821">
        <v>32</v>
      </c>
    </row>
    <row r="4822" spans="1:4" hidden="1" x14ac:dyDescent="0.25">
      <c r="A4822" t="s">
        <v>20</v>
      </c>
      <c r="B4822">
        <v>83</v>
      </c>
      <c r="C4822">
        <v>33</v>
      </c>
    </row>
    <row r="4823" spans="1:4" hidden="1" x14ac:dyDescent="0.25">
      <c r="A4823" t="s">
        <v>20</v>
      </c>
      <c r="B4823">
        <v>83</v>
      </c>
      <c r="C4823">
        <v>34</v>
      </c>
    </row>
    <row r="4824" spans="1:4" hidden="1" x14ac:dyDescent="0.25">
      <c r="A4824" t="s">
        <v>20</v>
      </c>
      <c r="B4824">
        <v>83</v>
      </c>
      <c r="C4824">
        <v>35</v>
      </c>
    </row>
    <row r="4825" spans="1:4" hidden="1" x14ac:dyDescent="0.25">
      <c r="A4825" t="s">
        <v>20</v>
      </c>
      <c r="B4825">
        <v>83</v>
      </c>
      <c r="C4825">
        <v>36</v>
      </c>
    </row>
    <row r="4826" spans="1:4" hidden="1" x14ac:dyDescent="0.25">
      <c r="A4826" t="s">
        <v>20</v>
      </c>
      <c r="B4826">
        <v>83</v>
      </c>
      <c r="C4826">
        <v>37</v>
      </c>
    </row>
    <row r="4827" spans="1:4" hidden="1" x14ac:dyDescent="0.25">
      <c r="A4827" t="s">
        <v>20</v>
      </c>
      <c r="B4827">
        <v>83</v>
      </c>
      <c r="C4827">
        <v>38</v>
      </c>
    </row>
    <row r="4828" spans="1:4" hidden="1" x14ac:dyDescent="0.25">
      <c r="A4828" t="s">
        <v>20</v>
      </c>
      <c r="B4828">
        <v>83</v>
      </c>
      <c r="C4828">
        <v>39</v>
      </c>
    </row>
    <row r="4829" spans="1:4" hidden="1" x14ac:dyDescent="0.25">
      <c r="A4829" t="s">
        <v>20</v>
      </c>
      <c r="B4829">
        <v>83</v>
      </c>
      <c r="C4829">
        <v>40</v>
      </c>
      <c r="D4829">
        <v>1</v>
      </c>
    </row>
    <row r="4830" spans="1:4" hidden="1" x14ac:dyDescent="0.25">
      <c r="A4830" t="s">
        <v>20</v>
      </c>
      <c r="B4830">
        <v>83</v>
      </c>
      <c r="C4830">
        <v>41</v>
      </c>
    </row>
    <row r="4831" spans="1:4" hidden="1" x14ac:dyDescent="0.25">
      <c r="A4831" t="s">
        <v>20</v>
      </c>
      <c r="B4831">
        <v>83</v>
      </c>
      <c r="C4831">
        <v>42</v>
      </c>
    </row>
    <row r="4832" spans="1:4" hidden="1" x14ac:dyDescent="0.25">
      <c r="A4832" t="s">
        <v>20</v>
      </c>
      <c r="B4832">
        <v>83</v>
      </c>
      <c r="C4832">
        <v>43</v>
      </c>
      <c r="D4832">
        <v>1</v>
      </c>
    </row>
    <row r="4833" spans="1:4" hidden="1" x14ac:dyDescent="0.25">
      <c r="A4833" t="s">
        <v>20</v>
      </c>
      <c r="B4833">
        <v>83</v>
      </c>
      <c r="C4833">
        <v>44</v>
      </c>
    </row>
    <row r="4834" spans="1:4" hidden="1" x14ac:dyDescent="0.25">
      <c r="A4834" t="s">
        <v>20</v>
      </c>
      <c r="B4834">
        <v>83</v>
      </c>
      <c r="C4834">
        <v>45</v>
      </c>
    </row>
    <row r="4835" spans="1:4" hidden="1" x14ac:dyDescent="0.25">
      <c r="A4835" t="s">
        <v>20</v>
      </c>
      <c r="B4835">
        <v>83</v>
      </c>
      <c r="C4835">
        <v>46</v>
      </c>
      <c r="D4835">
        <v>1</v>
      </c>
    </row>
    <row r="4836" spans="1:4" hidden="1" x14ac:dyDescent="0.25">
      <c r="A4836" t="s">
        <v>20</v>
      </c>
      <c r="B4836">
        <v>83</v>
      </c>
      <c r="C4836">
        <v>47</v>
      </c>
    </row>
    <row r="4837" spans="1:4" hidden="1" x14ac:dyDescent="0.25">
      <c r="A4837" t="s">
        <v>20</v>
      </c>
      <c r="B4837">
        <v>83</v>
      </c>
      <c r="C4837">
        <v>48</v>
      </c>
    </row>
    <row r="4838" spans="1:4" hidden="1" x14ac:dyDescent="0.25">
      <c r="A4838" t="s">
        <v>20</v>
      </c>
      <c r="B4838">
        <v>83</v>
      </c>
      <c r="C4838">
        <v>49</v>
      </c>
      <c r="D4838">
        <v>1</v>
      </c>
    </row>
    <row r="4839" spans="1:4" hidden="1" x14ac:dyDescent="0.25">
      <c r="A4839" t="s">
        <v>20</v>
      </c>
      <c r="B4839">
        <v>83</v>
      </c>
      <c r="C4839">
        <v>50</v>
      </c>
    </row>
    <row r="4840" spans="1:4" hidden="1" x14ac:dyDescent="0.25">
      <c r="A4840" t="s">
        <v>20</v>
      </c>
      <c r="B4840">
        <v>83</v>
      </c>
      <c r="C4840">
        <v>51</v>
      </c>
    </row>
    <row r="4841" spans="1:4" hidden="1" x14ac:dyDescent="0.25">
      <c r="A4841" t="s">
        <v>20</v>
      </c>
      <c r="B4841">
        <v>83</v>
      </c>
      <c r="C4841">
        <v>52</v>
      </c>
      <c r="D4841">
        <v>1</v>
      </c>
    </row>
    <row r="4842" spans="1:4" hidden="1" x14ac:dyDescent="0.25">
      <c r="A4842" t="s">
        <v>20</v>
      </c>
      <c r="B4842">
        <v>83</v>
      </c>
      <c r="C4842">
        <v>53</v>
      </c>
    </row>
    <row r="4843" spans="1:4" hidden="1" x14ac:dyDescent="0.25">
      <c r="A4843" t="s">
        <v>20</v>
      </c>
      <c r="B4843">
        <v>83</v>
      </c>
      <c r="C4843">
        <v>54</v>
      </c>
    </row>
    <row r="4844" spans="1:4" hidden="1" x14ac:dyDescent="0.25">
      <c r="A4844" t="s">
        <v>20</v>
      </c>
      <c r="B4844">
        <v>83</v>
      </c>
      <c r="C4844">
        <v>55</v>
      </c>
      <c r="D4844">
        <v>1</v>
      </c>
    </row>
    <row r="4845" spans="1:4" hidden="1" x14ac:dyDescent="0.25">
      <c r="A4845" t="s">
        <v>20</v>
      </c>
      <c r="B4845">
        <v>83</v>
      </c>
      <c r="C4845">
        <v>56</v>
      </c>
    </row>
    <row r="4846" spans="1:4" hidden="1" x14ac:dyDescent="0.25">
      <c r="A4846" t="s">
        <v>20</v>
      </c>
      <c r="B4846">
        <v>83</v>
      </c>
      <c r="C4846">
        <v>57</v>
      </c>
    </row>
    <row r="4847" spans="1:4" hidden="1" x14ac:dyDescent="0.25">
      <c r="A4847" t="s">
        <v>20</v>
      </c>
      <c r="B4847">
        <v>83</v>
      </c>
      <c r="C4847">
        <v>58</v>
      </c>
      <c r="D4847">
        <v>1</v>
      </c>
    </row>
    <row r="4848" spans="1:4" hidden="1" x14ac:dyDescent="0.25">
      <c r="A4848" t="s">
        <v>20</v>
      </c>
      <c r="B4848">
        <v>83</v>
      </c>
      <c r="C4848">
        <v>59</v>
      </c>
    </row>
    <row r="4849" spans="1:4" hidden="1" x14ac:dyDescent="0.25">
      <c r="A4849" t="s">
        <v>20</v>
      </c>
      <c r="B4849">
        <v>83</v>
      </c>
      <c r="C4849">
        <v>60</v>
      </c>
    </row>
    <row r="4850" spans="1:4" hidden="1" x14ac:dyDescent="0.25">
      <c r="A4850" t="s">
        <v>20</v>
      </c>
      <c r="B4850">
        <v>83</v>
      </c>
      <c r="C4850">
        <v>61</v>
      </c>
      <c r="D4850">
        <v>1</v>
      </c>
    </row>
    <row r="4851" spans="1:4" hidden="1" x14ac:dyDescent="0.25">
      <c r="A4851" t="s">
        <v>20</v>
      </c>
      <c r="B4851">
        <v>83</v>
      </c>
      <c r="C4851">
        <v>62</v>
      </c>
    </row>
    <row r="4852" spans="1:4" hidden="1" x14ac:dyDescent="0.25">
      <c r="A4852" t="s">
        <v>20</v>
      </c>
      <c r="B4852">
        <v>83</v>
      </c>
      <c r="C4852">
        <v>63</v>
      </c>
    </row>
    <row r="4853" spans="1:4" hidden="1" x14ac:dyDescent="0.25">
      <c r="A4853" t="s">
        <v>20</v>
      </c>
      <c r="B4853">
        <v>83</v>
      </c>
      <c r="C4853">
        <v>64</v>
      </c>
      <c r="D4853">
        <v>1</v>
      </c>
    </row>
    <row r="4854" spans="1:4" hidden="1" x14ac:dyDescent="0.25">
      <c r="A4854" t="s">
        <v>20</v>
      </c>
      <c r="B4854">
        <v>83</v>
      </c>
      <c r="C4854">
        <v>65</v>
      </c>
    </row>
    <row r="4855" spans="1:4" hidden="1" x14ac:dyDescent="0.25">
      <c r="A4855" t="s">
        <v>20</v>
      </c>
      <c r="B4855">
        <v>83</v>
      </c>
      <c r="C4855">
        <v>66</v>
      </c>
    </row>
    <row r="4856" spans="1:4" hidden="1" x14ac:dyDescent="0.25">
      <c r="A4856" t="s">
        <v>20</v>
      </c>
      <c r="B4856">
        <v>83</v>
      </c>
      <c r="C4856">
        <v>67</v>
      </c>
      <c r="D4856">
        <v>1</v>
      </c>
    </row>
    <row r="4857" spans="1:4" hidden="1" x14ac:dyDescent="0.25">
      <c r="A4857" t="s">
        <v>20</v>
      </c>
      <c r="B4857">
        <v>83</v>
      </c>
      <c r="C4857">
        <v>68</v>
      </c>
    </row>
    <row r="4858" spans="1:4" hidden="1" x14ac:dyDescent="0.25">
      <c r="A4858" t="s">
        <v>20</v>
      </c>
      <c r="B4858">
        <v>83</v>
      </c>
      <c r="C4858">
        <v>69</v>
      </c>
    </row>
    <row r="4859" spans="1:4" hidden="1" x14ac:dyDescent="0.25">
      <c r="A4859" t="s">
        <v>20</v>
      </c>
      <c r="B4859">
        <v>83</v>
      </c>
      <c r="C4859">
        <v>70</v>
      </c>
      <c r="D4859">
        <v>1</v>
      </c>
    </row>
    <row r="4860" spans="1:4" hidden="1" x14ac:dyDescent="0.25">
      <c r="A4860" t="s">
        <v>20</v>
      </c>
      <c r="B4860">
        <v>83</v>
      </c>
      <c r="C4860">
        <v>71</v>
      </c>
    </row>
    <row r="4861" spans="1:4" hidden="1" x14ac:dyDescent="0.25">
      <c r="A4861" t="s">
        <v>20</v>
      </c>
      <c r="B4861">
        <v>83</v>
      </c>
      <c r="C4861">
        <v>72</v>
      </c>
    </row>
    <row r="4862" spans="1:4" hidden="1" x14ac:dyDescent="0.25">
      <c r="A4862" t="s">
        <v>20</v>
      </c>
      <c r="B4862">
        <v>83</v>
      </c>
      <c r="C4862">
        <v>73</v>
      </c>
      <c r="D4862">
        <v>1</v>
      </c>
    </row>
    <row r="4863" spans="1:4" hidden="1" x14ac:dyDescent="0.25">
      <c r="A4863" t="s">
        <v>20</v>
      </c>
      <c r="B4863">
        <v>83</v>
      </c>
      <c r="C4863">
        <v>74</v>
      </c>
    </row>
    <row r="4864" spans="1:4" hidden="1" x14ac:dyDescent="0.25">
      <c r="A4864" t="s">
        <v>20</v>
      </c>
      <c r="B4864">
        <v>83</v>
      </c>
      <c r="C4864">
        <v>75</v>
      </c>
    </row>
    <row r="4865" spans="1:6" hidden="1" x14ac:dyDescent="0.25">
      <c r="A4865" t="s">
        <v>20</v>
      </c>
      <c r="B4865">
        <v>83</v>
      </c>
      <c r="C4865">
        <v>76</v>
      </c>
      <c r="D4865">
        <v>1</v>
      </c>
    </row>
    <row r="4866" spans="1:6" hidden="1" x14ac:dyDescent="0.25">
      <c r="A4866" t="s">
        <v>20</v>
      </c>
      <c r="B4866">
        <v>83</v>
      </c>
      <c r="C4866">
        <v>77</v>
      </c>
    </row>
    <row r="4867" spans="1:6" hidden="1" x14ac:dyDescent="0.25">
      <c r="A4867" t="s">
        <v>20</v>
      </c>
      <c r="B4867">
        <v>83</v>
      </c>
      <c r="C4867">
        <v>78</v>
      </c>
    </row>
    <row r="4868" spans="1:6" hidden="1" x14ac:dyDescent="0.25">
      <c r="A4868" t="s">
        <v>20</v>
      </c>
      <c r="B4868">
        <v>83</v>
      </c>
      <c r="C4868">
        <v>79</v>
      </c>
      <c r="D4868">
        <v>1</v>
      </c>
    </row>
    <row r="4869" spans="1:6" hidden="1" x14ac:dyDescent="0.25">
      <c r="A4869" t="s">
        <v>20</v>
      </c>
      <c r="B4869">
        <v>83</v>
      </c>
      <c r="C4869">
        <v>80</v>
      </c>
    </row>
    <row r="4870" spans="1:6" hidden="1" x14ac:dyDescent="0.25">
      <c r="A4870" t="s">
        <v>20</v>
      </c>
      <c r="B4870">
        <v>83</v>
      </c>
      <c r="C4870">
        <v>81</v>
      </c>
    </row>
    <row r="4871" spans="1:6" hidden="1" x14ac:dyDescent="0.25">
      <c r="A4871" t="s">
        <v>20</v>
      </c>
      <c r="B4871">
        <v>83</v>
      </c>
      <c r="C4871">
        <v>82</v>
      </c>
    </row>
    <row r="4872" spans="1:6" hidden="1" x14ac:dyDescent="0.25">
      <c r="A4872" t="s">
        <v>20</v>
      </c>
      <c r="B4872">
        <v>83</v>
      </c>
      <c r="C4872">
        <v>83</v>
      </c>
    </row>
    <row r="4873" spans="1:6" hidden="1" x14ac:dyDescent="0.25">
      <c r="A4873" t="s">
        <v>20</v>
      </c>
      <c r="B4873">
        <v>83</v>
      </c>
      <c r="C4873">
        <v>84</v>
      </c>
    </row>
    <row r="4874" spans="1:6" hidden="1" x14ac:dyDescent="0.25">
      <c r="A4874" t="s">
        <v>20</v>
      </c>
      <c r="B4874">
        <v>84</v>
      </c>
      <c r="C4874">
        <v>1</v>
      </c>
      <c r="E4874">
        <v>16</v>
      </c>
      <c r="F4874">
        <v>16</v>
      </c>
    </row>
    <row r="4875" spans="1:6" hidden="1" x14ac:dyDescent="0.25">
      <c r="A4875" t="s">
        <v>20</v>
      </c>
      <c r="B4875">
        <v>84</v>
      </c>
      <c r="C4875">
        <v>2</v>
      </c>
      <c r="E4875">
        <v>16</v>
      </c>
      <c r="F4875">
        <v>16</v>
      </c>
    </row>
    <row r="4876" spans="1:6" hidden="1" x14ac:dyDescent="0.25">
      <c r="A4876" t="s">
        <v>20</v>
      </c>
      <c r="B4876">
        <v>84</v>
      </c>
      <c r="C4876">
        <v>3</v>
      </c>
      <c r="D4876">
        <v>1</v>
      </c>
      <c r="E4876">
        <v>16</v>
      </c>
      <c r="F4876">
        <v>16</v>
      </c>
    </row>
    <row r="4877" spans="1:6" hidden="1" x14ac:dyDescent="0.25">
      <c r="A4877" t="s">
        <v>20</v>
      </c>
      <c r="B4877">
        <v>84</v>
      </c>
      <c r="C4877">
        <v>4</v>
      </c>
      <c r="E4877">
        <v>16</v>
      </c>
      <c r="F4877">
        <v>16</v>
      </c>
    </row>
    <row r="4878" spans="1:6" hidden="1" x14ac:dyDescent="0.25">
      <c r="A4878" t="s">
        <v>20</v>
      </c>
      <c r="B4878">
        <v>84</v>
      </c>
      <c r="C4878">
        <v>5</v>
      </c>
      <c r="E4878">
        <v>16</v>
      </c>
      <c r="F4878">
        <v>16</v>
      </c>
    </row>
    <row r="4879" spans="1:6" hidden="1" x14ac:dyDescent="0.25">
      <c r="A4879" t="s">
        <v>20</v>
      </c>
      <c r="B4879">
        <v>84</v>
      </c>
      <c r="C4879">
        <v>6</v>
      </c>
      <c r="D4879">
        <v>1</v>
      </c>
      <c r="E4879">
        <v>16</v>
      </c>
      <c r="F4879">
        <v>16</v>
      </c>
    </row>
    <row r="4880" spans="1:6" hidden="1" x14ac:dyDescent="0.25">
      <c r="A4880" t="s">
        <v>20</v>
      </c>
      <c r="B4880">
        <v>84</v>
      </c>
      <c r="C4880">
        <v>7</v>
      </c>
      <c r="E4880">
        <v>16</v>
      </c>
      <c r="F4880">
        <v>16</v>
      </c>
    </row>
    <row r="4881" spans="1:6" hidden="1" x14ac:dyDescent="0.25">
      <c r="A4881" t="s">
        <v>20</v>
      </c>
      <c r="B4881">
        <v>84</v>
      </c>
      <c r="C4881">
        <v>8</v>
      </c>
      <c r="E4881">
        <v>16</v>
      </c>
      <c r="F4881">
        <v>16</v>
      </c>
    </row>
    <row r="4882" spans="1:6" hidden="1" x14ac:dyDescent="0.25">
      <c r="A4882" t="s">
        <v>20</v>
      </c>
      <c r="B4882">
        <v>84</v>
      </c>
      <c r="C4882">
        <v>9</v>
      </c>
      <c r="D4882">
        <v>1</v>
      </c>
      <c r="E4882">
        <v>16</v>
      </c>
      <c r="F4882">
        <v>16</v>
      </c>
    </row>
    <row r="4883" spans="1:6" hidden="1" x14ac:dyDescent="0.25">
      <c r="A4883" t="s">
        <v>20</v>
      </c>
      <c r="B4883">
        <v>84</v>
      </c>
      <c r="C4883">
        <v>10</v>
      </c>
      <c r="D4883">
        <v>1</v>
      </c>
      <c r="E4883">
        <v>16</v>
      </c>
      <c r="F4883">
        <v>16</v>
      </c>
    </row>
    <row r="4884" spans="1:6" hidden="1" x14ac:dyDescent="0.25">
      <c r="A4884" t="s">
        <v>20</v>
      </c>
      <c r="B4884">
        <v>84</v>
      </c>
      <c r="C4884">
        <v>11</v>
      </c>
      <c r="E4884">
        <v>16</v>
      </c>
      <c r="F4884">
        <v>16</v>
      </c>
    </row>
    <row r="4885" spans="1:6" hidden="1" x14ac:dyDescent="0.25">
      <c r="A4885" t="s">
        <v>20</v>
      </c>
      <c r="B4885">
        <v>84</v>
      </c>
      <c r="C4885">
        <v>12</v>
      </c>
      <c r="E4885">
        <v>16</v>
      </c>
      <c r="F4885">
        <v>16</v>
      </c>
    </row>
    <row r="4886" spans="1:6" hidden="1" x14ac:dyDescent="0.25">
      <c r="A4886" t="s">
        <v>20</v>
      </c>
      <c r="B4886">
        <v>84</v>
      </c>
      <c r="C4886">
        <v>13</v>
      </c>
      <c r="E4886">
        <v>16</v>
      </c>
      <c r="F4886">
        <v>16</v>
      </c>
    </row>
    <row r="4887" spans="1:6" hidden="1" x14ac:dyDescent="0.25">
      <c r="A4887" t="s">
        <v>20</v>
      </c>
      <c r="B4887">
        <v>84</v>
      </c>
      <c r="C4887">
        <v>14</v>
      </c>
      <c r="E4887">
        <v>16</v>
      </c>
      <c r="F4887">
        <v>16</v>
      </c>
    </row>
    <row r="4888" spans="1:6" hidden="1" x14ac:dyDescent="0.25">
      <c r="A4888" t="s">
        <v>20</v>
      </c>
      <c r="B4888">
        <v>84</v>
      </c>
      <c r="C4888">
        <v>15</v>
      </c>
      <c r="D4888">
        <v>1</v>
      </c>
      <c r="E4888">
        <v>16</v>
      </c>
      <c r="F4888">
        <v>16</v>
      </c>
    </row>
    <row r="4889" spans="1:6" hidden="1" x14ac:dyDescent="0.25">
      <c r="A4889" t="s">
        <v>20</v>
      </c>
      <c r="B4889">
        <v>84</v>
      </c>
      <c r="C4889">
        <v>16</v>
      </c>
      <c r="E4889">
        <v>16</v>
      </c>
      <c r="F4889">
        <v>16</v>
      </c>
    </row>
    <row r="4890" spans="1:6" hidden="1" x14ac:dyDescent="0.25">
      <c r="A4890" t="s">
        <v>20</v>
      </c>
      <c r="B4890">
        <v>84</v>
      </c>
      <c r="C4890">
        <v>17</v>
      </c>
      <c r="E4890">
        <v>16</v>
      </c>
      <c r="F4890">
        <v>16</v>
      </c>
    </row>
    <row r="4891" spans="1:6" hidden="1" x14ac:dyDescent="0.25">
      <c r="A4891" t="s">
        <v>20</v>
      </c>
      <c r="B4891">
        <v>84</v>
      </c>
      <c r="C4891">
        <v>18</v>
      </c>
      <c r="D4891">
        <v>1</v>
      </c>
      <c r="E4891">
        <v>16</v>
      </c>
      <c r="F4891">
        <v>16</v>
      </c>
    </row>
    <row r="4892" spans="1:6" hidden="1" x14ac:dyDescent="0.25">
      <c r="A4892" t="s">
        <v>20</v>
      </c>
      <c r="B4892">
        <v>84</v>
      </c>
      <c r="C4892">
        <v>19</v>
      </c>
      <c r="E4892">
        <v>16</v>
      </c>
      <c r="F4892">
        <v>16</v>
      </c>
    </row>
    <row r="4893" spans="1:6" hidden="1" x14ac:dyDescent="0.25">
      <c r="A4893" t="s">
        <v>20</v>
      </c>
      <c r="B4893">
        <v>84</v>
      </c>
      <c r="C4893">
        <v>20</v>
      </c>
      <c r="E4893">
        <v>16</v>
      </c>
      <c r="F4893">
        <v>16</v>
      </c>
    </row>
    <row r="4894" spans="1:6" hidden="1" x14ac:dyDescent="0.25">
      <c r="A4894" t="s">
        <v>20</v>
      </c>
      <c r="B4894">
        <v>84</v>
      </c>
      <c r="C4894">
        <v>21</v>
      </c>
      <c r="D4894">
        <v>1</v>
      </c>
      <c r="E4894">
        <v>16</v>
      </c>
      <c r="F4894">
        <v>16</v>
      </c>
    </row>
    <row r="4895" spans="1:6" hidden="1" x14ac:dyDescent="0.25">
      <c r="A4895" t="s">
        <v>20</v>
      </c>
      <c r="B4895">
        <v>84</v>
      </c>
      <c r="C4895">
        <v>22</v>
      </c>
      <c r="E4895">
        <v>16</v>
      </c>
      <c r="F4895">
        <v>16</v>
      </c>
    </row>
    <row r="4896" spans="1:6" hidden="1" x14ac:dyDescent="0.25">
      <c r="A4896" t="s">
        <v>20</v>
      </c>
      <c r="B4896">
        <v>84</v>
      </c>
      <c r="C4896">
        <v>23</v>
      </c>
      <c r="E4896">
        <v>16</v>
      </c>
      <c r="F4896">
        <v>16</v>
      </c>
    </row>
    <row r="4897" spans="1:6" hidden="1" x14ac:dyDescent="0.25">
      <c r="A4897" t="s">
        <v>20</v>
      </c>
      <c r="B4897">
        <v>84</v>
      </c>
      <c r="C4897">
        <v>24</v>
      </c>
      <c r="D4897">
        <v>1</v>
      </c>
      <c r="E4897">
        <v>16</v>
      </c>
      <c r="F4897">
        <v>16</v>
      </c>
    </row>
    <row r="4898" spans="1:6" hidden="1" x14ac:dyDescent="0.25">
      <c r="A4898" t="s">
        <v>20</v>
      </c>
      <c r="B4898">
        <v>84</v>
      </c>
      <c r="C4898">
        <v>25</v>
      </c>
      <c r="E4898">
        <v>16</v>
      </c>
      <c r="F4898">
        <v>16</v>
      </c>
    </row>
    <row r="4899" spans="1:6" hidden="1" x14ac:dyDescent="0.25">
      <c r="A4899" t="s">
        <v>20</v>
      </c>
      <c r="B4899">
        <v>84</v>
      </c>
      <c r="C4899">
        <v>26</v>
      </c>
      <c r="E4899">
        <v>16</v>
      </c>
      <c r="F4899">
        <v>16</v>
      </c>
    </row>
    <row r="4900" spans="1:6" hidden="1" x14ac:dyDescent="0.25">
      <c r="A4900" t="s">
        <v>20</v>
      </c>
      <c r="B4900">
        <v>84</v>
      </c>
      <c r="C4900">
        <v>27</v>
      </c>
      <c r="D4900">
        <v>1</v>
      </c>
      <c r="E4900">
        <v>16</v>
      </c>
      <c r="F4900">
        <v>16</v>
      </c>
    </row>
    <row r="4901" spans="1:6" hidden="1" x14ac:dyDescent="0.25">
      <c r="A4901" t="s">
        <v>20</v>
      </c>
      <c r="B4901">
        <v>84</v>
      </c>
      <c r="C4901">
        <v>28</v>
      </c>
      <c r="E4901">
        <v>16</v>
      </c>
      <c r="F4901">
        <v>16</v>
      </c>
    </row>
    <row r="4902" spans="1:6" hidden="1" x14ac:dyDescent="0.25">
      <c r="A4902" t="s">
        <v>20</v>
      </c>
      <c r="B4902">
        <v>84</v>
      </c>
      <c r="C4902">
        <v>29</v>
      </c>
      <c r="E4902">
        <v>16</v>
      </c>
      <c r="F4902">
        <v>16</v>
      </c>
    </row>
    <row r="4903" spans="1:6" hidden="1" x14ac:dyDescent="0.25">
      <c r="A4903" t="s">
        <v>20</v>
      </c>
      <c r="B4903">
        <v>84</v>
      </c>
      <c r="C4903">
        <v>30</v>
      </c>
      <c r="E4903">
        <v>16</v>
      </c>
      <c r="F4903">
        <v>16</v>
      </c>
    </row>
    <row r="4904" spans="1:6" hidden="1" x14ac:dyDescent="0.25">
      <c r="A4904" t="s">
        <v>20</v>
      </c>
      <c r="B4904">
        <v>84</v>
      </c>
      <c r="C4904">
        <v>31</v>
      </c>
      <c r="D4904">
        <v>1</v>
      </c>
      <c r="E4904">
        <v>16</v>
      </c>
      <c r="F4904">
        <v>16</v>
      </c>
    </row>
    <row r="4905" spans="1:6" hidden="1" x14ac:dyDescent="0.25">
      <c r="A4905" t="s">
        <v>20</v>
      </c>
      <c r="B4905">
        <v>84</v>
      </c>
      <c r="C4905">
        <v>32</v>
      </c>
      <c r="E4905">
        <v>16</v>
      </c>
      <c r="F4905">
        <v>16</v>
      </c>
    </row>
    <row r="4906" spans="1:6" hidden="1" x14ac:dyDescent="0.25">
      <c r="A4906" t="s">
        <v>20</v>
      </c>
      <c r="B4906">
        <v>84</v>
      </c>
      <c r="C4906">
        <v>33</v>
      </c>
      <c r="E4906">
        <v>16</v>
      </c>
      <c r="F4906">
        <v>16</v>
      </c>
    </row>
    <row r="4907" spans="1:6" hidden="1" x14ac:dyDescent="0.25">
      <c r="A4907" t="s">
        <v>20</v>
      </c>
      <c r="B4907">
        <v>84</v>
      </c>
      <c r="C4907">
        <v>34</v>
      </c>
      <c r="D4907">
        <v>1</v>
      </c>
      <c r="E4907">
        <v>16</v>
      </c>
      <c r="F4907">
        <v>16</v>
      </c>
    </row>
    <row r="4908" spans="1:6" hidden="1" x14ac:dyDescent="0.25">
      <c r="A4908" t="s">
        <v>20</v>
      </c>
      <c r="B4908">
        <v>84</v>
      </c>
      <c r="C4908">
        <v>35</v>
      </c>
      <c r="E4908">
        <v>16</v>
      </c>
      <c r="F4908">
        <v>16</v>
      </c>
    </row>
    <row r="4909" spans="1:6" hidden="1" x14ac:dyDescent="0.25">
      <c r="A4909" t="s">
        <v>20</v>
      </c>
      <c r="B4909">
        <v>84</v>
      </c>
      <c r="C4909">
        <v>36</v>
      </c>
      <c r="E4909">
        <v>16</v>
      </c>
      <c r="F4909">
        <v>16</v>
      </c>
    </row>
    <row r="4910" spans="1:6" hidden="1" x14ac:dyDescent="0.25">
      <c r="A4910" t="s">
        <v>20</v>
      </c>
      <c r="B4910">
        <v>84</v>
      </c>
      <c r="C4910">
        <v>37</v>
      </c>
      <c r="D4910">
        <v>1</v>
      </c>
      <c r="E4910">
        <v>16</v>
      </c>
      <c r="F4910">
        <v>16</v>
      </c>
    </row>
    <row r="4911" spans="1:6" hidden="1" x14ac:dyDescent="0.25">
      <c r="A4911" t="s">
        <v>20</v>
      </c>
      <c r="B4911">
        <v>84</v>
      </c>
      <c r="C4911">
        <v>38</v>
      </c>
      <c r="E4911">
        <v>16</v>
      </c>
      <c r="F4911">
        <v>16</v>
      </c>
    </row>
    <row r="4912" spans="1:6" hidden="1" x14ac:dyDescent="0.25">
      <c r="A4912" t="s">
        <v>20</v>
      </c>
      <c r="B4912">
        <v>84</v>
      </c>
      <c r="C4912">
        <v>39</v>
      </c>
      <c r="E4912">
        <v>16</v>
      </c>
      <c r="F4912">
        <v>16</v>
      </c>
    </row>
    <row r="4913" spans="1:6" hidden="1" x14ac:dyDescent="0.25">
      <c r="A4913" t="s">
        <v>20</v>
      </c>
      <c r="B4913">
        <v>84</v>
      </c>
      <c r="C4913">
        <v>40</v>
      </c>
      <c r="D4913">
        <v>1</v>
      </c>
      <c r="E4913">
        <v>16</v>
      </c>
      <c r="F4913">
        <v>16</v>
      </c>
    </row>
    <row r="4914" spans="1:6" hidden="1" x14ac:dyDescent="0.25">
      <c r="A4914" t="s">
        <v>20</v>
      </c>
      <c r="B4914">
        <v>84</v>
      </c>
      <c r="C4914">
        <v>41</v>
      </c>
      <c r="E4914">
        <v>16</v>
      </c>
      <c r="F4914">
        <v>16</v>
      </c>
    </row>
    <row r="4915" spans="1:6" hidden="1" x14ac:dyDescent="0.25">
      <c r="A4915" t="s">
        <v>20</v>
      </c>
      <c r="B4915">
        <v>84</v>
      </c>
      <c r="C4915">
        <v>42</v>
      </c>
      <c r="E4915">
        <v>16</v>
      </c>
      <c r="F4915">
        <v>16</v>
      </c>
    </row>
    <row r="4916" spans="1:6" hidden="1" x14ac:dyDescent="0.25">
      <c r="A4916" t="s">
        <v>20</v>
      </c>
      <c r="B4916">
        <v>84</v>
      </c>
      <c r="C4916">
        <v>43</v>
      </c>
      <c r="E4916">
        <v>16</v>
      </c>
      <c r="F4916">
        <v>16</v>
      </c>
    </row>
    <row r="4917" spans="1:6" hidden="1" x14ac:dyDescent="0.25">
      <c r="A4917" t="s">
        <v>20</v>
      </c>
      <c r="B4917">
        <v>84</v>
      </c>
      <c r="C4917">
        <v>44</v>
      </c>
      <c r="E4917">
        <v>16</v>
      </c>
      <c r="F4917">
        <v>16</v>
      </c>
    </row>
    <row r="4918" spans="1:6" hidden="1" x14ac:dyDescent="0.25">
      <c r="A4918" t="s">
        <v>20</v>
      </c>
      <c r="B4918">
        <v>84</v>
      </c>
      <c r="C4918">
        <v>45</v>
      </c>
      <c r="D4918">
        <v>1</v>
      </c>
      <c r="E4918">
        <v>16</v>
      </c>
      <c r="F4918">
        <v>16</v>
      </c>
    </row>
    <row r="4919" spans="1:6" hidden="1" x14ac:dyDescent="0.25">
      <c r="A4919" t="s">
        <v>20</v>
      </c>
      <c r="B4919">
        <v>84</v>
      </c>
      <c r="C4919">
        <v>46</v>
      </c>
      <c r="E4919">
        <v>16</v>
      </c>
      <c r="F4919">
        <v>16</v>
      </c>
    </row>
    <row r="4920" spans="1:6" hidden="1" x14ac:dyDescent="0.25">
      <c r="A4920" t="s">
        <v>20</v>
      </c>
      <c r="B4920">
        <v>84</v>
      </c>
      <c r="C4920">
        <v>47</v>
      </c>
      <c r="E4920">
        <v>16</v>
      </c>
      <c r="F4920">
        <v>16</v>
      </c>
    </row>
    <row r="4921" spans="1:6" hidden="1" x14ac:dyDescent="0.25">
      <c r="A4921" t="s">
        <v>20</v>
      </c>
      <c r="B4921">
        <v>84</v>
      </c>
      <c r="C4921">
        <v>48</v>
      </c>
      <c r="D4921">
        <v>1</v>
      </c>
      <c r="E4921">
        <v>16</v>
      </c>
      <c r="F4921">
        <v>16</v>
      </c>
    </row>
    <row r="4922" spans="1:6" hidden="1" x14ac:dyDescent="0.25">
      <c r="A4922" t="s">
        <v>20</v>
      </c>
      <c r="B4922">
        <v>84</v>
      </c>
      <c r="C4922">
        <v>49</v>
      </c>
      <c r="E4922">
        <v>16</v>
      </c>
      <c r="F4922">
        <v>16</v>
      </c>
    </row>
    <row r="4923" spans="1:6" hidden="1" x14ac:dyDescent="0.25">
      <c r="A4923" t="s">
        <v>20</v>
      </c>
      <c r="B4923">
        <v>84</v>
      </c>
      <c r="C4923">
        <v>50</v>
      </c>
      <c r="E4923">
        <v>16</v>
      </c>
      <c r="F4923">
        <v>16</v>
      </c>
    </row>
    <row r="4924" spans="1:6" hidden="1" x14ac:dyDescent="0.25">
      <c r="A4924" t="s">
        <v>20</v>
      </c>
      <c r="B4924">
        <v>84</v>
      </c>
      <c r="C4924">
        <v>51</v>
      </c>
      <c r="E4924">
        <v>16</v>
      </c>
      <c r="F4924">
        <v>16</v>
      </c>
    </row>
    <row r="4925" spans="1:6" hidden="1" x14ac:dyDescent="0.25">
      <c r="A4925" t="s">
        <v>20</v>
      </c>
      <c r="B4925">
        <v>84</v>
      </c>
      <c r="C4925">
        <v>52</v>
      </c>
      <c r="D4925">
        <v>1</v>
      </c>
      <c r="E4925">
        <v>16</v>
      </c>
      <c r="F4925">
        <v>16</v>
      </c>
    </row>
    <row r="4926" spans="1:6" hidden="1" x14ac:dyDescent="0.25">
      <c r="A4926" t="s">
        <v>20</v>
      </c>
      <c r="B4926">
        <v>84</v>
      </c>
      <c r="C4926">
        <v>53</v>
      </c>
      <c r="E4926">
        <v>16</v>
      </c>
      <c r="F4926">
        <v>16</v>
      </c>
    </row>
    <row r="4927" spans="1:6" hidden="1" x14ac:dyDescent="0.25">
      <c r="A4927" t="s">
        <v>20</v>
      </c>
      <c r="B4927">
        <v>84</v>
      </c>
      <c r="C4927">
        <v>54</v>
      </c>
      <c r="E4927">
        <v>16</v>
      </c>
      <c r="F4927">
        <v>16</v>
      </c>
    </row>
    <row r="4928" spans="1:6" hidden="1" x14ac:dyDescent="0.25">
      <c r="A4928" t="s">
        <v>20</v>
      </c>
      <c r="B4928">
        <v>84</v>
      </c>
      <c r="C4928">
        <v>55</v>
      </c>
      <c r="E4928">
        <v>16</v>
      </c>
      <c r="F4928">
        <v>16</v>
      </c>
    </row>
    <row r="4929" spans="1:6" hidden="1" x14ac:dyDescent="0.25">
      <c r="A4929" t="s">
        <v>20</v>
      </c>
      <c r="B4929">
        <v>84</v>
      </c>
      <c r="C4929">
        <v>56</v>
      </c>
      <c r="E4929">
        <v>16</v>
      </c>
      <c r="F4929">
        <v>16</v>
      </c>
    </row>
    <row r="4930" spans="1:6" hidden="1" x14ac:dyDescent="0.25">
      <c r="A4930" t="s">
        <v>20</v>
      </c>
      <c r="B4930">
        <v>84</v>
      </c>
      <c r="C4930">
        <v>57</v>
      </c>
      <c r="E4930">
        <v>16</v>
      </c>
      <c r="F4930">
        <v>16</v>
      </c>
    </row>
    <row r="4931" spans="1:6" hidden="1" x14ac:dyDescent="0.25">
      <c r="A4931" t="s">
        <v>20</v>
      </c>
      <c r="B4931">
        <v>84</v>
      </c>
      <c r="C4931">
        <v>58</v>
      </c>
      <c r="E4931">
        <v>16</v>
      </c>
      <c r="F4931">
        <v>16</v>
      </c>
    </row>
    <row r="4932" spans="1:6" hidden="1" x14ac:dyDescent="0.25">
      <c r="A4932" t="s">
        <v>20</v>
      </c>
      <c r="B4932">
        <v>84</v>
      </c>
      <c r="C4932">
        <v>59</v>
      </c>
      <c r="E4932">
        <v>16</v>
      </c>
      <c r="F4932">
        <v>16</v>
      </c>
    </row>
    <row r="4933" spans="1:6" hidden="1" x14ac:dyDescent="0.25">
      <c r="A4933" t="s">
        <v>20</v>
      </c>
      <c r="B4933">
        <v>84</v>
      </c>
      <c r="C4933">
        <v>60</v>
      </c>
      <c r="D4933">
        <v>1</v>
      </c>
      <c r="E4933">
        <v>16</v>
      </c>
      <c r="F4933">
        <v>16</v>
      </c>
    </row>
    <row r="4934" spans="1:6" hidden="1" x14ac:dyDescent="0.25">
      <c r="A4934" t="s">
        <v>20</v>
      </c>
      <c r="B4934">
        <v>84</v>
      </c>
      <c r="C4934">
        <v>61</v>
      </c>
      <c r="E4934">
        <v>16</v>
      </c>
      <c r="F4934">
        <v>16</v>
      </c>
    </row>
    <row r="4935" spans="1:6" hidden="1" x14ac:dyDescent="0.25">
      <c r="A4935" t="s">
        <v>20</v>
      </c>
      <c r="B4935">
        <v>84</v>
      </c>
      <c r="C4935">
        <v>62</v>
      </c>
      <c r="E4935">
        <v>16</v>
      </c>
      <c r="F4935">
        <v>16</v>
      </c>
    </row>
    <row r="4936" spans="1:6" hidden="1" x14ac:dyDescent="0.25">
      <c r="A4936" t="s">
        <v>20</v>
      </c>
      <c r="B4936">
        <v>84</v>
      </c>
      <c r="C4936">
        <v>63</v>
      </c>
      <c r="E4936">
        <v>16</v>
      </c>
      <c r="F4936">
        <v>16</v>
      </c>
    </row>
    <row r="4937" spans="1:6" hidden="1" x14ac:dyDescent="0.25">
      <c r="A4937" t="s">
        <v>20</v>
      </c>
      <c r="B4937">
        <v>84</v>
      </c>
      <c r="C4937">
        <v>64</v>
      </c>
      <c r="E4937">
        <v>16</v>
      </c>
      <c r="F4937">
        <v>16</v>
      </c>
    </row>
    <row r="4938" spans="1:6" hidden="1" x14ac:dyDescent="0.25">
      <c r="A4938" t="s">
        <v>20</v>
      </c>
      <c r="B4938">
        <v>84</v>
      </c>
      <c r="C4938">
        <v>65</v>
      </c>
      <c r="E4938">
        <v>16</v>
      </c>
      <c r="F4938">
        <v>16</v>
      </c>
    </row>
    <row r="4939" spans="1:6" hidden="1" x14ac:dyDescent="0.25">
      <c r="A4939" t="s">
        <v>20</v>
      </c>
      <c r="B4939">
        <v>84</v>
      </c>
      <c r="C4939">
        <v>66</v>
      </c>
      <c r="D4939">
        <v>1</v>
      </c>
      <c r="E4939">
        <v>16</v>
      </c>
      <c r="F4939">
        <v>16</v>
      </c>
    </row>
    <row r="4940" spans="1:6" hidden="1" x14ac:dyDescent="0.25">
      <c r="A4940" t="s">
        <v>20</v>
      </c>
      <c r="B4940">
        <v>84</v>
      </c>
      <c r="C4940">
        <v>67</v>
      </c>
      <c r="E4940">
        <v>16</v>
      </c>
      <c r="F4940">
        <v>16</v>
      </c>
    </row>
    <row r="4941" spans="1:6" hidden="1" x14ac:dyDescent="0.25">
      <c r="A4941" t="s">
        <v>20</v>
      </c>
      <c r="B4941">
        <v>84</v>
      </c>
      <c r="C4941">
        <v>68</v>
      </c>
      <c r="E4941">
        <v>16</v>
      </c>
      <c r="F4941">
        <v>16</v>
      </c>
    </row>
    <row r="4942" spans="1:6" hidden="1" x14ac:dyDescent="0.25">
      <c r="A4942" t="s">
        <v>20</v>
      </c>
      <c r="B4942">
        <v>84</v>
      </c>
      <c r="C4942">
        <v>69</v>
      </c>
      <c r="E4942">
        <v>16</v>
      </c>
      <c r="F4942">
        <v>16</v>
      </c>
    </row>
    <row r="4943" spans="1:6" hidden="1" x14ac:dyDescent="0.25">
      <c r="A4943" t="s">
        <v>20</v>
      </c>
      <c r="B4943">
        <v>84</v>
      </c>
      <c r="C4943">
        <v>70</v>
      </c>
      <c r="E4943">
        <v>16</v>
      </c>
      <c r="F4943">
        <v>16</v>
      </c>
    </row>
    <row r="4944" spans="1:6" hidden="1" x14ac:dyDescent="0.25">
      <c r="A4944" t="s">
        <v>20</v>
      </c>
      <c r="B4944">
        <v>84</v>
      </c>
      <c r="C4944">
        <v>71</v>
      </c>
      <c r="E4944">
        <v>16</v>
      </c>
      <c r="F4944">
        <v>16</v>
      </c>
    </row>
    <row r="4945" spans="1:6" hidden="1" x14ac:dyDescent="0.25">
      <c r="A4945" t="s">
        <v>20</v>
      </c>
      <c r="B4945">
        <v>84</v>
      </c>
      <c r="C4945">
        <v>72</v>
      </c>
      <c r="E4945">
        <v>16</v>
      </c>
      <c r="F4945">
        <v>16</v>
      </c>
    </row>
    <row r="4946" spans="1:6" hidden="1" x14ac:dyDescent="0.25">
      <c r="A4946" t="s">
        <v>20</v>
      </c>
      <c r="B4946">
        <v>84</v>
      </c>
      <c r="C4946">
        <v>73</v>
      </c>
      <c r="D4946">
        <v>1</v>
      </c>
      <c r="E4946">
        <v>16</v>
      </c>
      <c r="F4946">
        <v>16</v>
      </c>
    </row>
    <row r="4947" spans="1:6" hidden="1" x14ac:dyDescent="0.25">
      <c r="A4947" t="s">
        <v>20</v>
      </c>
      <c r="B4947">
        <v>84</v>
      </c>
      <c r="C4947">
        <v>74</v>
      </c>
      <c r="E4947">
        <v>16</v>
      </c>
      <c r="F4947">
        <v>16</v>
      </c>
    </row>
    <row r="4948" spans="1:6" hidden="1" x14ac:dyDescent="0.25">
      <c r="A4948" t="s">
        <v>20</v>
      </c>
      <c r="B4948">
        <v>84</v>
      </c>
      <c r="C4948">
        <v>75</v>
      </c>
      <c r="E4948">
        <v>16</v>
      </c>
      <c r="F4948">
        <v>16</v>
      </c>
    </row>
    <row r="4949" spans="1:6" hidden="1" x14ac:dyDescent="0.25">
      <c r="A4949" t="s">
        <v>20</v>
      </c>
      <c r="B4949">
        <v>84</v>
      </c>
      <c r="C4949">
        <v>76</v>
      </c>
      <c r="D4949">
        <v>1</v>
      </c>
      <c r="E4949">
        <v>16</v>
      </c>
      <c r="F4949">
        <v>16</v>
      </c>
    </row>
    <row r="4950" spans="1:6" hidden="1" x14ac:dyDescent="0.25">
      <c r="A4950" t="s">
        <v>20</v>
      </c>
      <c r="B4950">
        <v>84</v>
      </c>
      <c r="C4950">
        <v>77</v>
      </c>
      <c r="E4950">
        <v>16</v>
      </c>
      <c r="F4950">
        <v>16</v>
      </c>
    </row>
    <row r="4951" spans="1:6" hidden="1" x14ac:dyDescent="0.25">
      <c r="A4951" t="s">
        <v>20</v>
      </c>
      <c r="B4951">
        <v>84</v>
      </c>
      <c r="C4951">
        <v>78</v>
      </c>
      <c r="E4951">
        <v>16</v>
      </c>
      <c r="F4951">
        <v>16</v>
      </c>
    </row>
    <row r="4952" spans="1:6" hidden="1" x14ac:dyDescent="0.25">
      <c r="A4952" t="s">
        <v>20</v>
      </c>
      <c r="B4952">
        <v>84</v>
      </c>
      <c r="C4952">
        <v>79</v>
      </c>
      <c r="E4952">
        <v>16</v>
      </c>
      <c r="F4952">
        <v>16</v>
      </c>
    </row>
    <row r="4953" spans="1:6" hidden="1" x14ac:dyDescent="0.25">
      <c r="A4953" t="s">
        <v>20</v>
      </c>
      <c r="B4953">
        <v>84</v>
      </c>
      <c r="C4953">
        <v>80</v>
      </c>
      <c r="E4953">
        <v>16</v>
      </c>
      <c r="F4953">
        <v>16</v>
      </c>
    </row>
    <row r="4954" spans="1:6" hidden="1" x14ac:dyDescent="0.25">
      <c r="A4954" t="s">
        <v>20</v>
      </c>
      <c r="B4954">
        <v>84</v>
      </c>
      <c r="C4954">
        <v>81</v>
      </c>
      <c r="E4954">
        <v>16</v>
      </c>
      <c r="F4954">
        <v>16</v>
      </c>
    </row>
    <row r="4955" spans="1:6" hidden="1" x14ac:dyDescent="0.25">
      <c r="A4955" t="s">
        <v>20</v>
      </c>
      <c r="B4955">
        <v>84</v>
      </c>
      <c r="C4955">
        <v>82</v>
      </c>
      <c r="E4955">
        <v>16</v>
      </c>
      <c r="F4955">
        <v>16</v>
      </c>
    </row>
    <row r="4956" spans="1:6" hidden="1" x14ac:dyDescent="0.25">
      <c r="A4956" t="s">
        <v>20</v>
      </c>
      <c r="B4956">
        <v>84</v>
      </c>
      <c r="C4956">
        <v>83</v>
      </c>
      <c r="E4956">
        <v>16</v>
      </c>
      <c r="F4956">
        <v>16</v>
      </c>
    </row>
    <row r="4957" spans="1:6" hidden="1" x14ac:dyDescent="0.25">
      <c r="A4957" t="s">
        <v>20</v>
      </c>
      <c r="B4957">
        <v>84</v>
      </c>
      <c r="C4957">
        <v>84</v>
      </c>
      <c r="E4957">
        <v>16</v>
      </c>
      <c r="F4957">
        <v>16</v>
      </c>
    </row>
    <row r="4958" spans="1:6" hidden="1" x14ac:dyDescent="0.25">
      <c r="A4958" t="s">
        <v>20</v>
      </c>
      <c r="B4958">
        <v>86</v>
      </c>
      <c r="C4958">
        <v>1</v>
      </c>
    </row>
    <row r="4959" spans="1:6" hidden="1" x14ac:dyDescent="0.25">
      <c r="A4959" t="s">
        <v>20</v>
      </c>
      <c r="B4959">
        <v>86</v>
      </c>
      <c r="C4959">
        <v>2</v>
      </c>
    </row>
    <row r="4960" spans="1:6" hidden="1" x14ac:dyDescent="0.25">
      <c r="A4960" t="s">
        <v>20</v>
      </c>
      <c r="B4960">
        <v>86</v>
      </c>
      <c r="C4960">
        <v>3</v>
      </c>
    </row>
    <row r="4961" spans="1:4" hidden="1" x14ac:dyDescent="0.25">
      <c r="A4961" t="s">
        <v>20</v>
      </c>
      <c r="B4961">
        <v>86</v>
      </c>
      <c r="C4961">
        <v>4</v>
      </c>
      <c r="D4961">
        <v>1</v>
      </c>
    </row>
    <row r="4962" spans="1:4" hidden="1" x14ac:dyDescent="0.25">
      <c r="A4962" t="s">
        <v>20</v>
      </c>
      <c r="B4962">
        <v>86</v>
      </c>
      <c r="C4962">
        <v>5</v>
      </c>
    </row>
    <row r="4963" spans="1:4" hidden="1" x14ac:dyDescent="0.25">
      <c r="A4963" t="s">
        <v>20</v>
      </c>
      <c r="B4963">
        <v>86</v>
      </c>
      <c r="C4963">
        <v>6</v>
      </c>
    </row>
    <row r="4964" spans="1:4" hidden="1" x14ac:dyDescent="0.25">
      <c r="A4964" t="s">
        <v>20</v>
      </c>
      <c r="B4964">
        <v>86</v>
      </c>
      <c r="C4964">
        <v>7</v>
      </c>
      <c r="D4964">
        <v>1</v>
      </c>
    </row>
    <row r="4965" spans="1:4" hidden="1" x14ac:dyDescent="0.25">
      <c r="A4965" t="s">
        <v>20</v>
      </c>
      <c r="B4965">
        <v>86</v>
      </c>
      <c r="C4965">
        <v>8</v>
      </c>
    </row>
    <row r="4966" spans="1:4" hidden="1" x14ac:dyDescent="0.25">
      <c r="A4966" t="s">
        <v>20</v>
      </c>
      <c r="B4966">
        <v>86</v>
      </c>
      <c r="C4966">
        <v>9</v>
      </c>
    </row>
    <row r="4967" spans="1:4" hidden="1" x14ac:dyDescent="0.25">
      <c r="A4967" t="s">
        <v>20</v>
      </c>
      <c r="B4967">
        <v>86</v>
      </c>
      <c r="C4967">
        <v>10</v>
      </c>
      <c r="D4967">
        <v>1</v>
      </c>
    </row>
    <row r="4968" spans="1:4" hidden="1" x14ac:dyDescent="0.25">
      <c r="A4968" t="s">
        <v>20</v>
      </c>
      <c r="B4968">
        <v>86</v>
      </c>
      <c r="C4968">
        <v>11</v>
      </c>
    </row>
    <row r="4969" spans="1:4" hidden="1" x14ac:dyDescent="0.25">
      <c r="A4969" t="s">
        <v>20</v>
      </c>
      <c r="B4969">
        <v>86</v>
      </c>
      <c r="C4969">
        <v>12</v>
      </c>
    </row>
    <row r="4970" spans="1:4" hidden="1" x14ac:dyDescent="0.25">
      <c r="A4970" t="s">
        <v>20</v>
      </c>
      <c r="B4970">
        <v>86</v>
      </c>
      <c r="C4970">
        <v>13</v>
      </c>
    </row>
    <row r="4971" spans="1:4" hidden="1" x14ac:dyDescent="0.25">
      <c r="A4971" t="s">
        <v>20</v>
      </c>
      <c r="B4971">
        <v>86</v>
      </c>
      <c r="C4971">
        <v>14</v>
      </c>
    </row>
    <row r="4972" spans="1:4" hidden="1" x14ac:dyDescent="0.25">
      <c r="A4972" t="s">
        <v>20</v>
      </c>
      <c r="B4972">
        <v>86</v>
      </c>
      <c r="C4972">
        <v>15</v>
      </c>
    </row>
    <row r="4973" spans="1:4" hidden="1" x14ac:dyDescent="0.25">
      <c r="A4973" t="s">
        <v>20</v>
      </c>
      <c r="B4973">
        <v>86</v>
      </c>
      <c r="C4973">
        <v>16</v>
      </c>
    </row>
    <row r="4974" spans="1:4" hidden="1" x14ac:dyDescent="0.25">
      <c r="A4974" t="s">
        <v>20</v>
      </c>
      <c r="B4974">
        <v>86</v>
      </c>
      <c r="C4974">
        <v>17</v>
      </c>
    </row>
    <row r="4975" spans="1:4" hidden="1" x14ac:dyDescent="0.25">
      <c r="A4975" t="s">
        <v>20</v>
      </c>
      <c r="B4975">
        <v>86</v>
      </c>
      <c r="C4975">
        <v>18</v>
      </c>
    </row>
    <row r="4976" spans="1:4" hidden="1" x14ac:dyDescent="0.25">
      <c r="A4976" t="s">
        <v>20</v>
      </c>
      <c r="B4976">
        <v>86</v>
      </c>
      <c r="C4976">
        <v>19</v>
      </c>
      <c r="D4976">
        <v>1</v>
      </c>
    </row>
    <row r="4977" spans="1:4" hidden="1" x14ac:dyDescent="0.25">
      <c r="A4977" t="s">
        <v>20</v>
      </c>
      <c r="B4977">
        <v>86</v>
      </c>
      <c r="C4977">
        <v>20</v>
      </c>
    </row>
    <row r="4978" spans="1:4" hidden="1" x14ac:dyDescent="0.25">
      <c r="A4978" t="s">
        <v>20</v>
      </c>
      <c r="B4978">
        <v>86</v>
      </c>
      <c r="C4978">
        <v>21</v>
      </c>
    </row>
    <row r="4979" spans="1:4" hidden="1" x14ac:dyDescent="0.25">
      <c r="A4979" t="s">
        <v>20</v>
      </c>
      <c r="B4979">
        <v>86</v>
      </c>
      <c r="C4979">
        <v>22</v>
      </c>
    </row>
    <row r="4980" spans="1:4" hidden="1" x14ac:dyDescent="0.25">
      <c r="A4980" t="s">
        <v>20</v>
      </c>
      <c r="B4980">
        <v>86</v>
      </c>
      <c r="C4980">
        <v>23</v>
      </c>
    </row>
    <row r="4981" spans="1:4" hidden="1" x14ac:dyDescent="0.25">
      <c r="A4981" t="s">
        <v>20</v>
      </c>
      <c r="B4981">
        <v>86</v>
      </c>
      <c r="C4981">
        <v>24</v>
      </c>
    </row>
    <row r="4982" spans="1:4" hidden="1" x14ac:dyDescent="0.25">
      <c r="A4982" t="s">
        <v>20</v>
      </c>
      <c r="B4982">
        <v>86</v>
      </c>
      <c r="C4982">
        <v>25</v>
      </c>
      <c r="D4982">
        <v>1</v>
      </c>
    </row>
    <row r="4983" spans="1:4" hidden="1" x14ac:dyDescent="0.25">
      <c r="A4983" t="s">
        <v>20</v>
      </c>
      <c r="B4983">
        <v>86</v>
      </c>
      <c r="C4983">
        <v>26</v>
      </c>
    </row>
    <row r="4984" spans="1:4" hidden="1" x14ac:dyDescent="0.25">
      <c r="A4984" t="s">
        <v>20</v>
      </c>
      <c r="B4984">
        <v>86</v>
      </c>
      <c r="C4984">
        <v>27</v>
      </c>
    </row>
    <row r="4985" spans="1:4" hidden="1" x14ac:dyDescent="0.25">
      <c r="A4985" t="s">
        <v>20</v>
      </c>
      <c r="B4985">
        <v>86</v>
      </c>
      <c r="C4985">
        <v>28</v>
      </c>
      <c r="D4985">
        <v>1</v>
      </c>
    </row>
    <row r="4986" spans="1:4" hidden="1" x14ac:dyDescent="0.25">
      <c r="A4986" t="s">
        <v>20</v>
      </c>
      <c r="B4986">
        <v>86</v>
      </c>
      <c r="C4986">
        <v>29</v>
      </c>
    </row>
    <row r="4987" spans="1:4" hidden="1" x14ac:dyDescent="0.25">
      <c r="A4987" t="s">
        <v>20</v>
      </c>
      <c r="B4987">
        <v>86</v>
      </c>
      <c r="C4987">
        <v>30</v>
      </c>
    </row>
    <row r="4988" spans="1:4" hidden="1" x14ac:dyDescent="0.25">
      <c r="A4988" t="s">
        <v>20</v>
      </c>
      <c r="B4988">
        <v>86</v>
      </c>
      <c r="C4988">
        <v>31</v>
      </c>
      <c r="D4988">
        <v>1</v>
      </c>
    </row>
    <row r="4989" spans="1:4" hidden="1" x14ac:dyDescent="0.25">
      <c r="A4989" t="s">
        <v>20</v>
      </c>
      <c r="B4989">
        <v>86</v>
      </c>
      <c r="C4989">
        <v>32</v>
      </c>
    </row>
    <row r="4990" spans="1:4" hidden="1" x14ac:dyDescent="0.25">
      <c r="A4990" t="s">
        <v>20</v>
      </c>
      <c r="B4990">
        <v>86</v>
      </c>
      <c r="C4990">
        <v>33</v>
      </c>
    </row>
    <row r="4991" spans="1:4" hidden="1" x14ac:dyDescent="0.25">
      <c r="A4991" t="s">
        <v>20</v>
      </c>
      <c r="B4991">
        <v>86</v>
      </c>
      <c r="C4991">
        <v>34</v>
      </c>
    </row>
    <row r="4992" spans="1:4" hidden="1" x14ac:dyDescent="0.25">
      <c r="A4992" t="s">
        <v>20</v>
      </c>
      <c r="B4992">
        <v>86</v>
      </c>
      <c r="C4992">
        <v>35</v>
      </c>
    </row>
    <row r="4993" spans="1:4" hidden="1" x14ac:dyDescent="0.25">
      <c r="A4993" t="s">
        <v>20</v>
      </c>
      <c r="B4993">
        <v>86</v>
      </c>
      <c r="C4993">
        <v>36</v>
      </c>
    </row>
    <row r="4994" spans="1:4" hidden="1" x14ac:dyDescent="0.25">
      <c r="A4994" t="s">
        <v>20</v>
      </c>
      <c r="B4994">
        <v>86</v>
      </c>
      <c r="C4994">
        <v>37</v>
      </c>
    </row>
    <row r="4995" spans="1:4" hidden="1" x14ac:dyDescent="0.25">
      <c r="A4995" t="s">
        <v>20</v>
      </c>
      <c r="B4995">
        <v>86</v>
      </c>
      <c r="C4995">
        <v>38</v>
      </c>
    </row>
    <row r="4996" spans="1:4" hidden="1" x14ac:dyDescent="0.25">
      <c r="A4996" t="s">
        <v>20</v>
      </c>
      <c r="B4996">
        <v>86</v>
      </c>
      <c r="C4996">
        <v>39</v>
      </c>
    </row>
    <row r="4997" spans="1:4" hidden="1" x14ac:dyDescent="0.25">
      <c r="A4997" t="s">
        <v>20</v>
      </c>
      <c r="B4997">
        <v>86</v>
      </c>
      <c r="C4997">
        <v>40</v>
      </c>
    </row>
    <row r="4998" spans="1:4" hidden="1" x14ac:dyDescent="0.25">
      <c r="A4998" t="s">
        <v>20</v>
      </c>
      <c r="B4998">
        <v>86</v>
      </c>
      <c r="C4998">
        <v>41</v>
      </c>
    </row>
    <row r="4999" spans="1:4" hidden="1" x14ac:dyDescent="0.25">
      <c r="A4999" t="s">
        <v>20</v>
      </c>
      <c r="B4999">
        <v>86</v>
      </c>
      <c r="C4999">
        <v>42</v>
      </c>
    </row>
    <row r="5000" spans="1:4" hidden="1" x14ac:dyDescent="0.25">
      <c r="A5000" t="s">
        <v>20</v>
      </c>
      <c r="B5000">
        <v>86</v>
      </c>
      <c r="C5000">
        <v>43</v>
      </c>
    </row>
    <row r="5001" spans="1:4" hidden="1" x14ac:dyDescent="0.25">
      <c r="A5001" t="s">
        <v>20</v>
      </c>
      <c r="B5001">
        <v>86</v>
      </c>
      <c r="C5001">
        <v>44</v>
      </c>
    </row>
    <row r="5002" spans="1:4" hidden="1" x14ac:dyDescent="0.25">
      <c r="A5002" t="s">
        <v>20</v>
      </c>
      <c r="B5002">
        <v>86</v>
      </c>
      <c r="C5002">
        <v>45</v>
      </c>
    </row>
    <row r="5003" spans="1:4" hidden="1" x14ac:dyDescent="0.25">
      <c r="A5003" t="s">
        <v>20</v>
      </c>
      <c r="B5003">
        <v>86</v>
      </c>
      <c r="C5003">
        <v>46</v>
      </c>
      <c r="D5003">
        <v>1</v>
      </c>
    </row>
    <row r="5004" spans="1:4" hidden="1" x14ac:dyDescent="0.25">
      <c r="A5004" t="s">
        <v>20</v>
      </c>
      <c r="B5004">
        <v>86</v>
      </c>
      <c r="C5004">
        <v>47</v>
      </c>
    </row>
    <row r="5005" spans="1:4" hidden="1" x14ac:dyDescent="0.25">
      <c r="A5005" t="s">
        <v>20</v>
      </c>
      <c r="B5005">
        <v>86</v>
      </c>
      <c r="C5005">
        <v>48</v>
      </c>
    </row>
    <row r="5006" spans="1:4" hidden="1" x14ac:dyDescent="0.25">
      <c r="A5006" t="s">
        <v>20</v>
      </c>
      <c r="B5006">
        <v>86</v>
      </c>
      <c r="C5006">
        <v>49</v>
      </c>
      <c r="D5006">
        <v>1</v>
      </c>
    </row>
    <row r="5007" spans="1:4" hidden="1" x14ac:dyDescent="0.25">
      <c r="A5007" t="s">
        <v>20</v>
      </c>
      <c r="B5007">
        <v>86</v>
      </c>
      <c r="C5007">
        <v>50</v>
      </c>
    </row>
    <row r="5008" spans="1:4" hidden="1" x14ac:dyDescent="0.25">
      <c r="A5008" t="s">
        <v>20</v>
      </c>
      <c r="B5008">
        <v>86</v>
      </c>
      <c r="C5008">
        <v>51</v>
      </c>
    </row>
    <row r="5009" spans="1:4" hidden="1" x14ac:dyDescent="0.25">
      <c r="A5009" t="s">
        <v>20</v>
      </c>
      <c r="B5009">
        <v>86</v>
      </c>
      <c r="C5009">
        <v>52</v>
      </c>
      <c r="D5009">
        <v>1</v>
      </c>
    </row>
    <row r="5010" spans="1:4" hidden="1" x14ac:dyDescent="0.25">
      <c r="A5010" t="s">
        <v>20</v>
      </c>
      <c r="B5010">
        <v>86</v>
      </c>
      <c r="C5010">
        <v>53</v>
      </c>
    </row>
    <row r="5011" spans="1:4" hidden="1" x14ac:dyDescent="0.25">
      <c r="A5011" t="s">
        <v>20</v>
      </c>
      <c r="B5011">
        <v>86</v>
      </c>
      <c r="C5011">
        <v>54</v>
      </c>
    </row>
    <row r="5012" spans="1:4" hidden="1" x14ac:dyDescent="0.25">
      <c r="A5012" t="s">
        <v>20</v>
      </c>
      <c r="B5012">
        <v>86</v>
      </c>
      <c r="C5012">
        <v>55</v>
      </c>
    </row>
    <row r="5013" spans="1:4" hidden="1" x14ac:dyDescent="0.25">
      <c r="A5013" t="s">
        <v>20</v>
      </c>
      <c r="B5013">
        <v>86</v>
      </c>
      <c r="C5013">
        <v>56</v>
      </c>
    </row>
    <row r="5014" spans="1:4" hidden="1" x14ac:dyDescent="0.25">
      <c r="A5014" t="s">
        <v>20</v>
      </c>
      <c r="B5014">
        <v>86</v>
      </c>
      <c r="C5014">
        <v>57</v>
      </c>
    </row>
    <row r="5015" spans="1:4" hidden="1" x14ac:dyDescent="0.25">
      <c r="A5015" t="s">
        <v>20</v>
      </c>
      <c r="B5015">
        <v>86</v>
      </c>
      <c r="C5015">
        <v>58</v>
      </c>
    </row>
    <row r="5016" spans="1:4" hidden="1" x14ac:dyDescent="0.25">
      <c r="A5016" t="s">
        <v>20</v>
      </c>
      <c r="B5016">
        <v>86</v>
      </c>
      <c r="C5016">
        <v>59</v>
      </c>
    </row>
    <row r="5017" spans="1:4" hidden="1" x14ac:dyDescent="0.25">
      <c r="A5017" t="s">
        <v>20</v>
      </c>
      <c r="B5017">
        <v>86</v>
      </c>
      <c r="C5017">
        <v>60</v>
      </c>
    </row>
    <row r="5018" spans="1:4" hidden="1" x14ac:dyDescent="0.25">
      <c r="A5018" t="s">
        <v>20</v>
      </c>
      <c r="B5018">
        <v>86</v>
      </c>
      <c r="C5018">
        <v>61</v>
      </c>
    </row>
    <row r="5019" spans="1:4" hidden="1" x14ac:dyDescent="0.25">
      <c r="A5019" t="s">
        <v>20</v>
      </c>
      <c r="B5019">
        <v>86</v>
      </c>
      <c r="C5019">
        <v>62</v>
      </c>
    </row>
    <row r="5020" spans="1:4" hidden="1" x14ac:dyDescent="0.25">
      <c r="A5020" t="s">
        <v>20</v>
      </c>
      <c r="B5020">
        <v>86</v>
      </c>
      <c r="C5020">
        <v>63</v>
      </c>
    </row>
    <row r="5021" spans="1:4" hidden="1" x14ac:dyDescent="0.25">
      <c r="A5021" t="s">
        <v>20</v>
      </c>
      <c r="B5021">
        <v>86</v>
      </c>
      <c r="C5021">
        <v>64</v>
      </c>
      <c r="D5021">
        <v>1</v>
      </c>
    </row>
    <row r="5022" spans="1:4" hidden="1" x14ac:dyDescent="0.25">
      <c r="A5022" t="s">
        <v>20</v>
      </c>
      <c r="B5022">
        <v>86</v>
      </c>
      <c r="C5022">
        <v>65</v>
      </c>
    </row>
    <row r="5023" spans="1:4" hidden="1" x14ac:dyDescent="0.25">
      <c r="A5023" t="s">
        <v>20</v>
      </c>
      <c r="B5023">
        <v>86</v>
      </c>
      <c r="C5023">
        <v>66</v>
      </c>
    </row>
    <row r="5024" spans="1:4" hidden="1" x14ac:dyDescent="0.25">
      <c r="A5024" t="s">
        <v>20</v>
      </c>
      <c r="B5024">
        <v>86</v>
      </c>
      <c r="C5024">
        <v>67</v>
      </c>
      <c r="D5024">
        <v>1</v>
      </c>
    </row>
    <row r="5025" spans="1:3" hidden="1" x14ac:dyDescent="0.25">
      <c r="A5025" t="s">
        <v>20</v>
      </c>
      <c r="B5025">
        <v>86</v>
      </c>
      <c r="C5025">
        <v>68</v>
      </c>
    </row>
    <row r="5026" spans="1:3" hidden="1" x14ac:dyDescent="0.25">
      <c r="A5026" t="s">
        <v>20</v>
      </c>
      <c r="B5026">
        <v>86</v>
      </c>
      <c r="C5026">
        <v>69</v>
      </c>
    </row>
    <row r="5027" spans="1:3" hidden="1" x14ac:dyDescent="0.25">
      <c r="A5027" t="s">
        <v>20</v>
      </c>
      <c r="B5027">
        <v>86</v>
      </c>
      <c r="C5027">
        <v>70</v>
      </c>
    </row>
    <row r="5028" spans="1:3" hidden="1" x14ac:dyDescent="0.25">
      <c r="A5028" t="s">
        <v>20</v>
      </c>
      <c r="B5028">
        <v>86</v>
      </c>
      <c r="C5028">
        <v>71</v>
      </c>
    </row>
    <row r="5029" spans="1:3" hidden="1" x14ac:dyDescent="0.25">
      <c r="A5029" t="s">
        <v>20</v>
      </c>
      <c r="B5029">
        <v>86</v>
      </c>
      <c r="C5029">
        <v>72</v>
      </c>
    </row>
    <row r="5030" spans="1:3" hidden="1" x14ac:dyDescent="0.25">
      <c r="A5030" t="s">
        <v>20</v>
      </c>
      <c r="B5030">
        <v>86</v>
      </c>
      <c r="C5030">
        <v>73</v>
      </c>
    </row>
    <row r="5031" spans="1:3" hidden="1" x14ac:dyDescent="0.25">
      <c r="A5031" t="s">
        <v>20</v>
      </c>
      <c r="B5031">
        <v>86</v>
      </c>
      <c r="C5031">
        <v>74</v>
      </c>
    </row>
    <row r="5032" spans="1:3" hidden="1" x14ac:dyDescent="0.25">
      <c r="A5032" t="s">
        <v>20</v>
      </c>
      <c r="B5032">
        <v>86</v>
      </c>
      <c r="C5032">
        <v>75</v>
      </c>
    </row>
    <row r="5033" spans="1:3" hidden="1" x14ac:dyDescent="0.25">
      <c r="A5033" t="s">
        <v>20</v>
      </c>
      <c r="B5033">
        <v>86</v>
      </c>
      <c r="C5033">
        <v>76</v>
      </c>
    </row>
    <row r="5034" spans="1:3" hidden="1" x14ac:dyDescent="0.25">
      <c r="A5034" t="s">
        <v>20</v>
      </c>
      <c r="B5034">
        <v>86</v>
      </c>
      <c r="C5034">
        <v>77</v>
      </c>
    </row>
    <row r="5035" spans="1:3" hidden="1" x14ac:dyDescent="0.25">
      <c r="A5035" t="s">
        <v>20</v>
      </c>
      <c r="B5035">
        <v>86</v>
      </c>
      <c r="C5035">
        <v>78</v>
      </c>
    </row>
    <row r="5036" spans="1:3" hidden="1" x14ac:dyDescent="0.25">
      <c r="A5036" t="s">
        <v>20</v>
      </c>
      <c r="B5036">
        <v>86</v>
      </c>
      <c r="C5036">
        <v>79</v>
      </c>
    </row>
    <row r="5037" spans="1:3" hidden="1" x14ac:dyDescent="0.25">
      <c r="A5037" t="s">
        <v>20</v>
      </c>
      <c r="B5037">
        <v>86</v>
      </c>
      <c r="C5037">
        <v>80</v>
      </c>
    </row>
    <row r="5038" spans="1:3" hidden="1" x14ac:dyDescent="0.25">
      <c r="A5038" t="s">
        <v>20</v>
      </c>
      <c r="B5038">
        <v>86</v>
      </c>
      <c r="C5038">
        <v>81</v>
      </c>
    </row>
    <row r="5039" spans="1:3" hidden="1" x14ac:dyDescent="0.25">
      <c r="A5039" t="s">
        <v>20</v>
      </c>
      <c r="B5039">
        <v>86</v>
      </c>
      <c r="C5039">
        <v>82</v>
      </c>
    </row>
    <row r="5040" spans="1:3" hidden="1" x14ac:dyDescent="0.25">
      <c r="A5040" t="s">
        <v>20</v>
      </c>
      <c r="B5040">
        <v>86</v>
      </c>
      <c r="C5040">
        <v>83</v>
      </c>
    </row>
    <row r="5041" spans="1:4" hidden="1" x14ac:dyDescent="0.25">
      <c r="A5041" t="s">
        <v>20</v>
      </c>
      <c r="B5041">
        <v>86</v>
      </c>
      <c r="C5041">
        <v>84</v>
      </c>
    </row>
    <row r="5042" spans="1:4" hidden="1" x14ac:dyDescent="0.25">
      <c r="A5042" t="s">
        <v>20</v>
      </c>
      <c r="B5042">
        <v>87</v>
      </c>
      <c r="C5042">
        <v>1</v>
      </c>
    </row>
    <row r="5043" spans="1:4" hidden="1" x14ac:dyDescent="0.25">
      <c r="A5043" t="s">
        <v>20</v>
      </c>
      <c r="B5043">
        <v>87</v>
      </c>
      <c r="C5043">
        <v>2</v>
      </c>
      <c r="D5043">
        <v>1</v>
      </c>
    </row>
    <row r="5044" spans="1:4" hidden="1" x14ac:dyDescent="0.25">
      <c r="A5044" t="s">
        <v>20</v>
      </c>
      <c r="B5044">
        <v>87</v>
      </c>
      <c r="C5044">
        <v>3</v>
      </c>
    </row>
    <row r="5045" spans="1:4" hidden="1" x14ac:dyDescent="0.25">
      <c r="A5045" t="s">
        <v>20</v>
      </c>
      <c r="B5045">
        <v>87</v>
      </c>
      <c r="C5045">
        <v>4</v>
      </c>
    </row>
    <row r="5046" spans="1:4" hidden="1" x14ac:dyDescent="0.25">
      <c r="A5046" t="s">
        <v>20</v>
      </c>
      <c r="B5046">
        <v>87</v>
      </c>
      <c r="C5046">
        <v>5</v>
      </c>
    </row>
    <row r="5047" spans="1:4" hidden="1" x14ac:dyDescent="0.25">
      <c r="A5047" t="s">
        <v>20</v>
      </c>
      <c r="B5047">
        <v>87</v>
      </c>
      <c r="C5047">
        <v>6</v>
      </c>
    </row>
    <row r="5048" spans="1:4" hidden="1" x14ac:dyDescent="0.25">
      <c r="A5048" t="s">
        <v>20</v>
      </c>
      <c r="B5048">
        <v>87</v>
      </c>
      <c r="C5048">
        <v>7</v>
      </c>
    </row>
    <row r="5049" spans="1:4" hidden="1" x14ac:dyDescent="0.25">
      <c r="A5049" t="s">
        <v>20</v>
      </c>
      <c r="B5049">
        <v>87</v>
      </c>
      <c r="C5049">
        <v>8</v>
      </c>
    </row>
    <row r="5050" spans="1:4" hidden="1" x14ac:dyDescent="0.25">
      <c r="A5050" t="s">
        <v>20</v>
      </c>
      <c r="B5050">
        <v>87</v>
      </c>
      <c r="C5050">
        <v>9</v>
      </c>
    </row>
    <row r="5051" spans="1:4" hidden="1" x14ac:dyDescent="0.25">
      <c r="A5051" t="s">
        <v>20</v>
      </c>
      <c r="B5051">
        <v>87</v>
      </c>
      <c r="C5051">
        <v>10</v>
      </c>
    </row>
    <row r="5052" spans="1:4" hidden="1" x14ac:dyDescent="0.25">
      <c r="A5052" t="s">
        <v>20</v>
      </c>
      <c r="B5052">
        <v>87</v>
      </c>
      <c r="C5052">
        <v>11</v>
      </c>
    </row>
    <row r="5053" spans="1:4" hidden="1" x14ac:dyDescent="0.25">
      <c r="A5053" t="s">
        <v>20</v>
      </c>
      <c r="B5053">
        <v>87</v>
      </c>
      <c r="C5053">
        <v>12</v>
      </c>
    </row>
    <row r="5054" spans="1:4" hidden="1" x14ac:dyDescent="0.25">
      <c r="A5054" t="s">
        <v>20</v>
      </c>
      <c r="B5054">
        <v>87</v>
      </c>
      <c r="C5054">
        <v>13</v>
      </c>
    </row>
    <row r="5055" spans="1:4" hidden="1" x14ac:dyDescent="0.25">
      <c r="A5055" t="s">
        <v>20</v>
      </c>
      <c r="B5055">
        <v>87</v>
      </c>
      <c r="C5055">
        <v>14</v>
      </c>
      <c r="D5055">
        <v>1</v>
      </c>
    </row>
    <row r="5056" spans="1:4" hidden="1" x14ac:dyDescent="0.25">
      <c r="A5056" t="s">
        <v>20</v>
      </c>
      <c r="B5056">
        <v>87</v>
      </c>
      <c r="C5056">
        <v>15</v>
      </c>
    </row>
    <row r="5057" spans="1:4" hidden="1" x14ac:dyDescent="0.25">
      <c r="A5057" t="s">
        <v>20</v>
      </c>
      <c r="B5057">
        <v>87</v>
      </c>
      <c r="C5057">
        <v>16</v>
      </c>
    </row>
    <row r="5058" spans="1:4" hidden="1" x14ac:dyDescent="0.25">
      <c r="A5058" t="s">
        <v>20</v>
      </c>
      <c r="B5058">
        <v>87</v>
      </c>
      <c r="C5058">
        <v>17</v>
      </c>
      <c r="D5058">
        <v>1</v>
      </c>
    </row>
    <row r="5059" spans="1:4" hidden="1" x14ac:dyDescent="0.25">
      <c r="A5059" t="s">
        <v>20</v>
      </c>
      <c r="B5059">
        <v>87</v>
      </c>
      <c r="C5059">
        <v>18</v>
      </c>
    </row>
    <row r="5060" spans="1:4" hidden="1" x14ac:dyDescent="0.25">
      <c r="A5060" t="s">
        <v>20</v>
      </c>
      <c r="B5060">
        <v>87</v>
      </c>
      <c r="C5060">
        <v>19</v>
      </c>
    </row>
    <row r="5061" spans="1:4" hidden="1" x14ac:dyDescent="0.25">
      <c r="A5061" t="s">
        <v>20</v>
      </c>
      <c r="B5061">
        <v>87</v>
      </c>
      <c r="C5061">
        <v>20</v>
      </c>
      <c r="D5061">
        <v>1</v>
      </c>
    </row>
    <row r="5062" spans="1:4" hidden="1" x14ac:dyDescent="0.25">
      <c r="A5062" t="s">
        <v>20</v>
      </c>
      <c r="B5062">
        <v>87</v>
      </c>
      <c r="C5062">
        <v>21</v>
      </c>
    </row>
    <row r="5063" spans="1:4" hidden="1" x14ac:dyDescent="0.25">
      <c r="A5063" t="s">
        <v>20</v>
      </c>
      <c r="B5063">
        <v>87</v>
      </c>
      <c r="C5063">
        <v>22</v>
      </c>
    </row>
    <row r="5064" spans="1:4" hidden="1" x14ac:dyDescent="0.25">
      <c r="A5064" t="s">
        <v>20</v>
      </c>
      <c r="B5064">
        <v>87</v>
      </c>
      <c r="C5064">
        <v>23</v>
      </c>
    </row>
    <row r="5065" spans="1:4" hidden="1" x14ac:dyDescent="0.25">
      <c r="A5065" t="s">
        <v>20</v>
      </c>
      <c r="B5065">
        <v>87</v>
      </c>
      <c r="C5065">
        <v>24</v>
      </c>
    </row>
    <row r="5066" spans="1:4" hidden="1" x14ac:dyDescent="0.25">
      <c r="A5066" t="s">
        <v>20</v>
      </c>
      <c r="B5066">
        <v>87</v>
      </c>
      <c r="C5066">
        <v>25</v>
      </c>
    </row>
    <row r="5067" spans="1:4" hidden="1" x14ac:dyDescent="0.25">
      <c r="A5067" t="s">
        <v>20</v>
      </c>
      <c r="B5067">
        <v>87</v>
      </c>
      <c r="C5067">
        <v>26</v>
      </c>
      <c r="D5067">
        <v>1</v>
      </c>
    </row>
    <row r="5068" spans="1:4" hidden="1" x14ac:dyDescent="0.25">
      <c r="A5068" t="s">
        <v>20</v>
      </c>
      <c r="B5068">
        <v>87</v>
      </c>
      <c r="C5068">
        <v>27</v>
      </c>
    </row>
    <row r="5069" spans="1:4" hidden="1" x14ac:dyDescent="0.25">
      <c r="A5069" t="s">
        <v>20</v>
      </c>
      <c r="B5069">
        <v>87</v>
      </c>
      <c r="C5069">
        <v>28</v>
      </c>
    </row>
    <row r="5070" spans="1:4" hidden="1" x14ac:dyDescent="0.25">
      <c r="A5070" t="s">
        <v>20</v>
      </c>
      <c r="B5070">
        <v>87</v>
      </c>
      <c r="C5070">
        <v>29</v>
      </c>
    </row>
    <row r="5071" spans="1:4" hidden="1" x14ac:dyDescent="0.25">
      <c r="A5071" t="s">
        <v>20</v>
      </c>
      <c r="B5071">
        <v>87</v>
      </c>
      <c r="C5071">
        <v>30</v>
      </c>
    </row>
    <row r="5072" spans="1:4" hidden="1" x14ac:dyDescent="0.25">
      <c r="A5072" t="s">
        <v>20</v>
      </c>
      <c r="B5072">
        <v>87</v>
      </c>
      <c r="C5072">
        <v>31</v>
      </c>
    </row>
    <row r="5073" spans="1:4" hidden="1" x14ac:dyDescent="0.25">
      <c r="A5073" t="s">
        <v>20</v>
      </c>
      <c r="B5073">
        <v>87</v>
      </c>
      <c r="C5073">
        <v>32</v>
      </c>
      <c r="D5073">
        <v>1</v>
      </c>
    </row>
    <row r="5074" spans="1:4" hidden="1" x14ac:dyDescent="0.25">
      <c r="A5074" t="s">
        <v>20</v>
      </c>
      <c r="B5074">
        <v>87</v>
      </c>
      <c r="C5074">
        <v>33</v>
      </c>
    </row>
    <row r="5075" spans="1:4" hidden="1" x14ac:dyDescent="0.25">
      <c r="A5075" t="s">
        <v>20</v>
      </c>
      <c r="B5075">
        <v>87</v>
      </c>
      <c r="C5075">
        <v>34</v>
      </c>
    </row>
    <row r="5076" spans="1:4" hidden="1" x14ac:dyDescent="0.25">
      <c r="A5076" t="s">
        <v>20</v>
      </c>
      <c r="B5076">
        <v>87</v>
      </c>
      <c r="C5076">
        <v>35</v>
      </c>
    </row>
    <row r="5077" spans="1:4" hidden="1" x14ac:dyDescent="0.25">
      <c r="A5077" t="s">
        <v>20</v>
      </c>
      <c r="B5077">
        <v>87</v>
      </c>
      <c r="C5077">
        <v>36</v>
      </c>
    </row>
    <row r="5078" spans="1:4" hidden="1" x14ac:dyDescent="0.25">
      <c r="A5078" t="s">
        <v>20</v>
      </c>
      <c r="B5078">
        <v>87</v>
      </c>
      <c r="C5078">
        <v>37</v>
      </c>
    </row>
    <row r="5079" spans="1:4" hidden="1" x14ac:dyDescent="0.25">
      <c r="A5079" t="s">
        <v>20</v>
      </c>
      <c r="B5079">
        <v>87</v>
      </c>
      <c r="C5079">
        <v>38</v>
      </c>
    </row>
    <row r="5080" spans="1:4" hidden="1" x14ac:dyDescent="0.25">
      <c r="A5080" t="s">
        <v>20</v>
      </c>
      <c r="B5080">
        <v>87</v>
      </c>
      <c r="C5080">
        <v>39</v>
      </c>
    </row>
    <row r="5081" spans="1:4" hidden="1" x14ac:dyDescent="0.25">
      <c r="A5081" t="s">
        <v>20</v>
      </c>
      <c r="B5081">
        <v>87</v>
      </c>
      <c r="C5081">
        <v>40</v>
      </c>
    </row>
    <row r="5082" spans="1:4" hidden="1" x14ac:dyDescent="0.25">
      <c r="A5082" t="s">
        <v>20</v>
      </c>
      <c r="B5082">
        <v>87</v>
      </c>
      <c r="C5082">
        <v>41</v>
      </c>
      <c r="D5082">
        <v>1</v>
      </c>
    </row>
    <row r="5083" spans="1:4" hidden="1" x14ac:dyDescent="0.25">
      <c r="A5083" t="s">
        <v>20</v>
      </c>
      <c r="B5083">
        <v>87</v>
      </c>
      <c r="C5083">
        <v>42</v>
      </c>
    </row>
    <row r="5084" spans="1:4" hidden="1" x14ac:dyDescent="0.25">
      <c r="A5084" t="s">
        <v>20</v>
      </c>
      <c r="B5084">
        <v>87</v>
      </c>
      <c r="C5084">
        <v>43</v>
      </c>
    </row>
    <row r="5085" spans="1:4" hidden="1" x14ac:dyDescent="0.25">
      <c r="A5085" t="s">
        <v>20</v>
      </c>
      <c r="B5085">
        <v>87</v>
      </c>
      <c r="C5085">
        <v>44</v>
      </c>
    </row>
    <row r="5086" spans="1:4" hidden="1" x14ac:dyDescent="0.25">
      <c r="A5086" t="s">
        <v>20</v>
      </c>
      <c r="B5086">
        <v>87</v>
      </c>
      <c r="C5086">
        <v>45</v>
      </c>
    </row>
    <row r="5087" spans="1:4" hidden="1" x14ac:dyDescent="0.25">
      <c r="A5087" t="s">
        <v>20</v>
      </c>
      <c r="B5087">
        <v>87</v>
      </c>
      <c r="C5087">
        <v>46</v>
      </c>
    </row>
    <row r="5088" spans="1:4" hidden="1" x14ac:dyDescent="0.25">
      <c r="A5088" t="s">
        <v>20</v>
      </c>
      <c r="B5088">
        <v>87</v>
      </c>
      <c r="C5088">
        <v>47</v>
      </c>
    </row>
    <row r="5089" spans="1:4" hidden="1" x14ac:dyDescent="0.25">
      <c r="A5089" t="s">
        <v>20</v>
      </c>
      <c r="B5089">
        <v>87</v>
      </c>
      <c r="C5089">
        <v>48</v>
      </c>
    </row>
    <row r="5090" spans="1:4" hidden="1" x14ac:dyDescent="0.25">
      <c r="A5090" t="s">
        <v>20</v>
      </c>
      <c r="B5090">
        <v>87</v>
      </c>
      <c r="C5090">
        <v>49</v>
      </c>
    </row>
    <row r="5091" spans="1:4" hidden="1" x14ac:dyDescent="0.25">
      <c r="A5091" t="s">
        <v>20</v>
      </c>
      <c r="B5091">
        <v>87</v>
      </c>
      <c r="C5091">
        <v>50</v>
      </c>
    </row>
    <row r="5092" spans="1:4" hidden="1" x14ac:dyDescent="0.25">
      <c r="A5092" t="s">
        <v>20</v>
      </c>
      <c r="B5092">
        <v>87</v>
      </c>
      <c r="C5092">
        <v>51</v>
      </c>
    </row>
    <row r="5093" spans="1:4" hidden="1" x14ac:dyDescent="0.25">
      <c r="A5093" t="s">
        <v>20</v>
      </c>
      <c r="B5093">
        <v>87</v>
      </c>
      <c r="C5093">
        <v>52</v>
      </c>
    </row>
    <row r="5094" spans="1:4" hidden="1" x14ac:dyDescent="0.25">
      <c r="A5094" t="s">
        <v>20</v>
      </c>
      <c r="B5094">
        <v>87</v>
      </c>
      <c r="C5094">
        <v>53</v>
      </c>
      <c r="D5094">
        <v>1</v>
      </c>
    </row>
    <row r="5095" spans="1:4" hidden="1" x14ac:dyDescent="0.25">
      <c r="A5095" t="s">
        <v>20</v>
      </c>
      <c r="B5095">
        <v>87</v>
      </c>
      <c r="C5095">
        <v>54</v>
      </c>
    </row>
    <row r="5096" spans="1:4" hidden="1" x14ac:dyDescent="0.25">
      <c r="A5096" t="s">
        <v>20</v>
      </c>
      <c r="B5096">
        <v>87</v>
      </c>
      <c r="C5096">
        <v>55</v>
      </c>
    </row>
    <row r="5097" spans="1:4" hidden="1" x14ac:dyDescent="0.25">
      <c r="A5097" t="s">
        <v>20</v>
      </c>
      <c r="B5097">
        <v>87</v>
      </c>
      <c r="C5097">
        <v>56</v>
      </c>
    </row>
    <row r="5098" spans="1:4" hidden="1" x14ac:dyDescent="0.25">
      <c r="A5098" t="s">
        <v>20</v>
      </c>
      <c r="B5098">
        <v>87</v>
      </c>
      <c r="C5098">
        <v>57</v>
      </c>
    </row>
    <row r="5099" spans="1:4" hidden="1" x14ac:dyDescent="0.25">
      <c r="A5099" t="s">
        <v>20</v>
      </c>
      <c r="B5099">
        <v>87</v>
      </c>
      <c r="C5099">
        <v>58</v>
      </c>
    </row>
    <row r="5100" spans="1:4" hidden="1" x14ac:dyDescent="0.25">
      <c r="A5100" t="s">
        <v>20</v>
      </c>
      <c r="B5100">
        <v>87</v>
      </c>
      <c r="C5100">
        <v>59</v>
      </c>
    </row>
    <row r="5101" spans="1:4" hidden="1" x14ac:dyDescent="0.25">
      <c r="A5101" t="s">
        <v>20</v>
      </c>
      <c r="B5101">
        <v>87</v>
      </c>
      <c r="C5101">
        <v>60</v>
      </c>
    </row>
    <row r="5102" spans="1:4" hidden="1" x14ac:dyDescent="0.25">
      <c r="A5102" t="s">
        <v>20</v>
      </c>
      <c r="B5102">
        <v>87</v>
      </c>
      <c r="C5102">
        <v>61</v>
      </c>
    </row>
    <row r="5103" spans="1:4" hidden="1" x14ac:dyDescent="0.25">
      <c r="A5103" t="s">
        <v>20</v>
      </c>
      <c r="B5103">
        <v>87</v>
      </c>
      <c r="C5103">
        <v>62</v>
      </c>
      <c r="D5103">
        <v>1</v>
      </c>
    </row>
    <row r="5104" spans="1:4" hidden="1" x14ac:dyDescent="0.25">
      <c r="A5104" t="s">
        <v>20</v>
      </c>
      <c r="B5104">
        <v>87</v>
      </c>
      <c r="C5104">
        <v>63</v>
      </c>
    </row>
    <row r="5105" spans="1:4" hidden="1" x14ac:dyDescent="0.25">
      <c r="A5105" t="s">
        <v>20</v>
      </c>
      <c r="B5105">
        <v>87</v>
      </c>
      <c r="C5105">
        <v>64</v>
      </c>
    </row>
    <row r="5106" spans="1:4" hidden="1" x14ac:dyDescent="0.25">
      <c r="A5106" t="s">
        <v>20</v>
      </c>
      <c r="B5106">
        <v>87</v>
      </c>
      <c r="C5106">
        <v>65</v>
      </c>
      <c r="D5106">
        <v>1</v>
      </c>
    </row>
    <row r="5107" spans="1:4" hidden="1" x14ac:dyDescent="0.25">
      <c r="A5107" t="s">
        <v>20</v>
      </c>
      <c r="B5107">
        <v>87</v>
      </c>
      <c r="C5107">
        <v>66</v>
      </c>
    </row>
    <row r="5108" spans="1:4" hidden="1" x14ac:dyDescent="0.25">
      <c r="A5108" t="s">
        <v>20</v>
      </c>
      <c r="B5108">
        <v>87</v>
      </c>
      <c r="C5108">
        <v>67</v>
      </c>
    </row>
    <row r="5109" spans="1:4" hidden="1" x14ac:dyDescent="0.25">
      <c r="A5109" t="s">
        <v>20</v>
      </c>
      <c r="B5109">
        <v>87</v>
      </c>
      <c r="C5109">
        <v>68</v>
      </c>
    </row>
    <row r="5110" spans="1:4" hidden="1" x14ac:dyDescent="0.25">
      <c r="A5110" t="s">
        <v>20</v>
      </c>
      <c r="B5110">
        <v>87</v>
      </c>
      <c r="C5110">
        <v>69</v>
      </c>
    </row>
    <row r="5111" spans="1:4" hidden="1" x14ac:dyDescent="0.25">
      <c r="A5111" t="s">
        <v>20</v>
      </c>
      <c r="B5111">
        <v>87</v>
      </c>
      <c r="C5111">
        <v>70</v>
      </c>
    </row>
    <row r="5112" spans="1:4" hidden="1" x14ac:dyDescent="0.25">
      <c r="A5112" t="s">
        <v>20</v>
      </c>
      <c r="B5112">
        <v>87</v>
      </c>
      <c r="C5112">
        <v>71</v>
      </c>
    </row>
    <row r="5113" spans="1:4" hidden="1" x14ac:dyDescent="0.25">
      <c r="A5113" t="s">
        <v>20</v>
      </c>
      <c r="B5113">
        <v>87</v>
      </c>
      <c r="C5113">
        <v>72</v>
      </c>
    </row>
    <row r="5114" spans="1:4" hidden="1" x14ac:dyDescent="0.25">
      <c r="A5114" t="s">
        <v>20</v>
      </c>
      <c r="B5114">
        <v>87</v>
      </c>
      <c r="C5114">
        <v>73</v>
      </c>
    </row>
    <row r="5115" spans="1:4" hidden="1" x14ac:dyDescent="0.25">
      <c r="A5115" t="s">
        <v>20</v>
      </c>
      <c r="B5115">
        <v>87</v>
      </c>
      <c r="C5115">
        <v>74</v>
      </c>
    </row>
    <row r="5116" spans="1:4" hidden="1" x14ac:dyDescent="0.25">
      <c r="A5116" t="s">
        <v>20</v>
      </c>
      <c r="B5116">
        <v>87</v>
      </c>
      <c r="C5116">
        <v>75</v>
      </c>
    </row>
    <row r="5117" spans="1:4" hidden="1" x14ac:dyDescent="0.25">
      <c r="A5117" t="s">
        <v>20</v>
      </c>
      <c r="B5117">
        <v>87</v>
      </c>
      <c r="C5117">
        <v>76</v>
      </c>
    </row>
    <row r="5118" spans="1:4" hidden="1" x14ac:dyDescent="0.25">
      <c r="A5118" t="s">
        <v>20</v>
      </c>
      <c r="B5118">
        <v>87</v>
      </c>
      <c r="C5118">
        <v>77</v>
      </c>
    </row>
    <row r="5119" spans="1:4" hidden="1" x14ac:dyDescent="0.25">
      <c r="A5119" t="s">
        <v>20</v>
      </c>
      <c r="B5119">
        <v>87</v>
      </c>
      <c r="C5119">
        <v>78</v>
      </c>
    </row>
    <row r="5120" spans="1:4" hidden="1" x14ac:dyDescent="0.25">
      <c r="A5120" t="s">
        <v>20</v>
      </c>
      <c r="B5120">
        <v>87</v>
      </c>
      <c r="C5120">
        <v>79</v>
      </c>
    </row>
    <row r="5121" spans="1:4" hidden="1" x14ac:dyDescent="0.25">
      <c r="A5121" t="s">
        <v>20</v>
      </c>
      <c r="B5121">
        <v>87</v>
      </c>
      <c r="C5121">
        <v>80</v>
      </c>
    </row>
    <row r="5122" spans="1:4" hidden="1" x14ac:dyDescent="0.25">
      <c r="A5122" t="s">
        <v>20</v>
      </c>
      <c r="B5122">
        <v>87</v>
      </c>
      <c r="C5122">
        <v>81</v>
      </c>
    </row>
    <row r="5123" spans="1:4" hidden="1" x14ac:dyDescent="0.25">
      <c r="A5123" t="s">
        <v>20</v>
      </c>
      <c r="B5123">
        <v>87</v>
      </c>
      <c r="C5123">
        <v>82</v>
      </c>
    </row>
    <row r="5124" spans="1:4" hidden="1" x14ac:dyDescent="0.25">
      <c r="A5124" t="s">
        <v>20</v>
      </c>
      <c r="B5124">
        <v>87</v>
      </c>
      <c r="C5124">
        <v>83</v>
      </c>
      <c r="D5124">
        <v>1</v>
      </c>
    </row>
    <row r="5125" spans="1:4" hidden="1" x14ac:dyDescent="0.25">
      <c r="A5125" t="s">
        <v>20</v>
      </c>
      <c r="B5125">
        <v>87</v>
      </c>
      <c r="C5125">
        <v>84</v>
      </c>
    </row>
    <row r="5126" spans="1:4" hidden="1" x14ac:dyDescent="0.25">
      <c r="A5126" t="s">
        <v>20</v>
      </c>
      <c r="B5126">
        <v>88</v>
      </c>
      <c r="C5126">
        <v>1</v>
      </c>
    </row>
    <row r="5127" spans="1:4" hidden="1" x14ac:dyDescent="0.25">
      <c r="A5127" t="s">
        <v>20</v>
      </c>
      <c r="B5127">
        <v>88</v>
      </c>
      <c r="C5127">
        <v>2</v>
      </c>
    </row>
    <row r="5128" spans="1:4" hidden="1" x14ac:dyDescent="0.25">
      <c r="A5128" t="s">
        <v>20</v>
      </c>
      <c r="B5128">
        <v>88</v>
      </c>
      <c r="C5128">
        <v>3</v>
      </c>
    </row>
    <row r="5129" spans="1:4" hidden="1" x14ac:dyDescent="0.25">
      <c r="A5129" t="s">
        <v>20</v>
      </c>
      <c r="B5129">
        <v>88</v>
      </c>
      <c r="C5129">
        <v>4</v>
      </c>
    </row>
    <row r="5130" spans="1:4" hidden="1" x14ac:dyDescent="0.25">
      <c r="A5130" t="s">
        <v>20</v>
      </c>
      <c r="B5130">
        <v>88</v>
      </c>
      <c r="C5130">
        <v>5</v>
      </c>
    </row>
    <row r="5131" spans="1:4" hidden="1" x14ac:dyDescent="0.25">
      <c r="A5131" t="s">
        <v>20</v>
      </c>
      <c r="B5131">
        <v>88</v>
      </c>
      <c r="C5131">
        <v>6</v>
      </c>
    </row>
    <row r="5132" spans="1:4" hidden="1" x14ac:dyDescent="0.25">
      <c r="A5132" t="s">
        <v>20</v>
      </c>
      <c r="B5132">
        <v>88</v>
      </c>
      <c r="C5132">
        <v>7</v>
      </c>
    </row>
    <row r="5133" spans="1:4" hidden="1" x14ac:dyDescent="0.25">
      <c r="A5133" t="s">
        <v>20</v>
      </c>
      <c r="B5133">
        <v>88</v>
      </c>
      <c r="C5133">
        <v>8</v>
      </c>
    </row>
    <row r="5134" spans="1:4" hidden="1" x14ac:dyDescent="0.25">
      <c r="A5134" t="s">
        <v>20</v>
      </c>
      <c r="B5134">
        <v>88</v>
      </c>
      <c r="C5134">
        <v>9</v>
      </c>
    </row>
    <row r="5135" spans="1:4" hidden="1" x14ac:dyDescent="0.25">
      <c r="A5135" t="s">
        <v>20</v>
      </c>
      <c r="B5135">
        <v>88</v>
      </c>
      <c r="C5135">
        <v>10</v>
      </c>
    </row>
    <row r="5136" spans="1:4" hidden="1" x14ac:dyDescent="0.25">
      <c r="A5136" t="s">
        <v>20</v>
      </c>
      <c r="B5136">
        <v>88</v>
      </c>
      <c r="C5136">
        <v>11</v>
      </c>
    </row>
    <row r="5137" spans="1:3" hidden="1" x14ac:dyDescent="0.25">
      <c r="A5137" t="s">
        <v>20</v>
      </c>
      <c r="B5137">
        <v>88</v>
      </c>
      <c r="C5137">
        <v>12</v>
      </c>
    </row>
    <row r="5138" spans="1:3" hidden="1" x14ac:dyDescent="0.25">
      <c r="A5138" t="s">
        <v>20</v>
      </c>
      <c r="B5138">
        <v>88</v>
      </c>
      <c r="C5138">
        <v>13</v>
      </c>
    </row>
    <row r="5139" spans="1:3" hidden="1" x14ac:dyDescent="0.25">
      <c r="A5139" t="s">
        <v>20</v>
      </c>
      <c r="B5139">
        <v>88</v>
      </c>
      <c r="C5139">
        <v>14</v>
      </c>
    </row>
    <row r="5140" spans="1:3" hidden="1" x14ac:dyDescent="0.25">
      <c r="A5140" t="s">
        <v>20</v>
      </c>
      <c r="B5140">
        <v>88</v>
      </c>
      <c r="C5140">
        <v>15</v>
      </c>
    </row>
    <row r="5141" spans="1:3" hidden="1" x14ac:dyDescent="0.25">
      <c r="A5141" t="s">
        <v>20</v>
      </c>
      <c r="B5141">
        <v>88</v>
      </c>
      <c r="C5141">
        <v>16</v>
      </c>
    </row>
    <row r="5142" spans="1:3" hidden="1" x14ac:dyDescent="0.25">
      <c r="A5142" t="s">
        <v>20</v>
      </c>
      <c r="B5142">
        <v>88</v>
      </c>
      <c r="C5142">
        <v>17</v>
      </c>
    </row>
    <row r="5143" spans="1:3" hidden="1" x14ac:dyDescent="0.25">
      <c r="A5143" t="s">
        <v>20</v>
      </c>
      <c r="B5143">
        <v>88</v>
      </c>
      <c r="C5143">
        <v>18</v>
      </c>
    </row>
    <row r="5144" spans="1:3" hidden="1" x14ac:dyDescent="0.25">
      <c r="A5144" t="s">
        <v>20</v>
      </c>
      <c r="B5144">
        <v>88</v>
      </c>
      <c r="C5144">
        <v>19</v>
      </c>
    </row>
    <row r="5145" spans="1:3" hidden="1" x14ac:dyDescent="0.25">
      <c r="A5145" t="s">
        <v>20</v>
      </c>
      <c r="B5145">
        <v>88</v>
      </c>
      <c r="C5145">
        <v>20</v>
      </c>
    </row>
    <row r="5146" spans="1:3" hidden="1" x14ac:dyDescent="0.25">
      <c r="A5146" t="s">
        <v>20</v>
      </c>
      <c r="B5146">
        <v>88</v>
      </c>
      <c r="C5146">
        <v>21</v>
      </c>
    </row>
    <row r="5147" spans="1:3" hidden="1" x14ac:dyDescent="0.25">
      <c r="A5147" t="s">
        <v>20</v>
      </c>
      <c r="B5147">
        <v>88</v>
      </c>
      <c r="C5147">
        <v>22</v>
      </c>
    </row>
    <row r="5148" spans="1:3" hidden="1" x14ac:dyDescent="0.25">
      <c r="A5148" t="s">
        <v>20</v>
      </c>
      <c r="B5148">
        <v>88</v>
      </c>
      <c r="C5148">
        <v>23</v>
      </c>
    </row>
    <row r="5149" spans="1:3" hidden="1" x14ac:dyDescent="0.25">
      <c r="A5149" t="s">
        <v>20</v>
      </c>
      <c r="B5149">
        <v>88</v>
      </c>
      <c r="C5149">
        <v>24</v>
      </c>
    </row>
    <row r="5150" spans="1:3" hidden="1" x14ac:dyDescent="0.25">
      <c r="A5150" t="s">
        <v>20</v>
      </c>
      <c r="B5150">
        <v>88</v>
      </c>
      <c r="C5150">
        <v>25</v>
      </c>
    </row>
    <row r="5151" spans="1:3" hidden="1" x14ac:dyDescent="0.25">
      <c r="A5151" t="s">
        <v>20</v>
      </c>
      <c r="B5151">
        <v>88</v>
      </c>
      <c r="C5151">
        <v>26</v>
      </c>
    </row>
    <row r="5152" spans="1:3" hidden="1" x14ac:dyDescent="0.25">
      <c r="A5152" t="s">
        <v>20</v>
      </c>
      <c r="B5152">
        <v>88</v>
      </c>
      <c r="C5152">
        <v>27</v>
      </c>
    </row>
    <row r="5153" spans="1:3" hidden="1" x14ac:dyDescent="0.25">
      <c r="A5153" t="s">
        <v>20</v>
      </c>
      <c r="B5153">
        <v>88</v>
      </c>
      <c r="C5153">
        <v>28</v>
      </c>
    </row>
    <row r="5154" spans="1:3" hidden="1" x14ac:dyDescent="0.25">
      <c r="A5154" t="s">
        <v>20</v>
      </c>
      <c r="B5154">
        <v>88</v>
      </c>
      <c r="C5154">
        <v>29</v>
      </c>
    </row>
    <row r="5155" spans="1:3" hidden="1" x14ac:dyDescent="0.25">
      <c r="A5155" t="s">
        <v>20</v>
      </c>
      <c r="B5155">
        <v>88</v>
      </c>
      <c r="C5155">
        <v>30</v>
      </c>
    </row>
    <row r="5156" spans="1:3" hidden="1" x14ac:dyDescent="0.25">
      <c r="A5156" t="s">
        <v>20</v>
      </c>
      <c r="B5156">
        <v>88</v>
      </c>
      <c r="C5156">
        <v>31</v>
      </c>
    </row>
    <row r="5157" spans="1:3" hidden="1" x14ac:dyDescent="0.25">
      <c r="A5157" t="s">
        <v>20</v>
      </c>
      <c r="B5157">
        <v>88</v>
      </c>
      <c r="C5157">
        <v>32</v>
      </c>
    </row>
    <row r="5158" spans="1:3" hidden="1" x14ac:dyDescent="0.25">
      <c r="A5158" t="s">
        <v>20</v>
      </c>
      <c r="B5158">
        <v>88</v>
      </c>
      <c r="C5158">
        <v>33</v>
      </c>
    </row>
    <row r="5159" spans="1:3" hidden="1" x14ac:dyDescent="0.25">
      <c r="A5159" t="s">
        <v>20</v>
      </c>
      <c r="B5159">
        <v>88</v>
      </c>
      <c r="C5159">
        <v>34</v>
      </c>
    </row>
    <row r="5160" spans="1:3" hidden="1" x14ac:dyDescent="0.25">
      <c r="A5160" t="s">
        <v>20</v>
      </c>
      <c r="B5160">
        <v>88</v>
      </c>
      <c r="C5160">
        <v>35</v>
      </c>
    </row>
    <row r="5161" spans="1:3" hidden="1" x14ac:dyDescent="0.25">
      <c r="A5161" t="s">
        <v>20</v>
      </c>
      <c r="B5161">
        <v>88</v>
      </c>
      <c r="C5161">
        <v>36</v>
      </c>
    </row>
    <row r="5162" spans="1:3" hidden="1" x14ac:dyDescent="0.25">
      <c r="A5162" t="s">
        <v>20</v>
      </c>
      <c r="B5162">
        <v>88</v>
      </c>
      <c r="C5162">
        <v>37</v>
      </c>
    </row>
    <row r="5163" spans="1:3" hidden="1" x14ac:dyDescent="0.25">
      <c r="A5163" t="s">
        <v>20</v>
      </c>
      <c r="B5163">
        <v>88</v>
      </c>
      <c r="C5163">
        <v>38</v>
      </c>
    </row>
    <row r="5164" spans="1:3" hidden="1" x14ac:dyDescent="0.25">
      <c r="A5164" t="s">
        <v>20</v>
      </c>
      <c r="B5164">
        <v>88</v>
      </c>
      <c r="C5164">
        <v>39</v>
      </c>
    </row>
    <row r="5165" spans="1:3" hidden="1" x14ac:dyDescent="0.25">
      <c r="A5165" t="s">
        <v>20</v>
      </c>
      <c r="B5165">
        <v>88</v>
      </c>
      <c r="C5165">
        <v>40</v>
      </c>
    </row>
    <row r="5166" spans="1:3" hidden="1" x14ac:dyDescent="0.25">
      <c r="A5166" t="s">
        <v>20</v>
      </c>
      <c r="B5166">
        <v>88</v>
      </c>
      <c r="C5166">
        <v>41</v>
      </c>
    </row>
    <row r="5167" spans="1:3" hidden="1" x14ac:dyDescent="0.25">
      <c r="A5167" t="s">
        <v>20</v>
      </c>
      <c r="B5167">
        <v>88</v>
      </c>
      <c r="C5167">
        <v>42</v>
      </c>
    </row>
    <row r="5168" spans="1:3" hidden="1" x14ac:dyDescent="0.25">
      <c r="A5168" t="s">
        <v>20</v>
      </c>
      <c r="B5168">
        <v>88</v>
      </c>
      <c r="C5168">
        <v>43</v>
      </c>
    </row>
    <row r="5169" spans="1:3" hidden="1" x14ac:dyDescent="0.25">
      <c r="A5169" t="s">
        <v>20</v>
      </c>
      <c r="B5169">
        <v>88</v>
      </c>
      <c r="C5169">
        <v>44</v>
      </c>
    </row>
    <row r="5170" spans="1:3" hidden="1" x14ac:dyDescent="0.25">
      <c r="A5170" t="s">
        <v>20</v>
      </c>
      <c r="B5170">
        <v>88</v>
      </c>
      <c r="C5170">
        <v>45</v>
      </c>
    </row>
    <row r="5171" spans="1:3" hidden="1" x14ac:dyDescent="0.25">
      <c r="A5171" t="s">
        <v>20</v>
      </c>
      <c r="B5171">
        <v>88</v>
      </c>
      <c r="C5171">
        <v>46</v>
      </c>
    </row>
    <row r="5172" spans="1:3" hidden="1" x14ac:dyDescent="0.25">
      <c r="A5172" t="s">
        <v>20</v>
      </c>
      <c r="B5172">
        <v>88</v>
      </c>
      <c r="C5172">
        <v>47</v>
      </c>
    </row>
    <row r="5173" spans="1:3" hidden="1" x14ac:dyDescent="0.25">
      <c r="A5173" t="s">
        <v>20</v>
      </c>
      <c r="B5173">
        <v>88</v>
      </c>
      <c r="C5173">
        <v>48</v>
      </c>
    </row>
    <row r="5174" spans="1:3" hidden="1" x14ac:dyDescent="0.25">
      <c r="A5174" t="s">
        <v>20</v>
      </c>
      <c r="B5174">
        <v>88</v>
      </c>
      <c r="C5174">
        <v>49</v>
      </c>
    </row>
    <row r="5175" spans="1:3" hidden="1" x14ac:dyDescent="0.25">
      <c r="A5175" t="s">
        <v>20</v>
      </c>
      <c r="B5175">
        <v>88</v>
      </c>
      <c r="C5175">
        <v>50</v>
      </c>
    </row>
    <row r="5176" spans="1:3" hidden="1" x14ac:dyDescent="0.25">
      <c r="A5176" t="s">
        <v>20</v>
      </c>
      <c r="B5176">
        <v>88</v>
      </c>
      <c r="C5176">
        <v>51</v>
      </c>
    </row>
    <row r="5177" spans="1:3" hidden="1" x14ac:dyDescent="0.25">
      <c r="A5177" t="s">
        <v>20</v>
      </c>
      <c r="B5177">
        <v>88</v>
      </c>
      <c r="C5177">
        <v>52</v>
      </c>
    </row>
    <row r="5178" spans="1:3" hidden="1" x14ac:dyDescent="0.25">
      <c r="A5178" t="s">
        <v>20</v>
      </c>
      <c r="B5178">
        <v>88</v>
      </c>
      <c r="C5178">
        <v>53</v>
      </c>
    </row>
    <row r="5179" spans="1:3" hidden="1" x14ac:dyDescent="0.25">
      <c r="A5179" t="s">
        <v>20</v>
      </c>
      <c r="B5179">
        <v>88</v>
      </c>
      <c r="C5179">
        <v>54</v>
      </c>
    </row>
    <row r="5180" spans="1:3" hidden="1" x14ac:dyDescent="0.25">
      <c r="A5180" t="s">
        <v>20</v>
      </c>
      <c r="B5180">
        <v>88</v>
      </c>
      <c r="C5180">
        <v>55</v>
      </c>
    </row>
    <row r="5181" spans="1:3" hidden="1" x14ac:dyDescent="0.25">
      <c r="A5181" t="s">
        <v>20</v>
      </c>
      <c r="B5181">
        <v>88</v>
      </c>
      <c r="C5181">
        <v>56</v>
      </c>
    </row>
    <row r="5182" spans="1:3" hidden="1" x14ac:dyDescent="0.25">
      <c r="A5182" t="s">
        <v>20</v>
      </c>
      <c r="B5182">
        <v>88</v>
      </c>
      <c r="C5182">
        <v>57</v>
      </c>
    </row>
    <row r="5183" spans="1:3" hidden="1" x14ac:dyDescent="0.25">
      <c r="A5183" t="s">
        <v>20</v>
      </c>
      <c r="B5183">
        <v>88</v>
      </c>
      <c r="C5183">
        <v>58</v>
      </c>
    </row>
    <row r="5184" spans="1:3" hidden="1" x14ac:dyDescent="0.25">
      <c r="A5184" t="s">
        <v>20</v>
      </c>
      <c r="B5184">
        <v>88</v>
      </c>
      <c r="C5184">
        <v>59</v>
      </c>
    </row>
    <row r="5185" spans="1:3" hidden="1" x14ac:dyDescent="0.25">
      <c r="A5185" t="s">
        <v>20</v>
      </c>
      <c r="B5185">
        <v>88</v>
      </c>
      <c r="C5185">
        <v>60</v>
      </c>
    </row>
    <row r="5186" spans="1:3" hidden="1" x14ac:dyDescent="0.25">
      <c r="A5186" t="s">
        <v>20</v>
      </c>
      <c r="B5186">
        <v>88</v>
      </c>
      <c r="C5186">
        <v>61</v>
      </c>
    </row>
    <row r="5187" spans="1:3" hidden="1" x14ac:dyDescent="0.25">
      <c r="A5187" t="s">
        <v>20</v>
      </c>
      <c r="B5187">
        <v>88</v>
      </c>
      <c r="C5187">
        <v>62</v>
      </c>
    </row>
    <row r="5188" spans="1:3" hidden="1" x14ac:dyDescent="0.25">
      <c r="A5188" t="s">
        <v>20</v>
      </c>
      <c r="B5188">
        <v>88</v>
      </c>
      <c r="C5188">
        <v>63</v>
      </c>
    </row>
    <row r="5189" spans="1:3" hidden="1" x14ac:dyDescent="0.25">
      <c r="A5189" t="s">
        <v>20</v>
      </c>
      <c r="B5189">
        <v>88</v>
      </c>
      <c r="C5189">
        <v>64</v>
      </c>
    </row>
    <row r="5190" spans="1:3" hidden="1" x14ac:dyDescent="0.25">
      <c r="A5190" t="s">
        <v>20</v>
      </c>
      <c r="B5190">
        <v>88</v>
      </c>
      <c r="C5190">
        <v>65</v>
      </c>
    </row>
    <row r="5191" spans="1:3" hidden="1" x14ac:dyDescent="0.25">
      <c r="A5191" t="s">
        <v>20</v>
      </c>
      <c r="B5191">
        <v>88</v>
      </c>
      <c r="C5191">
        <v>66</v>
      </c>
    </row>
    <row r="5192" spans="1:3" hidden="1" x14ac:dyDescent="0.25">
      <c r="A5192" t="s">
        <v>20</v>
      </c>
      <c r="B5192">
        <v>88</v>
      </c>
      <c r="C5192">
        <v>67</v>
      </c>
    </row>
    <row r="5193" spans="1:3" hidden="1" x14ac:dyDescent="0.25">
      <c r="A5193" t="s">
        <v>20</v>
      </c>
      <c r="B5193">
        <v>88</v>
      </c>
      <c r="C5193">
        <v>68</v>
      </c>
    </row>
    <row r="5194" spans="1:3" hidden="1" x14ac:dyDescent="0.25">
      <c r="A5194" t="s">
        <v>20</v>
      </c>
      <c r="B5194">
        <v>88</v>
      </c>
      <c r="C5194">
        <v>69</v>
      </c>
    </row>
    <row r="5195" spans="1:3" hidden="1" x14ac:dyDescent="0.25">
      <c r="A5195" t="s">
        <v>20</v>
      </c>
      <c r="B5195">
        <v>88</v>
      </c>
      <c r="C5195">
        <v>70</v>
      </c>
    </row>
    <row r="5196" spans="1:3" hidden="1" x14ac:dyDescent="0.25">
      <c r="A5196" t="s">
        <v>20</v>
      </c>
      <c r="B5196">
        <v>88</v>
      </c>
      <c r="C5196">
        <v>71</v>
      </c>
    </row>
    <row r="5197" spans="1:3" hidden="1" x14ac:dyDescent="0.25">
      <c r="A5197" t="s">
        <v>20</v>
      </c>
      <c r="B5197">
        <v>88</v>
      </c>
      <c r="C5197">
        <v>72</v>
      </c>
    </row>
    <row r="5198" spans="1:3" hidden="1" x14ac:dyDescent="0.25">
      <c r="A5198" t="s">
        <v>20</v>
      </c>
      <c r="B5198">
        <v>88</v>
      </c>
      <c r="C5198">
        <v>73</v>
      </c>
    </row>
    <row r="5199" spans="1:3" hidden="1" x14ac:dyDescent="0.25">
      <c r="A5199" t="s">
        <v>20</v>
      </c>
      <c r="B5199">
        <v>88</v>
      </c>
      <c r="C5199">
        <v>74</v>
      </c>
    </row>
    <row r="5200" spans="1:3" hidden="1" x14ac:dyDescent="0.25">
      <c r="A5200" t="s">
        <v>20</v>
      </c>
      <c r="B5200">
        <v>88</v>
      </c>
      <c r="C5200">
        <v>75</v>
      </c>
    </row>
    <row r="5201" spans="1:4" hidden="1" x14ac:dyDescent="0.25">
      <c r="A5201" t="s">
        <v>20</v>
      </c>
      <c r="B5201">
        <v>88</v>
      </c>
      <c r="C5201">
        <v>76</v>
      </c>
    </row>
    <row r="5202" spans="1:4" hidden="1" x14ac:dyDescent="0.25">
      <c r="A5202" t="s">
        <v>20</v>
      </c>
      <c r="B5202">
        <v>88</v>
      </c>
      <c r="C5202">
        <v>77</v>
      </c>
    </row>
    <row r="5203" spans="1:4" hidden="1" x14ac:dyDescent="0.25">
      <c r="A5203" t="s">
        <v>20</v>
      </c>
      <c r="B5203">
        <v>88</v>
      </c>
      <c r="C5203">
        <v>78</v>
      </c>
    </row>
    <row r="5204" spans="1:4" hidden="1" x14ac:dyDescent="0.25">
      <c r="A5204" t="s">
        <v>20</v>
      </c>
      <c r="B5204">
        <v>88</v>
      </c>
      <c r="C5204">
        <v>79</v>
      </c>
    </row>
    <row r="5205" spans="1:4" hidden="1" x14ac:dyDescent="0.25">
      <c r="A5205" t="s">
        <v>20</v>
      </c>
      <c r="B5205">
        <v>88</v>
      </c>
      <c r="C5205">
        <v>80</v>
      </c>
    </row>
    <row r="5206" spans="1:4" hidden="1" x14ac:dyDescent="0.25">
      <c r="A5206" t="s">
        <v>20</v>
      </c>
      <c r="B5206">
        <v>88</v>
      </c>
      <c r="C5206">
        <v>81</v>
      </c>
    </row>
    <row r="5207" spans="1:4" hidden="1" x14ac:dyDescent="0.25">
      <c r="A5207" t="s">
        <v>20</v>
      </c>
      <c r="B5207">
        <v>88</v>
      </c>
      <c r="C5207">
        <v>82</v>
      </c>
    </row>
    <row r="5208" spans="1:4" hidden="1" x14ac:dyDescent="0.25">
      <c r="A5208" t="s">
        <v>20</v>
      </c>
      <c r="B5208">
        <v>88</v>
      </c>
      <c r="C5208">
        <v>83</v>
      </c>
    </row>
    <row r="5209" spans="1:4" hidden="1" x14ac:dyDescent="0.25">
      <c r="A5209" t="s">
        <v>20</v>
      </c>
      <c r="B5209">
        <v>88</v>
      </c>
      <c r="C5209">
        <v>84</v>
      </c>
    </row>
    <row r="5210" spans="1:4" hidden="1" x14ac:dyDescent="0.25">
      <c r="A5210" t="s">
        <v>20</v>
      </c>
      <c r="B5210">
        <v>89</v>
      </c>
      <c r="C5210">
        <v>1</v>
      </c>
      <c r="D5210">
        <v>1</v>
      </c>
    </row>
    <row r="5211" spans="1:4" hidden="1" x14ac:dyDescent="0.25">
      <c r="A5211" t="s">
        <v>20</v>
      </c>
      <c r="B5211">
        <v>89</v>
      </c>
      <c r="C5211">
        <v>2</v>
      </c>
    </row>
    <row r="5212" spans="1:4" hidden="1" x14ac:dyDescent="0.25">
      <c r="A5212" t="s">
        <v>20</v>
      </c>
      <c r="B5212">
        <v>89</v>
      </c>
      <c r="C5212">
        <v>3</v>
      </c>
    </row>
    <row r="5213" spans="1:4" hidden="1" x14ac:dyDescent="0.25">
      <c r="A5213" t="s">
        <v>20</v>
      </c>
      <c r="B5213">
        <v>89</v>
      </c>
      <c r="C5213">
        <v>4</v>
      </c>
    </row>
    <row r="5214" spans="1:4" hidden="1" x14ac:dyDescent="0.25">
      <c r="A5214" t="s">
        <v>20</v>
      </c>
      <c r="B5214">
        <v>89</v>
      </c>
      <c r="C5214">
        <v>5</v>
      </c>
      <c r="D5214">
        <v>1</v>
      </c>
    </row>
    <row r="5215" spans="1:4" hidden="1" x14ac:dyDescent="0.25">
      <c r="A5215" t="s">
        <v>20</v>
      </c>
      <c r="B5215">
        <v>89</v>
      </c>
      <c r="C5215">
        <v>6</v>
      </c>
    </row>
    <row r="5216" spans="1:4" hidden="1" x14ac:dyDescent="0.25">
      <c r="A5216" t="s">
        <v>20</v>
      </c>
      <c r="B5216">
        <v>89</v>
      </c>
      <c r="C5216">
        <v>7</v>
      </c>
      <c r="D5216">
        <v>1</v>
      </c>
    </row>
    <row r="5217" spans="1:4" hidden="1" x14ac:dyDescent="0.25">
      <c r="A5217" t="s">
        <v>20</v>
      </c>
      <c r="B5217">
        <v>89</v>
      </c>
      <c r="C5217">
        <v>8</v>
      </c>
    </row>
    <row r="5218" spans="1:4" hidden="1" x14ac:dyDescent="0.25">
      <c r="A5218" t="s">
        <v>20</v>
      </c>
      <c r="B5218">
        <v>89</v>
      </c>
      <c r="C5218">
        <v>9</v>
      </c>
    </row>
    <row r="5219" spans="1:4" hidden="1" x14ac:dyDescent="0.25">
      <c r="A5219" t="s">
        <v>20</v>
      </c>
      <c r="B5219">
        <v>89</v>
      </c>
      <c r="C5219">
        <v>10</v>
      </c>
      <c r="D5219">
        <v>1</v>
      </c>
    </row>
    <row r="5220" spans="1:4" hidden="1" x14ac:dyDescent="0.25">
      <c r="A5220" t="s">
        <v>20</v>
      </c>
      <c r="B5220">
        <v>89</v>
      </c>
      <c r="C5220">
        <v>11</v>
      </c>
    </row>
    <row r="5221" spans="1:4" hidden="1" x14ac:dyDescent="0.25">
      <c r="A5221" t="s">
        <v>20</v>
      </c>
      <c r="B5221">
        <v>89</v>
      </c>
      <c r="C5221">
        <v>12</v>
      </c>
    </row>
    <row r="5222" spans="1:4" hidden="1" x14ac:dyDescent="0.25">
      <c r="A5222" t="s">
        <v>20</v>
      </c>
      <c r="B5222">
        <v>89</v>
      </c>
      <c r="C5222">
        <v>13</v>
      </c>
    </row>
    <row r="5223" spans="1:4" hidden="1" x14ac:dyDescent="0.25">
      <c r="A5223" t="s">
        <v>20</v>
      </c>
      <c r="B5223">
        <v>89</v>
      </c>
      <c r="C5223">
        <v>14</v>
      </c>
    </row>
    <row r="5224" spans="1:4" hidden="1" x14ac:dyDescent="0.25">
      <c r="A5224" t="s">
        <v>20</v>
      </c>
      <c r="B5224">
        <v>89</v>
      </c>
      <c r="C5224">
        <v>15</v>
      </c>
    </row>
    <row r="5225" spans="1:4" hidden="1" x14ac:dyDescent="0.25">
      <c r="A5225" t="s">
        <v>20</v>
      </c>
      <c r="B5225">
        <v>89</v>
      </c>
      <c r="C5225">
        <v>16</v>
      </c>
    </row>
    <row r="5226" spans="1:4" hidden="1" x14ac:dyDescent="0.25">
      <c r="A5226" t="s">
        <v>20</v>
      </c>
      <c r="B5226">
        <v>89</v>
      </c>
      <c r="C5226">
        <v>17</v>
      </c>
    </row>
    <row r="5227" spans="1:4" hidden="1" x14ac:dyDescent="0.25">
      <c r="A5227" t="s">
        <v>20</v>
      </c>
      <c r="B5227">
        <v>89</v>
      </c>
      <c r="C5227">
        <v>18</v>
      </c>
    </row>
    <row r="5228" spans="1:4" hidden="1" x14ac:dyDescent="0.25">
      <c r="A5228" t="s">
        <v>20</v>
      </c>
      <c r="B5228">
        <v>89</v>
      </c>
      <c r="C5228">
        <v>19</v>
      </c>
    </row>
    <row r="5229" spans="1:4" hidden="1" x14ac:dyDescent="0.25">
      <c r="A5229" t="s">
        <v>20</v>
      </c>
      <c r="B5229">
        <v>89</v>
      </c>
      <c r="C5229">
        <v>20</v>
      </c>
      <c r="D5229">
        <v>1</v>
      </c>
    </row>
    <row r="5230" spans="1:4" hidden="1" x14ac:dyDescent="0.25">
      <c r="A5230" t="s">
        <v>20</v>
      </c>
      <c r="B5230">
        <v>89</v>
      </c>
      <c r="C5230">
        <v>21</v>
      </c>
    </row>
    <row r="5231" spans="1:4" hidden="1" x14ac:dyDescent="0.25">
      <c r="A5231" t="s">
        <v>20</v>
      </c>
      <c r="B5231">
        <v>89</v>
      </c>
      <c r="C5231">
        <v>22</v>
      </c>
      <c r="D5231">
        <v>1</v>
      </c>
    </row>
    <row r="5232" spans="1:4" hidden="1" x14ac:dyDescent="0.25">
      <c r="A5232" t="s">
        <v>20</v>
      </c>
      <c r="B5232">
        <v>89</v>
      </c>
      <c r="C5232">
        <v>23</v>
      </c>
    </row>
    <row r="5233" spans="1:4" hidden="1" x14ac:dyDescent="0.25">
      <c r="A5233" t="s">
        <v>20</v>
      </c>
      <c r="B5233">
        <v>89</v>
      </c>
      <c r="C5233">
        <v>24</v>
      </c>
    </row>
    <row r="5234" spans="1:4" hidden="1" x14ac:dyDescent="0.25">
      <c r="A5234" t="s">
        <v>20</v>
      </c>
      <c r="B5234">
        <v>89</v>
      </c>
      <c r="C5234">
        <v>25</v>
      </c>
      <c r="D5234">
        <v>1</v>
      </c>
    </row>
    <row r="5235" spans="1:4" hidden="1" x14ac:dyDescent="0.25">
      <c r="A5235" t="s">
        <v>20</v>
      </c>
      <c r="B5235">
        <v>89</v>
      </c>
      <c r="C5235">
        <v>26</v>
      </c>
    </row>
    <row r="5236" spans="1:4" hidden="1" x14ac:dyDescent="0.25">
      <c r="A5236" t="s">
        <v>20</v>
      </c>
      <c r="B5236">
        <v>89</v>
      </c>
      <c r="C5236">
        <v>27</v>
      </c>
    </row>
    <row r="5237" spans="1:4" hidden="1" x14ac:dyDescent="0.25">
      <c r="A5237" t="s">
        <v>20</v>
      </c>
      <c r="B5237">
        <v>89</v>
      </c>
      <c r="C5237">
        <v>28</v>
      </c>
    </row>
    <row r="5238" spans="1:4" hidden="1" x14ac:dyDescent="0.25">
      <c r="A5238" t="s">
        <v>20</v>
      </c>
      <c r="B5238">
        <v>89</v>
      </c>
      <c r="C5238">
        <v>29</v>
      </c>
      <c r="D5238">
        <v>1</v>
      </c>
    </row>
    <row r="5239" spans="1:4" hidden="1" x14ac:dyDescent="0.25">
      <c r="A5239" t="s">
        <v>20</v>
      </c>
      <c r="B5239">
        <v>89</v>
      </c>
      <c r="C5239">
        <v>30</v>
      </c>
    </row>
    <row r="5240" spans="1:4" hidden="1" x14ac:dyDescent="0.25">
      <c r="A5240" t="s">
        <v>20</v>
      </c>
      <c r="B5240">
        <v>89</v>
      </c>
      <c r="C5240">
        <v>31</v>
      </c>
    </row>
    <row r="5241" spans="1:4" hidden="1" x14ac:dyDescent="0.25">
      <c r="A5241" t="s">
        <v>20</v>
      </c>
      <c r="B5241">
        <v>89</v>
      </c>
      <c r="C5241">
        <v>32</v>
      </c>
    </row>
    <row r="5242" spans="1:4" hidden="1" x14ac:dyDescent="0.25">
      <c r="A5242" t="s">
        <v>20</v>
      </c>
      <c r="B5242">
        <v>89</v>
      </c>
      <c r="C5242">
        <v>33</v>
      </c>
    </row>
    <row r="5243" spans="1:4" hidden="1" x14ac:dyDescent="0.25">
      <c r="A5243" t="s">
        <v>20</v>
      </c>
      <c r="B5243">
        <v>89</v>
      </c>
      <c r="C5243">
        <v>34</v>
      </c>
      <c r="D5243">
        <v>1</v>
      </c>
    </row>
    <row r="5244" spans="1:4" hidden="1" x14ac:dyDescent="0.25">
      <c r="A5244" t="s">
        <v>20</v>
      </c>
      <c r="B5244">
        <v>89</v>
      </c>
      <c r="C5244">
        <v>35</v>
      </c>
    </row>
    <row r="5245" spans="1:4" hidden="1" x14ac:dyDescent="0.25">
      <c r="A5245" t="s">
        <v>20</v>
      </c>
      <c r="B5245">
        <v>89</v>
      </c>
      <c r="C5245">
        <v>36</v>
      </c>
    </row>
    <row r="5246" spans="1:4" hidden="1" x14ac:dyDescent="0.25">
      <c r="A5246" t="s">
        <v>20</v>
      </c>
      <c r="B5246">
        <v>89</v>
      </c>
      <c r="C5246">
        <v>37</v>
      </c>
      <c r="D5246">
        <v>1</v>
      </c>
    </row>
    <row r="5247" spans="1:4" hidden="1" x14ac:dyDescent="0.25">
      <c r="A5247" t="s">
        <v>20</v>
      </c>
      <c r="B5247">
        <v>89</v>
      </c>
      <c r="C5247">
        <v>38</v>
      </c>
    </row>
    <row r="5248" spans="1:4" hidden="1" x14ac:dyDescent="0.25">
      <c r="A5248" t="s">
        <v>20</v>
      </c>
      <c r="B5248">
        <v>89</v>
      </c>
      <c r="C5248">
        <v>39</v>
      </c>
    </row>
    <row r="5249" spans="1:4" hidden="1" x14ac:dyDescent="0.25">
      <c r="A5249" t="s">
        <v>20</v>
      </c>
      <c r="B5249">
        <v>89</v>
      </c>
      <c r="C5249">
        <v>40</v>
      </c>
      <c r="D5249">
        <v>1</v>
      </c>
    </row>
    <row r="5250" spans="1:4" hidden="1" x14ac:dyDescent="0.25">
      <c r="A5250" t="s">
        <v>20</v>
      </c>
      <c r="B5250">
        <v>89</v>
      </c>
      <c r="C5250">
        <v>41</v>
      </c>
    </row>
    <row r="5251" spans="1:4" hidden="1" x14ac:dyDescent="0.25">
      <c r="A5251" t="s">
        <v>20</v>
      </c>
      <c r="B5251">
        <v>89</v>
      </c>
      <c r="C5251">
        <v>42</v>
      </c>
    </row>
    <row r="5252" spans="1:4" hidden="1" x14ac:dyDescent="0.25">
      <c r="A5252" t="s">
        <v>20</v>
      </c>
      <c r="B5252">
        <v>89</v>
      </c>
      <c r="C5252">
        <v>43</v>
      </c>
    </row>
    <row r="5253" spans="1:4" hidden="1" x14ac:dyDescent="0.25">
      <c r="A5253" t="s">
        <v>20</v>
      </c>
      <c r="B5253">
        <v>89</v>
      </c>
      <c r="C5253">
        <v>44</v>
      </c>
      <c r="D5253">
        <v>1</v>
      </c>
    </row>
    <row r="5254" spans="1:4" hidden="1" x14ac:dyDescent="0.25">
      <c r="A5254" t="s">
        <v>20</v>
      </c>
      <c r="B5254">
        <v>89</v>
      </c>
      <c r="C5254">
        <v>45</v>
      </c>
    </row>
    <row r="5255" spans="1:4" hidden="1" x14ac:dyDescent="0.25">
      <c r="A5255" t="s">
        <v>20</v>
      </c>
      <c r="B5255">
        <v>89</v>
      </c>
      <c r="C5255">
        <v>46</v>
      </c>
      <c r="D5255">
        <v>1</v>
      </c>
    </row>
    <row r="5256" spans="1:4" hidden="1" x14ac:dyDescent="0.25">
      <c r="A5256" t="s">
        <v>20</v>
      </c>
      <c r="B5256">
        <v>89</v>
      </c>
      <c r="C5256">
        <v>47</v>
      </c>
    </row>
    <row r="5257" spans="1:4" hidden="1" x14ac:dyDescent="0.25">
      <c r="A5257" t="s">
        <v>20</v>
      </c>
      <c r="B5257">
        <v>89</v>
      </c>
      <c r="C5257">
        <v>48</v>
      </c>
    </row>
    <row r="5258" spans="1:4" hidden="1" x14ac:dyDescent="0.25">
      <c r="A5258" t="s">
        <v>20</v>
      </c>
      <c r="B5258">
        <v>89</v>
      </c>
      <c r="C5258">
        <v>49</v>
      </c>
      <c r="D5258">
        <v>1</v>
      </c>
    </row>
    <row r="5259" spans="1:4" hidden="1" x14ac:dyDescent="0.25">
      <c r="A5259" t="s">
        <v>20</v>
      </c>
      <c r="B5259">
        <v>89</v>
      </c>
      <c r="C5259">
        <v>50</v>
      </c>
    </row>
    <row r="5260" spans="1:4" hidden="1" x14ac:dyDescent="0.25">
      <c r="A5260" t="s">
        <v>20</v>
      </c>
      <c r="B5260">
        <v>89</v>
      </c>
      <c r="C5260">
        <v>51</v>
      </c>
    </row>
    <row r="5261" spans="1:4" hidden="1" x14ac:dyDescent="0.25">
      <c r="A5261" t="s">
        <v>20</v>
      </c>
      <c r="B5261">
        <v>89</v>
      </c>
      <c r="C5261">
        <v>52</v>
      </c>
    </row>
    <row r="5262" spans="1:4" hidden="1" x14ac:dyDescent="0.25">
      <c r="A5262" t="s">
        <v>20</v>
      </c>
      <c r="B5262">
        <v>89</v>
      </c>
      <c r="C5262">
        <v>53</v>
      </c>
      <c r="D5262">
        <v>1</v>
      </c>
    </row>
    <row r="5263" spans="1:4" hidden="1" x14ac:dyDescent="0.25">
      <c r="A5263" t="s">
        <v>20</v>
      </c>
      <c r="B5263">
        <v>89</v>
      </c>
      <c r="C5263">
        <v>54</v>
      </c>
    </row>
    <row r="5264" spans="1:4" hidden="1" x14ac:dyDescent="0.25">
      <c r="A5264" t="s">
        <v>20</v>
      </c>
      <c r="B5264">
        <v>89</v>
      </c>
      <c r="C5264">
        <v>55</v>
      </c>
      <c r="D5264">
        <v>1</v>
      </c>
    </row>
    <row r="5265" spans="1:4" hidden="1" x14ac:dyDescent="0.25">
      <c r="A5265" t="s">
        <v>20</v>
      </c>
      <c r="B5265">
        <v>89</v>
      </c>
      <c r="C5265">
        <v>56</v>
      </c>
    </row>
    <row r="5266" spans="1:4" hidden="1" x14ac:dyDescent="0.25">
      <c r="A5266" t="s">
        <v>20</v>
      </c>
      <c r="B5266">
        <v>89</v>
      </c>
      <c r="C5266">
        <v>57</v>
      </c>
    </row>
    <row r="5267" spans="1:4" hidden="1" x14ac:dyDescent="0.25">
      <c r="A5267" t="s">
        <v>20</v>
      </c>
      <c r="B5267">
        <v>89</v>
      </c>
      <c r="C5267">
        <v>58</v>
      </c>
    </row>
    <row r="5268" spans="1:4" hidden="1" x14ac:dyDescent="0.25">
      <c r="A5268" t="s">
        <v>20</v>
      </c>
      <c r="B5268">
        <v>89</v>
      </c>
      <c r="C5268">
        <v>59</v>
      </c>
    </row>
    <row r="5269" spans="1:4" hidden="1" x14ac:dyDescent="0.25">
      <c r="A5269" t="s">
        <v>20</v>
      </c>
      <c r="B5269">
        <v>89</v>
      </c>
      <c r="C5269">
        <v>60</v>
      </c>
    </row>
    <row r="5270" spans="1:4" hidden="1" x14ac:dyDescent="0.25">
      <c r="A5270" t="s">
        <v>20</v>
      </c>
      <c r="B5270">
        <v>89</v>
      </c>
      <c r="C5270">
        <v>61</v>
      </c>
    </row>
    <row r="5271" spans="1:4" hidden="1" x14ac:dyDescent="0.25">
      <c r="A5271" t="s">
        <v>20</v>
      </c>
      <c r="B5271">
        <v>89</v>
      </c>
      <c r="C5271">
        <v>62</v>
      </c>
      <c r="D5271">
        <v>1</v>
      </c>
    </row>
    <row r="5272" spans="1:4" hidden="1" x14ac:dyDescent="0.25">
      <c r="A5272" t="s">
        <v>20</v>
      </c>
      <c r="B5272">
        <v>89</v>
      </c>
      <c r="C5272">
        <v>63</v>
      </c>
    </row>
    <row r="5273" spans="1:4" hidden="1" x14ac:dyDescent="0.25">
      <c r="A5273" t="s">
        <v>20</v>
      </c>
      <c r="B5273">
        <v>89</v>
      </c>
      <c r="C5273">
        <v>64</v>
      </c>
    </row>
    <row r="5274" spans="1:4" hidden="1" x14ac:dyDescent="0.25">
      <c r="A5274" t="s">
        <v>20</v>
      </c>
      <c r="B5274">
        <v>89</v>
      </c>
      <c r="C5274">
        <v>65</v>
      </c>
      <c r="D5274">
        <v>1</v>
      </c>
    </row>
    <row r="5275" spans="1:4" hidden="1" x14ac:dyDescent="0.25">
      <c r="A5275" t="s">
        <v>20</v>
      </c>
      <c r="B5275">
        <v>89</v>
      </c>
      <c r="C5275">
        <v>66</v>
      </c>
    </row>
    <row r="5276" spans="1:4" hidden="1" x14ac:dyDescent="0.25">
      <c r="A5276" t="s">
        <v>20</v>
      </c>
      <c r="B5276">
        <v>89</v>
      </c>
      <c r="C5276">
        <v>67</v>
      </c>
      <c r="D5276">
        <v>1</v>
      </c>
    </row>
    <row r="5277" spans="1:4" hidden="1" x14ac:dyDescent="0.25">
      <c r="A5277" t="s">
        <v>20</v>
      </c>
      <c r="B5277">
        <v>89</v>
      </c>
      <c r="C5277">
        <v>68</v>
      </c>
    </row>
    <row r="5278" spans="1:4" hidden="1" x14ac:dyDescent="0.25">
      <c r="A5278" t="s">
        <v>20</v>
      </c>
      <c r="B5278">
        <v>89</v>
      </c>
      <c r="C5278">
        <v>69</v>
      </c>
    </row>
    <row r="5279" spans="1:4" hidden="1" x14ac:dyDescent="0.25">
      <c r="A5279" t="s">
        <v>20</v>
      </c>
      <c r="B5279">
        <v>89</v>
      </c>
      <c r="C5279">
        <v>70</v>
      </c>
    </row>
    <row r="5280" spans="1:4" hidden="1" x14ac:dyDescent="0.25">
      <c r="A5280" t="s">
        <v>20</v>
      </c>
      <c r="B5280">
        <v>89</v>
      </c>
      <c r="C5280">
        <v>71</v>
      </c>
    </row>
    <row r="5281" spans="1:4" hidden="1" x14ac:dyDescent="0.25">
      <c r="A5281" t="s">
        <v>20</v>
      </c>
      <c r="B5281">
        <v>89</v>
      </c>
      <c r="C5281">
        <v>72</v>
      </c>
    </row>
    <row r="5282" spans="1:4" hidden="1" x14ac:dyDescent="0.25">
      <c r="A5282" t="s">
        <v>20</v>
      </c>
      <c r="B5282">
        <v>89</v>
      </c>
      <c r="C5282">
        <v>73</v>
      </c>
      <c r="D5282">
        <v>1</v>
      </c>
    </row>
    <row r="5283" spans="1:4" hidden="1" x14ac:dyDescent="0.25">
      <c r="A5283" t="s">
        <v>20</v>
      </c>
      <c r="B5283">
        <v>89</v>
      </c>
      <c r="C5283">
        <v>74</v>
      </c>
    </row>
    <row r="5284" spans="1:4" hidden="1" x14ac:dyDescent="0.25">
      <c r="A5284" t="s">
        <v>20</v>
      </c>
      <c r="B5284">
        <v>89</v>
      </c>
      <c r="C5284">
        <v>75</v>
      </c>
    </row>
    <row r="5285" spans="1:4" hidden="1" x14ac:dyDescent="0.25">
      <c r="A5285" t="s">
        <v>20</v>
      </c>
      <c r="B5285">
        <v>89</v>
      </c>
      <c r="C5285">
        <v>76</v>
      </c>
      <c r="D5285">
        <v>1</v>
      </c>
    </row>
    <row r="5286" spans="1:4" hidden="1" x14ac:dyDescent="0.25">
      <c r="A5286" t="s">
        <v>20</v>
      </c>
      <c r="B5286">
        <v>89</v>
      </c>
      <c r="C5286">
        <v>77</v>
      </c>
    </row>
    <row r="5287" spans="1:4" hidden="1" x14ac:dyDescent="0.25">
      <c r="A5287" t="s">
        <v>20</v>
      </c>
      <c r="B5287">
        <v>89</v>
      </c>
      <c r="C5287">
        <v>78</v>
      </c>
    </row>
    <row r="5288" spans="1:4" hidden="1" x14ac:dyDescent="0.25">
      <c r="A5288" t="s">
        <v>20</v>
      </c>
      <c r="B5288">
        <v>89</v>
      </c>
      <c r="C5288">
        <v>79</v>
      </c>
      <c r="D5288">
        <v>1</v>
      </c>
    </row>
    <row r="5289" spans="1:4" hidden="1" x14ac:dyDescent="0.25">
      <c r="A5289" t="s">
        <v>20</v>
      </c>
      <c r="B5289">
        <v>89</v>
      </c>
      <c r="C5289">
        <v>80</v>
      </c>
    </row>
    <row r="5290" spans="1:4" hidden="1" x14ac:dyDescent="0.25">
      <c r="A5290" t="s">
        <v>20</v>
      </c>
      <c r="B5290">
        <v>89</v>
      </c>
      <c r="C5290">
        <v>81</v>
      </c>
    </row>
    <row r="5291" spans="1:4" hidden="1" x14ac:dyDescent="0.25">
      <c r="A5291" t="s">
        <v>20</v>
      </c>
      <c r="B5291">
        <v>89</v>
      </c>
      <c r="C5291">
        <v>82</v>
      </c>
    </row>
    <row r="5292" spans="1:4" hidden="1" x14ac:dyDescent="0.25">
      <c r="A5292" t="s">
        <v>20</v>
      </c>
      <c r="B5292">
        <v>89</v>
      </c>
      <c r="C5292">
        <v>83</v>
      </c>
    </row>
    <row r="5293" spans="1:4" hidden="1" x14ac:dyDescent="0.25">
      <c r="A5293" t="s">
        <v>20</v>
      </c>
      <c r="B5293">
        <v>89</v>
      </c>
      <c r="C5293">
        <v>84</v>
      </c>
    </row>
    <row r="5294" spans="1:4" hidden="1" x14ac:dyDescent="0.25">
      <c r="A5294" t="s">
        <v>20</v>
      </c>
      <c r="B5294">
        <v>95</v>
      </c>
      <c r="C5294">
        <v>1</v>
      </c>
    </row>
    <row r="5295" spans="1:4" hidden="1" x14ac:dyDescent="0.25">
      <c r="A5295" t="s">
        <v>20</v>
      </c>
      <c r="B5295">
        <v>95</v>
      </c>
      <c r="C5295">
        <v>2</v>
      </c>
    </row>
    <row r="5296" spans="1:4" hidden="1" x14ac:dyDescent="0.25">
      <c r="A5296" t="s">
        <v>20</v>
      </c>
      <c r="B5296">
        <v>95</v>
      </c>
      <c r="C5296">
        <v>3</v>
      </c>
    </row>
    <row r="5297" spans="1:3" hidden="1" x14ac:dyDescent="0.25">
      <c r="A5297" t="s">
        <v>20</v>
      </c>
      <c r="B5297">
        <v>95</v>
      </c>
      <c r="C5297">
        <v>4</v>
      </c>
    </row>
    <row r="5298" spans="1:3" hidden="1" x14ac:dyDescent="0.25">
      <c r="A5298" t="s">
        <v>20</v>
      </c>
      <c r="B5298">
        <v>95</v>
      </c>
      <c r="C5298">
        <v>5</v>
      </c>
    </row>
    <row r="5299" spans="1:3" hidden="1" x14ac:dyDescent="0.25">
      <c r="A5299" t="s">
        <v>20</v>
      </c>
      <c r="B5299">
        <v>95</v>
      </c>
      <c r="C5299">
        <v>6</v>
      </c>
    </row>
    <row r="5300" spans="1:3" hidden="1" x14ac:dyDescent="0.25">
      <c r="A5300" t="s">
        <v>20</v>
      </c>
      <c r="B5300">
        <v>95</v>
      </c>
      <c r="C5300">
        <v>7</v>
      </c>
    </row>
    <row r="5301" spans="1:3" hidden="1" x14ac:dyDescent="0.25">
      <c r="A5301" t="s">
        <v>20</v>
      </c>
      <c r="B5301">
        <v>95</v>
      </c>
      <c r="C5301">
        <v>8</v>
      </c>
    </row>
    <row r="5302" spans="1:3" hidden="1" x14ac:dyDescent="0.25">
      <c r="A5302" t="s">
        <v>20</v>
      </c>
      <c r="B5302">
        <v>95</v>
      </c>
      <c r="C5302">
        <v>9</v>
      </c>
    </row>
    <row r="5303" spans="1:3" hidden="1" x14ac:dyDescent="0.25">
      <c r="A5303" t="s">
        <v>20</v>
      </c>
      <c r="B5303">
        <v>95</v>
      </c>
      <c r="C5303">
        <v>10</v>
      </c>
    </row>
    <row r="5304" spans="1:3" hidden="1" x14ac:dyDescent="0.25">
      <c r="A5304" t="s">
        <v>20</v>
      </c>
      <c r="B5304">
        <v>95</v>
      </c>
      <c r="C5304">
        <v>11</v>
      </c>
    </row>
    <row r="5305" spans="1:3" hidden="1" x14ac:dyDescent="0.25">
      <c r="A5305" t="s">
        <v>20</v>
      </c>
      <c r="B5305">
        <v>95</v>
      </c>
      <c r="C5305">
        <v>12</v>
      </c>
    </row>
    <row r="5306" spans="1:3" hidden="1" x14ac:dyDescent="0.25">
      <c r="A5306" t="s">
        <v>20</v>
      </c>
      <c r="B5306">
        <v>95</v>
      </c>
      <c r="C5306">
        <v>13</v>
      </c>
    </row>
    <row r="5307" spans="1:3" hidden="1" x14ac:dyDescent="0.25">
      <c r="A5307" t="s">
        <v>20</v>
      </c>
      <c r="B5307">
        <v>95</v>
      </c>
      <c r="C5307">
        <v>14</v>
      </c>
    </row>
    <row r="5308" spans="1:3" hidden="1" x14ac:dyDescent="0.25">
      <c r="A5308" t="s">
        <v>20</v>
      </c>
      <c r="B5308">
        <v>95</v>
      </c>
      <c r="C5308">
        <v>15</v>
      </c>
    </row>
    <row r="5309" spans="1:3" hidden="1" x14ac:dyDescent="0.25">
      <c r="A5309" t="s">
        <v>20</v>
      </c>
      <c r="B5309">
        <v>95</v>
      </c>
      <c r="C5309">
        <v>16</v>
      </c>
    </row>
    <row r="5310" spans="1:3" hidden="1" x14ac:dyDescent="0.25">
      <c r="A5310" t="s">
        <v>20</v>
      </c>
      <c r="B5310">
        <v>95</v>
      </c>
      <c r="C5310">
        <v>17</v>
      </c>
    </row>
    <row r="5311" spans="1:3" hidden="1" x14ac:dyDescent="0.25">
      <c r="A5311" t="s">
        <v>20</v>
      </c>
      <c r="B5311">
        <v>95</v>
      </c>
      <c r="C5311">
        <v>18</v>
      </c>
    </row>
    <row r="5312" spans="1:3" hidden="1" x14ac:dyDescent="0.25">
      <c r="A5312" t="s">
        <v>20</v>
      </c>
      <c r="B5312">
        <v>95</v>
      </c>
      <c r="C5312">
        <v>19</v>
      </c>
    </row>
    <row r="5313" spans="1:3" hidden="1" x14ac:dyDescent="0.25">
      <c r="A5313" t="s">
        <v>20</v>
      </c>
      <c r="B5313">
        <v>95</v>
      </c>
      <c r="C5313">
        <v>20</v>
      </c>
    </row>
    <row r="5314" spans="1:3" hidden="1" x14ac:dyDescent="0.25">
      <c r="A5314" t="s">
        <v>20</v>
      </c>
      <c r="B5314">
        <v>95</v>
      </c>
      <c r="C5314">
        <v>21</v>
      </c>
    </row>
    <row r="5315" spans="1:3" hidden="1" x14ac:dyDescent="0.25">
      <c r="A5315" t="s">
        <v>20</v>
      </c>
      <c r="B5315">
        <v>95</v>
      </c>
      <c r="C5315">
        <v>22</v>
      </c>
    </row>
    <row r="5316" spans="1:3" hidden="1" x14ac:dyDescent="0.25">
      <c r="A5316" t="s">
        <v>20</v>
      </c>
      <c r="B5316">
        <v>95</v>
      </c>
      <c r="C5316">
        <v>23</v>
      </c>
    </row>
    <row r="5317" spans="1:3" hidden="1" x14ac:dyDescent="0.25">
      <c r="A5317" t="s">
        <v>20</v>
      </c>
      <c r="B5317">
        <v>95</v>
      </c>
      <c r="C5317">
        <v>24</v>
      </c>
    </row>
    <row r="5318" spans="1:3" hidden="1" x14ac:dyDescent="0.25">
      <c r="A5318" t="s">
        <v>20</v>
      </c>
      <c r="B5318">
        <v>95</v>
      </c>
      <c r="C5318">
        <v>25</v>
      </c>
    </row>
    <row r="5319" spans="1:3" hidden="1" x14ac:dyDescent="0.25">
      <c r="A5319" t="s">
        <v>20</v>
      </c>
      <c r="B5319">
        <v>95</v>
      </c>
      <c r="C5319">
        <v>26</v>
      </c>
    </row>
    <row r="5320" spans="1:3" hidden="1" x14ac:dyDescent="0.25">
      <c r="A5320" t="s">
        <v>20</v>
      </c>
      <c r="B5320">
        <v>95</v>
      </c>
      <c r="C5320">
        <v>27</v>
      </c>
    </row>
    <row r="5321" spans="1:3" hidden="1" x14ac:dyDescent="0.25">
      <c r="A5321" t="s">
        <v>20</v>
      </c>
      <c r="B5321">
        <v>95</v>
      </c>
      <c r="C5321">
        <v>28</v>
      </c>
    </row>
    <row r="5322" spans="1:3" hidden="1" x14ac:dyDescent="0.25">
      <c r="A5322" t="s">
        <v>20</v>
      </c>
      <c r="B5322">
        <v>95</v>
      </c>
      <c r="C5322">
        <v>29</v>
      </c>
    </row>
    <row r="5323" spans="1:3" hidden="1" x14ac:dyDescent="0.25">
      <c r="A5323" t="s">
        <v>20</v>
      </c>
      <c r="B5323">
        <v>95</v>
      </c>
      <c r="C5323">
        <v>30</v>
      </c>
    </row>
    <row r="5324" spans="1:3" hidden="1" x14ac:dyDescent="0.25">
      <c r="A5324" t="s">
        <v>20</v>
      </c>
      <c r="B5324">
        <v>95</v>
      </c>
      <c r="C5324">
        <v>31</v>
      </c>
    </row>
    <row r="5325" spans="1:3" hidden="1" x14ac:dyDescent="0.25">
      <c r="A5325" t="s">
        <v>20</v>
      </c>
      <c r="B5325">
        <v>95</v>
      </c>
      <c r="C5325">
        <v>32</v>
      </c>
    </row>
    <row r="5326" spans="1:3" hidden="1" x14ac:dyDescent="0.25">
      <c r="A5326" t="s">
        <v>20</v>
      </c>
      <c r="B5326">
        <v>95</v>
      </c>
      <c r="C5326">
        <v>33</v>
      </c>
    </row>
    <row r="5327" spans="1:3" hidden="1" x14ac:dyDescent="0.25">
      <c r="A5327" t="s">
        <v>20</v>
      </c>
      <c r="B5327">
        <v>95</v>
      </c>
      <c r="C5327">
        <v>34</v>
      </c>
    </row>
    <row r="5328" spans="1:3" hidden="1" x14ac:dyDescent="0.25">
      <c r="A5328" t="s">
        <v>20</v>
      </c>
      <c r="B5328">
        <v>95</v>
      </c>
      <c r="C5328">
        <v>35</v>
      </c>
    </row>
    <row r="5329" spans="1:3" hidden="1" x14ac:dyDescent="0.25">
      <c r="A5329" t="s">
        <v>20</v>
      </c>
      <c r="B5329">
        <v>95</v>
      </c>
      <c r="C5329">
        <v>36</v>
      </c>
    </row>
    <row r="5330" spans="1:3" hidden="1" x14ac:dyDescent="0.25">
      <c r="A5330" t="s">
        <v>20</v>
      </c>
      <c r="B5330">
        <v>95</v>
      </c>
      <c r="C5330">
        <v>37</v>
      </c>
    </row>
    <row r="5331" spans="1:3" hidden="1" x14ac:dyDescent="0.25">
      <c r="A5331" t="s">
        <v>20</v>
      </c>
      <c r="B5331">
        <v>95</v>
      </c>
      <c r="C5331">
        <v>38</v>
      </c>
    </row>
    <row r="5332" spans="1:3" hidden="1" x14ac:dyDescent="0.25">
      <c r="A5332" t="s">
        <v>20</v>
      </c>
      <c r="B5332">
        <v>95</v>
      </c>
      <c r="C5332">
        <v>39</v>
      </c>
    </row>
    <row r="5333" spans="1:3" hidden="1" x14ac:dyDescent="0.25">
      <c r="A5333" t="s">
        <v>20</v>
      </c>
      <c r="B5333">
        <v>95</v>
      </c>
      <c r="C5333">
        <v>40</v>
      </c>
    </row>
    <row r="5334" spans="1:3" hidden="1" x14ac:dyDescent="0.25">
      <c r="A5334" t="s">
        <v>20</v>
      </c>
      <c r="B5334">
        <v>95</v>
      </c>
      <c r="C5334">
        <v>41</v>
      </c>
    </row>
    <row r="5335" spans="1:3" hidden="1" x14ac:dyDescent="0.25">
      <c r="A5335" t="s">
        <v>20</v>
      </c>
      <c r="B5335">
        <v>95</v>
      </c>
      <c r="C5335">
        <v>42</v>
      </c>
    </row>
    <row r="5336" spans="1:3" hidden="1" x14ac:dyDescent="0.25">
      <c r="A5336" t="s">
        <v>20</v>
      </c>
      <c r="B5336">
        <v>95</v>
      </c>
      <c r="C5336">
        <v>43</v>
      </c>
    </row>
    <row r="5337" spans="1:3" hidden="1" x14ac:dyDescent="0.25">
      <c r="A5337" t="s">
        <v>20</v>
      </c>
      <c r="B5337">
        <v>95</v>
      </c>
      <c r="C5337">
        <v>44</v>
      </c>
    </row>
    <row r="5338" spans="1:3" hidden="1" x14ac:dyDescent="0.25">
      <c r="A5338" t="s">
        <v>20</v>
      </c>
      <c r="B5338">
        <v>95</v>
      </c>
      <c r="C5338">
        <v>45</v>
      </c>
    </row>
    <row r="5339" spans="1:3" hidden="1" x14ac:dyDescent="0.25">
      <c r="A5339" t="s">
        <v>20</v>
      </c>
      <c r="B5339">
        <v>95</v>
      </c>
      <c r="C5339">
        <v>46</v>
      </c>
    </row>
    <row r="5340" spans="1:3" hidden="1" x14ac:dyDescent="0.25">
      <c r="A5340" t="s">
        <v>20</v>
      </c>
      <c r="B5340">
        <v>95</v>
      </c>
      <c r="C5340">
        <v>47</v>
      </c>
    </row>
    <row r="5341" spans="1:3" hidden="1" x14ac:dyDescent="0.25">
      <c r="A5341" t="s">
        <v>20</v>
      </c>
      <c r="B5341">
        <v>95</v>
      </c>
      <c r="C5341">
        <v>48</v>
      </c>
    </row>
    <row r="5342" spans="1:3" hidden="1" x14ac:dyDescent="0.25">
      <c r="A5342" t="s">
        <v>20</v>
      </c>
      <c r="B5342">
        <v>95</v>
      </c>
      <c r="C5342">
        <v>49</v>
      </c>
    </row>
    <row r="5343" spans="1:3" hidden="1" x14ac:dyDescent="0.25">
      <c r="A5343" t="s">
        <v>20</v>
      </c>
      <c r="B5343">
        <v>95</v>
      </c>
      <c r="C5343">
        <v>50</v>
      </c>
    </row>
    <row r="5344" spans="1:3" hidden="1" x14ac:dyDescent="0.25">
      <c r="A5344" t="s">
        <v>20</v>
      </c>
      <c r="B5344">
        <v>95</v>
      </c>
      <c r="C5344">
        <v>51</v>
      </c>
    </row>
    <row r="5345" spans="1:3" hidden="1" x14ac:dyDescent="0.25">
      <c r="A5345" t="s">
        <v>20</v>
      </c>
      <c r="B5345">
        <v>95</v>
      </c>
      <c r="C5345">
        <v>52</v>
      </c>
    </row>
    <row r="5346" spans="1:3" hidden="1" x14ac:dyDescent="0.25">
      <c r="A5346" t="s">
        <v>20</v>
      </c>
      <c r="B5346">
        <v>95</v>
      </c>
      <c r="C5346">
        <v>53</v>
      </c>
    </row>
    <row r="5347" spans="1:3" hidden="1" x14ac:dyDescent="0.25">
      <c r="A5347" t="s">
        <v>20</v>
      </c>
      <c r="B5347">
        <v>95</v>
      </c>
      <c r="C5347">
        <v>54</v>
      </c>
    </row>
    <row r="5348" spans="1:3" hidden="1" x14ac:dyDescent="0.25">
      <c r="A5348" t="s">
        <v>20</v>
      </c>
      <c r="B5348">
        <v>95</v>
      </c>
      <c r="C5348">
        <v>55</v>
      </c>
    </row>
    <row r="5349" spans="1:3" hidden="1" x14ac:dyDescent="0.25">
      <c r="A5349" t="s">
        <v>20</v>
      </c>
      <c r="B5349">
        <v>95</v>
      </c>
      <c r="C5349">
        <v>56</v>
      </c>
    </row>
    <row r="5350" spans="1:3" hidden="1" x14ac:dyDescent="0.25">
      <c r="A5350" t="s">
        <v>20</v>
      </c>
      <c r="B5350">
        <v>95</v>
      </c>
      <c r="C5350">
        <v>57</v>
      </c>
    </row>
    <row r="5351" spans="1:3" hidden="1" x14ac:dyDescent="0.25">
      <c r="A5351" t="s">
        <v>20</v>
      </c>
      <c r="B5351">
        <v>95</v>
      </c>
      <c r="C5351">
        <v>58</v>
      </c>
    </row>
    <row r="5352" spans="1:3" hidden="1" x14ac:dyDescent="0.25">
      <c r="A5352" t="s">
        <v>20</v>
      </c>
      <c r="B5352">
        <v>95</v>
      </c>
      <c r="C5352">
        <v>59</v>
      </c>
    </row>
    <row r="5353" spans="1:3" hidden="1" x14ac:dyDescent="0.25">
      <c r="A5353" t="s">
        <v>20</v>
      </c>
      <c r="B5353">
        <v>95</v>
      </c>
      <c r="C5353">
        <v>60</v>
      </c>
    </row>
    <row r="5354" spans="1:3" hidden="1" x14ac:dyDescent="0.25">
      <c r="A5354" t="s">
        <v>20</v>
      </c>
      <c r="B5354">
        <v>95</v>
      </c>
      <c r="C5354">
        <v>61</v>
      </c>
    </row>
    <row r="5355" spans="1:3" hidden="1" x14ac:dyDescent="0.25">
      <c r="A5355" t="s">
        <v>20</v>
      </c>
      <c r="B5355">
        <v>95</v>
      </c>
      <c r="C5355">
        <v>62</v>
      </c>
    </row>
    <row r="5356" spans="1:3" hidden="1" x14ac:dyDescent="0.25">
      <c r="A5356" t="s">
        <v>20</v>
      </c>
      <c r="B5356">
        <v>95</v>
      </c>
      <c r="C5356">
        <v>63</v>
      </c>
    </row>
    <row r="5357" spans="1:3" hidden="1" x14ac:dyDescent="0.25">
      <c r="A5357" t="s">
        <v>20</v>
      </c>
      <c r="B5357">
        <v>95</v>
      </c>
      <c r="C5357">
        <v>64</v>
      </c>
    </row>
    <row r="5358" spans="1:3" hidden="1" x14ac:dyDescent="0.25">
      <c r="A5358" t="s">
        <v>20</v>
      </c>
      <c r="B5358">
        <v>95</v>
      </c>
      <c r="C5358">
        <v>65</v>
      </c>
    </row>
    <row r="5359" spans="1:3" hidden="1" x14ac:dyDescent="0.25">
      <c r="A5359" t="s">
        <v>20</v>
      </c>
      <c r="B5359">
        <v>95</v>
      </c>
      <c r="C5359">
        <v>66</v>
      </c>
    </row>
    <row r="5360" spans="1:3" hidden="1" x14ac:dyDescent="0.25">
      <c r="A5360" t="s">
        <v>20</v>
      </c>
      <c r="B5360">
        <v>95</v>
      </c>
      <c r="C5360">
        <v>67</v>
      </c>
    </row>
    <row r="5361" spans="1:3" hidden="1" x14ac:dyDescent="0.25">
      <c r="A5361" t="s">
        <v>20</v>
      </c>
      <c r="B5361">
        <v>95</v>
      </c>
      <c r="C5361">
        <v>68</v>
      </c>
    </row>
    <row r="5362" spans="1:3" hidden="1" x14ac:dyDescent="0.25">
      <c r="A5362" t="s">
        <v>20</v>
      </c>
      <c r="B5362">
        <v>95</v>
      </c>
      <c r="C5362">
        <v>69</v>
      </c>
    </row>
    <row r="5363" spans="1:3" hidden="1" x14ac:dyDescent="0.25">
      <c r="A5363" t="s">
        <v>20</v>
      </c>
      <c r="B5363">
        <v>95</v>
      </c>
      <c r="C5363">
        <v>70</v>
      </c>
    </row>
    <row r="5364" spans="1:3" hidden="1" x14ac:dyDescent="0.25">
      <c r="A5364" t="s">
        <v>20</v>
      </c>
      <c r="B5364">
        <v>95</v>
      </c>
      <c r="C5364">
        <v>71</v>
      </c>
    </row>
    <row r="5365" spans="1:3" hidden="1" x14ac:dyDescent="0.25">
      <c r="A5365" t="s">
        <v>20</v>
      </c>
      <c r="B5365">
        <v>95</v>
      </c>
      <c r="C5365">
        <v>72</v>
      </c>
    </row>
    <row r="5366" spans="1:3" hidden="1" x14ac:dyDescent="0.25">
      <c r="A5366" t="s">
        <v>20</v>
      </c>
      <c r="B5366">
        <v>95</v>
      </c>
      <c r="C5366">
        <v>73</v>
      </c>
    </row>
    <row r="5367" spans="1:3" hidden="1" x14ac:dyDescent="0.25">
      <c r="A5367" t="s">
        <v>20</v>
      </c>
      <c r="B5367">
        <v>95</v>
      </c>
      <c r="C5367">
        <v>74</v>
      </c>
    </row>
    <row r="5368" spans="1:3" hidden="1" x14ac:dyDescent="0.25">
      <c r="A5368" t="s">
        <v>20</v>
      </c>
      <c r="B5368">
        <v>95</v>
      </c>
      <c r="C5368">
        <v>75</v>
      </c>
    </row>
    <row r="5369" spans="1:3" hidden="1" x14ac:dyDescent="0.25">
      <c r="A5369" t="s">
        <v>20</v>
      </c>
      <c r="B5369">
        <v>95</v>
      </c>
      <c r="C5369">
        <v>76</v>
      </c>
    </row>
    <row r="5370" spans="1:3" hidden="1" x14ac:dyDescent="0.25">
      <c r="A5370" t="s">
        <v>20</v>
      </c>
      <c r="B5370">
        <v>95</v>
      </c>
      <c r="C5370">
        <v>77</v>
      </c>
    </row>
    <row r="5371" spans="1:3" hidden="1" x14ac:dyDescent="0.25">
      <c r="A5371" t="s">
        <v>20</v>
      </c>
      <c r="B5371">
        <v>95</v>
      </c>
      <c r="C5371">
        <v>78</v>
      </c>
    </row>
    <row r="5372" spans="1:3" hidden="1" x14ac:dyDescent="0.25">
      <c r="A5372" t="s">
        <v>20</v>
      </c>
      <c r="B5372">
        <v>95</v>
      </c>
      <c r="C5372">
        <v>79</v>
      </c>
    </row>
    <row r="5373" spans="1:3" hidden="1" x14ac:dyDescent="0.25">
      <c r="A5373" t="s">
        <v>20</v>
      </c>
      <c r="B5373">
        <v>95</v>
      </c>
      <c r="C5373">
        <v>80</v>
      </c>
    </row>
    <row r="5374" spans="1:3" hidden="1" x14ac:dyDescent="0.25">
      <c r="A5374" t="s">
        <v>20</v>
      </c>
      <c r="B5374">
        <v>95</v>
      </c>
      <c r="C5374">
        <v>81</v>
      </c>
    </row>
    <row r="5375" spans="1:3" hidden="1" x14ac:dyDescent="0.25">
      <c r="A5375" t="s">
        <v>20</v>
      </c>
      <c r="B5375">
        <v>95</v>
      </c>
      <c r="C5375">
        <v>82</v>
      </c>
    </row>
    <row r="5376" spans="1:3" hidden="1" x14ac:dyDescent="0.25">
      <c r="A5376" t="s">
        <v>20</v>
      </c>
      <c r="B5376">
        <v>95</v>
      </c>
      <c r="C5376">
        <v>83</v>
      </c>
    </row>
    <row r="5377" spans="1:3" hidden="1" x14ac:dyDescent="0.25">
      <c r="A5377" t="s">
        <v>20</v>
      </c>
      <c r="B5377">
        <v>95</v>
      </c>
      <c r="C5377">
        <v>84</v>
      </c>
    </row>
    <row r="5378" spans="1:3" hidden="1" x14ac:dyDescent="0.25">
      <c r="A5378" t="s">
        <v>20</v>
      </c>
      <c r="B5378">
        <v>99</v>
      </c>
      <c r="C5378">
        <v>1</v>
      </c>
    </row>
    <row r="5379" spans="1:3" hidden="1" x14ac:dyDescent="0.25">
      <c r="A5379" t="s">
        <v>20</v>
      </c>
      <c r="B5379">
        <v>99</v>
      </c>
      <c r="C5379">
        <v>2</v>
      </c>
    </row>
    <row r="5380" spans="1:3" hidden="1" x14ac:dyDescent="0.25">
      <c r="A5380" t="s">
        <v>20</v>
      </c>
      <c r="B5380">
        <v>99</v>
      </c>
      <c r="C5380">
        <v>3</v>
      </c>
    </row>
    <row r="5381" spans="1:3" hidden="1" x14ac:dyDescent="0.25">
      <c r="A5381" t="s">
        <v>20</v>
      </c>
      <c r="B5381">
        <v>99</v>
      </c>
      <c r="C5381">
        <v>4</v>
      </c>
    </row>
    <row r="5382" spans="1:3" hidden="1" x14ac:dyDescent="0.25">
      <c r="A5382" t="s">
        <v>20</v>
      </c>
      <c r="B5382">
        <v>99</v>
      </c>
      <c r="C5382">
        <v>5</v>
      </c>
    </row>
    <row r="5383" spans="1:3" hidden="1" x14ac:dyDescent="0.25">
      <c r="A5383" t="s">
        <v>20</v>
      </c>
      <c r="B5383">
        <v>99</v>
      </c>
      <c r="C5383">
        <v>6</v>
      </c>
    </row>
    <row r="5384" spans="1:3" hidden="1" x14ac:dyDescent="0.25">
      <c r="A5384" t="s">
        <v>20</v>
      </c>
      <c r="B5384">
        <v>99</v>
      </c>
      <c r="C5384">
        <v>7</v>
      </c>
    </row>
    <row r="5385" spans="1:3" hidden="1" x14ac:dyDescent="0.25">
      <c r="A5385" t="s">
        <v>20</v>
      </c>
      <c r="B5385">
        <v>99</v>
      </c>
      <c r="C5385">
        <v>8</v>
      </c>
    </row>
    <row r="5386" spans="1:3" hidden="1" x14ac:dyDescent="0.25">
      <c r="A5386" t="s">
        <v>20</v>
      </c>
      <c r="B5386">
        <v>99</v>
      </c>
      <c r="C5386">
        <v>9</v>
      </c>
    </row>
    <row r="5387" spans="1:3" hidden="1" x14ac:dyDescent="0.25">
      <c r="A5387" t="s">
        <v>20</v>
      </c>
      <c r="B5387">
        <v>99</v>
      </c>
      <c r="C5387">
        <v>10</v>
      </c>
    </row>
    <row r="5388" spans="1:3" hidden="1" x14ac:dyDescent="0.25">
      <c r="A5388" t="s">
        <v>20</v>
      </c>
      <c r="B5388">
        <v>99</v>
      </c>
      <c r="C5388">
        <v>11</v>
      </c>
    </row>
    <row r="5389" spans="1:3" hidden="1" x14ac:dyDescent="0.25">
      <c r="A5389" t="s">
        <v>20</v>
      </c>
      <c r="B5389">
        <v>99</v>
      </c>
      <c r="C5389">
        <v>12</v>
      </c>
    </row>
    <row r="5390" spans="1:3" hidden="1" x14ac:dyDescent="0.25">
      <c r="A5390" t="s">
        <v>20</v>
      </c>
      <c r="B5390">
        <v>99</v>
      </c>
      <c r="C5390">
        <v>13</v>
      </c>
    </row>
    <row r="5391" spans="1:3" hidden="1" x14ac:dyDescent="0.25">
      <c r="A5391" t="s">
        <v>20</v>
      </c>
      <c r="B5391">
        <v>99</v>
      </c>
      <c r="C5391">
        <v>14</v>
      </c>
    </row>
    <row r="5392" spans="1:3" hidden="1" x14ac:dyDescent="0.25">
      <c r="A5392" t="s">
        <v>20</v>
      </c>
      <c r="B5392">
        <v>99</v>
      </c>
      <c r="C5392">
        <v>15</v>
      </c>
    </row>
    <row r="5393" spans="1:3" hidden="1" x14ac:dyDescent="0.25">
      <c r="A5393" t="s">
        <v>20</v>
      </c>
      <c r="B5393">
        <v>99</v>
      </c>
      <c r="C5393">
        <v>16</v>
      </c>
    </row>
    <row r="5394" spans="1:3" hidden="1" x14ac:dyDescent="0.25">
      <c r="A5394" t="s">
        <v>20</v>
      </c>
      <c r="B5394">
        <v>99</v>
      </c>
      <c r="C5394">
        <v>17</v>
      </c>
    </row>
    <row r="5395" spans="1:3" hidden="1" x14ac:dyDescent="0.25">
      <c r="A5395" t="s">
        <v>20</v>
      </c>
      <c r="B5395">
        <v>99</v>
      </c>
      <c r="C5395">
        <v>18</v>
      </c>
    </row>
    <row r="5396" spans="1:3" hidden="1" x14ac:dyDescent="0.25">
      <c r="A5396" t="s">
        <v>20</v>
      </c>
      <c r="B5396">
        <v>99</v>
      </c>
      <c r="C5396">
        <v>19</v>
      </c>
    </row>
    <row r="5397" spans="1:3" hidden="1" x14ac:dyDescent="0.25">
      <c r="A5397" t="s">
        <v>20</v>
      </c>
      <c r="B5397">
        <v>99</v>
      </c>
      <c r="C5397">
        <v>20</v>
      </c>
    </row>
    <row r="5398" spans="1:3" hidden="1" x14ac:dyDescent="0.25">
      <c r="A5398" t="s">
        <v>20</v>
      </c>
      <c r="B5398">
        <v>99</v>
      </c>
      <c r="C5398">
        <v>21</v>
      </c>
    </row>
    <row r="5399" spans="1:3" hidden="1" x14ac:dyDescent="0.25">
      <c r="A5399" t="s">
        <v>20</v>
      </c>
      <c r="B5399">
        <v>99</v>
      </c>
      <c r="C5399">
        <v>22</v>
      </c>
    </row>
    <row r="5400" spans="1:3" hidden="1" x14ac:dyDescent="0.25">
      <c r="A5400" t="s">
        <v>20</v>
      </c>
      <c r="B5400">
        <v>99</v>
      </c>
      <c r="C5400">
        <v>23</v>
      </c>
    </row>
    <row r="5401" spans="1:3" hidden="1" x14ac:dyDescent="0.25">
      <c r="A5401" t="s">
        <v>20</v>
      </c>
      <c r="B5401">
        <v>99</v>
      </c>
      <c r="C5401">
        <v>24</v>
      </c>
    </row>
    <row r="5402" spans="1:3" hidden="1" x14ac:dyDescent="0.25">
      <c r="A5402" t="s">
        <v>20</v>
      </c>
      <c r="B5402">
        <v>99</v>
      </c>
      <c r="C5402">
        <v>25</v>
      </c>
    </row>
    <row r="5403" spans="1:3" hidden="1" x14ac:dyDescent="0.25">
      <c r="A5403" t="s">
        <v>20</v>
      </c>
      <c r="B5403">
        <v>99</v>
      </c>
      <c r="C5403">
        <v>26</v>
      </c>
    </row>
    <row r="5404" spans="1:3" hidden="1" x14ac:dyDescent="0.25">
      <c r="A5404" t="s">
        <v>20</v>
      </c>
      <c r="B5404">
        <v>99</v>
      </c>
      <c r="C5404">
        <v>27</v>
      </c>
    </row>
    <row r="5405" spans="1:3" hidden="1" x14ac:dyDescent="0.25">
      <c r="A5405" t="s">
        <v>20</v>
      </c>
      <c r="B5405">
        <v>99</v>
      </c>
      <c r="C5405">
        <v>28</v>
      </c>
    </row>
    <row r="5406" spans="1:3" hidden="1" x14ac:dyDescent="0.25">
      <c r="A5406" t="s">
        <v>20</v>
      </c>
      <c r="B5406">
        <v>99</v>
      </c>
      <c r="C5406">
        <v>29</v>
      </c>
    </row>
    <row r="5407" spans="1:3" hidden="1" x14ac:dyDescent="0.25">
      <c r="A5407" t="s">
        <v>20</v>
      </c>
      <c r="B5407">
        <v>99</v>
      </c>
      <c r="C5407">
        <v>30</v>
      </c>
    </row>
    <row r="5408" spans="1:3" hidden="1" x14ac:dyDescent="0.25">
      <c r="A5408" t="s">
        <v>20</v>
      </c>
      <c r="B5408">
        <v>99</v>
      </c>
      <c r="C5408">
        <v>31</v>
      </c>
    </row>
    <row r="5409" spans="1:3" hidden="1" x14ac:dyDescent="0.25">
      <c r="A5409" t="s">
        <v>20</v>
      </c>
      <c r="B5409">
        <v>99</v>
      </c>
      <c r="C5409">
        <v>32</v>
      </c>
    </row>
    <row r="5410" spans="1:3" hidden="1" x14ac:dyDescent="0.25">
      <c r="A5410" t="s">
        <v>20</v>
      </c>
      <c r="B5410">
        <v>99</v>
      </c>
      <c r="C5410">
        <v>33</v>
      </c>
    </row>
    <row r="5411" spans="1:3" hidden="1" x14ac:dyDescent="0.25">
      <c r="A5411" t="s">
        <v>20</v>
      </c>
      <c r="B5411">
        <v>99</v>
      </c>
      <c r="C5411">
        <v>34</v>
      </c>
    </row>
    <row r="5412" spans="1:3" hidden="1" x14ac:dyDescent="0.25">
      <c r="A5412" t="s">
        <v>20</v>
      </c>
      <c r="B5412">
        <v>99</v>
      </c>
      <c r="C5412">
        <v>35</v>
      </c>
    </row>
    <row r="5413" spans="1:3" hidden="1" x14ac:dyDescent="0.25">
      <c r="A5413" t="s">
        <v>20</v>
      </c>
      <c r="B5413">
        <v>99</v>
      </c>
      <c r="C5413">
        <v>36</v>
      </c>
    </row>
    <row r="5414" spans="1:3" hidden="1" x14ac:dyDescent="0.25">
      <c r="A5414" t="s">
        <v>20</v>
      </c>
      <c r="B5414">
        <v>99</v>
      </c>
      <c r="C5414">
        <v>37</v>
      </c>
    </row>
    <row r="5415" spans="1:3" hidden="1" x14ac:dyDescent="0.25">
      <c r="A5415" t="s">
        <v>20</v>
      </c>
      <c r="B5415">
        <v>99</v>
      </c>
      <c r="C5415">
        <v>38</v>
      </c>
    </row>
    <row r="5416" spans="1:3" hidden="1" x14ac:dyDescent="0.25">
      <c r="A5416" t="s">
        <v>20</v>
      </c>
      <c r="B5416">
        <v>99</v>
      </c>
      <c r="C5416">
        <v>39</v>
      </c>
    </row>
    <row r="5417" spans="1:3" hidden="1" x14ac:dyDescent="0.25">
      <c r="A5417" t="s">
        <v>20</v>
      </c>
      <c r="B5417">
        <v>99</v>
      </c>
      <c r="C5417">
        <v>40</v>
      </c>
    </row>
    <row r="5418" spans="1:3" hidden="1" x14ac:dyDescent="0.25">
      <c r="A5418" t="s">
        <v>20</v>
      </c>
      <c r="B5418">
        <v>99</v>
      </c>
      <c r="C5418">
        <v>41</v>
      </c>
    </row>
    <row r="5419" spans="1:3" hidden="1" x14ac:dyDescent="0.25">
      <c r="A5419" t="s">
        <v>20</v>
      </c>
      <c r="B5419">
        <v>99</v>
      </c>
      <c r="C5419">
        <v>42</v>
      </c>
    </row>
    <row r="5420" spans="1:3" hidden="1" x14ac:dyDescent="0.25">
      <c r="A5420" t="s">
        <v>20</v>
      </c>
      <c r="B5420">
        <v>99</v>
      </c>
      <c r="C5420">
        <v>43</v>
      </c>
    </row>
    <row r="5421" spans="1:3" hidden="1" x14ac:dyDescent="0.25">
      <c r="A5421" t="s">
        <v>20</v>
      </c>
      <c r="B5421">
        <v>99</v>
      </c>
      <c r="C5421">
        <v>44</v>
      </c>
    </row>
    <row r="5422" spans="1:3" hidden="1" x14ac:dyDescent="0.25">
      <c r="A5422" t="s">
        <v>20</v>
      </c>
      <c r="B5422">
        <v>99</v>
      </c>
      <c r="C5422">
        <v>45</v>
      </c>
    </row>
    <row r="5423" spans="1:3" hidden="1" x14ac:dyDescent="0.25">
      <c r="A5423" t="s">
        <v>20</v>
      </c>
      <c r="B5423">
        <v>99</v>
      </c>
      <c r="C5423">
        <v>46</v>
      </c>
    </row>
    <row r="5424" spans="1:3" hidden="1" x14ac:dyDescent="0.25">
      <c r="A5424" t="s">
        <v>20</v>
      </c>
      <c r="B5424">
        <v>99</v>
      </c>
      <c r="C5424">
        <v>47</v>
      </c>
    </row>
    <row r="5425" spans="1:3" hidden="1" x14ac:dyDescent="0.25">
      <c r="A5425" t="s">
        <v>20</v>
      </c>
      <c r="B5425">
        <v>99</v>
      </c>
      <c r="C5425">
        <v>48</v>
      </c>
    </row>
    <row r="5426" spans="1:3" hidden="1" x14ac:dyDescent="0.25">
      <c r="A5426" t="s">
        <v>20</v>
      </c>
      <c r="B5426">
        <v>99</v>
      </c>
      <c r="C5426">
        <v>49</v>
      </c>
    </row>
    <row r="5427" spans="1:3" hidden="1" x14ac:dyDescent="0.25">
      <c r="A5427" t="s">
        <v>20</v>
      </c>
      <c r="B5427">
        <v>99</v>
      </c>
      <c r="C5427">
        <v>50</v>
      </c>
    </row>
    <row r="5428" spans="1:3" hidden="1" x14ac:dyDescent="0.25">
      <c r="A5428" t="s">
        <v>20</v>
      </c>
      <c r="B5428">
        <v>99</v>
      </c>
      <c r="C5428">
        <v>51</v>
      </c>
    </row>
    <row r="5429" spans="1:3" hidden="1" x14ac:dyDescent="0.25">
      <c r="A5429" t="s">
        <v>20</v>
      </c>
      <c r="B5429">
        <v>99</v>
      </c>
      <c r="C5429">
        <v>52</v>
      </c>
    </row>
    <row r="5430" spans="1:3" hidden="1" x14ac:dyDescent="0.25">
      <c r="A5430" t="s">
        <v>20</v>
      </c>
      <c r="B5430">
        <v>99</v>
      </c>
      <c r="C5430">
        <v>53</v>
      </c>
    </row>
    <row r="5431" spans="1:3" hidden="1" x14ac:dyDescent="0.25">
      <c r="A5431" t="s">
        <v>20</v>
      </c>
      <c r="B5431">
        <v>99</v>
      </c>
      <c r="C5431">
        <v>54</v>
      </c>
    </row>
    <row r="5432" spans="1:3" hidden="1" x14ac:dyDescent="0.25">
      <c r="A5432" t="s">
        <v>20</v>
      </c>
      <c r="B5432">
        <v>99</v>
      </c>
      <c r="C5432">
        <v>55</v>
      </c>
    </row>
    <row r="5433" spans="1:3" hidden="1" x14ac:dyDescent="0.25">
      <c r="A5433" t="s">
        <v>20</v>
      </c>
      <c r="B5433">
        <v>99</v>
      </c>
      <c r="C5433">
        <v>56</v>
      </c>
    </row>
    <row r="5434" spans="1:3" hidden="1" x14ac:dyDescent="0.25">
      <c r="A5434" t="s">
        <v>20</v>
      </c>
      <c r="B5434">
        <v>99</v>
      </c>
      <c r="C5434">
        <v>57</v>
      </c>
    </row>
    <row r="5435" spans="1:3" hidden="1" x14ac:dyDescent="0.25">
      <c r="A5435" t="s">
        <v>20</v>
      </c>
      <c r="B5435">
        <v>99</v>
      </c>
      <c r="C5435">
        <v>58</v>
      </c>
    </row>
    <row r="5436" spans="1:3" hidden="1" x14ac:dyDescent="0.25">
      <c r="A5436" t="s">
        <v>20</v>
      </c>
      <c r="B5436">
        <v>99</v>
      </c>
      <c r="C5436">
        <v>59</v>
      </c>
    </row>
    <row r="5437" spans="1:3" hidden="1" x14ac:dyDescent="0.25">
      <c r="A5437" t="s">
        <v>20</v>
      </c>
      <c r="B5437">
        <v>99</v>
      </c>
      <c r="C5437">
        <v>60</v>
      </c>
    </row>
    <row r="5438" spans="1:3" hidden="1" x14ac:dyDescent="0.25">
      <c r="A5438" t="s">
        <v>20</v>
      </c>
      <c r="B5438">
        <v>99</v>
      </c>
      <c r="C5438">
        <v>61</v>
      </c>
    </row>
    <row r="5439" spans="1:3" hidden="1" x14ac:dyDescent="0.25">
      <c r="A5439" t="s">
        <v>20</v>
      </c>
      <c r="B5439">
        <v>99</v>
      </c>
      <c r="C5439">
        <v>62</v>
      </c>
    </row>
    <row r="5440" spans="1:3" hidden="1" x14ac:dyDescent="0.25">
      <c r="A5440" t="s">
        <v>20</v>
      </c>
      <c r="B5440">
        <v>99</v>
      </c>
      <c r="C5440">
        <v>63</v>
      </c>
    </row>
    <row r="5441" spans="1:3" hidden="1" x14ac:dyDescent="0.25">
      <c r="A5441" t="s">
        <v>20</v>
      </c>
      <c r="B5441">
        <v>99</v>
      </c>
      <c r="C5441">
        <v>64</v>
      </c>
    </row>
    <row r="5442" spans="1:3" hidden="1" x14ac:dyDescent="0.25">
      <c r="A5442" t="s">
        <v>20</v>
      </c>
      <c r="B5442">
        <v>99</v>
      </c>
      <c r="C5442">
        <v>65</v>
      </c>
    </row>
    <row r="5443" spans="1:3" hidden="1" x14ac:dyDescent="0.25">
      <c r="A5443" t="s">
        <v>20</v>
      </c>
      <c r="B5443">
        <v>99</v>
      </c>
      <c r="C5443">
        <v>66</v>
      </c>
    </row>
    <row r="5444" spans="1:3" hidden="1" x14ac:dyDescent="0.25">
      <c r="A5444" t="s">
        <v>20</v>
      </c>
      <c r="B5444">
        <v>99</v>
      </c>
      <c r="C5444">
        <v>67</v>
      </c>
    </row>
    <row r="5445" spans="1:3" hidden="1" x14ac:dyDescent="0.25">
      <c r="A5445" t="s">
        <v>20</v>
      </c>
      <c r="B5445">
        <v>99</v>
      </c>
      <c r="C5445">
        <v>68</v>
      </c>
    </row>
    <row r="5446" spans="1:3" hidden="1" x14ac:dyDescent="0.25">
      <c r="A5446" t="s">
        <v>20</v>
      </c>
      <c r="B5446">
        <v>99</v>
      </c>
      <c r="C5446">
        <v>69</v>
      </c>
    </row>
    <row r="5447" spans="1:3" hidden="1" x14ac:dyDescent="0.25">
      <c r="A5447" t="s">
        <v>20</v>
      </c>
      <c r="B5447">
        <v>99</v>
      </c>
      <c r="C5447">
        <v>70</v>
      </c>
    </row>
    <row r="5448" spans="1:3" hidden="1" x14ac:dyDescent="0.25">
      <c r="A5448" t="s">
        <v>20</v>
      </c>
      <c r="B5448">
        <v>99</v>
      </c>
      <c r="C5448">
        <v>71</v>
      </c>
    </row>
    <row r="5449" spans="1:3" hidden="1" x14ac:dyDescent="0.25">
      <c r="A5449" t="s">
        <v>20</v>
      </c>
      <c r="B5449">
        <v>99</v>
      </c>
      <c r="C5449">
        <v>72</v>
      </c>
    </row>
    <row r="5450" spans="1:3" hidden="1" x14ac:dyDescent="0.25">
      <c r="A5450" t="s">
        <v>20</v>
      </c>
      <c r="B5450">
        <v>99</v>
      </c>
      <c r="C5450">
        <v>73</v>
      </c>
    </row>
    <row r="5451" spans="1:3" hidden="1" x14ac:dyDescent="0.25">
      <c r="A5451" t="s">
        <v>20</v>
      </c>
      <c r="B5451">
        <v>99</v>
      </c>
      <c r="C5451">
        <v>74</v>
      </c>
    </row>
    <row r="5452" spans="1:3" hidden="1" x14ac:dyDescent="0.25">
      <c r="A5452" t="s">
        <v>20</v>
      </c>
      <c r="B5452">
        <v>99</v>
      </c>
      <c r="C5452">
        <v>75</v>
      </c>
    </row>
    <row r="5453" spans="1:3" hidden="1" x14ac:dyDescent="0.25">
      <c r="A5453" t="s">
        <v>20</v>
      </c>
      <c r="B5453">
        <v>99</v>
      </c>
      <c r="C5453">
        <v>76</v>
      </c>
    </row>
    <row r="5454" spans="1:3" hidden="1" x14ac:dyDescent="0.25">
      <c r="A5454" t="s">
        <v>20</v>
      </c>
      <c r="B5454">
        <v>99</v>
      </c>
      <c r="C5454">
        <v>77</v>
      </c>
    </row>
    <row r="5455" spans="1:3" hidden="1" x14ac:dyDescent="0.25">
      <c r="A5455" t="s">
        <v>20</v>
      </c>
      <c r="B5455">
        <v>99</v>
      </c>
      <c r="C5455">
        <v>78</v>
      </c>
    </row>
    <row r="5456" spans="1:3" hidden="1" x14ac:dyDescent="0.25">
      <c r="A5456" t="s">
        <v>20</v>
      </c>
      <c r="B5456">
        <v>99</v>
      </c>
      <c r="C5456">
        <v>79</v>
      </c>
    </row>
    <row r="5457" spans="1:3" hidden="1" x14ac:dyDescent="0.25">
      <c r="A5457" t="s">
        <v>20</v>
      </c>
      <c r="B5457">
        <v>99</v>
      </c>
      <c r="C5457">
        <v>80</v>
      </c>
    </row>
    <row r="5458" spans="1:3" hidden="1" x14ac:dyDescent="0.25">
      <c r="A5458" t="s">
        <v>20</v>
      </c>
      <c r="B5458">
        <v>99</v>
      </c>
      <c r="C5458">
        <v>81</v>
      </c>
    </row>
    <row r="5459" spans="1:3" hidden="1" x14ac:dyDescent="0.25">
      <c r="A5459" t="s">
        <v>20</v>
      </c>
      <c r="B5459">
        <v>99</v>
      </c>
      <c r="C5459">
        <v>82</v>
      </c>
    </row>
    <row r="5460" spans="1:3" hidden="1" x14ac:dyDescent="0.25">
      <c r="A5460" t="s">
        <v>20</v>
      </c>
      <c r="B5460">
        <v>99</v>
      </c>
      <c r="C5460">
        <v>83</v>
      </c>
    </row>
    <row r="5461" spans="1:3" hidden="1" x14ac:dyDescent="0.25">
      <c r="A5461" t="s">
        <v>20</v>
      </c>
      <c r="B5461">
        <v>99</v>
      </c>
      <c r="C5461">
        <v>84</v>
      </c>
    </row>
    <row r="5462" spans="1:3" hidden="1" x14ac:dyDescent="0.25">
      <c r="A5462" t="s">
        <v>20</v>
      </c>
      <c r="B5462">
        <v>104</v>
      </c>
      <c r="C5462">
        <v>1</v>
      </c>
    </row>
    <row r="5463" spans="1:3" hidden="1" x14ac:dyDescent="0.25">
      <c r="A5463" t="s">
        <v>20</v>
      </c>
      <c r="B5463">
        <v>104</v>
      </c>
      <c r="C5463">
        <v>2</v>
      </c>
    </row>
    <row r="5464" spans="1:3" hidden="1" x14ac:dyDescent="0.25">
      <c r="A5464" t="s">
        <v>20</v>
      </c>
      <c r="B5464">
        <v>104</v>
      </c>
      <c r="C5464">
        <v>3</v>
      </c>
    </row>
    <row r="5465" spans="1:3" hidden="1" x14ac:dyDescent="0.25">
      <c r="A5465" t="s">
        <v>20</v>
      </c>
      <c r="B5465">
        <v>104</v>
      </c>
      <c r="C5465">
        <v>4</v>
      </c>
    </row>
    <row r="5466" spans="1:3" hidden="1" x14ac:dyDescent="0.25">
      <c r="A5466" t="s">
        <v>20</v>
      </c>
      <c r="B5466">
        <v>104</v>
      </c>
      <c r="C5466">
        <v>5</v>
      </c>
    </row>
    <row r="5467" spans="1:3" hidden="1" x14ac:dyDescent="0.25">
      <c r="A5467" t="s">
        <v>20</v>
      </c>
      <c r="B5467">
        <v>104</v>
      </c>
      <c r="C5467">
        <v>6</v>
      </c>
    </row>
    <row r="5468" spans="1:3" hidden="1" x14ac:dyDescent="0.25">
      <c r="A5468" t="s">
        <v>20</v>
      </c>
      <c r="B5468">
        <v>104</v>
      </c>
      <c r="C5468">
        <v>7</v>
      </c>
    </row>
    <row r="5469" spans="1:3" hidden="1" x14ac:dyDescent="0.25">
      <c r="A5469" t="s">
        <v>20</v>
      </c>
      <c r="B5469">
        <v>104</v>
      </c>
      <c r="C5469">
        <v>8</v>
      </c>
    </row>
    <row r="5470" spans="1:3" hidden="1" x14ac:dyDescent="0.25">
      <c r="A5470" t="s">
        <v>20</v>
      </c>
      <c r="B5470">
        <v>104</v>
      </c>
      <c r="C5470">
        <v>9</v>
      </c>
    </row>
    <row r="5471" spans="1:3" hidden="1" x14ac:dyDescent="0.25">
      <c r="A5471" t="s">
        <v>20</v>
      </c>
      <c r="B5471">
        <v>104</v>
      </c>
      <c r="C5471">
        <v>10</v>
      </c>
    </row>
    <row r="5472" spans="1:3" hidden="1" x14ac:dyDescent="0.25">
      <c r="A5472" t="s">
        <v>20</v>
      </c>
      <c r="B5472">
        <v>104</v>
      </c>
      <c r="C5472">
        <v>11</v>
      </c>
    </row>
    <row r="5473" spans="1:3" hidden="1" x14ac:dyDescent="0.25">
      <c r="A5473" t="s">
        <v>20</v>
      </c>
      <c r="B5473">
        <v>104</v>
      </c>
      <c r="C5473">
        <v>12</v>
      </c>
    </row>
    <row r="5474" spans="1:3" hidden="1" x14ac:dyDescent="0.25">
      <c r="A5474" t="s">
        <v>20</v>
      </c>
      <c r="B5474">
        <v>104</v>
      </c>
      <c r="C5474">
        <v>13</v>
      </c>
    </row>
    <row r="5475" spans="1:3" hidden="1" x14ac:dyDescent="0.25">
      <c r="A5475" t="s">
        <v>20</v>
      </c>
      <c r="B5475">
        <v>104</v>
      </c>
      <c r="C5475">
        <v>14</v>
      </c>
    </row>
    <row r="5476" spans="1:3" hidden="1" x14ac:dyDescent="0.25">
      <c r="A5476" t="s">
        <v>20</v>
      </c>
      <c r="B5476">
        <v>104</v>
      </c>
      <c r="C5476">
        <v>15</v>
      </c>
    </row>
    <row r="5477" spans="1:3" hidden="1" x14ac:dyDescent="0.25">
      <c r="A5477" t="s">
        <v>20</v>
      </c>
      <c r="B5477">
        <v>104</v>
      </c>
      <c r="C5477">
        <v>16</v>
      </c>
    </row>
    <row r="5478" spans="1:3" hidden="1" x14ac:dyDescent="0.25">
      <c r="A5478" t="s">
        <v>20</v>
      </c>
      <c r="B5478">
        <v>104</v>
      </c>
      <c r="C5478">
        <v>17</v>
      </c>
    </row>
    <row r="5479" spans="1:3" hidden="1" x14ac:dyDescent="0.25">
      <c r="A5479" t="s">
        <v>20</v>
      </c>
      <c r="B5479">
        <v>104</v>
      </c>
      <c r="C5479">
        <v>18</v>
      </c>
    </row>
    <row r="5480" spans="1:3" hidden="1" x14ac:dyDescent="0.25">
      <c r="A5480" t="s">
        <v>20</v>
      </c>
      <c r="B5480">
        <v>104</v>
      </c>
      <c r="C5480">
        <v>19</v>
      </c>
    </row>
    <row r="5481" spans="1:3" hidden="1" x14ac:dyDescent="0.25">
      <c r="A5481" t="s">
        <v>20</v>
      </c>
      <c r="B5481">
        <v>104</v>
      </c>
      <c r="C5481">
        <v>20</v>
      </c>
    </row>
    <row r="5482" spans="1:3" hidden="1" x14ac:dyDescent="0.25">
      <c r="A5482" t="s">
        <v>20</v>
      </c>
      <c r="B5482">
        <v>104</v>
      </c>
      <c r="C5482">
        <v>21</v>
      </c>
    </row>
    <row r="5483" spans="1:3" hidden="1" x14ac:dyDescent="0.25">
      <c r="A5483" t="s">
        <v>20</v>
      </c>
      <c r="B5483">
        <v>104</v>
      </c>
      <c r="C5483">
        <v>22</v>
      </c>
    </row>
    <row r="5484" spans="1:3" hidden="1" x14ac:dyDescent="0.25">
      <c r="A5484" t="s">
        <v>20</v>
      </c>
      <c r="B5484">
        <v>104</v>
      </c>
      <c r="C5484">
        <v>23</v>
      </c>
    </row>
    <row r="5485" spans="1:3" hidden="1" x14ac:dyDescent="0.25">
      <c r="A5485" t="s">
        <v>20</v>
      </c>
      <c r="B5485">
        <v>104</v>
      </c>
      <c r="C5485">
        <v>24</v>
      </c>
    </row>
    <row r="5486" spans="1:3" hidden="1" x14ac:dyDescent="0.25">
      <c r="A5486" t="s">
        <v>20</v>
      </c>
      <c r="B5486">
        <v>104</v>
      </c>
      <c r="C5486">
        <v>25</v>
      </c>
    </row>
    <row r="5487" spans="1:3" hidden="1" x14ac:dyDescent="0.25">
      <c r="A5487" t="s">
        <v>20</v>
      </c>
      <c r="B5487">
        <v>104</v>
      </c>
      <c r="C5487">
        <v>26</v>
      </c>
    </row>
    <row r="5488" spans="1:3" hidden="1" x14ac:dyDescent="0.25">
      <c r="A5488" t="s">
        <v>20</v>
      </c>
      <c r="B5488">
        <v>104</v>
      </c>
      <c r="C5488">
        <v>27</v>
      </c>
    </row>
    <row r="5489" spans="1:3" hidden="1" x14ac:dyDescent="0.25">
      <c r="A5489" t="s">
        <v>20</v>
      </c>
      <c r="B5489">
        <v>104</v>
      </c>
      <c r="C5489">
        <v>28</v>
      </c>
    </row>
    <row r="5490" spans="1:3" hidden="1" x14ac:dyDescent="0.25">
      <c r="A5490" t="s">
        <v>20</v>
      </c>
      <c r="B5490">
        <v>104</v>
      </c>
      <c r="C5490">
        <v>29</v>
      </c>
    </row>
    <row r="5491" spans="1:3" hidden="1" x14ac:dyDescent="0.25">
      <c r="A5491" t="s">
        <v>20</v>
      </c>
      <c r="B5491">
        <v>104</v>
      </c>
      <c r="C5491">
        <v>30</v>
      </c>
    </row>
    <row r="5492" spans="1:3" hidden="1" x14ac:dyDescent="0.25">
      <c r="A5492" t="s">
        <v>20</v>
      </c>
      <c r="B5492">
        <v>104</v>
      </c>
      <c r="C5492">
        <v>31</v>
      </c>
    </row>
    <row r="5493" spans="1:3" hidden="1" x14ac:dyDescent="0.25">
      <c r="A5493" t="s">
        <v>20</v>
      </c>
      <c r="B5493">
        <v>104</v>
      </c>
      <c r="C5493">
        <v>32</v>
      </c>
    </row>
    <row r="5494" spans="1:3" hidden="1" x14ac:dyDescent="0.25">
      <c r="A5494" t="s">
        <v>20</v>
      </c>
      <c r="B5494">
        <v>104</v>
      </c>
      <c r="C5494">
        <v>33</v>
      </c>
    </row>
    <row r="5495" spans="1:3" hidden="1" x14ac:dyDescent="0.25">
      <c r="A5495" t="s">
        <v>20</v>
      </c>
      <c r="B5495">
        <v>104</v>
      </c>
      <c r="C5495">
        <v>34</v>
      </c>
    </row>
    <row r="5496" spans="1:3" hidden="1" x14ac:dyDescent="0.25">
      <c r="A5496" t="s">
        <v>20</v>
      </c>
      <c r="B5496">
        <v>104</v>
      </c>
      <c r="C5496">
        <v>35</v>
      </c>
    </row>
    <row r="5497" spans="1:3" hidden="1" x14ac:dyDescent="0.25">
      <c r="A5497" t="s">
        <v>20</v>
      </c>
      <c r="B5497">
        <v>104</v>
      </c>
      <c r="C5497">
        <v>36</v>
      </c>
    </row>
    <row r="5498" spans="1:3" hidden="1" x14ac:dyDescent="0.25">
      <c r="A5498" t="s">
        <v>20</v>
      </c>
      <c r="B5498">
        <v>104</v>
      </c>
      <c r="C5498">
        <v>37</v>
      </c>
    </row>
    <row r="5499" spans="1:3" hidden="1" x14ac:dyDescent="0.25">
      <c r="A5499" t="s">
        <v>20</v>
      </c>
      <c r="B5499">
        <v>104</v>
      </c>
      <c r="C5499">
        <v>38</v>
      </c>
    </row>
    <row r="5500" spans="1:3" hidden="1" x14ac:dyDescent="0.25">
      <c r="A5500" t="s">
        <v>20</v>
      </c>
      <c r="B5500">
        <v>104</v>
      </c>
      <c r="C5500">
        <v>39</v>
      </c>
    </row>
    <row r="5501" spans="1:3" hidden="1" x14ac:dyDescent="0.25">
      <c r="A5501" t="s">
        <v>20</v>
      </c>
      <c r="B5501">
        <v>104</v>
      </c>
      <c r="C5501">
        <v>40</v>
      </c>
    </row>
    <row r="5502" spans="1:3" hidden="1" x14ac:dyDescent="0.25">
      <c r="A5502" t="s">
        <v>20</v>
      </c>
      <c r="B5502">
        <v>104</v>
      </c>
      <c r="C5502">
        <v>41</v>
      </c>
    </row>
    <row r="5503" spans="1:3" hidden="1" x14ac:dyDescent="0.25">
      <c r="A5503" t="s">
        <v>20</v>
      </c>
      <c r="B5503">
        <v>104</v>
      </c>
      <c r="C5503">
        <v>42</v>
      </c>
    </row>
    <row r="5504" spans="1:3" hidden="1" x14ac:dyDescent="0.25">
      <c r="A5504" t="s">
        <v>20</v>
      </c>
      <c r="B5504">
        <v>104</v>
      </c>
      <c r="C5504">
        <v>43</v>
      </c>
    </row>
    <row r="5505" spans="1:3" hidden="1" x14ac:dyDescent="0.25">
      <c r="A5505" t="s">
        <v>20</v>
      </c>
      <c r="B5505">
        <v>104</v>
      </c>
      <c r="C5505">
        <v>44</v>
      </c>
    </row>
    <row r="5506" spans="1:3" hidden="1" x14ac:dyDescent="0.25">
      <c r="A5506" t="s">
        <v>20</v>
      </c>
      <c r="B5506">
        <v>104</v>
      </c>
      <c r="C5506">
        <v>45</v>
      </c>
    </row>
    <row r="5507" spans="1:3" hidden="1" x14ac:dyDescent="0.25">
      <c r="A5507" t="s">
        <v>20</v>
      </c>
      <c r="B5507">
        <v>104</v>
      </c>
      <c r="C5507">
        <v>46</v>
      </c>
    </row>
    <row r="5508" spans="1:3" hidden="1" x14ac:dyDescent="0.25">
      <c r="A5508" t="s">
        <v>20</v>
      </c>
      <c r="B5508">
        <v>104</v>
      </c>
      <c r="C5508">
        <v>47</v>
      </c>
    </row>
    <row r="5509" spans="1:3" hidden="1" x14ac:dyDescent="0.25">
      <c r="A5509" t="s">
        <v>20</v>
      </c>
      <c r="B5509">
        <v>104</v>
      </c>
      <c r="C5509">
        <v>48</v>
      </c>
    </row>
    <row r="5510" spans="1:3" hidden="1" x14ac:dyDescent="0.25">
      <c r="A5510" t="s">
        <v>20</v>
      </c>
      <c r="B5510">
        <v>104</v>
      </c>
      <c r="C5510">
        <v>49</v>
      </c>
    </row>
    <row r="5511" spans="1:3" hidden="1" x14ac:dyDescent="0.25">
      <c r="A5511" t="s">
        <v>20</v>
      </c>
      <c r="B5511">
        <v>104</v>
      </c>
      <c r="C5511">
        <v>50</v>
      </c>
    </row>
    <row r="5512" spans="1:3" hidden="1" x14ac:dyDescent="0.25">
      <c r="A5512" t="s">
        <v>20</v>
      </c>
      <c r="B5512">
        <v>104</v>
      </c>
      <c r="C5512">
        <v>51</v>
      </c>
    </row>
    <row r="5513" spans="1:3" hidden="1" x14ac:dyDescent="0.25">
      <c r="A5513" t="s">
        <v>20</v>
      </c>
      <c r="B5513">
        <v>104</v>
      </c>
      <c r="C5513">
        <v>52</v>
      </c>
    </row>
    <row r="5514" spans="1:3" hidden="1" x14ac:dyDescent="0.25">
      <c r="A5514" t="s">
        <v>20</v>
      </c>
      <c r="B5514">
        <v>104</v>
      </c>
      <c r="C5514">
        <v>53</v>
      </c>
    </row>
    <row r="5515" spans="1:3" hidden="1" x14ac:dyDescent="0.25">
      <c r="A5515" t="s">
        <v>20</v>
      </c>
      <c r="B5515">
        <v>104</v>
      </c>
      <c r="C5515">
        <v>54</v>
      </c>
    </row>
    <row r="5516" spans="1:3" hidden="1" x14ac:dyDescent="0.25">
      <c r="A5516" t="s">
        <v>20</v>
      </c>
      <c r="B5516">
        <v>104</v>
      </c>
      <c r="C5516">
        <v>55</v>
      </c>
    </row>
    <row r="5517" spans="1:3" hidden="1" x14ac:dyDescent="0.25">
      <c r="A5517" t="s">
        <v>20</v>
      </c>
      <c r="B5517">
        <v>104</v>
      </c>
      <c r="C5517">
        <v>56</v>
      </c>
    </row>
    <row r="5518" spans="1:3" hidden="1" x14ac:dyDescent="0.25">
      <c r="A5518" t="s">
        <v>20</v>
      </c>
      <c r="B5518">
        <v>104</v>
      </c>
      <c r="C5518">
        <v>57</v>
      </c>
    </row>
    <row r="5519" spans="1:3" hidden="1" x14ac:dyDescent="0.25">
      <c r="A5519" t="s">
        <v>20</v>
      </c>
      <c r="B5519">
        <v>104</v>
      </c>
      <c r="C5519">
        <v>58</v>
      </c>
    </row>
    <row r="5520" spans="1:3" hidden="1" x14ac:dyDescent="0.25">
      <c r="A5520" t="s">
        <v>20</v>
      </c>
      <c r="B5520">
        <v>104</v>
      </c>
      <c r="C5520">
        <v>59</v>
      </c>
    </row>
    <row r="5521" spans="1:3" hidden="1" x14ac:dyDescent="0.25">
      <c r="A5521" t="s">
        <v>20</v>
      </c>
      <c r="B5521">
        <v>104</v>
      </c>
      <c r="C5521">
        <v>60</v>
      </c>
    </row>
    <row r="5522" spans="1:3" hidden="1" x14ac:dyDescent="0.25">
      <c r="A5522" t="s">
        <v>20</v>
      </c>
      <c r="B5522">
        <v>104</v>
      </c>
      <c r="C5522">
        <v>61</v>
      </c>
    </row>
    <row r="5523" spans="1:3" hidden="1" x14ac:dyDescent="0.25">
      <c r="A5523" t="s">
        <v>20</v>
      </c>
      <c r="B5523">
        <v>104</v>
      </c>
      <c r="C5523">
        <v>62</v>
      </c>
    </row>
    <row r="5524" spans="1:3" hidden="1" x14ac:dyDescent="0.25">
      <c r="A5524" t="s">
        <v>20</v>
      </c>
      <c r="B5524">
        <v>104</v>
      </c>
      <c r="C5524">
        <v>63</v>
      </c>
    </row>
    <row r="5525" spans="1:3" hidden="1" x14ac:dyDescent="0.25">
      <c r="A5525" t="s">
        <v>20</v>
      </c>
      <c r="B5525">
        <v>104</v>
      </c>
      <c r="C5525">
        <v>64</v>
      </c>
    </row>
    <row r="5526" spans="1:3" hidden="1" x14ac:dyDescent="0.25">
      <c r="A5526" t="s">
        <v>20</v>
      </c>
      <c r="B5526">
        <v>104</v>
      </c>
      <c r="C5526">
        <v>65</v>
      </c>
    </row>
    <row r="5527" spans="1:3" hidden="1" x14ac:dyDescent="0.25">
      <c r="A5527" t="s">
        <v>20</v>
      </c>
      <c r="B5527">
        <v>104</v>
      </c>
      <c r="C5527">
        <v>66</v>
      </c>
    </row>
    <row r="5528" spans="1:3" hidden="1" x14ac:dyDescent="0.25">
      <c r="A5528" t="s">
        <v>20</v>
      </c>
      <c r="B5528">
        <v>104</v>
      </c>
      <c r="C5528">
        <v>67</v>
      </c>
    </row>
    <row r="5529" spans="1:3" hidden="1" x14ac:dyDescent="0.25">
      <c r="A5529" t="s">
        <v>20</v>
      </c>
      <c r="B5529">
        <v>104</v>
      </c>
      <c r="C5529">
        <v>68</v>
      </c>
    </row>
    <row r="5530" spans="1:3" hidden="1" x14ac:dyDescent="0.25">
      <c r="A5530" t="s">
        <v>20</v>
      </c>
      <c r="B5530">
        <v>104</v>
      </c>
      <c r="C5530">
        <v>69</v>
      </c>
    </row>
    <row r="5531" spans="1:3" hidden="1" x14ac:dyDescent="0.25">
      <c r="A5531" t="s">
        <v>20</v>
      </c>
      <c r="B5531">
        <v>104</v>
      </c>
      <c r="C5531">
        <v>70</v>
      </c>
    </row>
    <row r="5532" spans="1:3" hidden="1" x14ac:dyDescent="0.25">
      <c r="A5532" t="s">
        <v>20</v>
      </c>
      <c r="B5532">
        <v>104</v>
      </c>
      <c r="C5532">
        <v>71</v>
      </c>
    </row>
    <row r="5533" spans="1:3" hidden="1" x14ac:dyDescent="0.25">
      <c r="A5533" t="s">
        <v>20</v>
      </c>
      <c r="B5533">
        <v>104</v>
      </c>
      <c r="C5533">
        <v>72</v>
      </c>
    </row>
    <row r="5534" spans="1:3" hidden="1" x14ac:dyDescent="0.25">
      <c r="A5534" t="s">
        <v>20</v>
      </c>
      <c r="B5534">
        <v>104</v>
      </c>
      <c r="C5534">
        <v>73</v>
      </c>
    </row>
    <row r="5535" spans="1:3" hidden="1" x14ac:dyDescent="0.25">
      <c r="A5535" t="s">
        <v>20</v>
      </c>
      <c r="B5535">
        <v>104</v>
      </c>
      <c r="C5535">
        <v>74</v>
      </c>
    </row>
    <row r="5536" spans="1:3" hidden="1" x14ac:dyDescent="0.25">
      <c r="A5536" t="s">
        <v>20</v>
      </c>
      <c r="B5536">
        <v>104</v>
      </c>
      <c r="C5536">
        <v>75</v>
      </c>
    </row>
    <row r="5537" spans="1:3" hidden="1" x14ac:dyDescent="0.25">
      <c r="A5537" t="s">
        <v>20</v>
      </c>
      <c r="B5537">
        <v>104</v>
      </c>
      <c r="C5537">
        <v>76</v>
      </c>
    </row>
    <row r="5538" spans="1:3" hidden="1" x14ac:dyDescent="0.25">
      <c r="A5538" t="s">
        <v>20</v>
      </c>
      <c r="B5538">
        <v>104</v>
      </c>
      <c r="C5538">
        <v>77</v>
      </c>
    </row>
    <row r="5539" spans="1:3" hidden="1" x14ac:dyDescent="0.25">
      <c r="A5539" t="s">
        <v>20</v>
      </c>
      <c r="B5539">
        <v>104</v>
      </c>
      <c r="C5539">
        <v>78</v>
      </c>
    </row>
    <row r="5540" spans="1:3" hidden="1" x14ac:dyDescent="0.25">
      <c r="A5540" t="s">
        <v>20</v>
      </c>
      <c r="B5540">
        <v>104</v>
      </c>
      <c r="C5540">
        <v>79</v>
      </c>
    </row>
    <row r="5541" spans="1:3" hidden="1" x14ac:dyDescent="0.25">
      <c r="A5541" t="s">
        <v>20</v>
      </c>
      <c r="B5541">
        <v>104</v>
      </c>
      <c r="C5541">
        <v>80</v>
      </c>
    </row>
    <row r="5542" spans="1:3" hidden="1" x14ac:dyDescent="0.25">
      <c r="A5542" t="s">
        <v>20</v>
      </c>
      <c r="B5542">
        <v>104</v>
      </c>
      <c r="C5542">
        <v>81</v>
      </c>
    </row>
    <row r="5543" spans="1:3" hidden="1" x14ac:dyDescent="0.25">
      <c r="A5543" t="s">
        <v>20</v>
      </c>
      <c r="B5543">
        <v>104</v>
      </c>
      <c r="C5543">
        <v>82</v>
      </c>
    </row>
    <row r="5544" spans="1:3" hidden="1" x14ac:dyDescent="0.25">
      <c r="A5544" t="s">
        <v>20</v>
      </c>
      <c r="B5544">
        <v>104</v>
      </c>
      <c r="C5544">
        <v>83</v>
      </c>
    </row>
    <row r="5545" spans="1:3" hidden="1" x14ac:dyDescent="0.25">
      <c r="A5545" t="s">
        <v>20</v>
      </c>
      <c r="B5545">
        <v>104</v>
      </c>
      <c r="C5545">
        <v>84</v>
      </c>
    </row>
    <row r="5546" spans="1:3" hidden="1" x14ac:dyDescent="0.25">
      <c r="A5546" t="s">
        <v>20</v>
      </c>
      <c r="B5546">
        <v>106</v>
      </c>
      <c r="C5546">
        <v>1</v>
      </c>
    </row>
    <row r="5547" spans="1:3" hidden="1" x14ac:dyDescent="0.25">
      <c r="A5547" t="s">
        <v>20</v>
      </c>
      <c r="B5547">
        <v>106</v>
      </c>
      <c r="C5547">
        <v>2</v>
      </c>
    </row>
    <row r="5548" spans="1:3" hidden="1" x14ac:dyDescent="0.25">
      <c r="A5548" t="s">
        <v>20</v>
      </c>
      <c r="B5548">
        <v>106</v>
      </c>
      <c r="C5548">
        <v>3</v>
      </c>
    </row>
    <row r="5549" spans="1:3" hidden="1" x14ac:dyDescent="0.25">
      <c r="A5549" t="s">
        <v>20</v>
      </c>
      <c r="B5549">
        <v>106</v>
      </c>
      <c r="C5549">
        <v>4</v>
      </c>
    </row>
    <row r="5550" spans="1:3" hidden="1" x14ac:dyDescent="0.25">
      <c r="A5550" t="s">
        <v>20</v>
      </c>
      <c r="B5550">
        <v>106</v>
      </c>
      <c r="C5550">
        <v>5</v>
      </c>
    </row>
    <row r="5551" spans="1:3" hidden="1" x14ac:dyDescent="0.25">
      <c r="A5551" t="s">
        <v>20</v>
      </c>
      <c r="B5551">
        <v>106</v>
      </c>
      <c r="C5551">
        <v>6</v>
      </c>
    </row>
    <row r="5552" spans="1:3" hidden="1" x14ac:dyDescent="0.25">
      <c r="A5552" t="s">
        <v>20</v>
      </c>
      <c r="B5552">
        <v>106</v>
      </c>
      <c r="C5552">
        <v>7</v>
      </c>
    </row>
    <row r="5553" spans="1:3" hidden="1" x14ac:dyDescent="0.25">
      <c r="A5553" t="s">
        <v>20</v>
      </c>
      <c r="B5553">
        <v>106</v>
      </c>
      <c r="C5553">
        <v>8</v>
      </c>
    </row>
    <row r="5554" spans="1:3" hidden="1" x14ac:dyDescent="0.25">
      <c r="A5554" t="s">
        <v>20</v>
      </c>
      <c r="B5554">
        <v>106</v>
      </c>
      <c r="C5554">
        <v>9</v>
      </c>
    </row>
    <row r="5555" spans="1:3" hidden="1" x14ac:dyDescent="0.25">
      <c r="A5555" t="s">
        <v>20</v>
      </c>
      <c r="B5555">
        <v>106</v>
      </c>
      <c r="C5555">
        <v>10</v>
      </c>
    </row>
    <row r="5556" spans="1:3" hidden="1" x14ac:dyDescent="0.25">
      <c r="A5556" t="s">
        <v>20</v>
      </c>
      <c r="B5556">
        <v>106</v>
      </c>
      <c r="C5556">
        <v>11</v>
      </c>
    </row>
    <row r="5557" spans="1:3" hidden="1" x14ac:dyDescent="0.25">
      <c r="A5557" t="s">
        <v>20</v>
      </c>
      <c r="B5557">
        <v>106</v>
      </c>
      <c r="C5557">
        <v>12</v>
      </c>
    </row>
    <row r="5558" spans="1:3" hidden="1" x14ac:dyDescent="0.25">
      <c r="A5558" t="s">
        <v>20</v>
      </c>
      <c r="B5558">
        <v>106</v>
      </c>
      <c r="C5558">
        <v>13</v>
      </c>
    </row>
    <row r="5559" spans="1:3" hidden="1" x14ac:dyDescent="0.25">
      <c r="A5559" t="s">
        <v>20</v>
      </c>
      <c r="B5559">
        <v>106</v>
      </c>
      <c r="C5559">
        <v>14</v>
      </c>
    </row>
    <row r="5560" spans="1:3" hidden="1" x14ac:dyDescent="0.25">
      <c r="A5560" t="s">
        <v>20</v>
      </c>
      <c r="B5560">
        <v>106</v>
      </c>
      <c r="C5560">
        <v>15</v>
      </c>
    </row>
    <row r="5561" spans="1:3" hidden="1" x14ac:dyDescent="0.25">
      <c r="A5561" t="s">
        <v>20</v>
      </c>
      <c r="B5561">
        <v>106</v>
      </c>
      <c r="C5561">
        <v>16</v>
      </c>
    </row>
    <row r="5562" spans="1:3" hidden="1" x14ac:dyDescent="0.25">
      <c r="A5562" t="s">
        <v>20</v>
      </c>
      <c r="B5562">
        <v>106</v>
      </c>
      <c r="C5562">
        <v>17</v>
      </c>
    </row>
    <row r="5563" spans="1:3" hidden="1" x14ac:dyDescent="0.25">
      <c r="A5563" t="s">
        <v>20</v>
      </c>
      <c r="B5563">
        <v>106</v>
      </c>
      <c r="C5563">
        <v>18</v>
      </c>
    </row>
    <row r="5564" spans="1:3" hidden="1" x14ac:dyDescent="0.25">
      <c r="A5564" t="s">
        <v>20</v>
      </c>
      <c r="B5564">
        <v>106</v>
      </c>
      <c r="C5564">
        <v>19</v>
      </c>
    </row>
    <row r="5565" spans="1:3" hidden="1" x14ac:dyDescent="0.25">
      <c r="A5565" t="s">
        <v>20</v>
      </c>
      <c r="B5565">
        <v>106</v>
      </c>
      <c r="C5565">
        <v>20</v>
      </c>
    </row>
    <row r="5566" spans="1:3" hidden="1" x14ac:dyDescent="0.25">
      <c r="A5566" t="s">
        <v>20</v>
      </c>
      <c r="B5566">
        <v>106</v>
      </c>
      <c r="C5566">
        <v>21</v>
      </c>
    </row>
    <row r="5567" spans="1:3" hidden="1" x14ac:dyDescent="0.25">
      <c r="A5567" t="s">
        <v>20</v>
      </c>
      <c r="B5567">
        <v>106</v>
      </c>
      <c r="C5567">
        <v>22</v>
      </c>
    </row>
    <row r="5568" spans="1:3" hidden="1" x14ac:dyDescent="0.25">
      <c r="A5568" t="s">
        <v>20</v>
      </c>
      <c r="B5568">
        <v>106</v>
      </c>
      <c r="C5568">
        <v>23</v>
      </c>
    </row>
    <row r="5569" spans="1:3" hidden="1" x14ac:dyDescent="0.25">
      <c r="A5569" t="s">
        <v>20</v>
      </c>
      <c r="B5569">
        <v>106</v>
      </c>
      <c r="C5569">
        <v>24</v>
      </c>
    </row>
    <row r="5570" spans="1:3" hidden="1" x14ac:dyDescent="0.25">
      <c r="A5570" t="s">
        <v>20</v>
      </c>
      <c r="B5570">
        <v>106</v>
      </c>
      <c r="C5570">
        <v>25</v>
      </c>
    </row>
    <row r="5571" spans="1:3" hidden="1" x14ac:dyDescent="0.25">
      <c r="A5571" t="s">
        <v>20</v>
      </c>
      <c r="B5571">
        <v>106</v>
      </c>
      <c r="C5571">
        <v>26</v>
      </c>
    </row>
    <row r="5572" spans="1:3" hidden="1" x14ac:dyDescent="0.25">
      <c r="A5572" t="s">
        <v>20</v>
      </c>
      <c r="B5572">
        <v>106</v>
      </c>
      <c r="C5572">
        <v>27</v>
      </c>
    </row>
    <row r="5573" spans="1:3" hidden="1" x14ac:dyDescent="0.25">
      <c r="A5573" t="s">
        <v>20</v>
      </c>
      <c r="B5573">
        <v>106</v>
      </c>
      <c r="C5573">
        <v>28</v>
      </c>
    </row>
    <row r="5574" spans="1:3" hidden="1" x14ac:dyDescent="0.25">
      <c r="A5574" t="s">
        <v>20</v>
      </c>
      <c r="B5574">
        <v>106</v>
      </c>
      <c r="C5574">
        <v>29</v>
      </c>
    </row>
    <row r="5575" spans="1:3" hidden="1" x14ac:dyDescent="0.25">
      <c r="A5575" t="s">
        <v>20</v>
      </c>
      <c r="B5575">
        <v>106</v>
      </c>
      <c r="C5575">
        <v>30</v>
      </c>
    </row>
    <row r="5576" spans="1:3" hidden="1" x14ac:dyDescent="0.25">
      <c r="A5576" t="s">
        <v>20</v>
      </c>
      <c r="B5576">
        <v>106</v>
      </c>
      <c r="C5576">
        <v>31</v>
      </c>
    </row>
    <row r="5577" spans="1:3" hidden="1" x14ac:dyDescent="0.25">
      <c r="A5577" t="s">
        <v>20</v>
      </c>
      <c r="B5577">
        <v>106</v>
      </c>
      <c r="C5577">
        <v>32</v>
      </c>
    </row>
    <row r="5578" spans="1:3" hidden="1" x14ac:dyDescent="0.25">
      <c r="A5578" t="s">
        <v>20</v>
      </c>
      <c r="B5578">
        <v>106</v>
      </c>
      <c r="C5578">
        <v>33</v>
      </c>
    </row>
    <row r="5579" spans="1:3" hidden="1" x14ac:dyDescent="0.25">
      <c r="A5579" t="s">
        <v>20</v>
      </c>
      <c r="B5579">
        <v>106</v>
      </c>
      <c r="C5579">
        <v>34</v>
      </c>
    </row>
    <row r="5580" spans="1:3" hidden="1" x14ac:dyDescent="0.25">
      <c r="A5580" t="s">
        <v>20</v>
      </c>
      <c r="B5580">
        <v>106</v>
      </c>
      <c r="C5580">
        <v>35</v>
      </c>
    </row>
    <row r="5581" spans="1:3" hidden="1" x14ac:dyDescent="0.25">
      <c r="A5581" t="s">
        <v>20</v>
      </c>
      <c r="B5581">
        <v>106</v>
      </c>
      <c r="C5581">
        <v>36</v>
      </c>
    </row>
    <row r="5582" spans="1:3" hidden="1" x14ac:dyDescent="0.25">
      <c r="A5582" t="s">
        <v>20</v>
      </c>
      <c r="B5582">
        <v>106</v>
      </c>
      <c r="C5582">
        <v>37</v>
      </c>
    </row>
    <row r="5583" spans="1:3" hidden="1" x14ac:dyDescent="0.25">
      <c r="A5583" t="s">
        <v>20</v>
      </c>
      <c r="B5583">
        <v>106</v>
      </c>
      <c r="C5583">
        <v>38</v>
      </c>
    </row>
    <row r="5584" spans="1:3" hidden="1" x14ac:dyDescent="0.25">
      <c r="A5584" t="s">
        <v>20</v>
      </c>
      <c r="B5584">
        <v>106</v>
      </c>
      <c r="C5584">
        <v>39</v>
      </c>
    </row>
    <row r="5585" spans="1:3" hidden="1" x14ac:dyDescent="0.25">
      <c r="A5585" t="s">
        <v>20</v>
      </c>
      <c r="B5585">
        <v>106</v>
      </c>
      <c r="C5585">
        <v>40</v>
      </c>
    </row>
    <row r="5586" spans="1:3" hidden="1" x14ac:dyDescent="0.25">
      <c r="A5586" t="s">
        <v>20</v>
      </c>
      <c r="B5586">
        <v>106</v>
      </c>
      <c r="C5586">
        <v>41</v>
      </c>
    </row>
    <row r="5587" spans="1:3" hidden="1" x14ac:dyDescent="0.25">
      <c r="A5587" t="s">
        <v>20</v>
      </c>
      <c r="B5587">
        <v>106</v>
      </c>
      <c r="C5587">
        <v>42</v>
      </c>
    </row>
    <row r="5588" spans="1:3" hidden="1" x14ac:dyDescent="0.25">
      <c r="A5588" t="s">
        <v>20</v>
      </c>
      <c r="B5588">
        <v>106</v>
      </c>
      <c r="C5588">
        <v>43</v>
      </c>
    </row>
    <row r="5589" spans="1:3" hidden="1" x14ac:dyDescent="0.25">
      <c r="A5589" t="s">
        <v>20</v>
      </c>
      <c r="B5589">
        <v>106</v>
      </c>
      <c r="C5589">
        <v>44</v>
      </c>
    </row>
    <row r="5590" spans="1:3" hidden="1" x14ac:dyDescent="0.25">
      <c r="A5590" t="s">
        <v>20</v>
      </c>
      <c r="B5590">
        <v>106</v>
      </c>
      <c r="C5590">
        <v>45</v>
      </c>
    </row>
    <row r="5591" spans="1:3" hidden="1" x14ac:dyDescent="0.25">
      <c r="A5591" t="s">
        <v>20</v>
      </c>
      <c r="B5591">
        <v>106</v>
      </c>
      <c r="C5591">
        <v>46</v>
      </c>
    </row>
    <row r="5592" spans="1:3" hidden="1" x14ac:dyDescent="0.25">
      <c r="A5592" t="s">
        <v>20</v>
      </c>
      <c r="B5592">
        <v>106</v>
      </c>
      <c r="C5592">
        <v>47</v>
      </c>
    </row>
    <row r="5593" spans="1:3" hidden="1" x14ac:dyDescent="0.25">
      <c r="A5593" t="s">
        <v>20</v>
      </c>
      <c r="B5593">
        <v>106</v>
      </c>
      <c r="C5593">
        <v>48</v>
      </c>
    </row>
    <row r="5594" spans="1:3" hidden="1" x14ac:dyDescent="0.25">
      <c r="A5594" t="s">
        <v>20</v>
      </c>
      <c r="B5594">
        <v>106</v>
      </c>
      <c r="C5594">
        <v>49</v>
      </c>
    </row>
    <row r="5595" spans="1:3" hidden="1" x14ac:dyDescent="0.25">
      <c r="A5595" t="s">
        <v>20</v>
      </c>
      <c r="B5595">
        <v>106</v>
      </c>
      <c r="C5595">
        <v>50</v>
      </c>
    </row>
    <row r="5596" spans="1:3" hidden="1" x14ac:dyDescent="0.25">
      <c r="A5596" t="s">
        <v>20</v>
      </c>
      <c r="B5596">
        <v>106</v>
      </c>
      <c r="C5596">
        <v>51</v>
      </c>
    </row>
    <row r="5597" spans="1:3" hidden="1" x14ac:dyDescent="0.25">
      <c r="A5597" t="s">
        <v>20</v>
      </c>
      <c r="B5597">
        <v>106</v>
      </c>
      <c r="C5597">
        <v>52</v>
      </c>
    </row>
    <row r="5598" spans="1:3" hidden="1" x14ac:dyDescent="0.25">
      <c r="A5598" t="s">
        <v>20</v>
      </c>
      <c r="B5598">
        <v>106</v>
      </c>
      <c r="C5598">
        <v>53</v>
      </c>
    </row>
    <row r="5599" spans="1:3" hidden="1" x14ac:dyDescent="0.25">
      <c r="A5599" t="s">
        <v>20</v>
      </c>
      <c r="B5599">
        <v>106</v>
      </c>
      <c r="C5599">
        <v>54</v>
      </c>
    </row>
    <row r="5600" spans="1:3" hidden="1" x14ac:dyDescent="0.25">
      <c r="A5600" t="s">
        <v>20</v>
      </c>
      <c r="B5600">
        <v>106</v>
      </c>
      <c r="C5600">
        <v>55</v>
      </c>
    </row>
    <row r="5601" spans="1:3" hidden="1" x14ac:dyDescent="0.25">
      <c r="A5601" t="s">
        <v>20</v>
      </c>
      <c r="B5601">
        <v>106</v>
      </c>
      <c r="C5601">
        <v>56</v>
      </c>
    </row>
    <row r="5602" spans="1:3" hidden="1" x14ac:dyDescent="0.25">
      <c r="A5602" t="s">
        <v>20</v>
      </c>
      <c r="B5602">
        <v>106</v>
      </c>
      <c r="C5602">
        <v>57</v>
      </c>
    </row>
    <row r="5603" spans="1:3" hidden="1" x14ac:dyDescent="0.25">
      <c r="A5603" t="s">
        <v>20</v>
      </c>
      <c r="B5603">
        <v>106</v>
      </c>
      <c r="C5603">
        <v>58</v>
      </c>
    </row>
    <row r="5604" spans="1:3" hidden="1" x14ac:dyDescent="0.25">
      <c r="A5604" t="s">
        <v>20</v>
      </c>
      <c r="B5604">
        <v>106</v>
      </c>
      <c r="C5604">
        <v>59</v>
      </c>
    </row>
    <row r="5605" spans="1:3" hidden="1" x14ac:dyDescent="0.25">
      <c r="A5605" t="s">
        <v>20</v>
      </c>
      <c r="B5605">
        <v>106</v>
      </c>
      <c r="C5605">
        <v>60</v>
      </c>
    </row>
    <row r="5606" spans="1:3" hidden="1" x14ac:dyDescent="0.25">
      <c r="A5606" t="s">
        <v>20</v>
      </c>
      <c r="B5606">
        <v>106</v>
      </c>
      <c r="C5606">
        <v>61</v>
      </c>
    </row>
    <row r="5607" spans="1:3" hidden="1" x14ac:dyDescent="0.25">
      <c r="A5607" t="s">
        <v>20</v>
      </c>
      <c r="B5607">
        <v>106</v>
      </c>
      <c r="C5607">
        <v>62</v>
      </c>
    </row>
    <row r="5608" spans="1:3" hidden="1" x14ac:dyDescent="0.25">
      <c r="A5608" t="s">
        <v>20</v>
      </c>
      <c r="B5608">
        <v>106</v>
      </c>
      <c r="C5608">
        <v>63</v>
      </c>
    </row>
    <row r="5609" spans="1:3" hidden="1" x14ac:dyDescent="0.25">
      <c r="A5609" t="s">
        <v>20</v>
      </c>
      <c r="B5609">
        <v>106</v>
      </c>
      <c r="C5609">
        <v>64</v>
      </c>
    </row>
    <row r="5610" spans="1:3" hidden="1" x14ac:dyDescent="0.25">
      <c r="A5610" t="s">
        <v>20</v>
      </c>
      <c r="B5610">
        <v>106</v>
      </c>
      <c r="C5610">
        <v>65</v>
      </c>
    </row>
    <row r="5611" spans="1:3" hidden="1" x14ac:dyDescent="0.25">
      <c r="A5611" t="s">
        <v>20</v>
      </c>
      <c r="B5611">
        <v>106</v>
      </c>
      <c r="C5611">
        <v>66</v>
      </c>
    </row>
    <row r="5612" spans="1:3" hidden="1" x14ac:dyDescent="0.25">
      <c r="A5612" t="s">
        <v>20</v>
      </c>
      <c r="B5612">
        <v>106</v>
      </c>
      <c r="C5612">
        <v>67</v>
      </c>
    </row>
    <row r="5613" spans="1:3" hidden="1" x14ac:dyDescent="0.25">
      <c r="A5613" t="s">
        <v>20</v>
      </c>
      <c r="B5613">
        <v>106</v>
      </c>
      <c r="C5613">
        <v>68</v>
      </c>
    </row>
    <row r="5614" spans="1:3" hidden="1" x14ac:dyDescent="0.25">
      <c r="A5614" t="s">
        <v>20</v>
      </c>
      <c r="B5614">
        <v>106</v>
      </c>
      <c r="C5614">
        <v>69</v>
      </c>
    </row>
    <row r="5615" spans="1:3" hidden="1" x14ac:dyDescent="0.25">
      <c r="A5615" t="s">
        <v>20</v>
      </c>
      <c r="B5615">
        <v>106</v>
      </c>
      <c r="C5615">
        <v>70</v>
      </c>
    </row>
    <row r="5616" spans="1:3" hidden="1" x14ac:dyDescent="0.25">
      <c r="A5616" t="s">
        <v>20</v>
      </c>
      <c r="B5616">
        <v>106</v>
      </c>
      <c r="C5616">
        <v>71</v>
      </c>
    </row>
    <row r="5617" spans="1:3" hidden="1" x14ac:dyDescent="0.25">
      <c r="A5617" t="s">
        <v>20</v>
      </c>
      <c r="B5617">
        <v>106</v>
      </c>
      <c r="C5617">
        <v>72</v>
      </c>
    </row>
    <row r="5618" spans="1:3" hidden="1" x14ac:dyDescent="0.25">
      <c r="A5618" t="s">
        <v>20</v>
      </c>
      <c r="B5618">
        <v>106</v>
      </c>
      <c r="C5618">
        <v>73</v>
      </c>
    </row>
    <row r="5619" spans="1:3" hidden="1" x14ac:dyDescent="0.25">
      <c r="A5619" t="s">
        <v>20</v>
      </c>
      <c r="B5619">
        <v>106</v>
      </c>
      <c r="C5619">
        <v>74</v>
      </c>
    </row>
    <row r="5620" spans="1:3" hidden="1" x14ac:dyDescent="0.25">
      <c r="A5620" t="s">
        <v>20</v>
      </c>
      <c r="B5620">
        <v>106</v>
      </c>
      <c r="C5620">
        <v>75</v>
      </c>
    </row>
    <row r="5621" spans="1:3" hidden="1" x14ac:dyDescent="0.25">
      <c r="A5621" t="s">
        <v>20</v>
      </c>
      <c r="B5621">
        <v>106</v>
      </c>
      <c r="C5621">
        <v>76</v>
      </c>
    </row>
    <row r="5622" spans="1:3" hidden="1" x14ac:dyDescent="0.25">
      <c r="A5622" t="s">
        <v>20</v>
      </c>
      <c r="B5622">
        <v>106</v>
      </c>
      <c r="C5622">
        <v>77</v>
      </c>
    </row>
    <row r="5623" spans="1:3" hidden="1" x14ac:dyDescent="0.25">
      <c r="A5623" t="s">
        <v>20</v>
      </c>
      <c r="B5623">
        <v>106</v>
      </c>
      <c r="C5623">
        <v>78</v>
      </c>
    </row>
    <row r="5624" spans="1:3" hidden="1" x14ac:dyDescent="0.25">
      <c r="A5624" t="s">
        <v>20</v>
      </c>
      <c r="B5624">
        <v>106</v>
      </c>
      <c r="C5624">
        <v>79</v>
      </c>
    </row>
    <row r="5625" spans="1:3" hidden="1" x14ac:dyDescent="0.25">
      <c r="A5625" t="s">
        <v>20</v>
      </c>
      <c r="B5625">
        <v>106</v>
      </c>
      <c r="C5625">
        <v>80</v>
      </c>
    </row>
    <row r="5626" spans="1:3" hidden="1" x14ac:dyDescent="0.25">
      <c r="A5626" t="s">
        <v>20</v>
      </c>
      <c r="B5626">
        <v>106</v>
      </c>
      <c r="C5626">
        <v>81</v>
      </c>
    </row>
    <row r="5627" spans="1:3" hidden="1" x14ac:dyDescent="0.25">
      <c r="A5627" t="s">
        <v>20</v>
      </c>
      <c r="B5627">
        <v>106</v>
      </c>
      <c r="C5627">
        <v>82</v>
      </c>
    </row>
    <row r="5628" spans="1:3" hidden="1" x14ac:dyDescent="0.25">
      <c r="A5628" t="s">
        <v>20</v>
      </c>
      <c r="B5628">
        <v>106</v>
      </c>
      <c r="C5628">
        <v>83</v>
      </c>
    </row>
    <row r="5629" spans="1:3" hidden="1" x14ac:dyDescent="0.25">
      <c r="A5629" t="s">
        <v>20</v>
      </c>
      <c r="B5629">
        <v>106</v>
      </c>
      <c r="C5629">
        <v>84</v>
      </c>
    </row>
    <row r="5630" spans="1:3" hidden="1" x14ac:dyDescent="0.25">
      <c r="A5630" t="s">
        <v>20</v>
      </c>
      <c r="B5630">
        <v>108</v>
      </c>
      <c r="C5630">
        <v>1</v>
      </c>
    </row>
    <row r="5631" spans="1:3" hidden="1" x14ac:dyDescent="0.25">
      <c r="A5631" t="s">
        <v>20</v>
      </c>
      <c r="B5631">
        <v>108</v>
      </c>
      <c r="C5631">
        <v>2</v>
      </c>
    </row>
    <row r="5632" spans="1:3" hidden="1" x14ac:dyDescent="0.25">
      <c r="A5632" t="s">
        <v>20</v>
      </c>
      <c r="B5632">
        <v>108</v>
      </c>
      <c r="C5632">
        <v>3</v>
      </c>
    </row>
    <row r="5633" spans="1:3" hidden="1" x14ac:dyDescent="0.25">
      <c r="A5633" t="s">
        <v>20</v>
      </c>
      <c r="B5633">
        <v>108</v>
      </c>
      <c r="C5633">
        <v>4</v>
      </c>
    </row>
    <row r="5634" spans="1:3" hidden="1" x14ac:dyDescent="0.25">
      <c r="A5634" t="s">
        <v>20</v>
      </c>
      <c r="B5634">
        <v>108</v>
      </c>
      <c r="C5634">
        <v>5</v>
      </c>
    </row>
    <row r="5635" spans="1:3" hidden="1" x14ac:dyDescent="0.25">
      <c r="A5635" t="s">
        <v>20</v>
      </c>
      <c r="B5635">
        <v>108</v>
      </c>
      <c r="C5635">
        <v>6</v>
      </c>
    </row>
    <row r="5636" spans="1:3" hidden="1" x14ac:dyDescent="0.25">
      <c r="A5636" t="s">
        <v>20</v>
      </c>
      <c r="B5636">
        <v>108</v>
      </c>
      <c r="C5636">
        <v>7</v>
      </c>
    </row>
    <row r="5637" spans="1:3" hidden="1" x14ac:dyDescent="0.25">
      <c r="A5637" t="s">
        <v>20</v>
      </c>
      <c r="B5637">
        <v>108</v>
      </c>
      <c r="C5637">
        <v>8</v>
      </c>
    </row>
    <row r="5638" spans="1:3" hidden="1" x14ac:dyDescent="0.25">
      <c r="A5638" t="s">
        <v>20</v>
      </c>
      <c r="B5638">
        <v>108</v>
      </c>
      <c r="C5638">
        <v>9</v>
      </c>
    </row>
    <row r="5639" spans="1:3" hidden="1" x14ac:dyDescent="0.25">
      <c r="A5639" t="s">
        <v>20</v>
      </c>
      <c r="B5639">
        <v>108</v>
      </c>
      <c r="C5639">
        <v>10</v>
      </c>
    </row>
    <row r="5640" spans="1:3" hidden="1" x14ac:dyDescent="0.25">
      <c r="A5640" t="s">
        <v>20</v>
      </c>
      <c r="B5640">
        <v>108</v>
      </c>
      <c r="C5640">
        <v>11</v>
      </c>
    </row>
    <row r="5641" spans="1:3" hidden="1" x14ac:dyDescent="0.25">
      <c r="A5641" t="s">
        <v>20</v>
      </c>
      <c r="B5641">
        <v>108</v>
      </c>
      <c r="C5641">
        <v>12</v>
      </c>
    </row>
    <row r="5642" spans="1:3" hidden="1" x14ac:dyDescent="0.25">
      <c r="A5642" t="s">
        <v>20</v>
      </c>
      <c r="B5642">
        <v>108</v>
      </c>
      <c r="C5642">
        <v>13</v>
      </c>
    </row>
    <row r="5643" spans="1:3" hidden="1" x14ac:dyDescent="0.25">
      <c r="A5643" t="s">
        <v>20</v>
      </c>
      <c r="B5643">
        <v>108</v>
      </c>
      <c r="C5643">
        <v>14</v>
      </c>
    </row>
    <row r="5644" spans="1:3" hidden="1" x14ac:dyDescent="0.25">
      <c r="A5644" t="s">
        <v>20</v>
      </c>
      <c r="B5644">
        <v>108</v>
      </c>
      <c r="C5644">
        <v>15</v>
      </c>
    </row>
    <row r="5645" spans="1:3" hidden="1" x14ac:dyDescent="0.25">
      <c r="A5645" t="s">
        <v>20</v>
      </c>
      <c r="B5645">
        <v>108</v>
      </c>
      <c r="C5645">
        <v>16</v>
      </c>
    </row>
    <row r="5646" spans="1:3" hidden="1" x14ac:dyDescent="0.25">
      <c r="A5646" t="s">
        <v>20</v>
      </c>
      <c r="B5646">
        <v>108</v>
      </c>
      <c r="C5646">
        <v>17</v>
      </c>
    </row>
    <row r="5647" spans="1:3" hidden="1" x14ac:dyDescent="0.25">
      <c r="A5647" t="s">
        <v>20</v>
      </c>
      <c r="B5647">
        <v>108</v>
      </c>
      <c r="C5647">
        <v>18</v>
      </c>
    </row>
    <row r="5648" spans="1:3" hidden="1" x14ac:dyDescent="0.25">
      <c r="A5648" t="s">
        <v>20</v>
      </c>
      <c r="B5648">
        <v>108</v>
      </c>
      <c r="C5648">
        <v>19</v>
      </c>
    </row>
    <row r="5649" spans="1:3" hidden="1" x14ac:dyDescent="0.25">
      <c r="A5649" t="s">
        <v>20</v>
      </c>
      <c r="B5649">
        <v>108</v>
      </c>
      <c r="C5649">
        <v>20</v>
      </c>
    </row>
    <row r="5650" spans="1:3" hidden="1" x14ac:dyDescent="0.25">
      <c r="A5650" t="s">
        <v>20</v>
      </c>
      <c r="B5650">
        <v>108</v>
      </c>
      <c r="C5650">
        <v>21</v>
      </c>
    </row>
    <row r="5651" spans="1:3" hidden="1" x14ac:dyDescent="0.25">
      <c r="A5651" t="s">
        <v>20</v>
      </c>
      <c r="B5651">
        <v>108</v>
      </c>
      <c r="C5651">
        <v>22</v>
      </c>
    </row>
    <row r="5652" spans="1:3" hidden="1" x14ac:dyDescent="0.25">
      <c r="A5652" t="s">
        <v>20</v>
      </c>
      <c r="B5652">
        <v>108</v>
      </c>
      <c r="C5652">
        <v>23</v>
      </c>
    </row>
    <row r="5653" spans="1:3" hidden="1" x14ac:dyDescent="0.25">
      <c r="A5653" t="s">
        <v>20</v>
      </c>
      <c r="B5653">
        <v>108</v>
      </c>
      <c r="C5653">
        <v>24</v>
      </c>
    </row>
    <row r="5654" spans="1:3" hidden="1" x14ac:dyDescent="0.25">
      <c r="A5654" t="s">
        <v>20</v>
      </c>
      <c r="B5654">
        <v>108</v>
      </c>
      <c r="C5654">
        <v>25</v>
      </c>
    </row>
    <row r="5655" spans="1:3" hidden="1" x14ac:dyDescent="0.25">
      <c r="A5655" t="s">
        <v>20</v>
      </c>
      <c r="B5655">
        <v>108</v>
      </c>
      <c r="C5655">
        <v>26</v>
      </c>
    </row>
    <row r="5656" spans="1:3" hidden="1" x14ac:dyDescent="0.25">
      <c r="A5656" t="s">
        <v>20</v>
      </c>
      <c r="B5656">
        <v>108</v>
      </c>
      <c r="C5656">
        <v>27</v>
      </c>
    </row>
    <row r="5657" spans="1:3" hidden="1" x14ac:dyDescent="0.25">
      <c r="A5657" t="s">
        <v>20</v>
      </c>
      <c r="B5657">
        <v>108</v>
      </c>
      <c r="C5657">
        <v>28</v>
      </c>
    </row>
    <row r="5658" spans="1:3" hidden="1" x14ac:dyDescent="0.25">
      <c r="A5658" t="s">
        <v>20</v>
      </c>
      <c r="B5658">
        <v>108</v>
      </c>
      <c r="C5658">
        <v>29</v>
      </c>
    </row>
    <row r="5659" spans="1:3" hidden="1" x14ac:dyDescent="0.25">
      <c r="A5659" t="s">
        <v>20</v>
      </c>
      <c r="B5659">
        <v>108</v>
      </c>
      <c r="C5659">
        <v>30</v>
      </c>
    </row>
    <row r="5660" spans="1:3" hidden="1" x14ac:dyDescent="0.25">
      <c r="A5660" t="s">
        <v>20</v>
      </c>
      <c r="B5660">
        <v>108</v>
      </c>
      <c r="C5660">
        <v>31</v>
      </c>
    </row>
    <row r="5661" spans="1:3" hidden="1" x14ac:dyDescent="0.25">
      <c r="A5661" t="s">
        <v>20</v>
      </c>
      <c r="B5661">
        <v>108</v>
      </c>
      <c r="C5661">
        <v>32</v>
      </c>
    </row>
    <row r="5662" spans="1:3" hidden="1" x14ac:dyDescent="0.25">
      <c r="A5662" t="s">
        <v>20</v>
      </c>
      <c r="B5662">
        <v>108</v>
      </c>
      <c r="C5662">
        <v>33</v>
      </c>
    </row>
    <row r="5663" spans="1:3" hidden="1" x14ac:dyDescent="0.25">
      <c r="A5663" t="s">
        <v>20</v>
      </c>
      <c r="B5663">
        <v>108</v>
      </c>
      <c r="C5663">
        <v>34</v>
      </c>
    </row>
    <row r="5664" spans="1:3" hidden="1" x14ac:dyDescent="0.25">
      <c r="A5664" t="s">
        <v>20</v>
      </c>
      <c r="B5664">
        <v>108</v>
      </c>
      <c r="C5664">
        <v>35</v>
      </c>
    </row>
    <row r="5665" spans="1:3" hidden="1" x14ac:dyDescent="0.25">
      <c r="A5665" t="s">
        <v>20</v>
      </c>
      <c r="B5665">
        <v>108</v>
      </c>
      <c r="C5665">
        <v>36</v>
      </c>
    </row>
    <row r="5666" spans="1:3" hidden="1" x14ac:dyDescent="0.25">
      <c r="A5666" t="s">
        <v>20</v>
      </c>
      <c r="B5666">
        <v>108</v>
      </c>
      <c r="C5666">
        <v>37</v>
      </c>
    </row>
    <row r="5667" spans="1:3" hidden="1" x14ac:dyDescent="0.25">
      <c r="A5667" t="s">
        <v>20</v>
      </c>
      <c r="B5667">
        <v>108</v>
      </c>
      <c r="C5667">
        <v>38</v>
      </c>
    </row>
    <row r="5668" spans="1:3" hidden="1" x14ac:dyDescent="0.25">
      <c r="A5668" t="s">
        <v>20</v>
      </c>
      <c r="B5668">
        <v>108</v>
      </c>
      <c r="C5668">
        <v>39</v>
      </c>
    </row>
    <row r="5669" spans="1:3" hidden="1" x14ac:dyDescent="0.25">
      <c r="A5669" t="s">
        <v>20</v>
      </c>
      <c r="B5669">
        <v>108</v>
      </c>
      <c r="C5669">
        <v>40</v>
      </c>
    </row>
    <row r="5670" spans="1:3" hidden="1" x14ac:dyDescent="0.25">
      <c r="A5670" t="s">
        <v>20</v>
      </c>
      <c r="B5670">
        <v>108</v>
      </c>
      <c r="C5670">
        <v>41</v>
      </c>
    </row>
    <row r="5671" spans="1:3" hidden="1" x14ac:dyDescent="0.25">
      <c r="A5671" t="s">
        <v>20</v>
      </c>
      <c r="B5671">
        <v>108</v>
      </c>
      <c r="C5671">
        <v>42</v>
      </c>
    </row>
    <row r="5672" spans="1:3" hidden="1" x14ac:dyDescent="0.25">
      <c r="A5672" t="s">
        <v>20</v>
      </c>
      <c r="B5672">
        <v>108</v>
      </c>
      <c r="C5672">
        <v>43</v>
      </c>
    </row>
    <row r="5673" spans="1:3" hidden="1" x14ac:dyDescent="0.25">
      <c r="A5673" t="s">
        <v>20</v>
      </c>
      <c r="B5673">
        <v>108</v>
      </c>
      <c r="C5673">
        <v>44</v>
      </c>
    </row>
    <row r="5674" spans="1:3" hidden="1" x14ac:dyDescent="0.25">
      <c r="A5674" t="s">
        <v>20</v>
      </c>
      <c r="B5674">
        <v>108</v>
      </c>
      <c r="C5674">
        <v>45</v>
      </c>
    </row>
    <row r="5675" spans="1:3" hidden="1" x14ac:dyDescent="0.25">
      <c r="A5675" t="s">
        <v>20</v>
      </c>
      <c r="B5675">
        <v>108</v>
      </c>
      <c r="C5675">
        <v>46</v>
      </c>
    </row>
    <row r="5676" spans="1:3" hidden="1" x14ac:dyDescent="0.25">
      <c r="A5676" t="s">
        <v>20</v>
      </c>
      <c r="B5676">
        <v>108</v>
      </c>
      <c r="C5676">
        <v>47</v>
      </c>
    </row>
    <row r="5677" spans="1:3" hidden="1" x14ac:dyDescent="0.25">
      <c r="A5677" t="s">
        <v>20</v>
      </c>
      <c r="B5677">
        <v>108</v>
      </c>
      <c r="C5677">
        <v>48</v>
      </c>
    </row>
    <row r="5678" spans="1:3" hidden="1" x14ac:dyDescent="0.25">
      <c r="A5678" t="s">
        <v>20</v>
      </c>
      <c r="B5678">
        <v>108</v>
      </c>
      <c r="C5678">
        <v>49</v>
      </c>
    </row>
    <row r="5679" spans="1:3" hidden="1" x14ac:dyDescent="0.25">
      <c r="A5679" t="s">
        <v>20</v>
      </c>
      <c r="B5679">
        <v>108</v>
      </c>
      <c r="C5679">
        <v>50</v>
      </c>
    </row>
    <row r="5680" spans="1:3" hidden="1" x14ac:dyDescent="0.25">
      <c r="A5680" t="s">
        <v>20</v>
      </c>
      <c r="B5680">
        <v>108</v>
      </c>
      <c r="C5680">
        <v>51</v>
      </c>
    </row>
    <row r="5681" spans="1:3" hidden="1" x14ac:dyDescent="0.25">
      <c r="A5681" t="s">
        <v>20</v>
      </c>
      <c r="B5681">
        <v>108</v>
      </c>
      <c r="C5681">
        <v>52</v>
      </c>
    </row>
    <row r="5682" spans="1:3" hidden="1" x14ac:dyDescent="0.25">
      <c r="A5682" t="s">
        <v>20</v>
      </c>
      <c r="B5682">
        <v>108</v>
      </c>
      <c r="C5682">
        <v>53</v>
      </c>
    </row>
    <row r="5683" spans="1:3" hidden="1" x14ac:dyDescent="0.25">
      <c r="A5683" t="s">
        <v>20</v>
      </c>
      <c r="B5683">
        <v>108</v>
      </c>
      <c r="C5683">
        <v>54</v>
      </c>
    </row>
    <row r="5684" spans="1:3" hidden="1" x14ac:dyDescent="0.25">
      <c r="A5684" t="s">
        <v>20</v>
      </c>
      <c r="B5684">
        <v>108</v>
      </c>
      <c r="C5684">
        <v>55</v>
      </c>
    </row>
    <row r="5685" spans="1:3" hidden="1" x14ac:dyDescent="0.25">
      <c r="A5685" t="s">
        <v>20</v>
      </c>
      <c r="B5685">
        <v>108</v>
      </c>
      <c r="C5685">
        <v>56</v>
      </c>
    </row>
    <row r="5686" spans="1:3" hidden="1" x14ac:dyDescent="0.25">
      <c r="A5686" t="s">
        <v>20</v>
      </c>
      <c r="B5686">
        <v>108</v>
      </c>
      <c r="C5686">
        <v>57</v>
      </c>
    </row>
    <row r="5687" spans="1:3" hidden="1" x14ac:dyDescent="0.25">
      <c r="A5687" t="s">
        <v>20</v>
      </c>
      <c r="B5687">
        <v>108</v>
      </c>
      <c r="C5687">
        <v>58</v>
      </c>
    </row>
    <row r="5688" spans="1:3" hidden="1" x14ac:dyDescent="0.25">
      <c r="A5688" t="s">
        <v>20</v>
      </c>
      <c r="B5688">
        <v>108</v>
      </c>
      <c r="C5688">
        <v>59</v>
      </c>
    </row>
    <row r="5689" spans="1:3" hidden="1" x14ac:dyDescent="0.25">
      <c r="A5689" t="s">
        <v>20</v>
      </c>
      <c r="B5689">
        <v>108</v>
      </c>
      <c r="C5689">
        <v>60</v>
      </c>
    </row>
    <row r="5690" spans="1:3" hidden="1" x14ac:dyDescent="0.25">
      <c r="A5690" t="s">
        <v>20</v>
      </c>
      <c r="B5690">
        <v>108</v>
      </c>
      <c r="C5690">
        <v>61</v>
      </c>
    </row>
    <row r="5691" spans="1:3" hidden="1" x14ac:dyDescent="0.25">
      <c r="A5691" t="s">
        <v>20</v>
      </c>
      <c r="B5691">
        <v>108</v>
      </c>
      <c r="C5691">
        <v>62</v>
      </c>
    </row>
    <row r="5692" spans="1:3" hidden="1" x14ac:dyDescent="0.25">
      <c r="A5692" t="s">
        <v>20</v>
      </c>
      <c r="B5692">
        <v>108</v>
      </c>
      <c r="C5692">
        <v>63</v>
      </c>
    </row>
    <row r="5693" spans="1:3" hidden="1" x14ac:dyDescent="0.25">
      <c r="A5693" t="s">
        <v>20</v>
      </c>
      <c r="B5693">
        <v>108</v>
      </c>
      <c r="C5693">
        <v>64</v>
      </c>
    </row>
    <row r="5694" spans="1:3" hidden="1" x14ac:dyDescent="0.25">
      <c r="A5694" t="s">
        <v>20</v>
      </c>
      <c r="B5694">
        <v>108</v>
      </c>
      <c r="C5694">
        <v>65</v>
      </c>
    </row>
    <row r="5695" spans="1:3" hidden="1" x14ac:dyDescent="0.25">
      <c r="A5695" t="s">
        <v>20</v>
      </c>
      <c r="B5695">
        <v>108</v>
      </c>
      <c r="C5695">
        <v>66</v>
      </c>
    </row>
    <row r="5696" spans="1:3" hidden="1" x14ac:dyDescent="0.25">
      <c r="A5696" t="s">
        <v>20</v>
      </c>
      <c r="B5696">
        <v>108</v>
      </c>
      <c r="C5696">
        <v>67</v>
      </c>
    </row>
    <row r="5697" spans="1:3" hidden="1" x14ac:dyDescent="0.25">
      <c r="A5697" t="s">
        <v>20</v>
      </c>
      <c r="B5697">
        <v>108</v>
      </c>
      <c r="C5697">
        <v>68</v>
      </c>
    </row>
    <row r="5698" spans="1:3" hidden="1" x14ac:dyDescent="0.25">
      <c r="A5698" t="s">
        <v>20</v>
      </c>
      <c r="B5698">
        <v>108</v>
      </c>
      <c r="C5698">
        <v>69</v>
      </c>
    </row>
    <row r="5699" spans="1:3" hidden="1" x14ac:dyDescent="0.25">
      <c r="A5699" t="s">
        <v>20</v>
      </c>
      <c r="B5699">
        <v>108</v>
      </c>
      <c r="C5699">
        <v>70</v>
      </c>
    </row>
    <row r="5700" spans="1:3" hidden="1" x14ac:dyDescent="0.25">
      <c r="A5700" t="s">
        <v>20</v>
      </c>
      <c r="B5700">
        <v>108</v>
      </c>
      <c r="C5700">
        <v>71</v>
      </c>
    </row>
    <row r="5701" spans="1:3" hidden="1" x14ac:dyDescent="0.25">
      <c r="A5701" t="s">
        <v>20</v>
      </c>
      <c r="B5701">
        <v>108</v>
      </c>
      <c r="C5701">
        <v>72</v>
      </c>
    </row>
    <row r="5702" spans="1:3" hidden="1" x14ac:dyDescent="0.25">
      <c r="A5702" t="s">
        <v>20</v>
      </c>
      <c r="B5702">
        <v>108</v>
      </c>
      <c r="C5702">
        <v>73</v>
      </c>
    </row>
    <row r="5703" spans="1:3" hidden="1" x14ac:dyDescent="0.25">
      <c r="A5703" t="s">
        <v>20</v>
      </c>
      <c r="B5703">
        <v>108</v>
      </c>
      <c r="C5703">
        <v>74</v>
      </c>
    </row>
    <row r="5704" spans="1:3" hidden="1" x14ac:dyDescent="0.25">
      <c r="A5704" t="s">
        <v>20</v>
      </c>
      <c r="B5704">
        <v>108</v>
      </c>
      <c r="C5704">
        <v>75</v>
      </c>
    </row>
    <row r="5705" spans="1:3" hidden="1" x14ac:dyDescent="0.25">
      <c r="A5705" t="s">
        <v>20</v>
      </c>
      <c r="B5705">
        <v>108</v>
      </c>
      <c r="C5705">
        <v>76</v>
      </c>
    </row>
    <row r="5706" spans="1:3" hidden="1" x14ac:dyDescent="0.25">
      <c r="A5706" t="s">
        <v>20</v>
      </c>
      <c r="B5706">
        <v>108</v>
      </c>
      <c r="C5706">
        <v>77</v>
      </c>
    </row>
    <row r="5707" spans="1:3" hidden="1" x14ac:dyDescent="0.25">
      <c r="A5707" t="s">
        <v>20</v>
      </c>
      <c r="B5707">
        <v>108</v>
      </c>
      <c r="C5707">
        <v>78</v>
      </c>
    </row>
    <row r="5708" spans="1:3" hidden="1" x14ac:dyDescent="0.25">
      <c r="A5708" t="s">
        <v>20</v>
      </c>
      <c r="B5708">
        <v>108</v>
      </c>
      <c r="C5708">
        <v>79</v>
      </c>
    </row>
    <row r="5709" spans="1:3" hidden="1" x14ac:dyDescent="0.25">
      <c r="A5709" t="s">
        <v>20</v>
      </c>
      <c r="B5709">
        <v>108</v>
      </c>
      <c r="C5709">
        <v>80</v>
      </c>
    </row>
    <row r="5710" spans="1:3" hidden="1" x14ac:dyDescent="0.25">
      <c r="A5710" t="s">
        <v>20</v>
      </c>
      <c r="B5710">
        <v>108</v>
      </c>
      <c r="C5710">
        <v>81</v>
      </c>
    </row>
    <row r="5711" spans="1:3" hidden="1" x14ac:dyDescent="0.25">
      <c r="A5711" t="s">
        <v>20</v>
      </c>
      <c r="B5711">
        <v>108</v>
      </c>
      <c r="C5711">
        <v>82</v>
      </c>
    </row>
    <row r="5712" spans="1:3" hidden="1" x14ac:dyDescent="0.25">
      <c r="A5712" t="s">
        <v>20</v>
      </c>
      <c r="B5712">
        <v>108</v>
      </c>
      <c r="C5712">
        <v>83</v>
      </c>
    </row>
    <row r="5713" spans="1:3" hidden="1" x14ac:dyDescent="0.25">
      <c r="A5713" t="s">
        <v>20</v>
      </c>
      <c r="B5713">
        <v>108</v>
      </c>
      <c r="C5713">
        <v>84</v>
      </c>
    </row>
    <row r="5714" spans="1:3" hidden="1" x14ac:dyDescent="0.25">
      <c r="A5714" t="s">
        <v>20</v>
      </c>
      <c r="B5714">
        <v>113</v>
      </c>
      <c r="C5714">
        <v>1</v>
      </c>
    </row>
    <row r="5715" spans="1:3" hidden="1" x14ac:dyDescent="0.25">
      <c r="A5715" t="s">
        <v>20</v>
      </c>
      <c r="B5715">
        <v>113</v>
      </c>
      <c r="C5715">
        <v>2</v>
      </c>
    </row>
    <row r="5716" spans="1:3" hidden="1" x14ac:dyDescent="0.25">
      <c r="A5716" t="s">
        <v>20</v>
      </c>
      <c r="B5716">
        <v>113</v>
      </c>
      <c r="C5716">
        <v>3</v>
      </c>
    </row>
    <row r="5717" spans="1:3" hidden="1" x14ac:dyDescent="0.25">
      <c r="A5717" t="s">
        <v>20</v>
      </c>
      <c r="B5717">
        <v>113</v>
      </c>
      <c r="C5717">
        <v>4</v>
      </c>
    </row>
    <row r="5718" spans="1:3" hidden="1" x14ac:dyDescent="0.25">
      <c r="A5718" t="s">
        <v>20</v>
      </c>
      <c r="B5718">
        <v>113</v>
      </c>
      <c r="C5718">
        <v>5</v>
      </c>
    </row>
    <row r="5719" spans="1:3" hidden="1" x14ac:dyDescent="0.25">
      <c r="A5719" t="s">
        <v>20</v>
      </c>
      <c r="B5719">
        <v>113</v>
      </c>
      <c r="C5719">
        <v>6</v>
      </c>
    </row>
    <row r="5720" spans="1:3" hidden="1" x14ac:dyDescent="0.25">
      <c r="A5720" t="s">
        <v>20</v>
      </c>
      <c r="B5720">
        <v>113</v>
      </c>
      <c r="C5720">
        <v>7</v>
      </c>
    </row>
    <row r="5721" spans="1:3" hidden="1" x14ac:dyDescent="0.25">
      <c r="A5721" t="s">
        <v>20</v>
      </c>
      <c r="B5721">
        <v>113</v>
      </c>
      <c r="C5721">
        <v>8</v>
      </c>
    </row>
    <row r="5722" spans="1:3" hidden="1" x14ac:dyDescent="0.25">
      <c r="A5722" t="s">
        <v>20</v>
      </c>
      <c r="B5722">
        <v>113</v>
      </c>
      <c r="C5722">
        <v>9</v>
      </c>
    </row>
    <row r="5723" spans="1:3" hidden="1" x14ac:dyDescent="0.25">
      <c r="A5723" t="s">
        <v>20</v>
      </c>
      <c r="B5723">
        <v>113</v>
      </c>
      <c r="C5723">
        <v>10</v>
      </c>
    </row>
    <row r="5724" spans="1:3" hidden="1" x14ac:dyDescent="0.25">
      <c r="A5724" t="s">
        <v>20</v>
      </c>
      <c r="B5724">
        <v>113</v>
      </c>
      <c r="C5724">
        <v>11</v>
      </c>
    </row>
    <row r="5725" spans="1:3" hidden="1" x14ac:dyDescent="0.25">
      <c r="A5725" t="s">
        <v>20</v>
      </c>
      <c r="B5725">
        <v>113</v>
      </c>
      <c r="C5725">
        <v>12</v>
      </c>
    </row>
    <row r="5726" spans="1:3" hidden="1" x14ac:dyDescent="0.25">
      <c r="A5726" t="s">
        <v>20</v>
      </c>
      <c r="B5726">
        <v>113</v>
      </c>
      <c r="C5726">
        <v>13</v>
      </c>
    </row>
    <row r="5727" spans="1:3" hidden="1" x14ac:dyDescent="0.25">
      <c r="A5727" t="s">
        <v>20</v>
      </c>
      <c r="B5727">
        <v>113</v>
      </c>
      <c r="C5727">
        <v>14</v>
      </c>
    </row>
    <row r="5728" spans="1:3" hidden="1" x14ac:dyDescent="0.25">
      <c r="A5728" t="s">
        <v>20</v>
      </c>
      <c r="B5728">
        <v>113</v>
      </c>
      <c r="C5728">
        <v>15</v>
      </c>
    </row>
    <row r="5729" spans="1:3" hidden="1" x14ac:dyDescent="0.25">
      <c r="A5729" t="s">
        <v>20</v>
      </c>
      <c r="B5729">
        <v>113</v>
      </c>
      <c r="C5729">
        <v>16</v>
      </c>
    </row>
    <row r="5730" spans="1:3" hidden="1" x14ac:dyDescent="0.25">
      <c r="A5730" t="s">
        <v>20</v>
      </c>
      <c r="B5730">
        <v>113</v>
      </c>
      <c r="C5730">
        <v>17</v>
      </c>
    </row>
    <row r="5731" spans="1:3" hidden="1" x14ac:dyDescent="0.25">
      <c r="A5731" t="s">
        <v>20</v>
      </c>
      <c r="B5731">
        <v>113</v>
      </c>
      <c r="C5731">
        <v>18</v>
      </c>
    </row>
    <row r="5732" spans="1:3" hidden="1" x14ac:dyDescent="0.25">
      <c r="A5732" t="s">
        <v>20</v>
      </c>
      <c r="B5732">
        <v>113</v>
      </c>
      <c r="C5732">
        <v>19</v>
      </c>
    </row>
    <row r="5733" spans="1:3" hidden="1" x14ac:dyDescent="0.25">
      <c r="A5733" t="s">
        <v>20</v>
      </c>
      <c r="B5733">
        <v>113</v>
      </c>
      <c r="C5733">
        <v>20</v>
      </c>
    </row>
    <row r="5734" spans="1:3" hidden="1" x14ac:dyDescent="0.25">
      <c r="A5734" t="s">
        <v>20</v>
      </c>
      <c r="B5734">
        <v>113</v>
      </c>
      <c r="C5734">
        <v>21</v>
      </c>
    </row>
    <row r="5735" spans="1:3" hidden="1" x14ac:dyDescent="0.25">
      <c r="A5735" t="s">
        <v>20</v>
      </c>
      <c r="B5735">
        <v>113</v>
      </c>
      <c r="C5735">
        <v>22</v>
      </c>
    </row>
    <row r="5736" spans="1:3" hidden="1" x14ac:dyDescent="0.25">
      <c r="A5736" t="s">
        <v>20</v>
      </c>
      <c r="B5736">
        <v>113</v>
      </c>
      <c r="C5736">
        <v>23</v>
      </c>
    </row>
    <row r="5737" spans="1:3" hidden="1" x14ac:dyDescent="0.25">
      <c r="A5737" t="s">
        <v>20</v>
      </c>
      <c r="B5737">
        <v>113</v>
      </c>
      <c r="C5737">
        <v>24</v>
      </c>
    </row>
    <row r="5738" spans="1:3" hidden="1" x14ac:dyDescent="0.25">
      <c r="A5738" t="s">
        <v>20</v>
      </c>
      <c r="B5738">
        <v>113</v>
      </c>
      <c r="C5738">
        <v>25</v>
      </c>
    </row>
    <row r="5739" spans="1:3" hidden="1" x14ac:dyDescent="0.25">
      <c r="A5739" t="s">
        <v>20</v>
      </c>
      <c r="B5739">
        <v>113</v>
      </c>
      <c r="C5739">
        <v>26</v>
      </c>
    </row>
    <row r="5740" spans="1:3" hidden="1" x14ac:dyDescent="0.25">
      <c r="A5740" t="s">
        <v>20</v>
      </c>
      <c r="B5740">
        <v>113</v>
      </c>
      <c r="C5740">
        <v>27</v>
      </c>
    </row>
    <row r="5741" spans="1:3" hidden="1" x14ac:dyDescent="0.25">
      <c r="A5741" t="s">
        <v>20</v>
      </c>
      <c r="B5741">
        <v>113</v>
      </c>
      <c r="C5741">
        <v>28</v>
      </c>
    </row>
    <row r="5742" spans="1:3" hidden="1" x14ac:dyDescent="0.25">
      <c r="A5742" t="s">
        <v>20</v>
      </c>
      <c r="B5742">
        <v>113</v>
      </c>
      <c r="C5742">
        <v>29</v>
      </c>
    </row>
    <row r="5743" spans="1:3" hidden="1" x14ac:dyDescent="0.25">
      <c r="A5743" t="s">
        <v>20</v>
      </c>
      <c r="B5743">
        <v>113</v>
      </c>
      <c r="C5743">
        <v>30</v>
      </c>
    </row>
    <row r="5744" spans="1:3" hidden="1" x14ac:dyDescent="0.25">
      <c r="A5744" t="s">
        <v>20</v>
      </c>
      <c r="B5744">
        <v>113</v>
      </c>
      <c r="C5744">
        <v>31</v>
      </c>
    </row>
    <row r="5745" spans="1:3" hidden="1" x14ac:dyDescent="0.25">
      <c r="A5745" t="s">
        <v>20</v>
      </c>
      <c r="B5745">
        <v>113</v>
      </c>
      <c r="C5745">
        <v>32</v>
      </c>
    </row>
    <row r="5746" spans="1:3" hidden="1" x14ac:dyDescent="0.25">
      <c r="A5746" t="s">
        <v>20</v>
      </c>
      <c r="B5746">
        <v>113</v>
      </c>
      <c r="C5746">
        <v>33</v>
      </c>
    </row>
    <row r="5747" spans="1:3" hidden="1" x14ac:dyDescent="0.25">
      <c r="A5747" t="s">
        <v>20</v>
      </c>
      <c r="B5747">
        <v>113</v>
      </c>
      <c r="C5747">
        <v>34</v>
      </c>
    </row>
    <row r="5748" spans="1:3" hidden="1" x14ac:dyDescent="0.25">
      <c r="A5748" t="s">
        <v>20</v>
      </c>
      <c r="B5748">
        <v>113</v>
      </c>
      <c r="C5748">
        <v>35</v>
      </c>
    </row>
    <row r="5749" spans="1:3" hidden="1" x14ac:dyDescent="0.25">
      <c r="A5749" t="s">
        <v>20</v>
      </c>
      <c r="B5749">
        <v>113</v>
      </c>
      <c r="C5749">
        <v>36</v>
      </c>
    </row>
    <row r="5750" spans="1:3" hidden="1" x14ac:dyDescent="0.25">
      <c r="A5750" t="s">
        <v>20</v>
      </c>
      <c r="B5750">
        <v>113</v>
      </c>
      <c r="C5750">
        <v>37</v>
      </c>
    </row>
    <row r="5751" spans="1:3" hidden="1" x14ac:dyDescent="0.25">
      <c r="A5751" t="s">
        <v>20</v>
      </c>
      <c r="B5751">
        <v>113</v>
      </c>
      <c r="C5751">
        <v>38</v>
      </c>
    </row>
    <row r="5752" spans="1:3" hidden="1" x14ac:dyDescent="0.25">
      <c r="A5752" t="s">
        <v>20</v>
      </c>
      <c r="B5752">
        <v>113</v>
      </c>
      <c r="C5752">
        <v>39</v>
      </c>
    </row>
    <row r="5753" spans="1:3" hidden="1" x14ac:dyDescent="0.25">
      <c r="A5753" t="s">
        <v>20</v>
      </c>
      <c r="B5753">
        <v>113</v>
      </c>
      <c r="C5753">
        <v>40</v>
      </c>
    </row>
    <row r="5754" spans="1:3" hidden="1" x14ac:dyDescent="0.25">
      <c r="A5754" t="s">
        <v>20</v>
      </c>
      <c r="B5754">
        <v>113</v>
      </c>
      <c r="C5754">
        <v>41</v>
      </c>
    </row>
    <row r="5755" spans="1:3" hidden="1" x14ac:dyDescent="0.25">
      <c r="A5755" t="s">
        <v>20</v>
      </c>
      <c r="B5755">
        <v>113</v>
      </c>
      <c r="C5755">
        <v>42</v>
      </c>
    </row>
    <row r="5756" spans="1:3" hidden="1" x14ac:dyDescent="0.25">
      <c r="A5756" t="s">
        <v>20</v>
      </c>
      <c r="B5756">
        <v>113</v>
      </c>
      <c r="C5756">
        <v>43</v>
      </c>
    </row>
    <row r="5757" spans="1:3" hidden="1" x14ac:dyDescent="0.25">
      <c r="A5757" t="s">
        <v>20</v>
      </c>
      <c r="B5757">
        <v>113</v>
      </c>
      <c r="C5757">
        <v>44</v>
      </c>
    </row>
    <row r="5758" spans="1:3" hidden="1" x14ac:dyDescent="0.25">
      <c r="A5758" t="s">
        <v>20</v>
      </c>
      <c r="B5758">
        <v>113</v>
      </c>
      <c r="C5758">
        <v>45</v>
      </c>
    </row>
    <row r="5759" spans="1:3" hidden="1" x14ac:dyDescent="0.25">
      <c r="A5759" t="s">
        <v>20</v>
      </c>
      <c r="B5759">
        <v>113</v>
      </c>
      <c r="C5759">
        <v>46</v>
      </c>
    </row>
    <row r="5760" spans="1:3" hidden="1" x14ac:dyDescent="0.25">
      <c r="A5760" t="s">
        <v>20</v>
      </c>
      <c r="B5760">
        <v>113</v>
      </c>
      <c r="C5760">
        <v>47</v>
      </c>
    </row>
    <row r="5761" spans="1:3" hidden="1" x14ac:dyDescent="0.25">
      <c r="A5761" t="s">
        <v>20</v>
      </c>
      <c r="B5761">
        <v>113</v>
      </c>
      <c r="C5761">
        <v>48</v>
      </c>
    </row>
    <row r="5762" spans="1:3" hidden="1" x14ac:dyDescent="0.25">
      <c r="A5762" t="s">
        <v>20</v>
      </c>
      <c r="B5762">
        <v>113</v>
      </c>
      <c r="C5762">
        <v>49</v>
      </c>
    </row>
    <row r="5763" spans="1:3" hidden="1" x14ac:dyDescent="0.25">
      <c r="A5763" t="s">
        <v>20</v>
      </c>
      <c r="B5763">
        <v>113</v>
      </c>
      <c r="C5763">
        <v>50</v>
      </c>
    </row>
    <row r="5764" spans="1:3" hidden="1" x14ac:dyDescent="0.25">
      <c r="A5764" t="s">
        <v>20</v>
      </c>
      <c r="B5764">
        <v>113</v>
      </c>
      <c r="C5764">
        <v>51</v>
      </c>
    </row>
    <row r="5765" spans="1:3" hidden="1" x14ac:dyDescent="0.25">
      <c r="A5765" t="s">
        <v>20</v>
      </c>
      <c r="B5765">
        <v>113</v>
      </c>
      <c r="C5765">
        <v>52</v>
      </c>
    </row>
    <row r="5766" spans="1:3" hidden="1" x14ac:dyDescent="0.25">
      <c r="A5766" t="s">
        <v>20</v>
      </c>
      <c r="B5766">
        <v>113</v>
      </c>
      <c r="C5766">
        <v>53</v>
      </c>
    </row>
    <row r="5767" spans="1:3" hidden="1" x14ac:dyDescent="0.25">
      <c r="A5767" t="s">
        <v>20</v>
      </c>
      <c r="B5767">
        <v>113</v>
      </c>
      <c r="C5767">
        <v>54</v>
      </c>
    </row>
    <row r="5768" spans="1:3" hidden="1" x14ac:dyDescent="0.25">
      <c r="A5768" t="s">
        <v>20</v>
      </c>
      <c r="B5768">
        <v>113</v>
      </c>
      <c r="C5768">
        <v>55</v>
      </c>
    </row>
    <row r="5769" spans="1:3" hidden="1" x14ac:dyDescent="0.25">
      <c r="A5769" t="s">
        <v>20</v>
      </c>
      <c r="B5769">
        <v>113</v>
      </c>
      <c r="C5769">
        <v>56</v>
      </c>
    </row>
    <row r="5770" spans="1:3" hidden="1" x14ac:dyDescent="0.25">
      <c r="A5770" t="s">
        <v>20</v>
      </c>
      <c r="B5770">
        <v>113</v>
      </c>
      <c r="C5770">
        <v>57</v>
      </c>
    </row>
    <row r="5771" spans="1:3" hidden="1" x14ac:dyDescent="0.25">
      <c r="A5771" t="s">
        <v>20</v>
      </c>
      <c r="B5771">
        <v>113</v>
      </c>
      <c r="C5771">
        <v>58</v>
      </c>
    </row>
    <row r="5772" spans="1:3" hidden="1" x14ac:dyDescent="0.25">
      <c r="A5772" t="s">
        <v>20</v>
      </c>
      <c r="B5772">
        <v>113</v>
      </c>
      <c r="C5772">
        <v>59</v>
      </c>
    </row>
    <row r="5773" spans="1:3" hidden="1" x14ac:dyDescent="0.25">
      <c r="A5773" t="s">
        <v>20</v>
      </c>
      <c r="B5773">
        <v>113</v>
      </c>
      <c r="C5773">
        <v>60</v>
      </c>
    </row>
    <row r="5774" spans="1:3" hidden="1" x14ac:dyDescent="0.25">
      <c r="A5774" t="s">
        <v>20</v>
      </c>
      <c r="B5774">
        <v>113</v>
      </c>
      <c r="C5774">
        <v>61</v>
      </c>
    </row>
    <row r="5775" spans="1:3" hidden="1" x14ac:dyDescent="0.25">
      <c r="A5775" t="s">
        <v>20</v>
      </c>
      <c r="B5775">
        <v>113</v>
      </c>
      <c r="C5775">
        <v>62</v>
      </c>
    </row>
    <row r="5776" spans="1:3" hidden="1" x14ac:dyDescent="0.25">
      <c r="A5776" t="s">
        <v>20</v>
      </c>
      <c r="B5776">
        <v>113</v>
      </c>
      <c r="C5776">
        <v>63</v>
      </c>
    </row>
    <row r="5777" spans="1:3" hidden="1" x14ac:dyDescent="0.25">
      <c r="A5777" t="s">
        <v>20</v>
      </c>
      <c r="B5777">
        <v>113</v>
      </c>
      <c r="C5777">
        <v>64</v>
      </c>
    </row>
    <row r="5778" spans="1:3" hidden="1" x14ac:dyDescent="0.25">
      <c r="A5778" t="s">
        <v>20</v>
      </c>
      <c r="B5778">
        <v>113</v>
      </c>
      <c r="C5778">
        <v>65</v>
      </c>
    </row>
    <row r="5779" spans="1:3" hidden="1" x14ac:dyDescent="0.25">
      <c r="A5779" t="s">
        <v>20</v>
      </c>
      <c r="B5779">
        <v>113</v>
      </c>
      <c r="C5779">
        <v>66</v>
      </c>
    </row>
    <row r="5780" spans="1:3" hidden="1" x14ac:dyDescent="0.25">
      <c r="A5780" t="s">
        <v>20</v>
      </c>
      <c r="B5780">
        <v>113</v>
      </c>
      <c r="C5780">
        <v>67</v>
      </c>
    </row>
    <row r="5781" spans="1:3" hidden="1" x14ac:dyDescent="0.25">
      <c r="A5781" t="s">
        <v>20</v>
      </c>
      <c r="B5781">
        <v>113</v>
      </c>
      <c r="C5781">
        <v>68</v>
      </c>
    </row>
    <row r="5782" spans="1:3" hidden="1" x14ac:dyDescent="0.25">
      <c r="A5782" t="s">
        <v>20</v>
      </c>
      <c r="B5782">
        <v>113</v>
      </c>
      <c r="C5782">
        <v>69</v>
      </c>
    </row>
    <row r="5783" spans="1:3" hidden="1" x14ac:dyDescent="0.25">
      <c r="A5783" t="s">
        <v>20</v>
      </c>
      <c r="B5783">
        <v>113</v>
      </c>
      <c r="C5783">
        <v>70</v>
      </c>
    </row>
    <row r="5784" spans="1:3" hidden="1" x14ac:dyDescent="0.25">
      <c r="A5784" t="s">
        <v>20</v>
      </c>
      <c r="B5784">
        <v>113</v>
      </c>
      <c r="C5784">
        <v>71</v>
      </c>
    </row>
    <row r="5785" spans="1:3" hidden="1" x14ac:dyDescent="0.25">
      <c r="A5785" t="s">
        <v>20</v>
      </c>
      <c r="B5785">
        <v>113</v>
      </c>
      <c r="C5785">
        <v>72</v>
      </c>
    </row>
    <row r="5786" spans="1:3" hidden="1" x14ac:dyDescent="0.25">
      <c r="A5786" t="s">
        <v>20</v>
      </c>
      <c r="B5786">
        <v>113</v>
      </c>
      <c r="C5786">
        <v>73</v>
      </c>
    </row>
    <row r="5787" spans="1:3" hidden="1" x14ac:dyDescent="0.25">
      <c r="A5787" t="s">
        <v>20</v>
      </c>
      <c r="B5787">
        <v>113</v>
      </c>
      <c r="C5787">
        <v>74</v>
      </c>
    </row>
    <row r="5788" spans="1:3" hidden="1" x14ac:dyDescent="0.25">
      <c r="A5788" t="s">
        <v>20</v>
      </c>
      <c r="B5788">
        <v>113</v>
      </c>
      <c r="C5788">
        <v>75</v>
      </c>
    </row>
    <row r="5789" spans="1:3" hidden="1" x14ac:dyDescent="0.25">
      <c r="A5789" t="s">
        <v>20</v>
      </c>
      <c r="B5789">
        <v>113</v>
      </c>
      <c r="C5789">
        <v>76</v>
      </c>
    </row>
    <row r="5790" spans="1:3" hidden="1" x14ac:dyDescent="0.25">
      <c r="A5790" t="s">
        <v>20</v>
      </c>
      <c r="B5790">
        <v>113</v>
      </c>
      <c r="C5790">
        <v>77</v>
      </c>
    </row>
    <row r="5791" spans="1:3" hidden="1" x14ac:dyDescent="0.25">
      <c r="A5791" t="s">
        <v>20</v>
      </c>
      <c r="B5791">
        <v>113</v>
      </c>
      <c r="C5791">
        <v>78</v>
      </c>
    </row>
    <row r="5792" spans="1:3" hidden="1" x14ac:dyDescent="0.25">
      <c r="A5792" t="s">
        <v>20</v>
      </c>
      <c r="B5792">
        <v>113</v>
      </c>
      <c r="C5792">
        <v>79</v>
      </c>
    </row>
    <row r="5793" spans="1:3" hidden="1" x14ac:dyDescent="0.25">
      <c r="A5793" t="s">
        <v>20</v>
      </c>
      <c r="B5793">
        <v>113</v>
      </c>
      <c r="C5793">
        <v>80</v>
      </c>
    </row>
    <row r="5794" spans="1:3" hidden="1" x14ac:dyDescent="0.25">
      <c r="A5794" t="s">
        <v>20</v>
      </c>
      <c r="B5794">
        <v>113</v>
      </c>
      <c r="C5794">
        <v>81</v>
      </c>
    </row>
    <row r="5795" spans="1:3" hidden="1" x14ac:dyDescent="0.25">
      <c r="A5795" t="s">
        <v>20</v>
      </c>
      <c r="B5795">
        <v>113</v>
      </c>
      <c r="C5795">
        <v>82</v>
      </c>
    </row>
    <row r="5796" spans="1:3" hidden="1" x14ac:dyDescent="0.25">
      <c r="A5796" t="s">
        <v>20</v>
      </c>
      <c r="B5796">
        <v>113</v>
      </c>
      <c r="C5796">
        <v>83</v>
      </c>
    </row>
    <row r="5797" spans="1:3" hidden="1" x14ac:dyDescent="0.25">
      <c r="A5797" t="s">
        <v>20</v>
      </c>
      <c r="B5797">
        <v>113</v>
      </c>
      <c r="C5797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