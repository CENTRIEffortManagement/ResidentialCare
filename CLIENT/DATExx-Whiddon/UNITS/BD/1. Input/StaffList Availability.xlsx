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EE34C205-2931-4623-9B5E-1DD3EF2AF5DE}" xr6:coauthVersionLast="47" xr6:coauthVersionMax="47" xr10:uidLastSave="{00000000-0000-0000-0000-000000000000}"/>
  <bookViews>
    <workbookView xWindow="-120" yWindow="-120" windowWidth="38640" windowHeight="21120" tabRatio="357" activeTab="1" xr2:uid="{82C3ADA1-C6C9-454C-A685-BBB616555312}"/>
  </bookViews>
  <sheets>
    <sheet name="Staff Availability" sheetId="5" r:id="rId1"/>
    <sheet name="Staff Availability (2)" sheetId="6" r:id="rId2"/>
  </sheets>
  <definedNames>
    <definedName name="Facility" localSheetId="1">'Staff Availability (2)'!$C$1</definedName>
    <definedName name="Facility">'Staff Availability'!$C$1</definedName>
    <definedName name="_xlnm.Print_Area" localSheetId="0">'Staff Availability'!$B$1:$AV$100</definedName>
    <definedName name="_xlnm.Print_Area" localSheetId="1">'Staff Availability (2)'!$B$1:$AV$100</definedName>
    <definedName name="_xlnm.Print_Titles" localSheetId="0">'Staff Availability'!$1:$5</definedName>
    <definedName name="_xlnm.Print_Titles" localSheetId="1">'Staff Availability (2)'!$1:$5</definedName>
    <definedName name="Week_Starting" localSheetId="1">'Staff Availability (2)'!$C$2</definedName>
    <definedName name="Week_Starting">'Staff Availability'!$C$2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1" i="6" l="1"/>
  <c r="AY11" i="6" s="1"/>
  <c r="AX12" i="6"/>
  <c r="AY12" i="6" s="1"/>
  <c r="AX13" i="6"/>
  <c r="AY13" i="6" s="1"/>
  <c r="AX14" i="6"/>
  <c r="AY14" i="6" s="1"/>
  <c r="AX15" i="6"/>
  <c r="AY15" i="6" s="1"/>
  <c r="AX16" i="6"/>
  <c r="AY16" i="6" s="1"/>
  <c r="AX17" i="6"/>
  <c r="AY17" i="6" s="1"/>
  <c r="AX18" i="6"/>
  <c r="AY18" i="6" s="1"/>
  <c r="AX19" i="6"/>
  <c r="AY19" i="6" s="1"/>
  <c r="AX20" i="6"/>
  <c r="AY20" i="6" s="1"/>
  <c r="AX21" i="6"/>
  <c r="AY21" i="6" s="1"/>
  <c r="AX22" i="6"/>
  <c r="AY22" i="6" s="1"/>
  <c r="AX23" i="6"/>
  <c r="AY23" i="6" s="1"/>
  <c r="AX24" i="6"/>
  <c r="AY24" i="6" s="1"/>
  <c r="AX25" i="6"/>
  <c r="AY25" i="6" s="1"/>
  <c r="AX26" i="6"/>
  <c r="AY26" i="6" s="1"/>
  <c r="AX27" i="6"/>
  <c r="AY27" i="6" s="1"/>
  <c r="AX28" i="6"/>
  <c r="AY28" i="6" s="1"/>
  <c r="AX29" i="6"/>
  <c r="AY29" i="6" s="1"/>
  <c r="AX30" i="6"/>
  <c r="AY30" i="6" s="1"/>
  <c r="AX31" i="6"/>
  <c r="AY31" i="6" s="1"/>
  <c r="AX32" i="6"/>
  <c r="AY32" i="6" s="1"/>
  <c r="AX33" i="6"/>
  <c r="AY33" i="6" s="1"/>
  <c r="AX34" i="6"/>
  <c r="AY34" i="6" s="1"/>
  <c r="AX35" i="6"/>
  <c r="AY35" i="6" s="1"/>
  <c r="AX36" i="6"/>
  <c r="AY36" i="6" s="1"/>
  <c r="AX37" i="6"/>
  <c r="AY37" i="6" s="1"/>
  <c r="AX38" i="6"/>
  <c r="AY38" i="6" s="1"/>
  <c r="AX39" i="6"/>
  <c r="AY39" i="6" s="1"/>
  <c r="AX40" i="6"/>
  <c r="AY40" i="6" s="1"/>
  <c r="AX41" i="6"/>
  <c r="AY41" i="6" s="1"/>
  <c r="AX42" i="6"/>
  <c r="AY42" i="6" s="1"/>
  <c r="AX43" i="6"/>
  <c r="AY43" i="6" s="1"/>
  <c r="AX44" i="6"/>
  <c r="AY44" i="6" s="1"/>
  <c r="AX45" i="6"/>
  <c r="AY45" i="6" s="1"/>
  <c r="AX46" i="6"/>
  <c r="AY46" i="6" s="1"/>
  <c r="AX47" i="6"/>
  <c r="AY47" i="6" s="1"/>
  <c r="AX48" i="6"/>
  <c r="AY48" i="6" s="1"/>
  <c r="AX49" i="6"/>
  <c r="AY49" i="6" s="1"/>
  <c r="AX50" i="6"/>
  <c r="AY50" i="6" s="1"/>
  <c r="AX51" i="6"/>
  <c r="AY51" i="6" s="1"/>
  <c r="AX52" i="6"/>
  <c r="AY52" i="6" s="1"/>
  <c r="AX53" i="6"/>
  <c r="AY53" i="6" s="1"/>
  <c r="AX54" i="6"/>
  <c r="AY54" i="6" s="1"/>
  <c r="AX55" i="6"/>
  <c r="AY55" i="6" s="1"/>
  <c r="AX56" i="6"/>
  <c r="AY56" i="6" s="1"/>
  <c r="AX57" i="6"/>
  <c r="AY57" i="6" s="1"/>
  <c r="AX58" i="6"/>
  <c r="AY58" i="6" s="1"/>
  <c r="AX59" i="6"/>
  <c r="AY59" i="6" s="1"/>
  <c r="AX60" i="6"/>
  <c r="AY60" i="6" s="1"/>
  <c r="AX61" i="6"/>
  <c r="AY61" i="6" s="1"/>
  <c r="AX62" i="6"/>
  <c r="AY62" i="6" s="1"/>
  <c r="AX63" i="6"/>
  <c r="AY63" i="6" s="1"/>
  <c r="AX64" i="6"/>
  <c r="AY64" i="6" s="1"/>
  <c r="AX65" i="6"/>
  <c r="AY65" i="6" s="1"/>
  <c r="AX66" i="6"/>
  <c r="AY66" i="6" s="1"/>
  <c r="AX67" i="6"/>
  <c r="AY67" i="6" s="1"/>
  <c r="AX68" i="6"/>
  <c r="AY68" i="6" s="1"/>
  <c r="AX69" i="6"/>
  <c r="AY69" i="6" s="1"/>
  <c r="AX70" i="6"/>
  <c r="AY70" i="6" s="1"/>
  <c r="AX71" i="6"/>
  <c r="AY71" i="6" s="1"/>
  <c r="AX72" i="6"/>
  <c r="AY72" i="6" s="1"/>
  <c r="AX73" i="6"/>
  <c r="AY73" i="6" s="1"/>
  <c r="AX74" i="6"/>
  <c r="AY74" i="6" s="1"/>
  <c r="AX75" i="6"/>
  <c r="AY75" i="6" s="1"/>
  <c r="AX76" i="6"/>
  <c r="AY76" i="6" s="1"/>
  <c r="AX77" i="6"/>
  <c r="AY77" i="6" s="1"/>
  <c r="AX78" i="6"/>
  <c r="AY78" i="6" s="1"/>
  <c r="AX79" i="6"/>
  <c r="AY79" i="6" s="1"/>
  <c r="AX80" i="6"/>
  <c r="AY80" i="6" s="1"/>
  <c r="AX81" i="6"/>
  <c r="AY81" i="6" s="1"/>
  <c r="AX82" i="6"/>
  <c r="AY82" i="6" s="1"/>
  <c r="AX83" i="6"/>
  <c r="AY83" i="6" s="1"/>
  <c r="AX84" i="6"/>
  <c r="AY84" i="6" s="1"/>
  <c r="AX85" i="6"/>
  <c r="AY85" i="6" s="1"/>
  <c r="AX86" i="6"/>
  <c r="AY86" i="6" s="1"/>
  <c r="AX87" i="6"/>
  <c r="AY87" i="6" s="1"/>
  <c r="AX88" i="6"/>
  <c r="AY88" i="6" s="1"/>
  <c r="AX89" i="6"/>
  <c r="AY89" i="6" s="1"/>
  <c r="AX90" i="6"/>
  <c r="AY90" i="6" s="1"/>
  <c r="AX91" i="6"/>
  <c r="AY91" i="6" s="1"/>
  <c r="AX92" i="6"/>
  <c r="AY92" i="6" s="1"/>
  <c r="AX93" i="6"/>
  <c r="AY93" i="6" s="1"/>
  <c r="AX94" i="6"/>
  <c r="AY94" i="6" s="1"/>
  <c r="AX95" i="6"/>
  <c r="AY95" i="6" s="1"/>
  <c r="AX96" i="6"/>
  <c r="AY96" i="6" s="1"/>
  <c r="AX97" i="6"/>
  <c r="AY97" i="6" s="1"/>
  <c r="AX98" i="6"/>
  <c r="AY98" i="6" s="1"/>
  <c r="AX99" i="6"/>
  <c r="AY99" i="6" s="1"/>
  <c r="AX100" i="6"/>
  <c r="AY100" i="6" s="1"/>
  <c r="AX101" i="6"/>
  <c r="AY101" i="6" s="1"/>
  <c r="AX102" i="6"/>
  <c r="AY102" i="6" s="1"/>
  <c r="AX103" i="6"/>
  <c r="AY103" i="6" s="1"/>
  <c r="AX10" i="6"/>
  <c r="AY10" i="6" s="1"/>
  <c r="AX9" i="6"/>
  <c r="AY9" i="6" s="1"/>
  <c r="AX8" i="6"/>
  <c r="AY8" i="6" s="1"/>
  <c r="AX7" i="6"/>
  <c r="AY7" i="6" s="1"/>
  <c r="F5" i="6"/>
  <c r="E5" i="6"/>
  <c r="D5" i="6"/>
  <c r="C5" i="6"/>
  <c r="B5" i="6"/>
  <c r="AX7" i="5"/>
  <c r="AY7" i="5" s="1"/>
  <c r="AX8" i="5"/>
  <c r="AY8" i="5" s="1"/>
  <c r="AX9" i="5"/>
  <c r="AY9" i="5" s="1"/>
  <c r="AX10" i="5"/>
  <c r="AY10" i="5" s="1"/>
  <c r="AX11" i="5"/>
  <c r="AY11" i="5" s="1"/>
  <c r="AX12" i="5"/>
  <c r="AY12" i="5" s="1"/>
  <c r="AX13" i="5"/>
  <c r="AY13" i="5" s="1"/>
  <c r="AX14" i="5"/>
  <c r="AY14" i="5" s="1"/>
  <c r="AX15" i="5"/>
  <c r="AY15" i="5" s="1"/>
  <c r="AX16" i="5"/>
  <c r="AY16" i="5" s="1"/>
  <c r="AX17" i="5"/>
  <c r="AY17" i="5" s="1"/>
  <c r="AX18" i="5"/>
  <c r="AY18" i="5" s="1"/>
  <c r="AX19" i="5"/>
  <c r="AY19" i="5" s="1"/>
  <c r="AX20" i="5"/>
  <c r="AY20" i="5" s="1"/>
  <c r="AX21" i="5"/>
  <c r="AY21" i="5" s="1"/>
  <c r="AX22" i="5"/>
  <c r="AY22" i="5" s="1"/>
  <c r="AX23" i="5"/>
  <c r="AY23" i="5" s="1"/>
  <c r="AX24" i="5"/>
  <c r="AY24" i="5" s="1"/>
  <c r="AX25" i="5"/>
  <c r="AY25" i="5" s="1"/>
  <c r="AX26" i="5"/>
  <c r="AY26" i="5" s="1"/>
  <c r="AX27" i="5"/>
  <c r="AY27" i="5" s="1"/>
  <c r="AX28" i="5"/>
  <c r="AY28" i="5" s="1"/>
  <c r="AX29" i="5"/>
  <c r="AY29" i="5" s="1"/>
  <c r="AX30" i="5"/>
  <c r="AY30" i="5" s="1"/>
  <c r="AX31" i="5"/>
  <c r="AY31" i="5" s="1"/>
  <c r="AX32" i="5"/>
  <c r="AY32" i="5" s="1"/>
  <c r="AX33" i="5"/>
  <c r="AY33" i="5" s="1"/>
  <c r="AX34" i="5"/>
  <c r="AY34" i="5" s="1"/>
  <c r="AX35" i="5"/>
  <c r="AY35" i="5" s="1"/>
  <c r="AX36" i="5"/>
  <c r="AY36" i="5" s="1"/>
  <c r="AX37" i="5"/>
  <c r="AY37" i="5" s="1"/>
  <c r="AX38" i="5"/>
  <c r="AY38" i="5" s="1"/>
  <c r="AX39" i="5"/>
  <c r="AY39" i="5" s="1"/>
  <c r="AX40" i="5"/>
  <c r="AY40" i="5" s="1"/>
  <c r="AX41" i="5"/>
  <c r="AY41" i="5" s="1"/>
  <c r="AX42" i="5"/>
  <c r="AY42" i="5" s="1"/>
  <c r="AX43" i="5"/>
  <c r="AY43" i="5" s="1"/>
  <c r="AX44" i="5"/>
  <c r="AY44" i="5" s="1"/>
  <c r="AX45" i="5"/>
  <c r="AY45" i="5" s="1"/>
  <c r="AX46" i="5"/>
  <c r="AY46" i="5" s="1"/>
  <c r="AX47" i="5"/>
  <c r="AY47" i="5" s="1"/>
  <c r="AX48" i="5"/>
  <c r="AY48" i="5" s="1"/>
  <c r="AX49" i="5"/>
  <c r="AY49" i="5" s="1"/>
  <c r="AX50" i="5"/>
  <c r="AY50" i="5" s="1"/>
  <c r="AX51" i="5"/>
  <c r="AY51" i="5" s="1"/>
  <c r="AX52" i="5"/>
  <c r="AY52" i="5" s="1"/>
  <c r="AX53" i="5"/>
  <c r="AY53" i="5" s="1"/>
  <c r="AX54" i="5"/>
  <c r="AY54" i="5" s="1"/>
  <c r="AX55" i="5"/>
  <c r="AY55" i="5" s="1"/>
  <c r="AX56" i="5"/>
  <c r="AY56" i="5" s="1"/>
  <c r="AX57" i="5"/>
  <c r="AY57" i="5" s="1"/>
  <c r="AX58" i="5"/>
  <c r="AY58" i="5" s="1"/>
  <c r="AX59" i="5"/>
  <c r="AY59" i="5" s="1"/>
  <c r="AX60" i="5"/>
  <c r="AY60" i="5" s="1"/>
  <c r="AX61" i="5"/>
  <c r="AY61" i="5" s="1"/>
  <c r="AX62" i="5"/>
  <c r="AY62" i="5" s="1"/>
  <c r="AX63" i="5"/>
  <c r="AY63" i="5" s="1"/>
  <c r="AX64" i="5"/>
  <c r="AY64" i="5" s="1"/>
  <c r="AX65" i="5"/>
  <c r="AY65" i="5" s="1"/>
  <c r="AX66" i="5"/>
  <c r="AY66" i="5" s="1"/>
  <c r="AX67" i="5"/>
  <c r="AY67" i="5" s="1"/>
  <c r="AX68" i="5"/>
  <c r="AY68" i="5" s="1"/>
  <c r="AX69" i="5"/>
  <c r="AY69" i="5" s="1"/>
  <c r="AX70" i="5"/>
  <c r="AY70" i="5" s="1"/>
  <c r="AX71" i="5"/>
  <c r="AY71" i="5" s="1"/>
  <c r="AX72" i="5"/>
  <c r="AY72" i="5" s="1"/>
  <c r="AX73" i="5"/>
  <c r="AY73" i="5" s="1"/>
  <c r="AX74" i="5"/>
  <c r="AY74" i="5" s="1"/>
  <c r="AX75" i="5"/>
  <c r="AY75" i="5" s="1"/>
  <c r="AX76" i="5"/>
  <c r="AY76" i="5" s="1"/>
  <c r="AX77" i="5"/>
  <c r="AY77" i="5" s="1"/>
  <c r="AX78" i="5"/>
  <c r="AY78" i="5" s="1"/>
  <c r="AX79" i="5"/>
  <c r="AY79" i="5" s="1"/>
  <c r="AX80" i="5"/>
  <c r="AY80" i="5" s="1"/>
  <c r="AX81" i="5"/>
  <c r="AY81" i="5" s="1"/>
  <c r="AX82" i="5"/>
  <c r="AY82" i="5" s="1"/>
  <c r="AX83" i="5"/>
  <c r="AY83" i="5" s="1"/>
  <c r="AX84" i="5"/>
  <c r="AY84" i="5" s="1"/>
  <c r="AX85" i="5"/>
  <c r="AY85" i="5" s="1"/>
  <c r="AX86" i="5"/>
  <c r="AY86" i="5" s="1"/>
  <c r="AX87" i="5"/>
  <c r="AY87" i="5" s="1"/>
  <c r="AX88" i="5"/>
  <c r="AY88" i="5" s="1"/>
  <c r="AX90" i="5"/>
  <c r="AY90" i="5" s="1"/>
  <c r="AX91" i="5"/>
  <c r="AY91" i="5" s="1"/>
  <c r="AX92" i="5"/>
  <c r="AY92" i="5" s="1"/>
  <c r="AX93" i="5"/>
  <c r="AY93" i="5" s="1"/>
  <c r="AX94" i="5"/>
  <c r="AY94" i="5" s="1"/>
  <c r="AX95" i="5"/>
  <c r="AY95" i="5" s="1"/>
  <c r="AX96" i="5"/>
  <c r="AY96" i="5" s="1"/>
  <c r="AX97" i="5"/>
  <c r="AY97" i="5" s="1"/>
  <c r="AX98" i="5"/>
  <c r="AY98" i="5" s="1"/>
  <c r="AX99" i="5"/>
  <c r="AY99" i="5" s="1"/>
  <c r="AX100" i="5"/>
  <c r="AY100" i="5" s="1"/>
  <c r="AX89" i="5"/>
  <c r="AY89" i="5" s="1"/>
  <c r="C5" i="5"/>
  <c r="D5" i="5"/>
  <c r="E5" i="5"/>
  <c r="F5" i="5"/>
  <c r="B5" i="5"/>
</calcChain>
</file>

<file path=xl/sharedStrings.xml><?xml version="1.0" encoding="utf-8"?>
<sst xmlns="http://schemas.openxmlformats.org/spreadsheetml/2006/main" count="2682" uniqueCount="187">
  <si>
    <t>Role</t>
  </si>
  <si>
    <t>ID</t>
  </si>
  <si>
    <t>ID Number</t>
  </si>
  <si>
    <t>Contracted Weekly Hours</t>
  </si>
  <si>
    <t>1-Mon-AM</t>
  </si>
  <si>
    <t>1-Mon-PM</t>
  </si>
  <si>
    <t>1-Mon-NIGHT</t>
  </si>
  <si>
    <t>1-Tue-AM</t>
  </si>
  <si>
    <t>1-Tue-PM</t>
  </si>
  <si>
    <t>1-Tue-NIGHT</t>
  </si>
  <si>
    <t>1-Wed-AM</t>
  </si>
  <si>
    <t>1-Wed-PM</t>
  </si>
  <si>
    <t>1-Wed-NIGHT</t>
  </si>
  <si>
    <t>1-Thu-AM</t>
  </si>
  <si>
    <t>1-Thu-PM</t>
  </si>
  <si>
    <t>1-Thu-NIGHT</t>
  </si>
  <si>
    <t>1-Fri-AM</t>
  </si>
  <si>
    <t>1-Fri-PM</t>
  </si>
  <si>
    <t>1-Fri-NIGHT</t>
  </si>
  <si>
    <t>1-Sat-AM</t>
  </si>
  <si>
    <t>1-Sat-PM</t>
  </si>
  <si>
    <t>1-Sun-AM</t>
  </si>
  <si>
    <t>1-Sun-PM</t>
  </si>
  <si>
    <t>1-Sun-NIGHT</t>
  </si>
  <si>
    <t>1-Sat-NIGHT</t>
  </si>
  <si>
    <t>Full Name</t>
  </si>
  <si>
    <t>Employment Status</t>
  </si>
  <si>
    <t>Week 1</t>
  </si>
  <si>
    <t>Week 2</t>
  </si>
  <si>
    <t>Monday</t>
  </si>
  <si>
    <t>Tuesday</t>
  </si>
  <si>
    <t>Wednesday</t>
  </si>
  <si>
    <t>Thursday</t>
  </si>
  <si>
    <t>Friday</t>
  </si>
  <si>
    <t>Saturday</t>
  </si>
  <si>
    <t>Sunday</t>
  </si>
  <si>
    <t>AM</t>
  </si>
  <si>
    <t>PM</t>
  </si>
  <si>
    <t>NIGHT</t>
  </si>
  <si>
    <t>Week Starting</t>
  </si>
  <si>
    <t>Facility</t>
  </si>
  <si>
    <t>Ashburn House</t>
  </si>
  <si>
    <t>Add new row data immediately below the the table</t>
  </si>
  <si>
    <t>By exception, if availability significantly differs from non standard shift hours then use SS:SS-FF:FF  hour:minute format  e.g. 07:15-12:30</t>
  </si>
  <si>
    <t>RN</t>
  </si>
  <si>
    <t>AINC4</t>
  </si>
  <si>
    <t>AIN</t>
  </si>
  <si>
    <t>Aarati THAPA</t>
  </si>
  <si>
    <t>Ajay SUNAR</t>
  </si>
  <si>
    <t>Ajit MAHARJAN</t>
  </si>
  <si>
    <t>Anil BUDHA MAGAR</t>
  </si>
  <si>
    <t>Anju CHHETRI</t>
  </si>
  <si>
    <t>Anuradha SHARMA</t>
  </si>
  <si>
    <t>Arati RAJBHANDARI</t>
  </si>
  <si>
    <t>Arpana THAPA</t>
  </si>
  <si>
    <t>Augusto URQUIZO</t>
  </si>
  <si>
    <t>Binu ROKKA</t>
  </si>
  <si>
    <t>Bishnu PUN</t>
  </si>
  <si>
    <t>Cherry RAMOS</t>
  </si>
  <si>
    <t>Cyrus SISON</t>
  </si>
  <si>
    <t>Dinesh BHATT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</si>
  <si>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</si>
  <si>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</si>
  <si>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</si>
  <si>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</si>
  <si>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</si>
  <si>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</si>
  <si>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</si>
  <si>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</si>
  <si>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</si>
  <si>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</si>
  <si>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</si>
  <si>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</si>
  <si>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</si>
  <si>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</si>
  <si>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</si>
  <si>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</si>
  <si>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</si>
  <si>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Namuna THAPA</t>
  </si>
  <si>
    <t>Nirmala MAHARJAN</t>
  </si>
  <si>
    <t>Nisha KHATRI</t>
  </si>
  <si>
    <t>Nita SHRESTHA</t>
  </si>
  <si>
    <t>Paramjit KANG</t>
  </si>
  <si>
    <t>Parvinder KAUR</t>
  </si>
  <si>
    <t>Pasang SHERPA</t>
  </si>
  <si>
    <t>Prashant GYALANG MAGAR</t>
  </si>
  <si>
    <t>Pratibha MISHRA</t>
  </si>
  <si>
    <t>Preety THAPA</t>
  </si>
  <si>
    <t>Puja SUBBA</t>
  </si>
  <si>
    <t>Puspa SHRESTHA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</si>
  <si>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</si>
  <si>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</si>
  <si>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</si>
  <si>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</si>
  <si>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</si>
  <si>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</si>
  <si>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</si>
  <si>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</si>
  <si>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</si>
  <si>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</si>
  <si>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</si>
  <si>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</si>
  <si>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</si>
  <si>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</si>
  <si>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</si>
  <si>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</si>
  <si>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</si>
  <si>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</si>
  <si>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</si>
  <si>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</si>
  <si>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</si>
  <si>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</si>
  <si>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</t>
  </si>
  <si>
    <t>Archana SINGH</t>
  </si>
  <si>
    <t>Lyvia LILY</t>
  </si>
  <si>
    <t>Marina GILLMAN</t>
  </si>
  <si>
    <t>Vivianna LOSE</t>
  </si>
  <si>
    <t>Bidhi KC SOTI</t>
  </si>
  <si>
    <t>Harpreet Kaur KALIRAUNE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</si>
  <si>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</si>
  <si>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</si>
  <si>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</si>
  <si>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</si>
  <si>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</si>
  <si>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</si>
  <si>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</si>
  <si>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</si>
  <si>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</si>
  <si>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X</t>
  </si>
  <si>
    <t>x</t>
  </si>
  <si>
    <t>Nabina Chaulagain</t>
  </si>
  <si>
    <t>Bhuwan Pokhrel</t>
  </si>
  <si>
    <t>Lei Sun</t>
  </si>
  <si>
    <t>Pramila Shrestha</t>
  </si>
  <si>
    <t>Pratima ADHIKARI</t>
  </si>
  <si>
    <t>Bola HULME</t>
  </si>
  <si>
    <t>Anita Thapa</t>
  </si>
  <si>
    <t>2-Mon-AM</t>
  </si>
  <si>
    <t>2-Mon-PM</t>
  </si>
  <si>
    <t>2-Mon-NIGHT</t>
  </si>
  <si>
    <t>2-Tue-AM</t>
  </si>
  <si>
    <t>2-Tue-PM</t>
  </si>
  <si>
    <t>2-Tue-NIGHT</t>
  </si>
  <si>
    <t>2-Wed-AM</t>
  </si>
  <si>
    <t>2-Wed-PM</t>
  </si>
  <si>
    <t>2-Wed-NIGHT</t>
  </si>
  <si>
    <t>2-Thu-AM</t>
  </si>
  <si>
    <t>2-Thu-PM</t>
  </si>
  <si>
    <t>2-Thu-NIGHT</t>
  </si>
  <si>
    <t>2-Fri-AM</t>
  </si>
  <si>
    <t>2-Fri-PM</t>
  </si>
  <si>
    <t>2-Fri-NIGHT</t>
  </si>
  <si>
    <t>2-Sat-AM</t>
  </si>
  <si>
    <t>2-Sat-PM</t>
  </si>
  <si>
    <t>2-Sat-NIGHT</t>
  </si>
  <si>
    <t>2-Sun-AM</t>
  </si>
  <si>
    <t>2-Sun-PM</t>
  </si>
  <si>
    <t>2-Sun-NIGHT</t>
  </si>
  <si>
    <t xml:space="preserve"> </t>
  </si>
  <si>
    <t>A lot of misalignment</t>
  </si>
  <si>
    <t>2-Mon-AM2-</t>
  </si>
  <si>
    <t>2-Mon-PM3</t>
  </si>
  <si>
    <t>2-Mon-NIGHT4</t>
  </si>
  <si>
    <t>2-Tue-AM5</t>
  </si>
  <si>
    <t>2-Tue-PM6</t>
  </si>
  <si>
    <t>2-Tue-NIGHT7</t>
  </si>
  <si>
    <t>2-Wed-AM8</t>
  </si>
  <si>
    <t>2-Wed-PM9</t>
  </si>
  <si>
    <t>2-Wed-NIGHT10</t>
  </si>
  <si>
    <t>2-Thu-AM11</t>
  </si>
  <si>
    <t>2-Thu-PM12-</t>
  </si>
  <si>
    <t>2-Thu-NIGHT13</t>
  </si>
  <si>
    <t>2-Fri-AM14</t>
  </si>
  <si>
    <t>2-Fri-PM15</t>
  </si>
  <si>
    <t>2-Fri-NIGHT16</t>
  </si>
  <si>
    <t>2-Sat-AM17</t>
  </si>
  <si>
    <t>2-Sat-PM18</t>
  </si>
  <si>
    <t>2-Sat-NIGHT19</t>
  </si>
  <si>
    <t>2-Sun-AM2-0</t>
  </si>
  <si>
    <t>2-Sun-PM2-1</t>
  </si>
  <si>
    <t>2-Sun-NIGHT2-2-</t>
  </si>
  <si>
    <r>
      <t xml:space="preserve">Anita </t>
    </r>
    <r>
      <rPr>
        <sz val="11"/>
        <color theme="9"/>
        <rFont val="Calibri"/>
        <family val="2"/>
        <scheme val="minor"/>
      </rPr>
      <t>THAPA</t>
    </r>
  </si>
  <si>
    <r>
      <t xml:space="preserve">Pramila </t>
    </r>
    <r>
      <rPr>
        <sz val="11"/>
        <color theme="9"/>
        <rFont val="Calibri"/>
        <family val="2"/>
        <scheme val="minor"/>
      </rPr>
      <t>SHRESTHA</t>
    </r>
  </si>
  <si>
    <r>
      <t xml:space="preserve">Nabina </t>
    </r>
    <r>
      <rPr>
        <sz val="11"/>
        <color theme="9"/>
        <rFont val="Calibri"/>
        <family val="2"/>
        <scheme val="minor"/>
      </rPr>
      <t>CHAULAGAIN</t>
    </r>
  </si>
  <si>
    <r>
      <t xml:space="preserve">Lei </t>
    </r>
    <r>
      <rPr>
        <sz val="11"/>
        <color theme="9"/>
        <rFont val="Calibri"/>
        <family val="2"/>
        <scheme val="minor"/>
      </rPr>
      <t>SUN</t>
    </r>
  </si>
  <si>
    <r>
      <t xml:space="preserve">Bhuwan </t>
    </r>
    <r>
      <rPr>
        <sz val="11"/>
        <color theme="9"/>
        <rFont val="Calibri"/>
        <family val="2"/>
        <scheme val="minor"/>
      </rPr>
      <t>POKHREL</t>
    </r>
  </si>
  <si>
    <r>
      <t>Pratima ADHIKARI</t>
    </r>
    <r>
      <rPr>
        <sz val="11"/>
        <color rgb="FFFF0000"/>
        <rFont val="Calibri"/>
        <family val="2"/>
        <scheme val="minor"/>
      </rPr>
      <t xml:space="preserve"> KHANAL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</si>
</sst>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1"/>
      <name val="Times New Roman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/>
      </left>
      <right style="thin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15" fontId="6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4" fillId="0" borderId="6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top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top"/>
    </xf>
    <xf numFmtId="0" fontId="0" fillId="7" borderId="16" xfId="0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0" fillId="6" borderId="6" xfId="0" applyFill="1" applyBorder="1" applyAlignment="1">
      <alignment horizontal="left" vertical="top"/>
    </xf>
    <xf numFmtId="0" fontId="0" fillId="7" borderId="22" xfId="0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7" borderId="0" xfId="0" applyFill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4" fillId="0" borderId="38" xfId="0" applyFont="1" applyBorder="1"/>
    <xf numFmtId="0" fontId="0" fillId="0" borderId="39" xfId="0" applyBorder="1" applyAlignment="1">
      <alignment horizontal="center"/>
    </xf>
    <xf numFmtId="0" fontId="0" fillId="6" borderId="22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4" fillId="0" borderId="40" xfId="0" applyFont="1" applyBorder="1"/>
    <xf numFmtId="0" fontId="1" fillId="2" borderId="2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15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CCE96-4DBA-4501-99B9-DA8F6E86B7FE}" name="AvailabilityMatrixOriginal" displayName="AvailabilityMatrixOriginal" ref="A6:AV100" totalsRowShown="0" headerRowDxfId="76">
  <autoFilter ref="A6:AV100" xr:uid="{5A8CCE96-4DBA-4501-99B9-DA8F6E86B7FE}">
    <filterColumn colId="1">
      <filters>
        <filter val="Sangeeta SANGEETA"/>
      </filters>
    </filterColumn>
  </autoFilter>
  <tableColumns count="48">
    <tableColumn id="1" xr3:uid="{CA3E2711-DFE6-4172-8FE8-A115E3889CA8}" name="ID Number" dataDxfId="75" totalsRowDxfId="74"/>
    <tableColumn id="2" xr3:uid="{3363D115-5B8C-4517-AA71-54319E152CE6}" name="Full Name" dataDxfId="73" totalsRowDxfId="72"/>
    <tableColumn id="4" xr3:uid="{FDE549A5-B97E-49FD-8357-E7ACBD8049AE}" name="Role" dataDxfId="71" totalsRowDxfId="70"/>
    <tableColumn id="5" xr3:uid="{5AE2AFD8-4070-4566-B645-115B20B1C758}" name="ID" dataDxfId="69" totalsRowDxfId="68"/>
    <tableColumn id="7" xr3:uid="{09421124-A07F-4E18-B9DF-9F9FBDD52F4A}" name="Employment Status" dataDxfId="67" totalsRowDxfId="66"/>
    <tableColumn id="63" xr3:uid="{CAE2AEB7-1FFF-42FC-9158-0C8E603DE840}" name="Contracted Weekly Hours" dataDxfId="65" totalsRowDxfId="64"/>
    <tableColumn id="8" xr3:uid="{0D291DBF-2305-4647-9D73-1069924EB7F4}" name="1-Mon-AM" dataDxfId="63" totalsRowDxfId="62"/>
    <tableColumn id="9" xr3:uid="{77812DDC-3E4F-4DFC-910D-1DA86A633360}" name="1-Mon-PM" dataDxfId="61" totalsRowDxfId="60"/>
    <tableColumn id="10" xr3:uid="{FAED8E0C-7763-4300-A4D2-9202FDCC0ABA}" name="1-Mon-NIGHT" dataDxfId="59" totalsRowDxfId="58"/>
    <tableColumn id="11" xr3:uid="{AB54FF44-BB32-4DFD-9621-869569637F24}" name="1-Tue-AM" dataDxfId="57" totalsRowDxfId="56"/>
    <tableColumn id="12" xr3:uid="{B2C65582-F07E-4A31-840A-CF6BD0F89773}" name="1-Tue-PM" dataDxfId="55" totalsRowDxfId="54"/>
    <tableColumn id="13" xr3:uid="{3213D607-5E46-4085-87C0-9CD96A553EBD}" name="1-Tue-NIGHT" dataDxfId="53" totalsRowDxfId="52"/>
    <tableColumn id="14" xr3:uid="{66992A06-8F1E-4363-A155-0D1CA7F2F730}" name="1-Wed-AM" dataDxfId="51" totalsRowDxfId="50"/>
    <tableColumn id="15" xr3:uid="{74BC456E-0955-414A-A81C-3129FCE11E44}" name="1-Wed-PM" dataDxfId="49" totalsRowDxfId="48"/>
    <tableColumn id="16" xr3:uid="{3C342124-5CA8-4391-9835-33F7724FEFE5}" name="1-Wed-NIGHT" dataDxfId="47" totalsRowDxfId="46"/>
    <tableColumn id="17" xr3:uid="{BD9D4969-CC5A-4878-8469-498CD00BB90C}" name="1-Thu-AM" dataDxfId="45" totalsRowDxfId="44"/>
    <tableColumn id="18" xr3:uid="{1072D590-A780-4357-AD63-6D76F13208D0}" name="1-Thu-PM" dataDxfId="43" totalsRowDxfId="42"/>
    <tableColumn id="19" xr3:uid="{133A7176-C1E6-4C21-B7C5-139981E0545A}" name="1-Thu-NIGHT" dataDxfId="41" totalsRowDxfId="40"/>
    <tableColumn id="20" xr3:uid="{3ADF622E-7F0A-4FF5-9499-76ED9621CEEA}" name="1-Fri-AM" dataDxfId="39" totalsRowDxfId="38"/>
    <tableColumn id="21" xr3:uid="{385C90A1-1124-4D0E-81EA-31C9A30A1455}" name="1-Fri-PM" dataDxfId="37" totalsRowDxfId="36"/>
    <tableColumn id="22" xr3:uid="{6BA5BCD2-FF6A-4F27-AD4F-F2936B7E5634}" name="1-Fri-NIGHT" dataDxfId="35" totalsRowDxfId="34"/>
    <tableColumn id="23" xr3:uid="{C70119CF-B75F-4B88-B1F0-78512D6EA754}" name="1-Sat-AM" dataDxfId="33" totalsRowDxfId="32"/>
    <tableColumn id="24" xr3:uid="{29D2F66E-0252-4F0F-A14B-2C036FC58C49}" name="1-Sat-PM" dataDxfId="31" totalsRowDxfId="30"/>
    <tableColumn id="25" xr3:uid="{246185D3-14A0-4153-AB0A-28785944B351}" name="1-Sat-NIGHT" dataDxfId="29" totalsRowDxfId="28"/>
    <tableColumn id="26" xr3:uid="{4E3B8474-1E11-40F8-A41B-DDD00472276B}" name="1-Sun-AM" dataDxfId="27" totalsRowDxfId="26"/>
    <tableColumn id="27" xr3:uid="{DA93D75E-24C8-4494-9EEE-78A05C53DC36}" name="1-Sun-PM" dataDxfId="25" totalsRowDxfId="24"/>
    <tableColumn id="28" xr3:uid="{81676B5F-0C43-4D2D-A951-947C24ECF251}" name="1-Sun-NIGHT" dataDxfId="23" totalsRowDxfId="22"/>
    <tableColumn id="30" xr3:uid="{F74258C7-4E54-4652-BE66-E202DC6AF0EA}" name="2-Mon-AM" dataDxfId="21"/>
    <tableColumn id="31" xr3:uid="{32E432E5-5FE4-4390-9478-DEDDA82FE505}" name="2-Mon-PM" dataDxfId="20"/>
    <tableColumn id="32" xr3:uid="{E49FCA9A-3DA8-4C83-9D64-7C362BAE14FF}" name="2-Mon-NIGHT" dataDxfId="19"/>
    <tableColumn id="33" xr3:uid="{81E42CBA-2446-48AB-9B6A-F9A6A291B355}" name="2-Tue-AM" dataDxfId="18"/>
    <tableColumn id="34" xr3:uid="{4E3932FC-C27A-44C6-B753-1A940B24C093}" name="2-Tue-PM" dataDxfId="17"/>
    <tableColumn id="35" xr3:uid="{E26D0FDE-03C1-4EF1-924B-AAE18BC8D309}" name="2-Tue-NIGHT" dataDxfId="16"/>
    <tableColumn id="36" xr3:uid="{0A18E913-6A6A-4B43-ABAE-C393CE748230}" name="2-Wed-AM" dataDxfId="15"/>
    <tableColumn id="37" xr3:uid="{58BA10AD-1668-426A-8E4C-B0B1CAC40CC9}" name="2-Wed-PM" dataDxfId="14"/>
    <tableColumn id="38" xr3:uid="{7D45A3B9-3521-478E-80CC-56C4CB5770F9}" name="2-Wed-NIGHT" dataDxfId="13"/>
    <tableColumn id="39" xr3:uid="{5980F2CC-58ED-44B5-855D-B84D92875D29}" name="2-Thu-AM" dataDxfId="12"/>
    <tableColumn id="40" xr3:uid="{9C2DE003-D06F-4B1C-BED3-453ADB612435}" name="2-Thu-PM" dataDxfId="11"/>
    <tableColumn id="41" xr3:uid="{A87DD724-5B8E-45AD-A992-57107D3724E8}" name="2-Thu-NIGHT" dataDxfId="10"/>
    <tableColumn id="42" xr3:uid="{0DA8C9F5-BE8C-4674-8638-07EFBEA04E51}" name="2-Fri-AM" dataDxfId="9"/>
    <tableColumn id="43" xr3:uid="{378DD78C-2563-4996-A72E-ECE0E4A14881}" name="2-Fri-PM" dataDxfId="8"/>
    <tableColumn id="44" xr3:uid="{CDA6E917-ABE0-4CA4-8505-138C83893720}" name="2-Fri-NIGHT" dataDxfId="7"/>
    <tableColumn id="45" xr3:uid="{5A27BE04-F804-49C6-AF16-6DD78D3FA0A6}" name="2-Sat-AM" dataDxfId="6"/>
    <tableColumn id="46" xr3:uid="{10E6843B-3728-409D-8AEB-D462F1C708EB}" name="2-Sat-PM" dataDxfId="5"/>
    <tableColumn id="47" xr3:uid="{88EA28D8-4B59-4097-A3EC-C0A246EB8452}" name="2-Sat-NIGHT" dataDxfId="4"/>
    <tableColumn id="48" xr3:uid="{7A7E15D9-4833-4FFE-A3A7-C89781A5B3E0}" name="2-Sun-AM" dataDxfId="3"/>
    <tableColumn id="49" xr3:uid="{6AF04F51-25E8-46E1-B74F-C42FC58BB441}" name="2-Sun-PM" dataDxfId="2"/>
    <tableColumn id="50" xr3:uid="{9EBC0782-7C55-4FC8-BADC-D7AA79D0D2FF}" name="2-Sun-NIGHT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E844F-9452-405E-AF2A-B02F6473FDDE}" name="AvailabilityMatrix" displayName="AvailabilityMatrix" ref="A6:AV103" totalsRowShown="0" headerRowDxfId="153">
  <autoFilter ref="A6:AV103" xr:uid="{5A8CCE96-4DBA-4501-99B9-DA8F6E86B7FE}">
    <filterColumn colId="1">
      <filters>
        <filter val="Evangeline PE BENITO"/>
      </filters>
    </filterColumn>
  </autoFilter>
  <sortState xmlns:xlrd2="http://schemas.microsoft.com/office/spreadsheetml/2017/richdata2" ref="A14:AV84">
    <sortCondition ref="B6:B103"/>
  </sortState>
  <tableColumns count="48">
    <tableColumn id="1" xr3:uid="{75EF9B44-3700-4B62-AFA6-2A72D51BD401}" name="ID Number" dataDxfId="152" totalsRowDxfId="151"/>
    <tableColumn id="2" xr3:uid="{F314E061-EC01-4C81-9F53-4FF9C0F04A37}" name="Full Name" dataDxfId="150" totalsRowDxfId="149"/>
    <tableColumn id="4" xr3:uid="{28FF50F0-F967-4F94-8B3A-A1311CF7AAB9}" name="Role" dataDxfId="148" totalsRowDxfId="147"/>
    <tableColumn id="5" xr3:uid="{4500091A-EBD9-4C55-AEDF-D2EF68CA58D0}" name="ID" dataDxfId="146" totalsRowDxfId="145"/>
    <tableColumn id="7" xr3:uid="{4AA3ED09-2461-4669-A3EE-BB348726863E}" name="Employment Status" dataDxfId="144" totalsRowDxfId="143"/>
    <tableColumn id="63" xr3:uid="{970300EC-A7AC-41CB-93F3-CB12DA818479}" name="Contracted Weekly Hours" dataDxfId="142" totalsRowDxfId="141"/>
    <tableColumn id="8" xr3:uid="{84EF8879-7432-4DC2-BD8D-0111A556CBB4}" name="1-Mon-AM" dataDxfId="140" totalsRowDxfId="139"/>
    <tableColumn id="9" xr3:uid="{3F61299E-E132-4D40-AED9-054803F9E004}" name="1-Mon-PM" dataDxfId="138" totalsRowDxfId="137"/>
    <tableColumn id="10" xr3:uid="{E665951F-7A7D-45A0-8C9C-AC8200C74A3D}" name="1-Mon-NIGHT" dataDxfId="136" totalsRowDxfId="135"/>
    <tableColumn id="11" xr3:uid="{510C9FA7-C5A5-4826-A635-55950663B353}" name="1-Tue-AM" dataDxfId="134" totalsRowDxfId="133"/>
    <tableColumn id="12" xr3:uid="{668AAAB7-B870-40EA-9115-49719A3620B0}" name="1-Tue-PM" dataDxfId="132" totalsRowDxfId="131"/>
    <tableColumn id="13" xr3:uid="{8B2097AF-D10C-4C2C-9946-BF627879AD87}" name="1-Tue-NIGHT" dataDxfId="130" totalsRowDxfId="129"/>
    <tableColumn id="14" xr3:uid="{36E3D658-931F-4F21-9AEC-E8901014A075}" name="1-Wed-AM" dataDxfId="128" totalsRowDxfId="127"/>
    <tableColumn id="15" xr3:uid="{DE4A2A52-1F2C-4CE8-8174-EAFFBFADD7A0}" name="1-Wed-PM" dataDxfId="126" totalsRowDxfId="125"/>
    <tableColumn id="16" xr3:uid="{39959EC4-129C-4D23-9A73-2B64DC3F48DB}" name="1-Wed-NIGHT" dataDxfId="124" totalsRowDxfId="123"/>
    <tableColumn id="17" xr3:uid="{CAD8EEE1-2BCC-4575-BAE5-244E47391853}" name="1-Thu-AM" dataDxfId="122" totalsRowDxfId="121"/>
    <tableColumn id="18" xr3:uid="{63B87671-D908-48E0-B6A9-92C839D07B40}" name="1-Thu-PM" dataDxfId="120" totalsRowDxfId="119"/>
    <tableColumn id="19" xr3:uid="{F2F92D4F-52BB-487F-867B-F094B7FF67A5}" name="1-Thu-NIGHT" dataDxfId="118" totalsRowDxfId="117"/>
    <tableColumn id="20" xr3:uid="{B7783BEA-6BA4-4660-A1C4-022FF719496F}" name="1-Fri-AM" dataDxfId="116" totalsRowDxfId="115"/>
    <tableColumn id="21" xr3:uid="{F8E1CA04-8A47-4069-8855-BF4381329378}" name="1-Fri-PM" dataDxfId="114" totalsRowDxfId="113"/>
    <tableColumn id="22" xr3:uid="{D35124C1-7C03-4DB0-A9E9-5081E979776A}" name="1-Fri-NIGHT" dataDxfId="112" totalsRowDxfId="111"/>
    <tableColumn id="23" xr3:uid="{2B244880-F4C3-4F8F-B4C0-9E94B58EB772}" name="1-Sat-AM" dataDxfId="110" totalsRowDxfId="109"/>
    <tableColumn id="24" xr3:uid="{AF7E75D7-71EB-4DE4-97D1-3131EBCC0E04}" name="1-Sat-PM" dataDxfId="108" totalsRowDxfId="107"/>
    <tableColumn id="25" xr3:uid="{E190000D-385D-4951-AF4C-D06F1B6717AB}" name="1-Sat-NIGHT" dataDxfId="106" totalsRowDxfId="105"/>
    <tableColumn id="26" xr3:uid="{DDCDC2C9-A887-429E-BF27-0AD51C1B77CA}" name="1-Sun-AM" dataDxfId="104" totalsRowDxfId="103"/>
    <tableColumn id="27" xr3:uid="{AC9564FB-6D07-4F45-8C93-6A67DC837E96}" name="1-Sun-PM" dataDxfId="102" totalsRowDxfId="101"/>
    <tableColumn id="28" xr3:uid="{426B1714-E23D-42EA-B623-416F3DCC9B7F}" name="1-Sun-NIGHT" dataDxfId="100" totalsRowDxfId="99"/>
    <tableColumn id="30" xr3:uid="{4E2809C0-D9D2-4EEA-811F-F7BAB9F7456C}" name="2-Mon-AM2-" dataDxfId="98"/>
    <tableColumn id="31" xr3:uid="{BFD0E6AA-8732-4828-9BA8-9BC90016492D}" name="2-Mon-PM3" dataDxfId="97"/>
    <tableColumn id="32" xr3:uid="{4588F474-DCEA-476F-923C-7056CB3B6E57}" name="2-Mon-NIGHT4" dataDxfId="96"/>
    <tableColumn id="33" xr3:uid="{AFA384B3-D85A-4258-9571-784B27F294FB}" name="2-Tue-AM5" dataDxfId="95"/>
    <tableColumn id="34" xr3:uid="{8A31FB2E-AEF0-4129-8DE7-E66CA385A068}" name="2-Tue-PM6" dataDxfId="94"/>
    <tableColumn id="35" xr3:uid="{161A14CF-BA9B-4E85-9457-DDBCC2613C33}" name="2-Tue-NIGHT7" dataDxfId="93"/>
    <tableColumn id="36" xr3:uid="{C474C935-518D-4A4C-9C57-D128C728DED1}" name="2-Wed-AM8" dataDxfId="92"/>
    <tableColumn id="37" xr3:uid="{DD27233A-83E8-49D8-9362-A8B7CE145BA7}" name="2-Wed-PM9" dataDxfId="91"/>
    <tableColumn id="38" xr3:uid="{7E989104-BBD1-4475-B6D3-7315EAD622E2}" name="2-Wed-NIGHT10" dataDxfId="90"/>
    <tableColumn id="39" xr3:uid="{FCA3DBB6-7C1A-4B0C-9B79-3D620845115A}" name="2-Thu-AM11" dataDxfId="89"/>
    <tableColumn id="40" xr3:uid="{2D98BD11-981A-4020-A4E7-0174861EACC8}" name="2-Thu-PM12-" dataDxfId="88"/>
    <tableColumn id="41" xr3:uid="{0F3AE1E3-FDEC-4677-A275-0C5D5EA4E28A}" name="2-Thu-NIGHT13" dataDxfId="87"/>
    <tableColumn id="42" xr3:uid="{A188C26F-32CC-4D1E-A924-B3B97FBA3C9E}" name="2-Fri-AM14" dataDxfId="86"/>
    <tableColumn id="43" xr3:uid="{C8977770-553F-4817-9098-1B463893C077}" name="2-Fri-PM15" dataDxfId="85"/>
    <tableColumn id="44" xr3:uid="{D58EAC9C-54C0-41D8-AE94-8F568E6697DD}" name="2-Fri-NIGHT16" dataDxfId="84"/>
    <tableColumn id="45" xr3:uid="{1D48F9DB-F0C0-476B-ADE0-543FD54FE806}" name="2-Sat-AM17" dataDxfId="83"/>
    <tableColumn id="46" xr3:uid="{1C9E0D97-D8C8-4425-BCA5-1655A086C4A3}" name="2-Sat-PM18" dataDxfId="82"/>
    <tableColumn id="47" xr3:uid="{2207E7FF-678C-453E-82F2-C2ABBF618008}" name="2-Sat-NIGHT19" dataDxfId="81"/>
    <tableColumn id="48" xr3:uid="{E910BFA3-9975-463A-ABAD-6CE6A3D5597C}" name="2-Sun-AM2-0" dataDxfId="80"/>
    <tableColumn id="49" xr3:uid="{60F25670-2AA6-4AFB-9A3E-B0DFB0C92C1D}" name="2-Sun-PM2-1" dataDxfId="79"/>
    <tableColumn id="50" xr3:uid="{4D7A4456-3836-4D3C-B7D0-DE559EF685ED}" name="2-Sun-NIGHT2-2-" dataDxfId="78" totalsRow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A26E-5847-4E16-BC62-AE4B09F5A655}">
  <sheetPr>
    <tabColor theme="9"/>
    <pageSetUpPr fitToPage="1"/>
  </sheetPr>
  <dimension ref="A1:BS200"/>
  <sheetViews>
    <sheetView topLeftCell="B1" zoomScaleNormal="100" workbookViewId="0">
      <pane xSplit="5" ySplit="6" topLeftCell="G65" activePane="bottomRight" state="frozenSplit"/>
      <selection activeCell="AW7" sqref="AW7"/>
      <selection pane="topRight" activeCell="AV3" sqref="G1:AV1048576"/>
      <selection pane="bottomLeft" activeCell="B3" sqref="B3:F3"/>
      <selection pane="bottomRight" activeCell="AX88" sqref="AX79:AX88"/>
    </sheetView>
  </sheetViews>
  <sheetFormatPr defaultRowHeight="26.25" x14ac:dyDescent="0.4"/>
  <cols>
    <col min="1" max="1" width="21.28515625" style="3" hidden="1" customWidth="1"/>
    <col min="2" max="2" width="27.7109375" style="9" customWidth="1"/>
    <col min="3" max="3" width="12.425781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5.7109375" style="5" customWidth="1"/>
    <col min="26" max="26" width="5.7109375" style="6" customWidth="1"/>
    <col min="27" max="27" width="5.7109375" style="4" customWidth="1"/>
    <col min="28" max="28" width="5.7109375" style="6" customWidth="1"/>
    <col min="29" max="29" width="5.7109375" style="4" customWidth="1"/>
    <col min="30" max="30" width="5.7109375" style="5" customWidth="1"/>
    <col min="31" max="31" width="5.7109375" style="6" customWidth="1"/>
    <col min="32" max="32" width="5.7109375" style="4" customWidth="1"/>
    <col min="33" max="33" width="5.7109375" style="5" customWidth="1"/>
    <col min="34" max="34" width="5.7109375" style="6" customWidth="1"/>
    <col min="35" max="35" width="5.7109375" style="4" customWidth="1"/>
    <col min="36" max="36" width="5.7109375" style="5" customWidth="1"/>
    <col min="37" max="37" width="5.7109375" style="6" customWidth="1"/>
    <col min="38" max="38" width="5.7109375" style="4" customWidth="1"/>
    <col min="39" max="39" width="5.7109375" style="5" customWidth="1"/>
    <col min="40" max="40" width="5.7109375" style="6" customWidth="1"/>
    <col min="41" max="41" width="5.7109375" style="7" customWidth="1"/>
    <col min="42" max="42" width="5.7109375" style="4" customWidth="1"/>
    <col min="43" max="43" width="5.7109375" style="5" customWidth="1"/>
    <col min="44" max="44" width="5.7109375" style="6" customWidth="1"/>
    <col min="45" max="45" width="5.7109375" style="4" customWidth="1"/>
    <col min="46" max="46" width="5.7109375" style="5" customWidth="1"/>
    <col min="47" max="47" width="5.7109375" style="6" customWidth="1"/>
    <col min="48" max="48" width="5.7109375" style="5" customWidth="1"/>
    <col min="49" max="59" width="9.140625" style="5"/>
    <col min="60" max="60" width="27.140625" style="2" customWidth="1"/>
  </cols>
  <sheetData>
    <row r="1" spans="1:71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71" ht="16.5" thickBot="1" x14ac:dyDescent="0.3">
      <c r="B2" s="14" t="s">
        <v>39</v>
      </c>
      <c r="C2" s="17">
        <v>45572</v>
      </c>
      <c r="U2" s="5"/>
      <c r="W2" s="5"/>
      <c r="X2" s="5"/>
      <c r="Z2" s="5"/>
      <c r="AA2" s="5"/>
      <c r="AB2" s="5"/>
      <c r="AC2" s="5"/>
      <c r="AE2" s="5"/>
      <c r="AF2" s="5"/>
      <c r="AH2" s="5"/>
      <c r="AI2" s="5"/>
      <c r="AK2" s="5"/>
      <c r="AL2" s="5"/>
      <c r="AN2" s="5"/>
      <c r="AO2" s="5"/>
      <c r="AP2" s="5"/>
      <c r="AR2" s="5"/>
      <c r="AS2" s="5"/>
      <c r="AU2" s="5"/>
    </row>
    <row r="3" spans="1:71" ht="27" thickBot="1" x14ac:dyDescent="0.45">
      <c r="G3" s="83" t="s">
        <v>27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/>
      <c r="AB3" s="86" t="s">
        <v>28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8"/>
    </row>
    <row r="4" spans="1:71" x14ac:dyDescent="0.4">
      <c r="G4" s="89" t="s">
        <v>29</v>
      </c>
      <c r="H4" s="81"/>
      <c r="I4" s="90"/>
      <c r="J4" s="91" t="s">
        <v>30</v>
      </c>
      <c r="K4" s="81"/>
      <c r="L4" s="90"/>
      <c r="M4" s="91" t="s">
        <v>31</v>
      </c>
      <c r="N4" s="81"/>
      <c r="O4" s="90"/>
      <c r="P4" s="91" t="s">
        <v>32</v>
      </c>
      <c r="Q4" s="81"/>
      <c r="R4" s="90"/>
      <c r="S4" s="91" t="s">
        <v>33</v>
      </c>
      <c r="T4" s="81"/>
      <c r="U4" s="90"/>
      <c r="V4" s="91" t="s">
        <v>34</v>
      </c>
      <c r="W4" s="81"/>
      <c r="X4" s="90"/>
      <c r="Y4" s="80" t="s">
        <v>35</v>
      </c>
      <c r="Z4" s="81"/>
      <c r="AA4" s="82"/>
      <c r="AB4" s="89" t="s">
        <v>29</v>
      </c>
      <c r="AC4" s="81"/>
      <c r="AD4" s="90"/>
      <c r="AE4" s="91" t="s">
        <v>30</v>
      </c>
      <c r="AF4" s="81"/>
      <c r="AG4" s="90"/>
      <c r="AH4" s="91" t="s">
        <v>31</v>
      </c>
      <c r="AI4" s="81"/>
      <c r="AJ4" s="90"/>
      <c r="AK4" s="91" t="s">
        <v>32</v>
      </c>
      <c r="AL4" s="81"/>
      <c r="AM4" s="90"/>
      <c r="AN4" s="91" t="s">
        <v>33</v>
      </c>
      <c r="AO4" s="81"/>
      <c r="AP4" s="90"/>
      <c r="AQ4" s="91" t="s">
        <v>34</v>
      </c>
      <c r="AR4" s="81"/>
      <c r="AS4" s="90"/>
      <c r="AT4" s="80" t="s">
        <v>35</v>
      </c>
      <c r="AU4" s="81"/>
      <c r="AV4" s="82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71" ht="39" customHeight="1" x14ac:dyDescent="0.25">
      <c r="B5" s="12" t="str">
        <f>AvailabilityMatrixOriginal[[#Headers],[Full Name]]</f>
        <v>Full Name</v>
      </c>
      <c r="C5" s="12" t="str">
        <f>AvailabilityMatrixOriginal[[#Headers],[Role]]</f>
        <v>Role</v>
      </c>
      <c r="D5" s="12" t="str">
        <f>AvailabilityMatrixOriginal[[#Headers],[ID]]</f>
        <v>ID</v>
      </c>
      <c r="E5" s="12" t="str">
        <f>AvailabilityMatrixOriginal[[#Headers],[Employment Status]]</f>
        <v>Employment Status</v>
      </c>
      <c r="F5" s="12" t="str">
        <f>AvailabilityMatrixOriginal[[#Headers],[Contracted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71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46" t="s">
        <v>137</v>
      </c>
      <c r="AC6" s="47" t="s">
        <v>138</v>
      </c>
      <c r="AD6" s="48" t="s">
        <v>139</v>
      </c>
      <c r="AE6" s="49" t="s">
        <v>140</v>
      </c>
      <c r="AF6" s="47" t="s">
        <v>141</v>
      </c>
      <c r="AG6" s="48" t="s">
        <v>142</v>
      </c>
      <c r="AH6" s="49" t="s">
        <v>143</v>
      </c>
      <c r="AI6" s="47" t="s">
        <v>144</v>
      </c>
      <c r="AJ6" s="48" t="s">
        <v>145</v>
      </c>
      <c r="AK6" s="49" t="s">
        <v>146</v>
      </c>
      <c r="AL6" s="47" t="s">
        <v>147</v>
      </c>
      <c r="AM6" s="48" t="s">
        <v>148</v>
      </c>
      <c r="AN6" s="49" t="s">
        <v>149</v>
      </c>
      <c r="AO6" s="47" t="s">
        <v>150</v>
      </c>
      <c r="AP6" s="48" t="s">
        <v>151</v>
      </c>
      <c r="AQ6" s="49" t="s">
        <v>152</v>
      </c>
      <c r="AR6" s="47" t="s">
        <v>153</v>
      </c>
      <c r="AS6" s="48" t="s">
        <v>154</v>
      </c>
      <c r="AT6" s="50" t="s">
        <v>155</v>
      </c>
      <c r="AU6" s="51" t="s">
        <v>156</v>
      </c>
      <c r="AV6" s="52" t="s">
        <v>157</v>
      </c>
    </row>
    <row r="7" spans="1:71" ht="17.25" hidden="1" customHeight="1" x14ac:dyDescent="0.25">
      <c r="A7">
        <v>237164</v>
      </c>
      <c r="B7" s="18" t="s">
        <v>47</v>
      </c>
      <c r="C7" s="18" t="s">
        <v>46</v>
      </c>
      <c r="E7" s="1"/>
      <c r="G7" s="26" t="s">
        <v>128</v>
      </c>
      <c r="H7" s="20"/>
      <c r="I7" s="33"/>
      <c r="J7" s="32" t="s">
        <v>128</v>
      </c>
      <c r="K7" s="20" t="s">
        <v>128</v>
      </c>
      <c r="L7" s="33"/>
      <c r="M7" s="32"/>
      <c r="N7" s="20"/>
      <c r="O7" s="33"/>
      <c r="P7" s="32" t="s">
        <v>128</v>
      </c>
      <c r="Q7" s="20" t="s">
        <v>128</v>
      </c>
      <c r="R7" s="33"/>
      <c r="S7" s="32" t="s">
        <v>128</v>
      </c>
      <c r="T7" s="20"/>
      <c r="U7" s="33"/>
      <c r="V7" s="32" t="s">
        <v>128</v>
      </c>
      <c r="W7" s="20"/>
      <c r="X7" s="33"/>
      <c r="Y7" s="20" t="s">
        <v>128</v>
      </c>
      <c r="Z7" s="20"/>
      <c r="AA7" s="27"/>
      <c r="AB7" s="26" t="s">
        <v>128</v>
      </c>
      <c r="AC7" s="20"/>
      <c r="AD7" s="33"/>
      <c r="AE7" s="32" t="s">
        <v>128</v>
      </c>
      <c r="AF7" s="20" t="s">
        <v>128</v>
      </c>
      <c r="AG7" s="33"/>
      <c r="AH7" s="32"/>
      <c r="AI7" s="20"/>
      <c r="AJ7" s="33"/>
      <c r="AK7" s="32" t="s">
        <v>128</v>
      </c>
      <c r="AL7" s="20" t="s">
        <v>128</v>
      </c>
      <c r="AM7" s="33"/>
      <c r="AN7" s="32" t="s">
        <v>128</v>
      </c>
      <c r="AO7" s="20"/>
      <c r="AP7" s="33"/>
      <c r="AQ7" s="32" t="s">
        <v>128</v>
      </c>
      <c r="AR7" s="20"/>
      <c r="AS7" s="33"/>
      <c r="AT7" s="20" t="s">
        <v>128</v>
      </c>
      <c r="AU7" s="20"/>
      <c r="AV7" s="27"/>
      <c r="AW7"/>
      <c r="AX7" s="5">
        <f>COUNTIF(AvailabilityMatrixOriginal[[#This Row],[1-Mon-AM]:[2-Sun-NIGHT]],"X")</f>
        <v>16</v>
      </c>
      <c r="AY7">
        <f>IF(AX7&gt;10,10,AX7)</f>
        <v>10</v>
      </c>
      <c r="AZ7"/>
      <c r="BA7"/>
      <c r="BB7"/>
      <c r="BC7"/>
      <c r="BD7"/>
      <c r="BE7"/>
      <c r="BF7"/>
      <c r="BG7"/>
      <c r="BH7"/>
    </row>
    <row r="8" spans="1:71" ht="17.25" hidden="1" customHeight="1" x14ac:dyDescent="0.25">
      <c r="A8">
        <v>236456</v>
      </c>
      <c r="B8" s="18" t="s">
        <v>48</v>
      </c>
      <c r="C8" s="18" t="s">
        <v>46</v>
      </c>
      <c r="E8" s="1"/>
      <c r="G8" s="26"/>
      <c r="H8" s="20"/>
      <c r="I8" s="33"/>
      <c r="J8" s="32"/>
      <c r="K8" s="20" t="s">
        <v>128</v>
      </c>
      <c r="L8" s="33"/>
      <c r="M8" s="32"/>
      <c r="N8" s="20" t="s">
        <v>128</v>
      </c>
      <c r="O8" s="33"/>
      <c r="P8" s="32" t="s">
        <v>128</v>
      </c>
      <c r="Q8" s="20"/>
      <c r="R8" s="33"/>
      <c r="S8" s="32" t="s">
        <v>128</v>
      </c>
      <c r="T8" s="20"/>
      <c r="U8" s="33"/>
      <c r="V8" s="32"/>
      <c r="W8" s="20"/>
      <c r="X8" s="33"/>
      <c r="Y8" s="20"/>
      <c r="Z8" s="20"/>
      <c r="AA8" s="27"/>
      <c r="AB8" s="26"/>
      <c r="AC8" s="20"/>
      <c r="AD8" s="33"/>
      <c r="AE8" s="32"/>
      <c r="AF8" s="20" t="s">
        <v>128</v>
      </c>
      <c r="AG8" s="33"/>
      <c r="AH8" s="32"/>
      <c r="AI8" s="20" t="s">
        <v>128</v>
      </c>
      <c r="AJ8" s="33"/>
      <c r="AK8" s="32" t="s">
        <v>128</v>
      </c>
      <c r="AL8" s="20"/>
      <c r="AM8" s="33"/>
      <c r="AN8" s="32" t="s">
        <v>128</v>
      </c>
      <c r="AO8" s="20"/>
      <c r="AP8" s="33"/>
      <c r="AQ8" s="32"/>
      <c r="AR8" s="20"/>
      <c r="AS8" s="33"/>
      <c r="AT8" s="20"/>
      <c r="AU8" s="20"/>
      <c r="AV8" s="27"/>
      <c r="AW8"/>
      <c r="AX8" s="5">
        <f>COUNTIF(AvailabilityMatrixOriginal[[#This Row],[1-Mon-AM]:[2-Sun-NIGHT]],"X")</f>
        <v>8</v>
      </c>
      <c r="AY8">
        <f t="shared" ref="AY8:AY71" si="0">IF(AX8&gt;10,10,AX8)</f>
        <v>8</v>
      </c>
      <c r="AZ8"/>
      <c r="BA8"/>
      <c r="BB8"/>
      <c r="BC8"/>
      <c r="BD8"/>
      <c r="BE8"/>
      <c r="BF8"/>
      <c r="BG8"/>
      <c r="BH8"/>
    </row>
    <row r="9" spans="1:71" ht="17.25" hidden="1" customHeight="1" x14ac:dyDescent="0.25">
      <c r="A9"/>
      <c r="B9" s="18" t="s">
        <v>49</v>
      </c>
      <c r="C9" s="18" t="s">
        <v>46</v>
      </c>
      <c r="E9" s="1"/>
      <c r="G9" s="28"/>
      <c r="H9" s="21"/>
      <c r="I9" s="35"/>
      <c r="J9" s="34" t="s">
        <v>128</v>
      </c>
      <c r="K9" s="21" t="s">
        <v>128</v>
      </c>
      <c r="L9" s="35"/>
      <c r="M9" s="34" t="s">
        <v>128</v>
      </c>
      <c r="N9" s="21" t="s">
        <v>128</v>
      </c>
      <c r="O9" s="35"/>
      <c r="P9" s="34" t="s">
        <v>128</v>
      </c>
      <c r="Q9" s="21" t="s">
        <v>128</v>
      </c>
      <c r="R9" s="35"/>
      <c r="S9" s="34" t="s">
        <v>128</v>
      </c>
      <c r="T9" s="21" t="s">
        <v>128</v>
      </c>
      <c r="U9" s="35"/>
      <c r="V9" s="34" t="s">
        <v>128</v>
      </c>
      <c r="W9" s="21" t="s">
        <v>128</v>
      </c>
      <c r="X9" s="35"/>
      <c r="Y9" s="21" t="s">
        <v>128</v>
      </c>
      <c r="Z9" s="21" t="s">
        <v>128</v>
      </c>
      <c r="AA9" s="29"/>
      <c r="AB9" s="28"/>
      <c r="AC9" s="21"/>
      <c r="AD9" s="35"/>
      <c r="AE9" s="34" t="s">
        <v>128</v>
      </c>
      <c r="AF9" s="21" t="s">
        <v>128</v>
      </c>
      <c r="AG9" s="35"/>
      <c r="AH9" s="34" t="s">
        <v>128</v>
      </c>
      <c r="AI9" s="21" t="s">
        <v>128</v>
      </c>
      <c r="AJ9" s="35"/>
      <c r="AK9" s="34" t="s">
        <v>128</v>
      </c>
      <c r="AL9" s="21" t="s">
        <v>128</v>
      </c>
      <c r="AM9" s="35"/>
      <c r="AN9" s="34" t="s">
        <v>128</v>
      </c>
      <c r="AO9" s="21" t="s">
        <v>128</v>
      </c>
      <c r="AP9" s="35"/>
      <c r="AQ9" s="34" t="s">
        <v>128</v>
      </c>
      <c r="AR9" s="21" t="s">
        <v>128</v>
      </c>
      <c r="AS9" s="35"/>
      <c r="AT9" s="21" t="s">
        <v>128</v>
      </c>
      <c r="AU9" s="21" t="s">
        <v>128</v>
      </c>
      <c r="AV9" s="29"/>
      <c r="AX9" s="5">
        <f>COUNTIF(AvailabilityMatrixOriginal[[#This Row],[1-Mon-AM]:[2-Sun-NIGHT]],"X")</f>
        <v>24</v>
      </c>
      <c r="AY9">
        <f t="shared" si="0"/>
        <v>10</v>
      </c>
      <c r="AZ9"/>
      <c r="BA9"/>
      <c r="BB9"/>
      <c r="BC9"/>
      <c r="BD9"/>
      <c r="BE9"/>
      <c r="BF9"/>
      <c r="BG9"/>
      <c r="BH9"/>
    </row>
    <row r="10" spans="1:71" ht="17.25" hidden="1" customHeight="1" x14ac:dyDescent="0.25">
      <c r="B10" s="18" t="s">
        <v>50</v>
      </c>
      <c r="C10" s="18" t="s">
        <v>46</v>
      </c>
      <c r="E10" s="1"/>
      <c r="G10" s="28"/>
      <c r="H10" s="21"/>
      <c r="I10" s="35"/>
      <c r="J10" s="34"/>
      <c r="K10" s="21"/>
      <c r="L10" s="35"/>
      <c r="M10" s="34"/>
      <c r="N10" s="21"/>
      <c r="O10" s="35" t="s">
        <v>128</v>
      </c>
      <c r="P10" s="34"/>
      <c r="Q10" s="21"/>
      <c r="R10" s="35" t="s">
        <v>128</v>
      </c>
      <c r="S10" s="34"/>
      <c r="T10" s="21"/>
      <c r="U10" s="35" t="s">
        <v>128</v>
      </c>
      <c r="V10" s="34"/>
      <c r="W10" s="21"/>
      <c r="X10" s="35"/>
      <c r="Y10" s="21"/>
      <c r="Z10" s="21"/>
      <c r="AA10" s="29"/>
      <c r="AB10" s="28"/>
      <c r="AC10" s="21"/>
      <c r="AD10" s="35"/>
      <c r="AE10" s="34"/>
      <c r="AF10" s="21"/>
      <c r="AG10" s="35"/>
      <c r="AH10" s="34"/>
      <c r="AI10" s="21"/>
      <c r="AJ10" s="35" t="s">
        <v>128</v>
      </c>
      <c r="AK10" s="34"/>
      <c r="AL10" s="21"/>
      <c r="AM10" s="35" t="s">
        <v>128</v>
      </c>
      <c r="AN10" s="34"/>
      <c r="AO10" s="21"/>
      <c r="AP10" s="35" t="s">
        <v>128</v>
      </c>
      <c r="AQ10" s="34"/>
      <c r="AR10" s="21"/>
      <c r="AS10" s="35"/>
      <c r="AT10" s="21"/>
      <c r="AU10" s="21"/>
      <c r="AV10" s="29"/>
      <c r="AW10"/>
      <c r="AX10" s="5">
        <f>COUNTIF(AvailabilityMatrixOriginal[[#This Row],[1-Mon-AM]:[2-Sun-NIGHT]],"X")</f>
        <v>6</v>
      </c>
      <c r="AY10">
        <f t="shared" si="0"/>
        <v>6</v>
      </c>
      <c r="AZ10" s="47" t="s">
        <v>138</v>
      </c>
      <c r="BA10" s="48" t="s">
        <v>139</v>
      </c>
      <c r="BB10" s="49" t="s">
        <v>140</v>
      </c>
      <c r="BC10" s="47" t="s">
        <v>141</v>
      </c>
      <c r="BD10" s="48" t="s">
        <v>142</v>
      </c>
      <c r="BE10" s="49" t="s">
        <v>143</v>
      </c>
      <c r="BF10" s="47" t="s">
        <v>144</v>
      </c>
      <c r="BG10" s="48" t="s">
        <v>145</v>
      </c>
      <c r="BH10" s="49" t="s">
        <v>146</v>
      </c>
      <c r="BI10" s="47" t="s">
        <v>147</v>
      </c>
      <c r="BJ10" s="48" t="s">
        <v>148</v>
      </c>
      <c r="BK10" s="49" t="s">
        <v>149</v>
      </c>
      <c r="BL10" s="47" t="s">
        <v>150</v>
      </c>
      <c r="BM10" s="48" t="s">
        <v>151</v>
      </c>
      <c r="BN10" s="49" t="s">
        <v>152</v>
      </c>
      <c r="BO10" s="47" t="s">
        <v>153</v>
      </c>
      <c r="BP10" s="48" t="s">
        <v>154</v>
      </c>
      <c r="BQ10" s="50" t="s">
        <v>155</v>
      </c>
      <c r="BR10" s="51" t="s">
        <v>156</v>
      </c>
      <c r="BS10" s="52" t="s">
        <v>157</v>
      </c>
    </row>
    <row r="11" spans="1:71" ht="17.25" hidden="1" customHeight="1" x14ac:dyDescent="0.25">
      <c r="A11" s="19"/>
      <c r="B11" s="45" t="s">
        <v>136</v>
      </c>
      <c r="C11" s="42"/>
      <c r="D11" s="43"/>
      <c r="E11" s="43"/>
      <c r="F11" s="44"/>
      <c r="G11" s="26" t="s">
        <v>128</v>
      </c>
      <c r="H11" s="20"/>
      <c r="I11" s="33"/>
      <c r="J11" s="32"/>
      <c r="K11" s="20"/>
      <c r="L11" s="33"/>
      <c r="M11" s="32" t="s">
        <v>128</v>
      </c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/>
      <c r="X11" s="33"/>
      <c r="Y11" s="20" t="s">
        <v>128</v>
      </c>
      <c r="Z11" s="20" t="s">
        <v>128</v>
      </c>
      <c r="AA11" s="27"/>
      <c r="AB11" s="26" t="s">
        <v>128</v>
      </c>
      <c r="AC11" s="20"/>
      <c r="AD11" s="33"/>
      <c r="AE11" s="32"/>
      <c r="AF11" s="20"/>
      <c r="AG11" s="33"/>
      <c r="AH11" s="32" t="s">
        <v>128</v>
      </c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20"/>
      <c r="AS11" s="33"/>
      <c r="AT11" s="20" t="s">
        <v>128</v>
      </c>
      <c r="AU11" s="20" t="s">
        <v>128</v>
      </c>
      <c r="AV11" s="27"/>
      <c r="AW11"/>
      <c r="AX11" s="5">
        <f>COUNTIF(AvailabilityMatrixOriginal[[#This Row],[1-Mon-AM]:[2-Sun-NIGHT]],"X")</f>
        <v>10</v>
      </c>
      <c r="AY11">
        <f t="shared" si="0"/>
        <v>10</v>
      </c>
      <c r="AZ11"/>
      <c r="BA11"/>
      <c r="BB11"/>
      <c r="BC11"/>
      <c r="BD11"/>
      <c r="BE11"/>
      <c r="BF11"/>
      <c r="BG11"/>
      <c r="BH11"/>
    </row>
    <row r="12" spans="1:71" ht="17.25" hidden="1" customHeight="1" x14ac:dyDescent="0.25">
      <c r="B12" s="18" t="s">
        <v>51</v>
      </c>
      <c r="C12" s="18" t="s">
        <v>46</v>
      </c>
      <c r="E12" s="1"/>
      <c r="G12" s="28"/>
      <c r="H12" s="21"/>
      <c r="I12" s="35"/>
      <c r="J12" s="34"/>
      <c r="K12" s="21"/>
      <c r="L12" s="35"/>
      <c r="M12" s="34"/>
      <c r="N12" s="21"/>
      <c r="O12" s="35"/>
      <c r="P12" s="34"/>
      <c r="Q12" s="21"/>
      <c r="R12" s="35"/>
      <c r="S12" s="34"/>
      <c r="T12" s="21"/>
      <c r="U12" s="35"/>
      <c r="V12" s="34"/>
      <c r="W12" s="21"/>
      <c r="X12" s="35" t="s">
        <v>128</v>
      </c>
      <c r="Y12" s="21"/>
      <c r="Z12" s="21"/>
      <c r="AA12" s="29" t="s">
        <v>128</v>
      </c>
      <c r="AB12" s="28"/>
      <c r="AC12" s="21"/>
      <c r="AD12" s="35"/>
      <c r="AE12" s="34"/>
      <c r="AF12" s="21"/>
      <c r="AG12" s="35"/>
      <c r="AH12" s="34"/>
      <c r="AI12" s="21"/>
      <c r="AJ12" s="35"/>
      <c r="AK12" s="34"/>
      <c r="AL12" s="21"/>
      <c r="AM12" s="35"/>
      <c r="AN12" s="34"/>
      <c r="AO12" s="21"/>
      <c r="AP12" s="35"/>
      <c r="AQ12" s="34"/>
      <c r="AR12" s="21"/>
      <c r="AS12" s="35" t="s">
        <v>128</v>
      </c>
      <c r="AT12" s="21"/>
      <c r="AU12" s="21"/>
      <c r="AV12" s="29" t="s">
        <v>128</v>
      </c>
      <c r="AW12"/>
      <c r="AX12" s="5">
        <f>COUNTIF(AvailabilityMatrixOriginal[[#This Row],[1-Mon-AM]:[2-Sun-NIGHT]],"X")</f>
        <v>4</v>
      </c>
      <c r="AY12">
        <f t="shared" si="0"/>
        <v>4</v>
      </c>
      <c r="AZ12"/>
      <c r="BA12"/>
      <c r="BB12"/>
      <c r="BC12"/>
      <c r="BD12"/>
      <c r="BE12"/>
      <c r="BF12"/>
      <c r="BG12"/>
      <c r="BH12"/>
    </row>
    <row r="13" spans="1:71" ht="17.25" hidden="1" customHeight="1" x14ac:dyDescent="0.25">
      <c r="B13" s="18" t="s">
        <v>52</v>
      </c>
      <c r="C13" s="18" t="s">
        <v>46</v>
      </c>
      <c r="E13" s="1"/>
      <c r="G13" s="28"/>
      <c r="H13" s="21" t="s">
        <v>128</v>
      </c>
      <c r="I13" s="35"/>
      <c r="J13" s="34"/>
      <c r="K13" s="21"/>
      <c r="L13" s="35"/>
      <c r="M13" s="34"/>
      <c r="N13" s="21"/>
      <c r="O13" s="35"/>
      <c r="P13" s="34" t="s">
        <v>128</v>
      </c>
      <c r="Q13" s="21"/>
      <c r="R13" s="35"/>
      <c r="S13" s="34" t="s">
        <v>128</v>
      </c>
      <c r="T13" s="21"/>
      <c r="U13" s="35"/>
      <c r="V13" s="34" t="s">
        <v>128</v>
      </c>
      <c r="W13" s="21"/>
      <c r="X13" s="35"/>
      <c r="Y13" s="21"/>
      <c r="Z13" s="21" t="s">
        <v>128</v>
      </c>
      <c r="AA13" s="29"/>
      <c r="AB13" s="28"/>
      <c r="AC13" s="21" t="s">
        <v>128</v>
      </c>
      <c r="AD13" s="35"/>
      <c r="AE13" s="34"/>
      <c r="AF13" s="21"/>
      <c r="AG13" s="35"/>
      <c r="AH13" s="34"/>
      <c r="AI13" s="21"/>
      <c r="AJ13" s="35"/>
      <c r="AK13" s="34" t="s">
        <v>128</v>
      </c>
      <c r="AL13" s="21"/>
      <c r="AM13" s="35"/>
      <c r="AN13" s="34" t="s">
        <v>128</v>
      </c>
      <c r="AO13" s="21"/>
      <c r="AP13" s="35"/>
      <c r="AQ13" s="34" t="s">
        <v>128</v>
      </c>
      <c r="AR13" s="21"/>
      <c r="AS13" s="35"/>
      <c r="AT13" s="21"/>
      <c r="AU13" s="21" t="s">
        <v>128</v>
      </c>
      <c r="AV13" s="29"/>
      <c r="AW13"/>
      <c r="AX13" s="5">
        <f>COUNTIF(AvailabilityMatrixOriginal[[#This Row],[1-Mon-AM]:[2-Sun-NIGHT]],"X")</f>
        <v>10</v>
      </c>
      <c r="AY13">
        <f t="shared" si="0"/>
        <v>10</v>
      </c>
      <c r="AZ13"/>
      <c r="BA13"/>
      <c r="BB13"/>
      <c r="BC13"/>
      <c r="BD13"/>
      <c r="BE13"/>
      <c r="BF13"/>
      <c r="BG13"/>
      <c r="BH13"/>
    </row>
    <row r="14" spans="1:71" ht="17.25" hidden="1" customHeight="1" x14ac:dyDescent="0.25">
      <c r="B14" s="18" t="s">
        <v>53</v>
      </c>
      <c r="C14" s="18" t="s">
        <v>46</v>
      </c>
      <c r="E14" s="1"/>
      <c r="G14" s="28"/>
      <c r="H14" s="21"/>
      <c r="I14" s="35"/>
      <c r="J14" s="34"/>
      <c r="K14" s="21" t="s">
        <v>128</v>
      </c>
      <c r="L14" s="35"/>
      <c r="M14" s="34"/>
      <c r="N14" s="21" t="s">
        <v>128</v>
      </c>
      <c r="O14" s="35"/>
      <c r="P14" s="34"/>
      <c r="Q14" s="21" t="s">
        <v>128</v>
      </c>
      <c r="R14" s="35"/>
      <c r="S14" s="34"/>
      <c r="T14" s="21"/>
      <c r="U14" s="35"/>
      <c r="V14" s="34"/>
      <c r="W14" s="21"/>
      <c r="X14" s="35"/>
      <c r="Y14" s="21"/>
      <c r="Z14" s="21"/>
      <c r="AA14" s="29"/>
      <c r="AB14" s="28"/>
      <c r="AC14" s="21"/>
      <c r="AD14" s="35"/>
      <c r="AE14" s="34"/>
      <c r="AF14" s="21" t="s">
        <v>128</v>
      </c>
      <c r="AG14" s="35"/>
      <c r="AH14" s="34"/>
      <c r="AI14" s="21" t="s">
        <v>128</v>
      </c>
      <c r="AJ14" s="35"/>
      <c r="AK14" s="34"/>
      <c r="AL14" s="21" t="s">
        <v>128</v>
      </c>
      <c r="AM14" s="35"/>
      <c r="AN14" s="34"/>
      <c r="AO14" s="21"/>
      <c r="AP14" s="35"/>
      <c r="AQ14" s="34"/>
      <c r="AR14" s="21"/>
      <c r="AS14" s="35"/>
      <c r="AT14" s="21"/>
      <c r="AU14" s="21"/>
      <c r="AV14" s="29"/>
      <c r="AW14"/>
      <c r="AX14" s="5">
        <f>COUNTIF(AvailabilityMatrixOriginal[[#This Row],[1-Mon-AM]:[2-Sun-NIGHT]],"X")</f>
        <v>6</v>
      </c>
      <c r="AY14">
        <f t="shared" si="0"/>
        <v>6</v>
      </c>
      <c r="AZ14"/>
      <c r="BA14"/>
      <c r="BB14"/>
      <c r="BC14"/>
      <c r="BD14"/>
      <c r="BE14"/>
      <c r="BF14"/>
      <c r="BG14"/>
      <c r="BH14"/>
    </row>
    <row r="15" spans="1:71" ht="17.25" hidden="1" customHeight="1" x14ac:dyDescent="0.25">
      <c r="B15" s="18" t="s">
        <v>54</v>
      </c>
      <c r="C15" s="18" t="s">
        <v>46</v>
      </c>
      <c r="E15" s="1"/>
      <c r="G15" s="28" t="s">
        <v>128</v>
      </c>
      <c r="H15" s="21"/>
      <c r="I15" s="35"/>
      <c r="J15" s="34" t="s">
        <v>128</v>
      </c>
      <c r="K15" s="21"/>
      <c r="L15" s="35"/>
      <c r="M15" s="34"/>
      <c r="N15" s="21" t="s">
        <v>128</v>
      </c>
      <c r="O15" s="35"/>
      <c r="P15" s="34" t="s">
        <v>128</v>
      </c>
      <c r="Q15" s="21"/>
      <c r="R15" s="35"/>
      <c r="S15" s="34" t="s">
        <v>128</v>
      </c>
      <c r="T15" s="21"/>
      <c r="U15" s="35"/>
      <c r="V15" s="34"/>
      <c r="W15" s="21"/>
      <c r="X15" s="35"/>
      <c r="Y15" s="21"/>
      <c r="Z15" s="21"/>
      <c r="AA15" s="29"/>
      <c r="AB15" s="28" t="s">
        <v>128</v>
      </c>
      <c r="AC15" s="21"/>
      <c r="AD15" s="35"/>
      <c r="AE15" s="34" t="s">
        <v>128</v>
      </c>
      <c r="AF15" s="21"/>
      <c r="AG15" s="35"/>
      <c r="AH15" s="34"/>
      <c r="AI15" s="21" t="s">
        <v>128</v>
      </c>
      <c r="AJ15" s="35"/>
      <c r="AK15" s="34" t="s">
        <v>128</v>
      </c>
      <c r="AL15" s="21"/>
      <c r="AM15" s="35"/>
      <c r="AN15" s="34" t="s">
        <v>128</v>
      </c>
      <c r="AO15" s="21"/>
      <c r="AP15" s="35"/>
      <c r="AQ15" s="34"/>
      <c r="AR15" s="21"/>
      <c r="AS15" s="35"/>
      <c r="AT15" s="21"/>
      <c r="AU15" s="21"/>
      <c r="AV15" s="29"/>
      <c r="AW15"/>
      <c r="AX15" s="5">
        <f>COUNTIF(AvailabilityMatrixOriginal[[#This Row],[1-Mon-AM]:[2-Sun-NIGHT]],"X")</f>
        <v>10</v>
      </c>
      <c r="AY15">
        <f t="shared" si="0"/>
        <v>10</v>
      </c>
      <c r="AZ15"/>
      <c r="BA15"/>
      <c r="BB15"/>
      <c r="BC15"/>
      <c r="BD15"/>
      <c r="BE15"/>
      <c r="BF15"/>
      <c r="BG15"/>
      <c r="BH15"/>
    </row>
    <row r="16" spans="1:71" ht="17.25" hidden="1" customHeight="1" x14ac:dyDescent="0.25">
      <c r="B16" s="18" t="s">
        <v>55</v>
      </c>
      <c r="C16" s="18" t="s">
        <v>46</v>
      </c>
      <c r="E16" s="1"/>
      <c r="G16" s="28"/>
      <c r="H16" s="21" t="s">
        <v>128</v>
      </c>
      <c r="I16" s="35"/>
      <c r="J16" s="34"/>
      <c r="K16" s="21" t="s">
        <v>128</v>
      </c>
      <c r="L16" s="35"/>
      <c r="M16" s="34" t="s">
        <v>128</v>
      </c>
      <c r="N16" s="21"/>
      <c r="O16" s="35"/>
      <c r="P16" s="34"/>
      <c r="Q16" s="21"/>
      <c r="R16" s="35"/>
      <c r="S16" s="34"/>
      <c r="T16" s="21" t="s">
        <v>128</v>
      </c>
      <c r="U16" s="35"/>
      <c r="V16" s="34"/>
      <c r="W16" s="21" t="s">
        <v>128</v>
      </c>
      <c r="X16" s="35"/>
      <c r="Y16" s="21"/>
      <c r="Z16" s="21"/>
      <c r="AA16" s="29"/>
      <c r="AB16" s="28"/>
      <c r="AC16" s="21" t="s">
        <v>128</v>
      </c>
      <c r="AD16" s="35"/>
      <c r="AE16" s="34"/>
      <c r="AF16" s="21" t="s">
        <v>128</v>
      </c>
      <c r="AG16" s="35"/>
      <c r="AH16" s="34" t="s">
        <v>128</v>
      </c>
      <c r="AI16" s="21"/>
      <c r="AJ16" s="35"/>
      <c r="AK16" s="34"/>
      <c r="AL16" s="21"/>
      <c r="AM16" s="35"/>
      <c r="AN16" s="34"/>
      <c r="AO16" s="21" t="s">
        <v>128</v>
      </c>
      <c r="AP16" s="35"/>
      <c r="AQ16" s="34"/>
      <c r="AR16" s="21" t="s">
        <v>128</v>
      </c>
      <c r="AS16" s="35"/>
      <c r="AT16" s="21"/>
      <c r="AU16" s="21"/>
      <c r="AV16" s="29"/>
      <c r="AW16"/>
      <c r="AX16" s="5">
        <f>COUNTIF(AvailabilityMatrixOriginal[[#This Row],[1-Mon-AM]:[2-Sun-NIGHT]],"X")</f>
        <v>10</v>
      </c>
      <c r="AY16">
        <f t="shared" si="0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131</v>
      </c>
      <c r="C17" s="42" t="s">
        <v>46</v>
      </c>
      <c r="D17" s="43"/>
      <c r="E17" s="43"/>
      <c r="F17" s="44"/>
      <c r="G17" s="26" t="s">
        <v>128</v>
      </c>
      <c r="H17" s="20" t="s">
        <v>128</v>
      </c>
      <c r="I17" s="33" t="s">
        <v>128</v>
      </c>
      <c r="J17" s="32"/>
      <c r="K17" s="20" t="s">
        <v>128</v>
      </c>
      <c r="L17" s="33"/>
      <c r="M17" s="32"/>
      <c r="N17" s="20" t="s">
        <v>128</v>
      </c>
      <c r="O17" s="33"/>
      <c r="P17" s="32"/>
      <c r="Q17" s="20" t="s">
        <v>128</v>
      </c>
      <c r="R17" s="33"/>
      <c r="S17" s="32"/>
      <c r="T17" s="20"/>
      <c r="U17" s="33" t="s">
        <v>128</v>
      </c>
      <c r="V17" s="32"/>
      <c r="W17" s="20"/>
      <c r="X17" s="33" t="s">
        <v>128</v>
      </c>
      <c r="Y17" s="20"/>
      <c r="Z17" s="20"/>
      <c r="AA17" s="27"/>
      <c r="AB17" s="26" t="s">
        <v>128</v>
      </c>
      <c r="AC17" s="20" t="s">
        <v>128</v>
      </c>
      <c r="AD17" s="33" t="s">
        <v>128</v>
      </c>
      <c r="AE17" s="32"/>
      <c r="AF17" s="20" t="s">
        <v>128</v>
      </c>
      <c r="AG17" s="33"/>
      <c r="AH17" s="32"/>
      <c r="AI17" s="20" t="s">
        <v>128</v>
      </c>
      <c r="AJ17" s="33"/>
      <c r="AK17" s="32"/>
      <c r="AL17" s="20" t="s">
        <v>128</v>
      </c>
      <c r="AM17" s="33"/>
      <c r="AN17" s="32"/>
      <c r="AO17" s="20"/>
      <c r="AP17" s="33" t="s">
        <v>128</v>
      </c>
      <c r="AQ17" s="32"/>
      <c r="AR17" s="20"/>
      <c r="AS17" s="33" t="s">
        <v>128</v>
      </c>
      <c r="AT17" s="20"/>
      <c r="AU17" s="20"/>
      <c r="AV17" s="27"/>
      <c r="AW17"/>
      <c r="AX17" s="5">
        <f>COUNTIF(AvailabilityMatrixOriginal[[#This Row],[1-Mon-AM]:[2-Sun-NIGHT]],"X")</f>
        <v>16</v>
      </c>
      <c r="AY17">
        <f t="shared" si="0"/>
        <v>10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56</v>
      </c>
      <c r="C18" s="18" t="s">
        <v>46</v>
      </c>
      <c r="E18" s="1"/>
      <c r="G18" s="28"/>
      <c r="H18" s="21"/>
      <c r="I18" s="35"/>
      <c r="J18" s="34"/>
      <c r="K18" s="21"/>
      <c r="L18" s="35"/>
      <c r="M18" s="34"/>
      <c r="N18" s="21"/>
      <c r="O18" s="35"/>
      <c r="P18" s="34" t="s">
        <v>128</v>
      </c>
      <c r="Q18" s="21"/>
      <c r="R18" s="35"/>
      <c r="S18" s="34" t="s">
        <v>128</v>
      </c>
      <c r="T18" s="21"/>
      <c r="U18" s="35"/>
      <c r="V18" s="34"/>
      <c r="W18" s="21"/>
      <c r="X18" s="35"/>
      <c r="Y18" s="21"/>
      <c r="Z18" s="21" t="s">
        <v>128</v>
      </c>
      <c r="AA18" s="29"/>
      <c r="AB18" s="28" t="s">
        <v>128</v>
      </c>
      <c r="AC18" s="21"/>
      <c r="AD18" s="35"/>
      <c r="AE18" s="34"/>
      <c r="AF18" s="21"/>
      <c r="AG18" s="35"/>
      <c r="AH18" s="34"/>
      <c r="AI18" s="21"/>
      <c r="AJ18" s="35"/>
      <c r="AK18" s="34" t="s">
        <v>128</v>
      </c>
      <c r="AL18" s="21"/>
      <c r="AM18" s="35"/>
      <c r="AN18" s="34"/>
      <c r="AO18" s="21" t="s">
        <v>128</v>
      </c>
      <c r="AP18" s="35"/>
      <c r="AQ18" s="34" t="s">
        <v>128</v>
      </c>
      <c r="AR18" s="21"/>
      <c r="AS18" s="35"/>
      <c r="AT18" s="21"/>
      <c r="AU18" s="21"/>
      <c r="AV18" s="29"/>
      <c r="AW18"/>
      <c r="AX18" s="5">
        <f>COUNTIF(AvailabilityMatrixOriginal[[#This Row],[1-Mon-AM]:[2-Sun-NIGHT]],"X")</f>
        <v>7</v>
      </c>
      <c r="AY18">
        <f t="shared" si="0"/>
        <v>7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57</v>
      </c>
      <c r="C19" s="18" t="s">
        <v>46</v>
      </c>
      <c r="E19" s="1"/>
      <c r="G19" s="28"/>
      <c r="H19" s="21" t="s">
        <v>128</v>
      </c>
      <c r="I19" s="35"/>
      <c r="J19" s="34"/>
      <c r="K19" s="21"/>
      <c r="L19" s="35" t="s">
        <v>128</v>
      </c>
      <c r="M19" s="34"/>
      <c r="N19" s="21"/>
      <c r="O19" s="35" t="s">
        <v>128</v>
      </c>
      <c r="P19" s="34"/>
      <c r="Q19" s="21" t="s">
        <v>128</v>
      </c>
      <c r="R19" s="35"/>
      <c r="S19" s="34" t="s">
        <v>128</v>
      </c>
      <c r="T19" s="21"/>
      <c r="U19" s="35"/>
      <c r="V19" s="34"/>
      <c r="W19" s="21"/>
      <c r="X19" s="35"/>
      <c r="Y19" s="21" t="s">
        <v>128</v>
      </c>
      <c r="Z19" s="21"/>
      <c r="AA19" s="29" t="s">
        <v>128</v>
      </c>
      <c r="AB19" s="28"/>
      <c r="AC19" s="21" t="s">
        <v>128</v>
      </c>
      <c r="AD19" s="35"/>
      <c r="AE19" s="34"/>
      <c r="AF19" s="21"/>
      <c r="AG19" s="35" t="s">
        <v>128</v>
      </c>
      <c r="AH19" s="34"/>
      <c r="AI19" s="21"/>
      <c r="AJ19" s="35" t="s">
        <v>128</v>
      </c>
      <c r="AK19" s="34"/>
      <c r="AL19" s="21" t="s">
        <v>128</v>
      </c>
      <c r="AM19" s="35"/>
      <c r="AN19" s="34" t="s">
        <v>128</v>
      </c>
      <c r="AO19" s="21"/>
      <c r="AP19" s="35"/>
      <c r="AQ19" s="34"/>
      <c r="AR19" s="21"/>
      <c r="AS19" s="35"/>
      <c r="AT19" s="21" t="s">
        <v>128</v>
      </c>
      <c r="AU19" s="21"/>
      <c r="AV19" s="29" t="s">
        <v>128</v>
      </c>
      <c r="AW19"/>
      <c r="AX19" s="5">
        <f>COUNTIF(AvailabilityMatrixOriginal[[#This Row],[1-Mon-AM]:[2-Sun-NIGHT]],"X")</f>
        <v>14</v>
      </c>
      <c r="AY19">
        <f t="shared" si="0"/>
        <v>10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135</v>
      </c>
      <c r="C20" s="42" t="s">
        <v>46</v>
      </c>
      <c r="D20" s="43"/>
      <c r="E20" s="43"/>
      <c r="F20" s="44"/>
      <c r="G20" s="26"/>
      <c r="H20" s="20"/>
      <c r="I20" s="33"/>
      <c r="J20" s="32"/>
      <c r="K20" s="20"/>
      <c r="L20" s="33"/>
      <c r="M20" s="32"/>
      <c r="N20" s="20"/>
      <c r="O20" s="33"/>
      <c r="P20" s="32"/>
      <c r="Q20" s="20"/>
      <c r="R20" s="33"/>
      <c r="S20" s="32"/>
      <c r="T20" s="20"/>
      <c r="U20" s="33"/>
      <c r="V20" s="32"/>
      <c r="W20" s="20"/>
      <c r="X20" s="33" t="s">
        <v>128</v>
      </c>
      <c r="Y20" s="20"/>
      <c r="Z20" s="20"/>
      <c r="AA20" s="27" t="s">
        <v>128</v>
      </c>
      <c r="AB20" s="26"/>
      <c r="AC20" s="20"/>
      <c r="AD20" s="33"/>
      <c r="AE20" s="32"/>
      <c r="AF20" s="20"/>
      <c r="AG20" s="33"/>
      <c r="AH20" s="32"/>
      <c r="AI20" s="20"/>
      <c r="AJ20" s="33"/>
      <c r="AK20" s="32"/>
      <c r="AL20" s="20"/>
      <c r="AM20" s="33"/>
      <c r="AN20" s="32"/>
      <c r="AO20" s="20"/>
      <c r="AP20" s="33"/>
      <c r="AQ20" s="32"/>
      <c r="AR20" s="20"/>
      <c r="AS20" s="33" t="s">
        <v>128</v>
      </c>
      <c r="AT20" s="20"/>
      <c r="AU20" s="20"/>
      <c r="AV20" s="27" t="s">
        <v>128</v>
      </c>
      <c r="AW20"/>
      <c r="AX20" s="5">
        <f>COUNTIF(AvailabilityMatrixOriginal[[#This Row],[1-Mon-AM]:[2-Sun-NIGHT]],"X")</f>
        <v>4</v>
      </c>
      <c r="AY20">
        <f t="shared" si="0"/>
        <v>4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58</v>
      </c>
      <c r="C21" s="18" t="s">
        <v>46</v>
      </c>
      <c r="E21" s="1"/>
      <c r="G21" s="28"/>
      <c r="H21" s="21"/>
      <c r="I21" s="35"/>
      <c r="J21" s="34" t="s">
        <v>128</v>
      </c>
      <c r="K21" s="21"/>
      <c r="L21" s="35"/>
      <c r="M21" s="34" t="s">
        <v>128</v>
      </c>
      <c r="N21" s="21"/>
      <c r="O21" s="35"/>
      <c r="P21" s="34" t="s">
        <v>128</v>
      </c>
      <c r="Q21" s="21"/>
      <c r="R21" s="35"/>
      <c r="S21" s="34" t="s">
        <v>128</v>
      </c>
      <c r="T21" s="21"/>
      <c r="U21" s="35"/>
      <c r="V21" s="34" t="s">
        <v>128</v>
      </c>
      <c r="W21" s="21"/>
      <c r="X21" s="35"/>
      <c r="Y21" s="21"/>
      <c r="Z21" s="21"/>
      <c r="AA21" s="29"/>
      <c r="AB21" s="28"/>
      <c r="AC21" s="21"/>
      <c r="AD21" s="35"/>
      <c r="AE21" s="34" t="s">
        <v>128</v>
      </c>
      <c r="AF21" s="21"/>
      <c r="AG21" s="35"/>
      <c r="AH21" s="34" t="s">
        <v>128</v>
      </c>
      <c r="AI21" s="21"/>
      <c r="AJ21" s="35"/>
      <c r="AK21" s="34" t="s">
        <v>128</v>
      </c>
      <c r="AL21" s="21"/>
      <c r="AM21" s="35"/>
      <c r="AN21" s="34" t="s">
        <v>128</v>
      </c>
      <c r="AO21" s="21"/>
      <c r="AP21" s="35"/>
      <c r="AQ21" s="34" t="s">
        <v>128</v>
      </c>
      <c r="AR21" s="21"/>
      <c r="AS21" s="35"/>
      <c r="AT21" s="21"/>
      <c r="AU21" s="21"/>
      <c r="AV21" s="29"/>
      <c r="AW21"/>
      <c r="AX21" s="5">
        <f>COUNTIF(AvailabilityMatrixOriginal[[#This Row],[1-Mon-AM]:[2-Sun-NIGHT]],"X")</f>
        <v>10</v>
      </c>
      <c r="AY21">
        <f t="shared" si="0"/>
        <v>10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59</v>
      </c>
      <c r="C22" s="18" t="s">
        <v>46</v>
      </c>
      <c r="E22" s="1"/>
      <c r="G22" s="28"/>
      <c r="H22" s="21" t="s">
        <v>128</v>
      </c>
      <c r="I22" s="35"/>
      <c r="J22" s="34"/>
      <c r="K22" s="21" t="s">
        <v>128</v>
      </c>
      <c r="L22" s="35"/>
      <c r="M22" s="34"/>
      <c r="N22" s="21"/>
      <c r="O22" s="35"/>
      <c r="P22" s="34"/>
      <c r="Q22" s="21"/>
      <c r="R22" s="35"/>
      <c r="S22" s="34"/>
      <c r="T22" s="21" t="s">
        <v>128</v>
      </c>
      <c r="U22" s="35"/>
      <c r="V22" s="34"/>
      <c r="W22" s="21" t="s">
        <v>128</v>
      </c>
      <c r="X22" s="35"/>
      <c r="Y22" s="21"/>
      <c r="Z22" s="21" t="s">
        <v>128</v>
      </c>
      <c r="AA22" s="29"/>
      <c r="AB22" s="28"/>
      <c r="AC22" s="21" t="s">
        <v>128</v>
      </c>
      <c r="AD22" s="35"/>
      <c r="AE22" s="34"/>
      <c r="AF22" s="21" t="s">
        <v>128</v>
      </c>
      <c r="AG22" s="35"/>
      <c r="AH22" s="34"/>
      <c r="AI22" s="21"/>
      <c r="AJ22" s="35"/>
      <c r="AK22" s="34"/>
      <c r="AL22" s="21"/>
      <c r="AM22" s="35"/>
      <c r="AN22" s="34"/>
      <c r="AO22" s="21" t="s">
        <v>128</v>
      </c>
      <c r="AP22" s="35"/>
      <c r="AQ22" s="34"/>
      <c r="AR22" s="21" t="s">
        <v>128</v>
      </c>
      <c r="AS22" s="35"/>
      <c r="AT22" s="21"/>
      <c r="AU22" s="21" t="s">
        <v>128</v>
      </c>
      <c r="AV22" s="29"/>
      <c r="AW22"/>
      <c r="AX22" s="5">
        <f>COUNTIF(AvailabilityMatrixOriginal[[#This Row],[1-Mon-AM]:[2-Sun-NIGHT]],"X")</f>
        <v>10</v>
      </c>
      <c r="AY22">
        <f t="shared" si="0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60</v>
      </c>
      <c r="C23" s="18" t="s">
        <v>46</v>
      </c>
      <c r="E23" s="1"/>
      <c r="G23" s="26"/>
      <c r="H23" s="20"/>
      <c r="I23" s="33"/>
      <c r="J23" s="32" t="s">
        <v>128</v>
      </c>
      <c r="K23" s="20"/>
      <c r="L23" s="33"/>
      <c r="M23" s="32" t="s">
        <v>128</v>
      </c>
      <c r="N23" s="20"/>
      <c r="O23" s="33"/>
      <c r="P23" s="32"/>
      <c r="Q23" s="20"/>
      <c r="R23" s="33"/>
      <c r="S23" s="32"/>
      <c r="T23" s="20"/>
      <c r="U23" s="33"/>
      <c r="V23" s="32"/>
      <c r="W23" s="20"/>
      <c r="X23" s="33"/>
      <c r="Y23" s="20" t="s">
        <v>128</v>
      </c>
      <c r="Z23" s="20"/>
      <c r="AA23" s="27"/>
      <c r="AB23" s="26"/>
      <c r="AC23" s="20"/>
      <c r="AD23" s="33"/>
      <c r="AE23" s="32" t="s">
        <v>128</v>
      </c>
      <c r="AF23" s="20"/>
      <c r="AG23" s="33"/>
      <c r="AH23" s="32" t="s">
        <v>128</v>
      </c>
      <c r="AI23" s="20"/>
      <c r="AJ23" s="33"/>
      <c r="AK23" s="32"/>
      <c r="AL23" s="20"/>
      <c r="AM23" s="33"/>
      <c r="AN23" s="32"/>
      <c r="AO23" s="20"/>
      <c r="AP23" s="33"/>
      <c r="AQ23" s="32"/>
      <c r="AR23" s="20"/>
      <c r="AS23" s="33"/>
      <c r="AT23" s="20" t="s">
        <v>128</v>
      </c>
      <c r="AU23" s="20"/>
      <c r="AV23" s="27"/>
      <c r="AW23"/>
      <c r="AX23" s="5">
        <f>COUNTIF(AvailabilityMatrixOriginal[[#This Row],[1-Mon-AM]:[2-Sun-NIGHT]],"X")</f>
        <v>6</v>
      </c>
      <c r="AY23">
        <f t="shared" si="0"/>
        <v>6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18" t="s">
        <v>61</v>
      </c>
      <c r="C24" s="18" t="s">
        <v>46</v>
      </c>
      <c r="E24" s="1"/>
      <c r="G24" s="26" t="s">
        <v>128</v>
      </c>
      <c r="H24" s="20" t="s">
        <v>128</v>
      </c>
      <c r="I24" s="33"/>
      <c r="J24" s="32" t="s">
        <v>128</v>
      </c>
      <c r="K24" s="20" t="s">
        <v>128</v>
      </c>
      <c r="L24" s="33"/>
      <c r="M24" s="32" t="s">
        <v>128</v>
      </c>
      <c r="N24" s="20" t="s">
        <v>128</v>
      </c>
      <c r="O24" s="33"/>
      <c r="P24" s="32"/>
      <c r="Q24" s="20"/>
      <c r="R24" s="33"/>
      <c r="S24" s="32"/>
      <c r="T24" s="20"/>
      <c r="U24" s="33"/>
      <c r="V24" s="32" t="s">
        <v>128</v>
      </c>
      <c r="W24" s="20" t="s">
        <v>128</v>
      </c>
      <c r="X24" s="33"/>
      <c r="Y24" s="20" t="s">
        <v>128</v>
      </c>
      <c r="Z24" s="20" t="s">
        <v>128</v>
      </c>
      <c r="AA24" s="27"/>
      <c r="AB24" s="26" t="s">
        <v>128</v>
      </c>
      <c r="AC24" s="20" t="s">
        <v>128</v>
      </c>
      <c r="AD24" s="33"/>
      <c r="AE24" s="32" t="s">
        <v>128</v>
      </c>
      <c r="AF24" s="20" t="s">
        <v>128</v>
      </c>
      <c r="AG24" s="33"/>
      <c r="AH24" s="32" t="s">
        <v>128</v>
      </c>
      <c r="AI24" s="20" t="s">
        <v>128</v>
      </c>
      <c r="AJ24" s="33"/>
      <c r="AK24" s="32"/>
      <c r="AL24" s="20"/>
      <c r="AM24" s="33"/>
      <c r="AN24" s="32"/>
      <c r="AO24" s="20"/>
      <c r="AP24" s="33"/>
      <c r="AQ24" s="32" t="s">
        <v>128</v>
      </c>
      <c r="AR24" s="20" t="s">
        <v>128</v>
      </c>
      <c r="AS24" s="33"/>
      <c r="AT24" s="20" t="s">
        <v>128</v>
      </c>
      <c r="AU24" s="20" t="s">
        <v>128</v>
      </c>
      <c r="AV24" s="27"/>
      <c r="AW24"/>
      <c r="AX24" s="5">
        <f>COUNTIF(AvailabilityMatrixOriginal[[#This Row],[1-Mon-AM]:[2-Sun-NIGHT]],"X")</f>
        <v>20</v>
      </c>
      <c r="AY24">
        <f t="shared" si="0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62</v>
      </c>
      <c r="C25" s="18" t="s">
        <v>46</v>
      </c>
      <c r="E25" s="1"/>
      <c r="G25" s="26"/>
      <c r="H25" s="20"/>
      <c r="I25" s="33"/>
      <c r="J25" s="32" t="s">
        <v>128</v>
      </c>
      <c r="K25" s="20"/>
      <c r="L25" s="33"/>
      <c r="M25" s="32"/>
      <c r="N25" s="20"/>
      <c r="O25" s="33"/>
      <c r="P25" s="32"/>
      <c r="Q25" s="20"/>
      <c r="R25" s="33"/>
      <c r="S25" s="32"/>
      <c r="T25" s="20" t="s">
        <v>128</v>
      </c>
      <c r="U25" s="33"/>
      <c r="V25" s="32" t="s">
        <v>128</v>
      </c>
      <c r="W25" s="20"/>
      <c r="X25" s="33"/>
      <c r="Y25" s="20"/>
      <c r="Z25" s="20"/>
      <c r="AA25" s="27"/>
      <c r="AB25" s="26"/>
      <c r="AC25" s="20"/>
      <c r="AD25" s="33"/>
      <c r="AE25" s="32" t="s">
        <v>128</v>
      </c>
      <c r="AF25" s="20"/>
      <c r="AG25" s="33"/>
      <c r="AH25" s="32"/>
      <c r="AI25" s="20"/>
      <c r="AJ25" s="33"/>
      <c r="AK25" s="32"/>
      <c r="AL25" s="20"/>
      <c r="AM25" s="33"/>
      <c r="AN25" s="32"/>
      <c r="AO25" s="20" t="s">
        <v>128</v>
      </c>
      <c r="AP25" s="33"/>
      <c r="AQ25" s="32" t="s">
        <v>128</v>
      </c>
      <c r="AR25" s="20"/>
      <c r="AS25" s="33"/>
      <c r="AT25" s="20"/>
      <c r="AU25" s="20"/>
      <c r="AV25" s="27"/>
      <c r="AW25"/>
      <c r="AX25" s="5">
        <f>COUNTIF(AvailabilityMatrixOriginal[[#This Row],[1-Mon-AM]:[2-Sun-NIGHT]],"X")</f>
        <v>6</v>
      </c>
      <c r="AY25">
        <f t="shared" si="0"/>
        <v>6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63</v>
      </c>
      <c r="C26" s="18" t="s">
        <v>46</v>
      </c>
      <c r="E26" s="1"/>
      <c r="G26" s="26"/>
      <c r="H26" s="20"/>
      <c r="I26" s="33"/>
      <c r="J26" s="32"/>
      <c r="K26" s="20" t="s">
        <v>128</v>
      </c>
      <c r="L26" s="33"/>
      <c r="M26" s="32" t="s">
        <v>128</v>
      </c>
      <c r="N26" s="20"/>
      <c r="O26" s="33"/>
      <c r="P26" s="32"/>
      <c r="Q26" s="20" t="s">
        <v>128</v>
      </c>
      <c r="R26" s="33"/>
      <c r="S26" s="32"/>
      <c r="T26" s="20" t="s">
        <v>128</v>
      </c>
      <c r="U26" s="33"/>
      <c r="V26" s="32"/>
      <c r="W26" s="20"/>
      <c r="X26" s="33"/>
      <c r="Y26" s="20"/>
      <c r="Z26" s="20"/>
      <c r="AA26" s="27"/>
      <c r="AB26" s="26"/>
      <c r="AC26" s="20"/>
      <c r="AD26" s="33"/>
      <c r="AE26" s="32"/>
      <c r="AF26" s="20" t="s">
        <v>128</v>
      </c>
      <c r="AG26" s="33"/>
      <c r="AH26" s="32" t="s">
        <v>128</v>
      </c>
      <c r="AI26" s="20"/>
      <c r="AJ26" s="33"/>
      <c r="AK26" s="32"/>
      <c r="AL26" s="20" t="s">
        <v>128</v>
      </c>
      <c r="AM26" s="33"/>
      <c r="AN26" s="32"/>
      <c r="AO26" s="20" t="s">
        <v>128</v>
      </c>
      <c r="AP26" s="33"/>
      <c r="AQ26" s="32"/>
      <c r="AR26" s="20"/>
      <c r="AS26" s="33"/>
      <c r="AT26" s="20"/>
      <c r="AU26" s="20"/>
      <c r="AV26" s="27"/>
      <c r="AW26"/>
      <c r="AX26" s="5">
        <f>COUNTIF(AvailabilityMatrixOriginal[[#This Row],[1-Mon-AM]:[2-Sun-NIGHT]],"X")</f>
        <v>8</v>
      </c>
      <c r="AY26">
        <f t="shared" si="0"/>
        <v>8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64</v>
      </c>
      <c r="C27" s="18" t="s">
        <v>46</v>
      </c>
      <c r="E27" s="1"/>
      <c r="G27" s="26"/>
      <c r="H27" s="20"/>
      <c r="I27" s="33"/>
      <c r="J27" s="32"/>
      <c r="K27" s="20"/>
      <c r="L27" s="33"/>
      <c r="M27" s="32"/>
      <c r="N27" s="20" t="s">
        <v>128</v>
      </c>
      <c r="O27" s="33"/>
      <c r="P27" s="32"/>
      <c r="Q27" s="20" t="s">
        <v>128</v>
      </c>
      <c r="R27" s="33"/>
      <c r="S27" s="32"/>
      <c r="T27" s="20" t="s">
        <v>128</v>
      </c>
      <c r="U27" s="33"/>
      <c r="V27" s="32" t="s">
        <v>128</v>
      </c>
      <c r="W27" s="20"/>
      <c r="X27" s="33"/>
      <c r="Y27" s="20" t="s">
        <v>128</v>
      </c>
      <c r="Z27" s="20"/>
      <c r="AA27" s="27"/>
      <c r="AB27" s="26"/>
      <c r="AC27" s="20"/>
      <c r="AD27" s="33"/>
      <c r="AE27" s="32"/>
      <c r="AF27" s="20"/>
      <c r="AG27" s="33"/>
      <c r="AH27" s="32"/>
      <c r="AI27" s="20" t="s">
        <v>128</v>
      </c>
      <c r="AJ27" s="33"/>
      <c r="AK27" s="32"/>
      <c r="AL27" s="20" t="s">
        <v>128</v>
      </c>
      <c r="AM27" s="33"/>
      <c r="AN27" s="32"/>
      <c r="AO27" s="20" t="s">
        <v>128</v>
      </c>
      <c r="AP27" s="33"/>
      <c r="AQ27" s="32" t="s">
        <v>128</v>
      </c>
      <c r="AR27" s="20"/>
      <c r="AS27" s="33"/>
      <c r="AT27" s="20" t="s">
        <v>128</v>
      </c>
      <c r="AU27" s="20"/>
      <c r="AV27" s="27"/>
      <c r="AW27"/>
      <c r="AX27" s="5">
        <f>COUNTIF(AvailabilityMatrixOriginal[[#This Row],[1-Mon-AM]:[2-Sun-NIGHT]],"X")</f>
        <v>10</v>
      </c>
      <c r="AY27">
        <f t="shared" si="0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65</v>
      </c>
      <c r="C28" s="18" t="s">
        <v>46</v>
      </c>
      <c r="E28" s="1"/>
      <c r="G28" s="26" t="s">
        <v>128</v>
      </c>
      <c r="H28" s="20" t="s">
        <v>128</v>
      </c>
      <c r="I28" s="33"/>
      <c r="J28" s="32" t="s">
        <v>128</v>
      </c>
      <c r="K28" s="20" t="s">
        <v>128</v>
      </c>
      <c r="L28" s="33"/>
      <c r="M28" s="32" t="s">
        <v>128</v>
      </c>
      <c r="N28" s="20"/>
      <c r="O28" s="33"/>
      <c r="P28" s="32" t="s">
        <v>128</v>
      </c>
      <c r="Q28" s="20"/>
      <c r="R28" s="33"/>
      <c r="S28" s="32" t="s">
        <v>128</v>
      </c>
      <c r="T28" s="20" t="s">
        <v>128</v>
      </c>
      <c r="U28" s="33"/>
      <c r="V28" s="32" t="s">
        <v>128</v>
      </c>
      <c r="W28" s="20" t="s">
        <v>128</v>
      </c>
      <c r="X28" s="33"/>
      <c r="Y28" s="20" t="s">
        <v>128</v>
      </c>
      <c r="Z28" s="20" t="s">
        <v>128</v>
      </c>
      <c r="AA28" s="27"/>
      <c r="AB28" s="26" t="s">
        <v>128</v>
      </c>
      <c r="AC28" s="20" t="s">
        <v>128</v>
      </c>
      <c r="AD28" s="33"/>
      <c r="AE28" s="32" t="s">
        <v>128</v>
      </c>
      <c r="AF28" s="20" t="s">
        <v>128</v>
      </c>
      <c r="AG28" s="33"/>
      <c r="AH28" s="32" t="s">
        <v>128</v>
      </c>
      <c r="AI28" s="20"/>
      <c r="AJ28" s="33"/>
      <c r="AK28" s="32" t="s">
        <v>128</v>
      </c>
      <c r="AL28" s="20"/>
      <c r="AM28" s="33"/>
      <c r="AN28" s="32" t="s">
        <v>128</v>
      </c>
      <c r="AO28" s="20" t="s">
        <v>128</v>
      </c>
      <c r="AP28" s="33"/>
      <c r="AQ28" s="32" t="s">
        <v>128</v>
      </c>
      <c r="AR28" s="20" t="s">
        <v>128</v>
      </c>
      <c r="AS28" s="33"/>
      <c r="AT28" s="20" t="s">
        <v>128</v>
      </c>
      <c r="AU28" s="20" t="s">
        <v>128</v>
      </c>
      <c r="AV28" s="27"/>
      <c r="AW28"/>
      <c r="AX28" s="5">
        <f>COUNTIF(AvailabilityMatrixOriginal[[#This Row],[1-Mon-AM]:[2-Sun-NIGHT]],"X")</f>
        <v>24</v>
      </c>
      <c r="AY28">
        <f t="shared" si="0"/>
        <v>10</v>
      </c>
      <c r="AZ28"/>
      <c r="BA28"/>
      <c r="BB28"/>
      <c r="BC28"/>
      <c r="BD28"/>
      <c r="BE28"/>
      <c r="BF28"/>
      <c r="BG28"/>
      <c r="BH28"/>
    </row>
    <row r="29" spans="1:60" ht="17.25" hidden="1" customHeight="1" x14ac:dyDescent="0.25">
      <c r="A29" s="19"/>
      <c r="B29" s="18" t="s">
        <v>66</v>
      </c>
      <c r="C29" s="18" t="s">
        <v>46</v>
      </c>
      <c r="E29" s="1"/>
      <c r="G29" s="26"/>
      <c r="H29" s="20"/>
      <c r="I29" s="33"/>
      <c r="J29" s="32" t="s">
        <v>128</v>
      </c>
      <c r="K29" s="20"/>
      <c r="L29" s="33"/>
      <c r="M29" s="32" t="s">
        <v>128</v>
      </c>
      <c r="N29" s="20"/>
      <c r="O29" s="33"/>
      <c r="P29" s="32" t="s">
        <v>128</v>
      </c>
      <c r="Q29" s="20"/>
      <c r="R29" s="33"/>
      <c r="S29" s="32" t="s">
        <v>128</v>
      </c>
      <c r="T29" s="20"/>
      <c r="U29" s="33"/>
      <c r="V29" s="32" t="s">
        <v>128</v>
      </c>
      <c r="W29" s="20"/>
      <c r="X29" s="33"/>
      <c r="Y29" s="20"/>
      <c r="Z29" s="20"/>
      <c r="AA29" s="27"/>
      <c r="AB29" s="26"/>
      <c r="AC29" s="20"/>
      <c r="AD29" s="33"/>
      <c r="AE29" s="32" t="s">
        <v>128</v>
      </c>
      <c r="AF29" s="20"/>
      <c r="AG29" s="33"/>
      <c r="AH29" s="32" t="s">
        <v>128</v>
      </c>
      <c r="AI29" s="20"/>
      <c r="AJ29" s="33"/>
      <c r="AK29" s="32" t="s">
        <v>128</v>
      </c>
      <c r="AL29" s="20"/>
      <c r="AM29" s="33"/>
      <c r="AN29" s="32" t="s">
        <v>128</v>
      </c>
      <c r="AO29" s="20"/>
      <c r="AP29" s="33"/>
      <c r="AQ29" s="32" t="s">
        <v>128</v>
      </c>
      <c r="AR29" s="20"/>
      <c r="AS29" s="33"/>
      <c r="AT29" s="20"/>
      <c r="AU29" s="20"/>
      <c r="AV29" s="27"/>
      <c r="AW29"/>
      <c r="AX29" s="5">
        <f>COUNTIF(AvailabilityMatrixOriginal[[#This Row],[1-Mon-AM]:[2-Sun-NIGHT]],"X")</f>
        <v>10</v>
      </c>
      <c r="AY29">
        <f t="shared" si="0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67</v>
      </c>
      <c r="C30" s="18" t="s">
        <v>46</v>
      </c>
      <c r="E30" s="1"/>
      <c r="G30" s="26"/>
      <c r="H30" s="20" t="s">
        <v>128</v>
      </c>
      <c r="I30" s="33"/>
      <c r="J30" s="32"/>
      <c r="K30" s="20"/>
      <c r="L30" s="33"/>
      <c r="M30" s="32"/>
      <c r="N30" s="20"/>
      <c r="O30" s="33"/>
      <c r="P30" s="32"/>
      <c r="Q30" s="20" t="s">
        <v>128</v>
      </c>
      <c r="R30" s="33"/>
      <c r="S30" s="32"/>
      <c r="T30" s="20" t="s">
        <v>128</v>
      </c>
      <c r="U30" s="33"/>
      <c r="V30" s="32"/>
      <c r="W30" s="20" t="s">
        <v>128</v>
      </c>
      <c r="X30" s="33"/>
      <c r="Y30" s="20"/>
      <c r="Z30" s="20" t="s">
        <v>128</v>
      </c>
      <c r="AA30" s="27"/>
      <c r="AB30" s="26"/>
      <c r="AC30" s="20" t="s">
        <v>128</v>
      </c>
      <c r="AD30" s="33"/>
      <c r="AE30" s="32"/>
      <c r="AF30" s="20"/>
      <c r="AG30" s="33"/>
      <c r="AH30" s="32"/>
      <c r="AI30" s="20"/>
      <c r="AJ30" s="33"/>
      <c r="AK30" s="32"/>
      <c r="AL30" s="20" t="s">
        <v>128</v>
      </c>
      <c r="AM30" s="33"/>
      <c r="AN30" s="32"/>
      <c r="AO30" s="20" t="s">
        <v>128</v>
      </c>
      <c r="AP30" s="33"/>
      <c r="AQ30" s="32"/>
      <c r="AR30" s="20" t="s">
        <v>128</v>
      </c>
      <c r="AS30" s="33"/>
      <c r="AT30" s="20"/>
      <c r="AU30" s="20" t="s">
        <v>128</v>
      </c>
      <c r="AV30" s="27"/>
      <c r="AW30"/>
      <c r="AX30" s="5">
        <f>COUNTIF(AvailabilityMatrixOriginal[[#This Row],[1-Mon-AM]:[2-Sun-NIGHT]],"X")</f>
        <v>10</v>
      </c>
      <c r="AY30">
        <f t="shared" si="0"/>
        <v>10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68</v>
      </c>
      <c r="C31" s="18" t="s">
        <v>46</v>
      </c>
      <c r="E31" s="1"/>
      <c r="G31" s="26"/>
      <c r="H31" s="20"/>
      <c r="I31" s="33"/>
      <c r="J31" s="32" t="s">
        <v>128</v>
      </c>
      <c r="K31" s="20"/>
      <c r="L31" s="33"/>
      <c r="M31" s="32"/>
      <c r="N31" s="20" t="s">
        <v>128</v>
      </c>
      <c r="O31" s="33"/>
      <c r="P31" s="32" t="s">
        <v>128</v>
      </c>
      <c r="Q31" s="20"/>
      <c r="R31" s="33"/>
      <c r="S31" s="32" t="s">
        <v>128</v>
      </c>
      <c r="T31" s="20"/>
      <c r="U31" s="33"/>
      <c r="V31" s="32"/>
      <c r="W31" s="20"/>
      <c r="X31" s="33"/>
      <c r="Y31" s="20" t="s">
        <v>128</v>
      </c>
      <c r="Z31" s="20"/>
      <c r="AA31" s="27"/>
      <c r="AB31" s="26"/>
      <c r="AC31" s="20"/>
      <c r="AD31" s="33"/>
      <c r="AE31" s="32" t="s">
        <v>128</v>
      </c>
      <c r="AF31" s="20"/>
      <c r="AG31" s="33"/>
      <c r="AH31" s="32"/>
      <c r="AI31" s="20" t="s">
        <v>128</v>
      </c>
      <c r="AJ31" s="33"/>
      <c r="AK31" s="32" t="s">
        <v>128</v>
      </c>
      <c r="AL31" s="20"/>
      <c r="AM31" s="33"/>
      <c r="AN31" s="32" t="s">
        <v>128</v>
      </c>
      <c r="AO31" s="20"/>
      <c r="AP31" s="33"/>
      <c r="AQ31" s="32"/>
      <c r="AR31" s="20"/>
      <c r="AS31" s="33"/>
      <c r="AT31" s="20" t="s">
        <v>128</v>
      </c>
      <c r="AU31" s="20"/>
      <c r="AV31" s="27"/>
      <c r="AW31"/>
      <c r="AX31" s="5">
        <f>COUNTIF(AvailabilityMatrixOriginal[[#This Row],[1-Mon-AM]:[2-Sun-NIGHT]],"X")</f>
        <v>10</v>
      </c>
      <c r="AY31">
        <f t="shared" si="0"/>
        <v>10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69</v>
      </c>
      <c r="C32" s="18" t="s">
        <v>46</v>
      </c>
      <c r="E32" s="1"/>
      <c r="G32" s="26"/>
      <c r="H32" s="20"/>
      <c r="I32" s="33"/>
      <c r="J32" s="32" t="s">
        <v>128</v>
      </c>
      <c r="K32" s="20"/>
      <c r="L32" s="33"/>
      <c r="M32" s="32" t="s">
        <v>128</v>
      </c>
      <c r="N32" s="20"/>
      <c r="O32" s="33"/>
      <c r="P32" s="32" t="s">
        <v>128</v>
      </c>
      <c r="Q32" s="20"/>
      <c r="R32" s="33"/>
      <c r="S32" s="32" t="s">
        <v>128</v>
      </c>
      <c r="T32" s="20"/>
      <c r="U32" s="33"/>
      <c r="V32" s="32" t="s">
        <v>128</v>
      </c>
      <c r="W32" s="20"/>
      <c r="X32" s="33"/>
      <c r="Y32" s="20"/>
      <c r="Z32" s="20"/>
      <c r="AA32" s="27"/>
      <c r="AB32" s="26"/>
      <c r="AC32" s="20"/>
      <c r="AD32" s="33"/>
      <c r="AE32" s="32" t="s">
        <v>128</v>
      </c>
      <c r="AF32" s="20"/>
      <c r="AG32" s="33"/>
      <c r="AH32" s="32" t="s">
        <v>128</v>
      </c>
      <c r="AI32" s="20"/>
      <c r="AJ32" s="33"/>
      <c r="AK32" s="32" t="s">
        <v>128</v>
      </c>
      <c r="AL32" s="20"/>
      <c r="AM32" s="33"/>
      <c r="AN32" s="32" t="s">
        <v>128</v>
      </c>
      <c r="AO32" s="20"/>
      <c r="AP32" s="33"/>
      <c r="AQ32" s="32" t="s">
        <v>128</v>
      </c>
      <c r="AR32" s="20"/>
      <c r="AS32" s="33"/>
      <c r="AT32" s="20"/>
      <c r="AU32" s="20"/>
      <c r="AV32" s="27"/>
      <c r="AW32"/>
      <c r="AX32" s="5">
        <f>COUNTIF(AvailabilityMatrixOriginal[[#This Row],[1-Mon-AM]:[2-Sun-NIGHT]],"X")</f>
        <v>10</v>
      </c>
      <c r="AY32">
        <f t="shared" si="0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70</v>
      </c>
      <c r="C33" s="18" t="s">
        <v>46</v>
      </c>
      <c r="E33" s="1"/>
      <c r="G33" s="26" t="s">
        <v>128</v>
      </c>
      <c r="H33" s="20"/>
      <c r="I33" s="33"/>
      <c r="J33" s="32"/>
      <c r="K33" s="20"/>
      <c r="L33" s="33"/>
      <c r="M33" s="32"/>
      <c r="N33" s="20"/>
      <c r="O33" s="33"/>
      <c r="P33" s="32" t="s">
        <v>128</v>
      </c>
      <c r="Q33" s="20"/>
      <c r="R33" s="33"/>
      <c r="S33" s="32" t="s">
        <v>128</v>
      </c>
      <c r="T33" s="20"/>
      <c r="U33" s="33"/>
      <c r="V33" s="32" t="s">
        <v>128</v>
      </c>
      <c r="W33" s="20"/>
      <c r="X33" s="33"/>
      <c r="Y33" s="20" t="s">
        <v>128</v>
      </c>
      <c r="Z33" s="20"/>
      <c r="AA33" s="27"/>
      <c r="AB33" s="26" t="s">
        <v>128</v>
      </c>
      <c r="AC33" s="20"/>
      <c r="AD33" s="33"/>
      <c r="AE33" s="32"/>
      <c r="AF33" s="20"/>
      <c r="AG33" s="33"/>
      <c r="AH33" s="32"/>
      <c r="AI33" s="20"/>
      <c r="AJ33" s="33"/>
      <c r="AK33" s="32" t="s">
        <v>128</v>
      </c>
      <c r="AL33" s="20"/>
      <c r="AM33" s="33"/>
      <c r="AN33" s="32" t="s">
        <v>128</v>
      </c>
      <c r="AO33" s="20"/>
      <c r="AP33" s="33"/>
      <c r="AQ33" s="32" t="s">
        <v>128</v>
      </c>
      <c r="AR33" s="20"/>
      <c r="AS33" s="33"/>
      <c r="AT33" s="20" t="s">
        <v>128</v>
      </c>
      <c r="AU33" s="20"/>
      <c r="AV33" s="27"/>
      <c r="AW33"/>
      <c r="AX33" s="5">
        <f>COUNTIF(AvailabilityMatrixOriginal[[#This Row],[1-Mon-AM]:[2-Sun-NIGHT]],"X")</f>
        <v>10</v>
      </c>
      <c r="AY33">
        <f t="shared" si="0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71</v>
      </c>
      <c r="C34" s="18" t="s">
        <v>46</v>
      </c>
      <c r="E34" s="1"/>
      <c r="G34" s="26" t="s">
        <v>128</v>
      </c>
      <c r="H34" s="20" t="s">
        <v>128</v>
      </c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/>
      <c r="T34" s="20"/>
      <c r="U34" s="33"/>
      <c r="V34" s="32" t="s">
        <v>128</v>
      </c>
      <c r="W34" s="20" t="s">
        <v>128</v>
      </c>
      <c r="X34" s="33"/>
      <c r="Y34" s="20" t="s">
        <v>128</v>
      </c>
      <c r="Z34" s="20"/>
      <c r="AA34" s="27"/>
      <c r="AB34" s="26" t="s">
        <v>128</v>
      </c>
      <c r="AC34" s="20" t="s">
        <v>128</v>
      </c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/>
      <c r="AO34" s="20"/>
      <c r="AP34" s="33"/>
      <c r="AQ34" s="32" t="s">
        <v>128</v>
      </c>
      <c r="AR34" s="20" t="s">
        <v>128</v>
      </c>
      <c r="AS34" s="33"/>
      <c r="AT34" s="20" t="s">
        <v>128</v>
      </c>
      <c r="AU34" s="20"/>
      <c r="AV34" s="27"/>
      <c r="AW34"/>
      <c r="AX34" s="5">
        <f>COUNTIF(AvailabilityMatrixOriginal[[#This Row],[1-Mon-AM]:[2-Sun-NIGHT]],"X")</f>
        <v>16</v>
      </c>
      <c r="AY34">
        <f t="shared" si="0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72</v>
      </c>
      <c r="C35" s="18" t="s">
        <v>46</v>
      </c>
      <c r="E35" s="1"/>
      <c r="G35" s="26"/>
      <c r="H35" s="20" t="s">
        <v>128</v>
      </c>
      <c r="I35" s="33"/>
      <c r="J35" s="32"/>
      <c r="K35" s="20" t="s">
        <v>128</v>
      </c>
      <c r="L35" s="33"/>
      <c r="M35" s="32"/>
      <c r="N35" s="20" t="s">
        <v>128</v>
      </c>
      <c r="O35" s="33"/>
      <c r="P35" s="32"/>
      <c r="Q35" s="20"/>
      <c r="R35" s="33"/>
      <c r="S35" s="32"/>
      <c r="T35" s="20"/>
      <c r="U35" s="33"/>
      <c r="V35" s="32" t="s">
        <v>128</v>
      </c>
      <c r="W35" s="20" t="s">
        <v>128</v>
      </c>
      <c r="X35" s="33"/>
      <c r="Y35" s="20" t="s">
        <v>128</v>
      </c>
      <c r="Z35" s="20"/>
      <c r="AA35" s="27"/>
      <c r="AB35" s="26"/>
      <c r="AC35" s="20" t="s">
        <v>128</v>
      </c>
      <c r="AD35" s="33"/>
      <c r="AE35" s="32"/>
      <c r="AF35" s="20" t="s">
        <v>128</v>
      </c>
      <c r="AG35" s="33"/>
      <c r="AH35" s="32"/>
      <c r="AI35" s="20" t="s">
        <v>128</v>
      </c>
      <c r="AJ35" s="33"/>
      <c r="AK35" s="32"/>
      <c r="AL35" s="20"/>
      <c r="AM35" s="33"/>
      <c r="AN35" s="32"/>
      <c r="AO35" s="20"/>
      <c r="AP35" s="33"/>
      <c r="AQ35" s="32" t="s">
        <v>128</v>
      </c>
      <c r="AR35" s="20" t="s">
        <v>128</v>
      </c>
      <c r="AS35" s="33"/>
      <c r="AT35" s="20" t="s">
        <v>128</v>
      </c>
      <c r="AU35" s="20"/>
      <c r="AV35" s="27"/>
      <c r="AW35"/>
      <c r="AX35" s="5">
        <f>COUNTIF(AvailabilityMatrixOriginal[[#This Row],[1-Mon-AM]:[2-Sun-NIGHT]],"X")</f>
        <v>12</v>
      </c>
      <c r="AY35">
        <f t="shared" si="0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73</v>
      </c>
      <c r="C36" s="18" t="s">
        <v>46</v>
      </c>
      <c r="E36" s="1"/>
      <c r="G36" s="26" t="s">
        <v>128</v>
      </c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/>
      <c r="T36" s="20"/>
      <c r="U36" s="33"/>
      <c r="V36" s="32" t="s">
        <v>128</v>
      </c>
      <c r="W36" s="20"/>
      <c r="X36" s="33"/>
      <c r="Y36" s="20"/>
      <c r="Z36" s="20" t="s">
        <v>128</v>
      </c>
      <c r="AA36" s="27"/>
      <c r="AB36" s="26" t="s">
        <v>128</v>
      </c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/>
      <c r="AO36" s="20"/>
      <c r="AP36" s="33"/>
      <c r="AQ36" s="32" t="s">
        <v>128</v>
      </c>
      <c r="AR36" s="20"/>
      <c r="AS36" s="33"/>
      <c r="AT36" s="20"/>
      <c r="AU36" s="20" t="s">
        <v>128</v>
      </c>
      <c r="AV36" s="27"/>
      <c r="AW36"/>
      <c r="AX36" s="5">
        <f>COUNTIF(AvailabilityMatrixOriginal[[#This Row],[1-Mon-AM]:[2-Sun-NIGHT]],"X")</f>
        <v>12</v>
      </c>
      <c r="AY36">
        <f t="shared" si="0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74</v>
      </c>
      <c r="C37" s="18" t="s">
        <v>46</v>
      </c>
      <c r="E37" s="1"/>
      <c r="G37" s="26"/>
      <c r="H37" s="20"/>
      <c r="I37" s="33" t="s">
        <v>128</v>
      </c>
      <c r="J37" s="32"/>
      <c r="K37" s="20"/>
      <c r="L37" s="33" t="s">
        <v>128</v>
      </c>
      <c r="M37" s="32"/>
      <c r="N37" s="20"/>
      <c r="O37" s="33" t="s">
        <v>128</v>
      </c>
      <c r="P37" s="32"/>
      <c r="Q37" s="20"/>
      <c r="R37" s="33" t="s">
        <v>128</v>
      </c>
      <c r="S37" s="32"/>
      <c r="T37" s="20"/>
      <c r="U37" s="33" t="s">
        <v>128</v>
      </c>
      <c r="V37" s="32"/>
      <c r="W37" s="20"/>
      <c r="X37" s="33"/>
      <c r="Y37" s="20"/>
      <c r="Z37" s="20"/>
      <c r="AA37" s="27"/>
      <c r="AB37" s="26"/>
      <c r="AC37" s="20"/>
      <c r="AD37" s="33" t="s">
        <v>128</v>
      </c>
      <c r="AE37" s="32"/>
      <c r="AF37" s="20"/>
      <c r="AG37" s="33" t="s">
        <v>128</v>
      </c>
      <c r="AH37" s="32"/>
      <c r="AI37" s="20"/>
      <c r="AJ37" s="33" t="s">
        <v>128</v>
      </c>
      <c r="AK37" s="32"/>
      <c r="AL37" s="20"/>
      <c r="AM37" s="33"/>
      <c r="AN37" s="32"/>
      <c r="AO37" s="20"/>
      <c r="AP37" s="33" t="s">
        <v>128</v>
      </c>
      <c r="AQ37" s="32"/>
      <c r="AR37" s="20"/>
      <c r="AS37" s="33"/>
      <c r="AT37" s="20"/>
      <c r="AU37" s="20"/>
      <c r="AV37" s="27"/>
      <c r="AW37"/>
      <c r="AX37" s="5">
        <f>COUNTIF(AvailabilityMatrixOriginal[[#This Row],[1-Mon-AM]:[2-Sun-NIGHT]],"X")</f>
        <v>9</v>
      </c>
      <c r="AY37">
        <f t="shared" si="0"/>
        <v>9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75</v>
      </c>
      <c r="C38" s="18" t="s">
        <v>46</v>
      </c>
      <c r="E38" s="1"/>
      <c r="G38" s="26"/>
      <c r="H38" s="20"/>
      <c r="I38" s="33" t="s">
        <v>128</v>
      </c>
      <c r="J38" s="32"/>
      <c r="K38" s="20"/>
      <c r="L38" s="33" t="s">
        <v>128</v>
      </c>
      <c r="M38" s="32"/>
      <c r="N38" s="20"/>
      <c r="O38" s="33" t="s">
        <v>128</v>
      </c>
      <c r="P38" s="32"/>
      <c r="Q38" s="20"/>
      <c r="R38" s="33" t="s">
        <v>128</v>
      </c>
      <c r="S38" s="32"/>
      <c r="T38" s="20"/>
      <c r="U38" s="33" t="s">
        <v>128</v>
      </c>
      <c r="V38" s="32"/>
      <c r="W38" s="20"/>
      <c r="X38" s="33" t="s">
        <v>128</v>
      </c>
      <c r="Y38" s="20"/>
      <c r="Z38" s="20"/>
      <c r="AA38" s="27" t="s">
        <v>128</v>
      </c>
      <c r="AB38" s="26"/>
      <c r="AC38" s="20"/>
      <c r="AD38" s="33" t="s">
        <v>128</v>
      </c>
      <c r="AE38" s="32"/>
      <c r="AF38" s="20"/>
      <c r="AG38" s="33" t="s">
        <v>128</v>
      </c>
      <c r="AH38" s="32"/>
      <c r="AI38" s="20"/>
      <c r="AJ38" s="33" t="s">
        <v>128</v>
      </c>
      <c r="AK38" s="32"/>
      <c r="AL38" s="20"/>
      <c r="AM38" s="33" t="s">
        <v>128</v>
      </c>
      <c r="AN38" s="32"/>
      <c r="AO38" s="20"/>
      <c r="AP38" s="33" t="s">
        <v>128</v>
      </c>
      <c r="AQ38" s="32"/>
      <c r="AR38" s="20"/>
      <c r="AS38" s="33" t="s">
        <v>128</v>
      </c>
      <c r="AT38" s="20"/>
      <c r="AU38" s="20"/>
      <c r="AV38" s="27"/>
      <c r="AW38"/>
      <c r="AX38" s="5">
        <f>COUNTIF(AvailabilityMatrixOriginal[[#This Row],[1-Mon-AM]:[2-Sun-NIGHT]],"X")</f>
        <v>13</v>
      </c>
      <c r="AY38">
        <f t="shared" si="0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76</v>
      </c>
      <c r="C39" s="18" t="s">
        <v>46</v>
      </c>
      <c r="E39" s="1"/>
      <c r="G39" s="26"/>
      <c r="H39" s="20"/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/>
      <c r="W39" s="20"/>
      <c r="X39" s="33"/>
      <c r="Y39" s="20"/>
      <c r="Z39" s="20"/>
      <c r="AA39" s="27"/>
      <c r="AB39" s="26"/>
      <c r="AC39" s="20"/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/>
      <c r="AR39" s="20"/>
      <c r="AS39" s="33"/>
      <c r="AT39" s="20"/>
      <c r="AU39" s="20"/>
      <c r="AV39" s="27"/>
      <c r="AW39"/>
      <c r="AX39" s="5">
        <f>COUNTIF(AvailabilityMatrixOriginal[[#This Row],[1-Mon-AM]:[2-Sun-NIGHT]],"X")</f>
        <v>4</v>
      </c>
      <c r="AY39">
        <f t="shared" si="0"/>
        <v>4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77</v>
      </c>
      <c r="C40" s="18" t="s">
        <v>46</v>
      </c>
      <c r="E40" s="1"/>
      <c r="G40" s="26" t="s">
        <v>128</v>
      </c>
      <c r="H40" s="20"/>
      <c r="I40" s="33"/>
      <c r="J40" s="32"/>
      <c r="K40" s="20"/>
      <c r="L40" s="33"/>
      <c r="M40" s="32" t="s">
        <v>128</v>
      </c>
      <c r="N40" s="20" t="s">
        <v>128</v>
      </c>
      <c r="O40" s="33"/>
      <c r="P40" s="32"/>
      <c r="Q40" s="20" t="s">
        <v>128</v>
      </c>
      <c r="R40" s="33"/>
      <c r="S40" s="32" t="s">
        <v>128</v>
      </c>
      <c r="T40" s="20"/>
      <c r="U40" s="33" t="s">
        <v>128</v>
      </c>
      <c r="V40" s="32"/>
      <c r="W40" s="20" t="s">
        <v>128</v>
      </c>
      <c r="X40" s="33" t="s">
        <v>128</v>
      </c>
      <c r="Y40" s="20" t="s">
        <v>128</v>
      </c>
      <c r="Z40" s="20" t="s">
        <v>128</v>
      </c>
      <c r="AA40" s="27"/>
      <c r="AB40" s="26" t="s">
        <v>128</v>
      </c>
      <c r="AC40" s="20"/>
      <c r="AD40" s="33"/>
      <c r="AE40" s="32"/>
      <c r="AF40" s="20"/>
      <c r="AG40" s="33"/>
      <c r="AH40" s="32" t="s">
        <v>128</v>
      </c>
      <c r="AI40" s="20" t="s">
        <v>128</v>
      </c>
      <c r="AJ40" s="33"/>
      <c r="AK40" s="32"/>
      <c r="AL40" s="20" t="s">
        <v>128</v>
      </c>
      <c r="AM40" s="33"/>
      <c r="AN40" s="32" t="s">
        <v>128</v>
      </c>
      <c r="AO40" s="20"/>
      <c r="AP40" s="33" t="s">
        <v>128</v>
      </c>
      <c r="AQ40" s="32"/>
      <c r="AR40" s="20" t="s">
        <v>128</v>
      </c>
      <c r="AS40" s="33" t="s">
        <v>128</v>
      </c>
      <c r="AT40" s="20" t="s">
        <v>128</v>
      </c>
      <c r="AU40" s="20" t="s">
        <v>128</v>
      </c>
      <c r="AV40" s="27"/>
      <c r="AW40"/>
      <c r="AX40" s="5">
        <f>COUNTIF(AvailabilityMatrixOriginal[[#This Row],[1-Mon-AM]:[2-Sun-NIGHT]],"X")</f>
        <v>20</v>
      </c>
      <c r="AY40">
        <f t="shared" si="0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130</v>
      </c>
      <c r="C41" s="42" t="s">
        <v>46</v>
      </c>
      <c r="D41" s="43"/>
      <c r="E41" s="43"/>
      <c r="F41" s="44"/>
      <c r="G41" s="26" t="s">
        <v>128</v>
      </c>
      <c r="H41" s="20" t="s">
        <v>128</v>
      </c>
      <c r="I41" s="33" t="s">
        <v>128</v>
      </c>
      <c r="J41" s="32" t="s">
        <v>128</v>
      </c>
      <c r="K41" s="20" t="s">
        <v>128</v>
      </c>
      <c r="L41" s="33" t="s">
        <v>128</v>
      </c>
      <c r="M41" s="32" t="s">
        <v>128</v>
      </c>
      <c r="N41" s="20" t="s">
        <v>128</v>
      </c>
      <c r="O41" s="33" t="s">
        <v>128</v>
      </c>
      <c r="P41" s="32" t="s">
        <v>128</v>
      </c>
      <c r="Q41" s="20" t="s">
        <v>128</v>
      </c>
      <c r="R41" s="33" t="s">
        <v>128</v>
      </c>
      <c r="S41" s="32" t="s">
        <v>128</v>
      </c>
      <c r="T41" s="20" t="s">
        <v>128</v>
      </c>
      <c r="U41" s="33" t="s">
        <v>128</v>
      </c>
      <c r="V41" s="32" t="s">
        <v>128</v>
      </c>
      <c r="W41" s="20" t="s">
        <v>128</v>
      </c>
      <c r="X41" s="33" t="s">
        <v>128</v>
      </c>
      <c r="Y41" s="20" t="s">
        <v>128</v>
      </c>
      <c r="Z41" s="20" t="s">
        <v>128</v>
      </c>
      <c r="AA41" s="27" t="s">
        <v>128</v>
      </c>
      <c r="AB41" s="26" t="s">
        <v>128</v>
      </c>
      <c r="AC41" s="20" t="s">
        <v>128</v>
      </c>
      <c r="AD41" s="33" t="s">
        <v>128</v>
      </c>
      <c r="AE41" s="32" t="s">
        <v>128</v>
      </c>
      <c r="AF41" s="20" t="s">
        <v>128</v>
      </c>
      <c r="AG41" s="33" t="s">
        <v>128</v>
      </c>
      <c r="AH41" s="32" t="s">
        <v>128</v>
      </c>
      <c r="AI41" s="20" t="s">
        <v>128</v>
      </c>
      <c r="AJ41" s="33" t="s">
        <v>128</v>
      </c>
      <c r="AK41" s="32" t="s">
        <v>128</v>
      </c>
      <c r="AL41" s="20" t="s">
        <v>128</v>
      </c>
      <c r="AM41" s="33" t="s">
        <v>128</v>
      </c>
      <c r="AN41" s="32" t="s">
        <v>128</v>
      </c>
      <c r="AO41" s="20" t="s">
        <v>128</v>
      </c>
      <c r="AP41" s="33" t="s">
        <v>128</v>
      </c>
      <c r="AQ41" s="32" t="s">
        <v>128</v>
      </c>
      <c r="AR41" s="20" t="s">
        <v>128</v>
      </c>
      <c r="AS41" s="33" t="s">
        <v>128</v>
      </c>
      <c r="AT41" s="20" t="s">
        <v>128</v>
      </c>
      <c r="AU41" s="20" t="s">
        <v>128</v>
      </c>
      <c r="AV41" s="27" t="s">
        <v>128</v>
      </c>
      <c r="AW41"/>
      <c r="AX41" s="5">
        <f>COUNTIF(AvailabilityMatrixOriginal[[#This Row],[1-Mon-AM]:[2-Sun-NIGHT]],"X")</f>
        <v>42</v>
      </c>
      <c r="AY41">
        <f t="shared" si="0"/>
        <v>10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78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/>
      <c r="P42" s="32"/>
      <c r="Q42" s="20"/>
      <c r="R42" s="33"/>
      <c r="S42" s="32"/>
      <c r="T42" s="20"/>
      <c r="U42" s="33" t="s">
        <v>128</v>
      </c>
      <c r="V42" s="32"/>
      <c r="W42" s="20"/>
      <c r="X42" s="33"/>
      <c r="Y42" s="20"/>
      <c r="Z42" s="20" t="s">
        <v>128</v>
      </c>
      <c r="AA42" s="27" t="s">
        <v>128</v>
      </c>
      <c r="AB42" s="26"/>
      <c r="AC42" s="20"/>
      <c r="AD42" s="33"/>
      <c r="AE42" s="32"/>
      <c r="AF42" s="20"/>
      <c r="AG42" s="33"/>
      <c r="AH42" s="32"/>
      <c r="AI42" s="20"/>
      <c r="AJ42" s="33"/>
      <c r="AK42" s="32"/>
      <c r="AL42" s="20"/>
      <c r="AM42" s="33"/>
      <c r="AN42" s="32"/>
      <c r="AO42" s="20"/>
      <c r="AP42" s="33"/>
      <c r="AQ42" s="32"/>
      <c r="AR42" s="20"/>
      <c r="AS42" s="33"/>
      <c r="AT42" s="20"/>
      <c r="AU42" s="20"/>
      <c r="AV42" s="27"/>
      <c r="AW42"/>
      <c r="AX42" s="5">
        <f>COUNTIF(AvailabilityMatrixOriginal[[#This Row],[1-Mon-AM]:[2-Sun-NIGHT]],"X")</f>
        <v>5</v>
      </c>
      <c r="AY42">
        <f t="shared" si="0"/>
        <v>5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79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 t="s">
        <v>128</v>
      </c>
      <c r="N43" s="20"/>
      <c r="O43" s="33"/>
      <c r="P43" s="32" t="s">
        <v>128</v>
      </c>
      <c r="Q43" s="20"/>
      <c r="R43" s="33"/>
      <c r="S43" s="32"/>
      <c r="T43" s="20"/>
      <c r="U43" s="33"/>
      <c r="V43" s="32"/>
      <c r="W43" s="20" t="s">
        <v>128</v>
      </c>
      <c r="X43" s="33"/>
      <c r="Y43" s="20"/>
      <c r="Z43" s="20" t="s">
        <v>128</v>
      </c>
      <c r="AA43" s="27"/>
      <c r="AB43" s="26"/>
      <c r="AC43" s="20"/>
      <c r="AD43" s="33"/>
      <c r="AE43" s="32"/>
      <c r="AF43" s="20" t="s">
        <v>128</v>
      </c>
      <c r="AG43" s="33"/>
      <c r="AH43" s="32" t="s">
        <v>128</v>
      </c>
      <c r="AI43" s="20"/>
      <c r="AJ43" s="33"/>
      <c r="AK43" s="32" t="s">
        <v>128</v>
      </c>
      <c r="AL43" s="20"/>
      <c r="AM43" s="33"/>
      <c r="AN43" s="32"/>
      <c r="AO43" s="20"/>
      <c r="AP43" s="33"/>
      <c r="AQ43" s="32"/>
      <c r="AR43" s="20" t="s">
        <v>128</v>
      </c>
      <c r="AS43" s="33"/>
      <c r="AT43" s="20"/>
      <c r="AU43" s="20" t="s">
        <v>128</v>
      </c>
      <c r="AV43" s="27"/>
      <c r="AW43"/>
      <c r="AX43" s="5">
        <f>COUNTIF(AvailabilityMatrixOriginal[[#This Row],[1-Mon-AM]:[2-Sun-NIGHT]],"X")</f>
        <v>10</v>
      </c>
      <c r="AY43">
        <f t="shared" si="0"/>
        <v>10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80</v>
      </c>
      <c r="C44" s="18" t="s">
        <v>46</v>
      </c>
      <c r="E44" s="1"/>
      <c r="G44" s="26"/>
      <c r="H44" s="20" t="s">
        <v>128</v>
      </c>
      <c r="I44" s="33"/>
      <c r="J44" s="32"/>
      <c r="K44" s="20"/>
      <c r="L44" s="33"/>
      <c r="M44" s="32"/>
      <c r="N44" s="20"/>
      <c r="O44" s="33"/>
      <c r="P44" s="32"/>
      <c r="Q44" s="20"/>
      <c r="R44" s="33"/>
      <c r="S44" s="32"/>
      <c r="T44" s="20"/>
      <c r="U44" s="33" t="s">
        <v>128</v>
      </c>
      <c r="V44" s="32"/>
      <c r="W44" s="20" t="s">
        <v>128</v>
      </c>
      <c r="X44" s="33"/>
      <c r="Y44" s="20"/>
      <c r="Z44" s="20" t="s">
        <v>128</v>
      </c>
      <c r="AA44" s="27"/>
      <c r="AB44" s="26"/>
      <c r="AC44" s="20" t="s">
        <v>128</v>
      </c>
      <c r="AD44" s="33"/>
      <c r="AE44" s="32"/>
      <c r="AF44" s="20"/>
      <c r="AG44" s="33"/>
      <c r="AH44" s="32"/>
      <c r="AI44" s="20"/>
      <c r="AJ44" s="33"/>
      <c r="AK44" s="32"/>
      <c r="AL44" s="20"/>
      <c r="AM44" s="33"/>
      <c r="AN44" s="32"/>
      <c r="AO44" s="20"/>
      <c r="AP44" s="33" t="s">
        <v>128</v>
      </c>
      <c r="AQ44" s="32"/>
      <c r="AR44" s="20" t="s">
        <v>128</v>
      </c>
      <c r="AS44" s="33"/>
      <c r="AT44" s="20"/>
      <c r="AU44" s="20" t="s">
        <v>128</v>
      </c>
      <c r="AV44" s="27"/>
      <c r="AW44"/>
      <c r="AX44" s="5">
        <f>COUNTIF(AvailabilityMatrixOriginal[[#This Row],[1-Mon-AM]:[2-Sun-NIGHT]],"X")</f>
        <v>8</v>
      </c>
      <c r="AY44">
        <f t="shared" si="0"/>
        <v>8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81</v>
      </c>
      <c r="C45" s="18" t="s">
        <v>46</v>
      </c>
      <c r="E45" s="1"/>
      <c r="G45" s="26" t="s">
        <v>128</v>
      </c>
      <c r="H45" s="20" t="s">
        <v>128</v>
      </c>
      <c r="I45" s="33"/>
      <c r="J45" s="32" t="s">
        <v>128</v>
      </c>
      <c r="K45" s="20" t="s">
        <v>128</v>
      </c>
      <c r="L45" s="33"/>
      <c r="M45" s="32"/>
      <c r="N45" s="20"/>
      <c r="O45" s="33"/>
      <c r="P45" s="32"/>
      <c r="Q45" s="20"/>
      <c r="R45" s="33"/>
      <c r="S45" s="32"/>
      <c r="T45" s="20"/>
      <c r="U45" s="33"/>
      <c r="V45" s="32" t="s">
        <v>128</v>
      </c>
      <c r="W45" s="20" t="s">
        <v>128</v>
      </c>
      <c r="X45" s="33"/>
      <c r="Y45" s="20" t="s">
        <v>128</v>
      </c>
      <c r="Z45" s="20" t="s">
        <v>128</v>
      </c>
      <c r="AA45" s="27"/>
      <c r="AB45" s="26" t="s">
        <v>128</v>
      </c>
      <c r="AC45" s="20" t="s">
        <v>128</v>
      </c>
      <c r="AD45" s="33"/>
      <c r="AE45" s="32" t="s">
        <v>128</v>
      </c>
      <c r="AF45" s="20" t="s">
        <v>128</v>
      </c>
      <c r="AG45" s="33"/>
      <c r="AH45" s="32"/>
      <c r="AI45" s="20"/>
      <c r="AJ45" s="33"/>
      <c r="AK45" s="32"/>
      <c r="AL45" s="20"/>
      <c r="AM45" s="33"/>
      <c r="AN45" s="32"/>
      <c r="AO45" s="20"/>
      <c r="AP45" s="33"/>
      <c r="AQ45" s="32" t="s">
        <v>128</v>
      </c>
      <c r="AR45" s="20" t="s">
        <v>128</v>
      </c>
      <c r="AS45" s="33"/>
      <c r="AT45" s="20" t="s">
        <v>128</v>
      </c>
      <c r="AU45" s="20" t="s">
        <v>128</v>
      </c>
      <c r="AV45" s="27"/>
      <c r="AW45"/>
      <c r="AX45" s="5">
        <f>COUNTIF(AvailabilityMatrixOriginal[[#This Row],[1-Mon-AM]:[2-Sun-NIGHT]],"X")</f>
        <v>16</v>
      </c>
      <c r="AY45">
        <f t="shared" si="0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82</v>
      </c>
      <c r="C46" s="18" t="s">
        <v>46</v>
      </c>
      <c r="E46" s="1"/>
      <c r="G46" s="26"/>
      <c r="H46" s="20"/>
      <c r="I46" s="33"/>
      <c r="J46" s="32"/>
      <c r="K46" s="20"/>
      <c r="L46" s="33"/>
      <c r="M46" s="32"/>
      <c r="N46" s="20"/>
      <c r="O46" s="33"/>
      <c r="P46" s="32"/>
      <c r="Q46" s="20"/>
      <c r="R46" s="33" t="s">
        <v>128</v>
      </c>
      <c r="S46" s="32"/>
      <c r="T46" s="20"/>
      <c r="U46" s="33" t="s">
        <v>128</v>
      </c>
      <c r="V46" s="32"/>
      <c r="W46" s="20"/>
      <c r="X46" s="33" t="s">
        <v>128</v>
      </c>
      <c r="Y46" s="20"/>
      <c r="Z46" s="20"/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 t="s">
        <v>128</v>
      </c>
      <c r="AN46" s="32"/>
      <c r="AO46" s="20"/>
      <c r="AP46" s="33" t="s">
        <v>128</v>
      </c>
      <c r="AQ46" s="32"/>
      <c r="AR46" s="20"/>
      <c r="AS46" s="33" t="s">
        <v>128</v>
      </c>
      <c r="AT46" s="20"/>
      <c r="AU46" s="20"/>
      <c r="AV46" s="27" t="s">
        <v>128</v>
      </c>
      <c r="AW46"/>
      <c r="AX46" s="5">
        <f>COUNTIF(AvailabilityMatrixOriginal[[#This Row],[1-Mon-AM]:[2-Sun-NIGHT]],"X")</f>
        <v>8</v>
      </c>
      <c r="AY46">
        <f t="shared" si="0"/>
        <v>8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83</v>
      </c>
      <c r="C47" s="18" t="s">
        <v>46</v>
      </c>
      <c r="E47" s="1"/>
      <c r="G47" s="26"/>
      <c r="H47" s="20"/>
      <c r="I47" s="33" t="s">
        <v>128</v>
      </c>
      <c r="J47" s="32"/>
      <c r="K47" s="20"/>
      <c r="L47" s="33" t="s">
        <v>128</v>
      </c>
      <c r="M47" s="32"/>
      <c r="N47" s="20"/>
      <c r="O47" s="33" t="s">
        <v>128</v>
      </c>
      <c r="P47" s="32"/>
      <c r="Q47" s="20"/>
      <c r="R47" s="33" t="s">
        <v>128</v>
      </c>
      <c r="S47" s="32"/>
      <c r="T47" s="20"/>
      <c r="U47" s="33" t="s">
        <v>128</v>
      </c>
      <c r="V47" s="32"/>
      <c r="W47" s="20"/>
      <c r="X47" s="33" t="s">
        <v>128</v>
      </c>
      <c r="Y47" s="20"/>
      <c r="Z47" s="20"/>
      <c r="AA47" s="27" t="s">
        <v>128</v>
      </c>
      <c r="AB47" s="26"/>
      <c r="AC47" s="20"/>
      <c r="AD47" s="33" t="s">
        <v>128</v>
      </c>
      <c r="AE47" s="32"/>
      <c r="AF47" s="20"/>
      <c r="AG47" s="33" t="s">
        <v>128</v>
      </c>
      <c r="AH47" s="32"/>
      <c r="AI47" s="20"/>
      <c r="AJ47" s="33" t="s">
        <v>128</v>
      </c>
      <c r="AK47" s="32"/>
      <c r="AL47" s="20"/>
      <c r="AM47" s="33" t="s">
        <v>128</v>
      </c>
      <c r="AN47" s="32"/>
      <c r="AO47" s="20"/>
      <c r="AP47" s="33" t="s">
        <v>128</v>
      </c>
      <c r="AQ47" s="32"/>
      <c r="AR47" s="20"/>
      <c r="AS47" s="33" t="s">
        <v>128</v>
      </c>
      <c r="AT47" s="20"/>
      <c r="AU47" s="20"/>
      <c r="AV47" s="27" t="s">
        <v>128</v>
      </c>
      <c r="AW47"/>
      <c r="AX47" s="5">
        <f>COUNTIF(AvailabilityMatrixOriginal[[#This Row],[1-Mon-AM]:[2-Sun-NIGHT]],"X")</f>
        <v>14</v>
      </c>
      <c r="AY47">
        <f t="shared" si="0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84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 t="s">
        <v>128</v>
      </c>
      <c r="R48" s="33"/>
      <c r="S48" s="32"/>
      <c r="T48" s="20" t="s">
        <v>128</v>
      </c>
      <c r="U48" s="33"/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 t="s">
        <v>128</v>
      </c>
      <c r="AM48" s="33"/>
      <c r="AN48" s="32"/>
      <c r="AO48" s="20" t="s">
        <v>128</v>
      </c>
      <c r="AP48" s="33"/>
      <c r="AQ48" s="32"/>
      <c r="AR48" s="20" t="s">
        <v>128</v>
      </c>
      <c r="AS48" s="33"/>
      <c r="AT48" s="20"/>
      <c r="AU48" s="20" t="s">
        <v>128</v>
      </c>
      <c r="AV48" s="27"/>
      <c r="AW48"/>
      <c r="AX48" s="5">
        <f>COUNTIF(AvailabilityMatrixOriginal[[#This Row],[1-Mon-AM]:[2-Sun-NIGHT]],"X")</f>
        <v>10</v>
      </c>
      <c r="AY48">
        <f t="shared" si="0"/>
        <v>10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133</v>
      </c>
      <c r="C49" s="42" t="s">
        <v>46</v>
      </c>
      <c r="D49" s="43"/>
      <c r="E49" s="43"/>
      <c r="F49" s="44"/>
      <c r="G49" s="26" t="s">
        <v>128</v>
      </c>
      <c r="H49" s="20" t="s">
        <v>128</v>
      </c>
      <c r="I49" s="33"/>
      <c r="J49" s="32" t="s">
        <v>128</v>
      </c>
      <c r="K49" s="20" t="s">
        <v>128</v>
      </c>
      <c r="L49" s="33"/>
      <c r="M49" s="32" t="s">
        <v>128</v>
      </c>
      <c r="N49" s="20" t="s">
        <v>128</v>
      </c>
      <c r="O49" s="33"/>
      <c r="P49" s="32" t="s">
        <v>128</v>
      </c>
      <c r="Q49" s="20" t="s">
        <v>128</v>
      </c>
      <c r="R49" s="33"/>
      <c r="S49" s="32" t="s">
        <v>128</v>
      </c>
      <c r="T49" s="20" t="s">
        <v>128</v>
      </c>
      <c r="U49" s="33"/>
      <c r="V49" s="32" t="s">
        <v>128</v>
      </c>
      <c r="W49" s="20" t="s">
        <v>128</v>
      </c>
      <c r="X49" s="33"/>
      <c r="Y49" s="20" t="s">
        <v>128</v>
      </c>
      <c r="Z49" s="20" t="s">
        <v>128</v>
      </c>
      <c r="AA49" s="27"/>
      <c r="AB49" s="26" t="s">
        <v>128</v>
      </c>
      <c r="AC49" s="20" t="s">
        <v>128</v>
      </c>
      <c r="AD49" s="33"/>
      <c r="AE49" s="32" t="s">
        <v>128</v>
      </c>
      <c r="AF49" s="20" t="s">
        <v>128</v>
      </c>
      <c r="AG49" s="33"/>
      <c r="AH49" s="32" t="s">
        <v>128</v>
      </c>
      <c r="AI49" s="20" t="s">
        <v>128</v>
      </c>
      <c r="AJ49" s="33"/>
      <c r="AK49" s="32" t="s">
        <v>128</v>
      </c>
      <c r="AL49" s="20" t="s">
        <v>128</v>
      </c>
      <c r="AM49" s="33"/>
      <c r="AN49" s="32" t="s">
        <v>128</v>
      </c>
      <c r="AO49" s="20" t="s">
        <v>128</v>
      </c>
      <c r="AP49" s="33"/>
      <c r="AQ49" s="32" t="s">
        <v>128</v>
      </c>
      <c r="AR49" s="20" t="s">
        <v>128</v>
      </c>
      <c r="AS49" s="33"/>
      <c r="AT49" s="20" t="s">
        <v>128</v>
      </c>
      <c r="AU49" s="20" t="s">
        <v>128</v>
      </c>
      <c r="AV49" s="27"/>
      <c r="AW49"/>
      <c r="AX49" s="5">
        <f>COUNTIF(AvailabilityMatrixOriginal[[#This Row],[1-Mon-AM]:[2-Sun-NIGHT]],"X")</f>
        <v>28</v>
      </c>
      <c r="AY49">
        <f t="shared" si="0"/>
        <v>10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85</v>
      </c>
      <c r="C50" s="18" t="s">
        <v>46</v>
      </c>
      <c r="E50" s="1"/>
      <c r="G50" s="26"/>
      <c r="H50" s="20" t="s">
        <v>128</v>
      </c>
      <c r="I50" s="33"/>
      <c r="J50" s="32"/>
      <c r="K50" s="20"/>
      <c r="L50" s="33"/>
      <c r="M50" s="32"/>
      <c r="N50" s="20"/>
      <c r="O50" s="33"/>
      <c r="P50" s="32"/>
      <c r="Q50" s="20"/>
      <c r="R50" s="33"/>
      <c r="S50" s="32" t="s">
        <v>128</v>
      </c>
      <c r="T50" s="20"/>
      <c r="U50" s="33"/>
      <c r="V50" s="32" t="s">
        <v>128</v>
      </c>
      <c r="W50" s="20"/>
      <c r="X50" s="33"/>
      <c r="Y50" s="20" t="s">
        <v>128</v>
      </c>
      <c r="Z50" s="20"/>
      <c r="AA50" s="27"/>
      <c r="AB50" s="26"/>
      <c r="AC50" s="20" t="s">
        <v>128</v>
      </c>
      <c r="AD50" s="33"/>
      <c r="AE50" s="32"/>
      <c r="AF50" s="20"/>
      <c r="AG50" s="33"/>
      <c r="AH50" s="32"/>
      <c r="AI50" s="20"/>
      <c r="AJ50" s="33"/>
      <c r="AK50" s="32"/>
      <c r="AL50" s="20"/>
      <c r="AM50" s="33"/>
      <c r="AN50" s="32" t="s">
        <v>128</v>
      </c>
      <c r="AO50" s="20"/>
      <c r="AP50" s="33"/>
      <c r="AQ50" s="32" t="s">
        <v>128</v>
      </c>
      <c r="AR50" s="20"/>
      <c r="AS50" s="33"/>
      <c r="AT50" s="20" t="s">
        <v>128</v>
      </c>
      <c r="AU50" s="20"/>
      <c r="AV50" s="27"/>
      <c r="AW50"/>
      <c r="AX50" s="5">
        <f>COUNTIF(AvailabilityMatrixOriginal[[#This Row],[1-Mon-AM]:[2-Sun-NIGHT]],"X")</f>
        <v>8</v>
      </c>
      <c r="AY50">
        <f t="shared" si="0"/>
        <v>8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86</v>
      </c>
      <c r="C51" s="18" t="s">
        <v>46</v>
      </c>
      <c r="E51" s="1"/>
      <c r="G51" s="26"/>
      <c r="H51" s="20"/>
      <c r="I51" s="33"/>
      <c r="J51" s="32"/>
      <c r="K51" s="20"/>
      <c r="L51" s="33" t="s">
        <v>128</v>
      </c>
      <c r="M51" s="32"/>
      <c r="N51" s="20"/>
      <c r="O51" s="33" t="s">
        <v>128</v>
      </c>
      <c r="P51" s="32"/>
      <c r="Q51" s="20"/>
      <c r="R51" s="33"/>
      <c r="S51" s="32"/>
      <c r="T51" s="20"/>
      <c r="U51" s="33" t="s">
        <v>128</v>
      </c>
      <c r="V51" s="32" t="s">
        <v>128</v>
      </c>
      <c r="W51" s="20" t="s">
        <v>128</v>
      </c>
      <c r="X51" s="33" t="s">
        <v>128</v>
      </c>
      <c r="Y51" s="20" t="s">
        <v>128</v>
      </c>
      <c r="Z51" s="20" t="s">
        <v>128</v>
      </c>
      <c r="AA51" s="27" t="s">
        <v>128</v>
      </c>
      <c r="AB51" s="26"/>
      <c r="AC51" s="20"/>
      <c r="AD51" s="33"/>
      <c r="AE51" s="32"/>
      <c r="AF51" s="20"/>
      <c r="AG51" s="33" t="s">
        <v>128</v>
      </c>
      <c r="AH51" s="32"/>
      <c r="AI51" s="20"/>
      <c r="AJ51" s="33" t="s">
        <v>128</v>
      </c>
      <c r="AK51" s="32"/>
      <c r="AL51" s="20"/>
      <c r="AM51" s="33"/>
      <c r="AN51" s="32"/>
      <c r="AO51" s="20"/>
      <c r="AP51" s="33" t="s">
        <v>128</v>
      </c>
      <c r="AQ51" s="32" t="s">
        <v>128</v>
      </c>
      <c r="AR51" s="20" t="s">
        <v>128</v>
      </c>
      <c r="AS51" s="33" t="s">
        <v>128</v>
      </c>
      <c r="AT51" s="20" t="s">
        <v>128</v>
      </c>
      <c r="AU51" s="20" t="s">
        <v>128</v>
      </c>
      <c r="AV51" s="27" t="s">
        <v>128</v>
      </c>
      <c r="AW51"/>
      <c r="AX51" s="5">
        <f>COUNTIF(AvailabilityMatrixOriginal[[#This Row],[1-Mon-AM]:[2-Sun-NIGHT]],"X")</f>
        <v>18</v>
      </c>
      <c r="AY51">
        <f t="shared" si="0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134</v>
      </c>
      <c r="C52" s="42" t="s">
        <v>46</v>
      </c>
      <c r="D52" s="43"/>
      <c r="E52" s="43"/>
      <c r="F52" s="44"/>
      <c r="G52" s="26" t="s">
        <v>128</v>
      </c>
      <c r="H52" s="20"/>
      <c r="I52" s="33"/>
      <c r="J52" s="32" t="s">
        <v>128</v>
      </c>
      <c r="K52" s="20"/>
      <c r="L52" s="33"/>
      <c r="M52" s="32"/>
      <c r="N52" s="20"/>
      <c r="O52" s="33"/>
      <c r="P52" s="32"/>
      <c r="Q52" s="20"/>
      <c r="R52" s="33"/>
      <c r="S52" s="32" t="s">
        <v>128</v>
      </c>
      <c r="T52" s="20"/>
      <c r="U52" s="33"/>
      <c r="V52" s="32" t="s">
        <v>128</v>
      </c>
      <c r="W52" s="20"/>
      <c r="X52" s="33"/>
      <c r="Y52" s="20" t="s">
        <v>128</v>
      </c>
      <c r="Z52" s="20"/>
      <c r="AA52" s="27"/>
      <c r="AB52" s="26" t="s">
        <v>128</v>
      </c>
      <c r="AC52" s="20"/>
      <c r="AD52" s="33"/>
      <c r="AE52" s="32" t="s">
        <v>128</v>
      </c>
      <c r="AF52" s="20"/>
      <c r="AG52" s="33"/>
      <c r="AH52" s="32"/>
      <c r="AI52" s="20"/>
      <c r="AJ52" s="33"/>
      <c r="AK52" s="32"/>
      <c r="AL52" s="20"/>
      <c r="AM52" s="33"/>
      <c r="AN52" s="32" t="s">
        <v>128</v>
      </c>
      <c r="AO52" s="20"/>
      <c r="AP52" s="33"/>
      <c r="AQ52" s="32" t="s">
        <v>128</v>
      </c>
      <c r="AR52" s="20"/>
      <c r="AS52" s="33"/>
      <c r="AT52" s="20" t="s">
        <v>128</v>
      </c>
      <c r="AU52" s="20"/>
      <c r="AV52" s="27"/>
      <c r="AW52"/>
      <c r="AX52" s="5">
        <f>COUNTIF(AvailabilityMatrixOriginal[[#This Row],[1-Mon-AM]:[2-Sun-NIGHT]],"X")</f>
        <v>10</v>
      </c>
      <c r="AY52">
        <f t="shared" si="0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87</v>
      </c>
      <c r="C53" s="18" t="s">
        <v>46</v>
      </c>
      <c r="E53" s="1"/>
      <c r="G53" s="26"/>
      <c r="H53" s="20"/>
      <c r="I53" s="33"/>
      <c r="J53" s="32"/>
      <c r="K53" s="20"/>
      <c r="L53" s="33"/>
      <c r="M53" s="32"/>
      <c r="N53" s="20"/>
      <c r="O53" s="33"/>
      <c r="P53" s="32"/>
      <c r="Q53" s="20" t="s">
        <v>128</v>
      </c>
      <c r="R53" s="33"/>
      <c r="S53" s="32"/>
      <c r="T53" s="20" t="s">
        <v>128</v>
      </c>
      <c r="U53" s="33"/>
      <c r="V53" s="32"/>
      <c r="W53" s="20"/>
      <c r="X53" s="33"/>
      <c r="Y53" s="20"/>
      <c r="Z53" s="20"/>
      <c r="AA53" s="27"/>
      <c r="AB53" s="26"/>
      <c r="AC53" s="20"/>
      <c r="AD53" s="33"/>
      <c r="AE53" s="32"/>
      <c r="AF53" s="20"/>
      <c r="AG53" s="33"/>
      <c r="AH53" s="32"/>
      <c r="AI53" s="20"/>
      <c r="AJ53" s="33"/>
      <c r="AK53" s="32"/>
      <c r="AL53" s="20" t="s">
        <v>128</v>
      </c>
      <c r="AM53" s="33"/>
      <c r="AN53" s="32"/>
      <c r="AO53" s="20" t="s">
        <v>128</v>
      </c>
      <c r="AP53" s="33"/>
      <c r="AQ53" s="32"/>
      <c r="AR53" s="20"/>
      <c r="AS53" s="33"/>
      <c r="AT53" s="20"/>
      <c r="AU53" s="20"/>
      <c r="AV53" s="27"/>
      <c r="AW53"/>
      <c r="AX53" s="5">
        <f>COUNTIF(AvailabilityMatrixOriginal[[#This Row],[1-Mon-AM]:[2-Sun-NIGHT]],"X")</f>
        <v>4</v>
      </c>
      <c r="AY53">
        <f t="shared" si="0"/>
        <v>4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88</v>
      </c>
      <c r="C54" s="18" t="s">
        <v>46</v>
      </c>
      <c r="E54" s="1"/>
      <c r="G54" s="26"/>
      <c r="H54" s="20"/>
      <c r="I54" s="33"/>
      <c r="J54" s="32"/>
      <c r="K54" s="20"/>
      <c r="L54" s="33"/>
      <c r="M54" s="32"/>
      <c r="N54" s="20"/>
      <c r="O54" s="33"/>
      <c r="P54" s="32"/>
      <c r="Q54" s="20" t="s">
        <v>128</v>
      </c>
      <c r="R54" s="33"/>
      <c r="S54" s="32"/>
      <c r="T54" s="20" t="s">
        <v>128</v>
      </c>
      <c r="U54" s="33"/>
      <c r="V54" s="32"/>
      <c r="W54" s="20"/>
      <c r="X54" s="33"/>
      <c r="Y54" s="20"/>
      <c r="Z54" s="20"/>
      <c r="AA54" s="27"/>
      <c r="AB54" s="26"/>
      <c r="AC54" s="20"/>
      <c r="AD54" s="33"/>
      <c r="AE54" s="32"/>
      <c r="AF54" s="20"/>
      <c r="AG54" s="33"/>
      <c r="AH54" s="32"/>
      <c r="AI54" s="20"/>
      <c r="AJ54" s="33"/>
      <c r="AK54" s="32"/>
      <c r="AL54" s="20" t="s">
        <v>128</v>
      </c>
      <c r="AM54" s="33"/>
      <c r="AN54" s="32"/>
      <c r="AO54" s="20" t="s">
        <v>128</v>
      </c>
      <c r="AP54" s="33"/>
      <c r="AQ54" s="32"/>
      <c r="AR54" s="20"/>
      <c r="AS54" s="33"/>
      <c r="AT54" s="20"/>
      <c r="AU54" s="20"/>
      <c r="AV54" s="27"/>
      <c r="AW54"/>
      <c r="AX54" s="5">
        <f>COUNTIF(AvailabilityMatrixOriginal[[#This Row],[1-Mon-AM]:[2-Sun-NIGHT]],"X")</f>
        <v>4</v>
      </c>
      <c r="AY54">
        <f t="shared" si="0"/>
        <v>4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89</v>
      </c>
      <c r="C55" s="18" t="s">
        <v>46</v>
      </c>
      <c r="E55" s="1"/>
      <c r="G55" s="26" t="s">
        <v>128</v>
      </c>
      <c r="H55" s="20" t="s">
        <v>128</v>
      </c>
      <c r="I55" s="33"/>
      <c r="J55" s="32" t="s">
        <v>128</v>
      </c>
      <c r="K55" s="20" t="s">
        <v>128</v>
      </c>
      <c r="L55" s="33"/>
      <c r="M55" s="32" t="s">
        <v>128</v>
      </c>
      <c r="N55" s="20" t="s">
        <v>128</v>
      </c>
      <c r="O55" s="33"/>
      <c r="P55" s="32" t="s">
        <v>128</v>
      </c>
      <c r="Q55" s="20" t="s">
        <v>128</v>
      </c>
      <c r="R55" s="33"/>
      <c r="S55" s="32" t="s">
        <v>128</v>
      </c>
      <c r="T55" s="20" t="s">
        <v>128</v>
      </c>
      <c r="U55" s="33"/>
      <c r="V55" s="32" t="s">
        <v>128</v>
      </c>
      <c r="W55" s="20" t="s">
        <v>128</v>
      </c>
      <c r="X55" s="33"/>
      <c r="Y55" s="20" t="s">
        <v>128</v>
      </c>
      <c r="Z55" s="20" t="s">
        <v>128</v>
      </c>
      <c r="AA55" s="27"/>
      <c r="AB55" s="26" t="s">
        <v>128</v>
      </c>
      <c r="AC55" s="20" t="s">
        <v>128</v>
      </c>
      <c r="AD55" s="33"/>
      <c r="AE55" s="32" t="s">
        <v>128</v>
      </c>
      <c r="AF55" s="20" t="s">
        <v>128</v>
      </c>
      <c r="AG55" s="33"/>
      <c r="AH55" s="32" t="s">
        <v>128</v>
      </c>
      <c r="AI55" s="20" t="s">
        <v>128</v>
      </c>
      <c r="AJ55" s="33"/>
      <c r="AK55" s="32" t="s">
        <v>128</v>
      </c>
      <c r="AL55" s="20" t="s">
        <v>128</v>
      </c>
      <c r="AM55" s="33"/>
      <c r="AN55" s="32" t="s">
        <v>128</v>
      </c>
      <c r="AO55" s="20" t="s">
        <v>128</v>
      </c>
      <c r="AP55" s="33"/>
      <c r="AQ55" s="32" t="s">
        <v>128</v>
      </c>
      <c r="AR55" s="20" t="s">
        <v>128</v>
      </c>
      <c r="AS55" s="33"/>
      <c r="AT55" s="20" t="s">
        <v>128</v>
      </c>
      <c r="AU55" s="20" t="s">
        <v>128</v>
      </c>
      <c r="AV55" s="27"/>
      <c r="AW55"/>
      <c r="AX55" s="5">
        <f>COUNTIF(AvailabilityMatrixOriginal[[#This Row],[1-Mon-AM]:[2-Sun-NIGHT]],"X")</f>
        <v>28</v>
      </c>
      <c r="AY55">
        <f t="shared" si="0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90</v>
      </c>
      <c r="C56" s="18" t="s">
        <v>46</v>
      </c>
      <c r="E56" s="1"/>
      <c r="G56" s="26"/>
      <c r="H56" s="20" t="s">
        <v>128</v>
      </c>
      <c r="I56" s="33"/>
      <c r="J56" s="32"/>
      <c r="K56" s="20"/>
      <c r="L56" s="33"/>
      <c r="M56" s="32"/>
      <c r="N56" s="20"/>
      <c r="O56" s="33"/>
      <c r="P56" s="32"/>
      <c r="Q56" s="20"/>
      <c r="R56" s="33"/>
      <c r="S56" s="32"/>
      <c r="T56" s="20" t="s">
        <v>128</v>
      </c>
      <c r="U56" s="33"/>
      <c r="V56" s="32"/>
      <c r="W56" s="20"/>
      <c r="X56" s="33"/>
      <c r="Y56" s="20"/>
      <c r="Z56" s="20" t="s">
        <v>128</v>
      </c>
      <c r="AA56" s="27"/>
      <c r="AB56" s="26"/>
      <c r="AC56" s="20" t="s">
        <v>128</v>
      </c>
      <c r="AD56" s="33"/>
      <c r="AE56" s="32"/>
      <c r="AF56" s="20"/>
      <c r="AG56" s="33"/>
      <c r="AH56" s="32"/>
      <c r="AI56" s="20"/>
      <c r="AJ56" s="33"/>
      <c r="AK56" s="32"/>
      <c r="AL56" s="20"/>
      <c r="AM56" s="33"/>
      <c r="AN56" s="32"/>
      <c r="AO56" s="20" t="s">
        <v>128</v>
      </c>
      <c r="AP56" s="33"/>
      <c r="AQ56" s="32"/>
      <c r="AR56" s="20"/>
      <c r="AS56" s="33"/>
      <c r="AT56" s="20"/>
      <c r="AU56" s="20" t="s">
        <v>128</v>
      </c>
      <c r="AV56" s="27"/>
      <c r="AW56"/>
      <c r="AX56" s="5">
        <f>COUNTIF(AvailabilityMatrixOriginal[[#This Row],[1-Mon-AM]:[2-Sun-NIGHT]],"X")</f>
        <v>6</v>
      </c>
      <c r="AY56">
        <f t="shared" si="0"/>
        <v>6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91</v>
      </c>
      <c r="C57" s="18" t="s">
        <v>46</v>
      </c>
      <c r="E57" s="1"/>
      <c r="G57" s="26" t="s">
        <v>128</v>
      </c>
      <c r="H57" s="20"/>
      <c r="I57" s="33"/>
      <c r="J57" s="32"/>
      <c r="K57" s="20" t="s">
        <v>128</v>
      </c>
      <c r="L57" s="33"/>
      <c r="M57" s="32"/>
      <c r="N57" s="20"/>
      <c r="O57" s="33"/>
      <c r="P57" s="32"/>
      <c r="Q57" s="20" t="s">
        <v>128</v>
      </c>
      <c r="R57" s="33"/>
      <c r="S57" s="32"/>
      <c r="T57" s="20"/>
      <c r="U57" s="33"/>
      <c r="V57" s="32" t="s">
        <v>128</v>
      </c>
      <c r="W57" s="20"/>
      <c r="X57" s="33"/>
      <c r="Y57" s="20" t="s">
        <v>128</v>
      </c>
      <c r="Z57" s="20"/>
      <c r="AA57" s="27"/>
      <c r="AB57" s="26" t="s">
        <v>128</v>
      </c>
      <c r="AC57" s="20"/>
      <c r="AD57" s="33"/>
      <c r="AE57" s="32"/>
      <c r="AF57" s="20" t="s">
        <v>128</v>
      </c>
      <c r="AG57" s="33"/>
      <c r="AH57" s="32"/>
      <c r="AI57" s="20"/>
      <c r="AJ57" s="33"/>
      <c r="AK57" s="32"/>
      <c r="AL57" s="20" t="s">
        <v>128</v>
      </c>
      <c r="AM57" s="33"/>
      <c r="AN57" s="32"/>
      <c r="AO57" s="20"/>
      <c r="AP57" s="33"/>
      <c r="AQ57" s="32" t="s">
        <v>128</v>
      </c>
      <c r="AR57" s="20"/>
      <c r="AS57" s="33"/>
      <c r="AT57" s="20" t="s">
        <v>128</v>
      </c>
      <c r="AU57" s="20"/>
      <c r="AV57" s="27"/>
      <c r="AW57"/>
      <c r="AX57" s="5">
        <f>COUNTIF(AvailabilityMatrixOriginal[[#This Row],[1-Mon-AM]:[2-Sun-NIGHT]],"X")</f>
        <v>10</v>
      </c>
      <c r="AY57">
        <f t="shared" si="0"/>
        <v>10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92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 t="s">
        <v>128</v>
      </c>
      <c r="O58" s="33"/>
      <c r="P58" s="32"/>
      <c r="Q58" s="20"/>
      <c r="R58" s="33"/>
      <c r="S58" s="32"/>
      <c r="T58" s="20"/>
      <c r="U58" s="33"/>
      <c r="V58" s="32"/>
      <c r="W58" s="20" t="s">
        <v>128</v>
      </c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 t="s">
        <v>128</v>
      </c>
      <c r="AJ58" s="33"/>
      <c r="AK58" s="32"/>
      <c r="AL58" s="20"/>
      <c r="AM58" s="33"/>
      <c r="AN58" s="32"/>
      <c r="AO58" s="20"/>
      <c r="AP58" s="33"/>
      <c r="AQ58" s="32"/>
      <c r="AR58" s="20" t="s">
        <v>128</v>
      </c>
      <c r="AS58" s="33"/>
      <c r="AT58" s="20"/>
      <c r="AU58" s="20" t="s">
        <v>128</v>
      </c>
      <c r="AV58" s="27"/>
      <c r="AW58"/>
      <c r="AX58" s="5">
        <f>COUNTIF(AvailabilityMatrixOriginal[[#This Row],[1-Mon-AM]:[2-Sun-NIGHT]],"X")</f>
        <v>8</v>
      </c>
      <c r="AY58">
        <f t="shared" si="0"/>
        <v>8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93</v>
      </c>
      <c r="C59" s="18" t="s">
        <v>46</v>
      </c>
      <c r="E59" s="1"/>
      <c r="G59" s="26"/>
      <c r="H59" s="20"/>
      <c r="I59" s="33"/>
      <c r="J59" s="32"/>
      <c r="K59" s="20"/>
      <c r="L59" s="33"/>
      <c r="M59" s="32"/>
      <c r="N59" s="20" t="s">
        <v>128</v>
      </c>
      <c r="O59" s="33"/>
      <c r="P59" s="32"/>
      <c r="Q59" s="20" t="s">
        <v>128</v>
      </c>
      <c r="R59" s="33"/>
      <c r="S59" s="32"/>
      <c r="T59" s="20" t="s">
        <v>128</v>
      </c>
      <c r="U59" s="33"/>
      <c r="V59" s="32"/>
      <c r="W59" s="20" t="s">
        <v>128</v>
      </c>
      <c r="X59" s="33"/>
      <c r="Y59" s="20"/>
      <c r="Z59" s="20"/>
      <c r="AA59" s="27"/>
      <c r="AB59" s="26"/>
      <c r="AC59" s="20"/>
      <c r="AD59" s="33"/>
      <c r="AE59" s="32"/>
      <c r="AF59" s="20"/>
      <c r="AG59" s="33"/>
      <c r="AH59" s="32"/>
      <c r="AI59" s="20" t="s">
        <v>128</v>
      </c>
      <c r="AJ59" s="33"/>
      <c r="AK59" s="32"/>
      <c r="AL59" s="20" t="s">
        <v>128</v>
      </c>
      <c r="AM59" s="33"/>
      <c r="AN59" s="32"/>
      <c r="AO59" s="20" t="s">
        <v>128</v>
      </c>
      <c r="AP59" s="33"/>
      <c r="AQ59" s="32"/>
      <c r="AR59" s="20" t="s">
        <v>128</v>
      </c>
      <c r="AS59" s="33"/>
      <c r="AT59" s="20"/>
      <c r="AU59" s="20"/>
      <c r="AV59" s="27"/>
      <c r="AW59"/>
      <c r="AX59" s="5">
        <f>COUNTIF(AvailabilityMatrixOriginal[[#This Row],[1-Mon-AM]:[2-Sun-NIGHT]],"X")</f>
        <v>8</v>
      </c>
      <c r="AY59">
        <f t="shared" si="0"/>
        <v>8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94</v>
      </c>
      <c r="C60" s="18" t="s">
        <v>46</v>
      </c>
      <c r="E60" s="1"/>
      <c r="G60" s="26" t="s">
        <v>128</v>
      </c>
      <c r="H60" s="20"/>
      <c r="I60" s="33"/>
      <c r="J60" s="32" t="s">
        <v>128</v>
      </c>
      <c r="K60" s="20"/>
      <c r="L60" s="33"/>
      <c r="M60" s="32"/>
      <c r="N60" s="20"/>
      <c r="O60" s="33"/>
      <c r="P60" s="32"/>
      <c r="Q60" s="20"/>
      <c r="R60" s="33"/>
      <c r="S60" s="32"/>
      <c r="T60" s="20"/>
      <c r="U60" s="33"/>
      <c r="V60" s="32" t="s">
        <v>128</v>
      </c>
      <c r="W60" s="20"/>
      <c r="X60" s="33"/>
      <c r="Y60" s="20" t="s">
        <v>128</v>
      </c>
      <c r="Z60" s="20"/>
      <c r="AA60" s="27"/>
      <c r="AB60" s="26" t="s">
        <v>128</v>
      </c>
      <c r="AC60" s="20"/>
      <c r="AD60" s="33"/>
      <c r="AE60" s="32" t="s">
        <v>128</v>
      </c>
      <c r="AF60" s="20"/>
      <c r="AG60" s="33"/>
      <c r="AH60" s="32"/>
      <c r="AI60" s="20"/>
      <c r="AJ60" s="33"/>
      <c r="AK60" s="32"/>
      <c r="AL60" s="20"/>
      <c r="AM60" s="33"/>
      <c r="AN60" s="32"/>
      <c r="AO60" s="20"/>
      <c r="AP60" s="33"/>
      <c r="AQ60" s="32" t="s">
        <v>128</v>
      </c>
      <c r="AR60" s="20"/>
      <c r="AS60" s="33"/>
      <c r="AT60" s="20" t="s">
        <v>128</v>
      </c>
      <c r="AU60" s="20"/>
      <c r="AV60" s="27"/>
      <c r="AW60"/>
      <c r="AX60" s="5">
        <f>COUNTIF(AvailabilityMatrixOriginal[[#This Row],[1-Mon-AM]:[2-Sun-NIGHT]],"X")</f>
        <v>8</v>
      </c>
      <c r="AY60">
        <f t="shared" si="0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95</v>
      </c>
      <c r="C61" s="18" t="s">
        <v>46</v>
      </c>
      <c r="E61" s="1"/>
      <c r="G61" s="26" t="s">
        <v>128</v>
      </c>
      <c r="H61" s="20"/>
      <c r="I61" s="33"/>
      <c r="J61" s="32" t="s">
        <v>128</v>
      </c>
      <c r="K61" s="20"/>
      <c r="L61" s="33"/>
      <c r="M61" s="32" t="s">
        <v>128</v>
      </c>
      <c r="N61" s="20"/>
      <c r="O61" s="33"/>
      <c r="P61" s="32" t="s">
        <v>128</v>
      </c>
      <c r="Q61" s="20"/>
      <c r="R61" s="33"/>
      <c r="S61" s="32" t="s">
        <v>128</v>
      </c>
      <c r="T61" s="20"/>
      <c r="U61" s="33"/>
      <c r="V61" s="32"/>
      <c r="W61" s="20"/>
      <c r="X61" s="33"/>
      <c r="Y61" s="20"/>
      <c r="Z61" s="20"/>
      <c r="AA61" s="27"/>
      <c r="AB61" s="26" t="s">
        <v>128</v>
      </c>
      <c r="AC61" s="20"/>
      <c r="AD61" s="33"/>
      <c r="AE61" s="32" t="s">
        <v>128</v>
      </c>
      <c r="AF61" s="20"/>
      <c r="AG61" s="33"/>
      <c r="AH61" s="32" t="s">
        <v>128</v>
      </c>
      <c r="AI61" s="20"/>
      <c r="AJ61" s="33"/>
      <c r="AK61" s="32" t="s">
        <v>128</v>
      </c>
      <c r="AL61" s="20"/>
      <c r="AM61" s="33"/>
      <c r="AN61" s="32" t="s">
        <v>128</v>
      </c>
      <c r="AO61" s="20"/>
      <c r="AP61" s="33"/>
      <c r="AQ61" s="32"/>
      <c r="AR61" s="20"/>
      <c r="AS61" s="33"/>
      <c r="AT61" s="20"/>
      <c r="AU61" s="20"/>
      <c r="AV61" s="27"/>
      <c r="AW61"/>
      <c r="AX61" s="5">
        <f>COUNTIF(AvailabilityMatrixOriginal[[#This Row],[1-Mon-AM]:[2-Sun-NIGHT]],"X")</f>
        <v>10</v>
      </c>
      <c r="AY61">
        <f t="shared" si="0"/>
        <v>10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96</v>
      </c>
      <c r="C62" s="18" t="s">
        <v>46</v>
      </c>
      <c r="E62" s="1"/>
      <c r="G62" s="26"/>
      <c r="H62" s="20" t="s">
        <v>128</v>
      </c>
      <c r="I62" s="33"/>
      <c r="J62" s="32"/>
      <c r="K62" s="20" t="s">
        <v>128</v>
      </c>
      <c r="L62" s="33"/>
      <c r="M62" s="32"/>
      <c r="N62" s="20" t="s">
        <v>128</v>
      </c>
      <c r="O62" s="33"/>
      <c r="P62" s="32"/>
      <c r="Q62" s="20"/>
      <c r="R62" s="33"/>
      <c r="S62" s="32"/>
      <c r="T62" s="20"/>
      <c r="U62" s="33"/>
      <c r="V62" s="32"/>
      <c r="W62" s="20"/>
      <c r="X62" s="33"/>
      <c r="Y62" s="20"/>
      <c r="Z62" s="20"/>
      <c r="AA62" s="27"/>
      <c r="AB62" s="26"/>
      <c r="AC62" s="20" t="s">
        <v>128</v>
      </c>
      <c r="AD62" s="33"/>
      <c r="AE62" s="32"/>
      <c r="AF62" s="20" t="s">
        <v>128</v>
      </c>
      <c r="AG62" s="33"/>
      <c r="AH62" s="32"/>
      <c r="AI62" s="20" t="s">
        <v>128</v>
      </c>
      <c r="AJ62" s="33"/>
      <c r="AK62" s="32"/>
      <c r="AL62" s="20"/>
      <c r="AM62" s="33"/>
      <c r="AN62" s="32"/>
      <c r="AO62" s="20"/>
      <c r="AP62" s="33"/>
      <c r="AQ62" s="32"/>
      <c r="AR62" s="20"/>
      <c r="AS62" s="33"/>
      <c r="AT62" s="20"/>
      <c r="AU62" s="20"/>
      <c r="AV62" s="27"/>
      <c r="AW62"/>
      <c r="AX62" s="5">
        <f>COUNTIF(AvailabilityMatrixOriginal[[#This Row],[1-Mon-AM]:[2-Sun-NIGHT]],"X")</f>
        <v>6</v>
      </c>
      <c r="AY62">
        <f t="shared" si="0"/>
        <v>6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97</v>
      </c>
      <c r="C63" s="18" t="s">
        <v>46</v>
      </c>
      <c r="E63" s="1"/>
      <c r="G63" s="26"/>
      <c r="H63" s="20"/>
      <c r="I63" s="33" t="s">
        <v>128</v>
      </c>
      <c r="J63" s="32"/>
      <c r="K63" s="20"/>
      <c r="L63" s="33" t="s">
        <v>128</v>
      </c>
      <c r="M63" s="32"/>
      <c r="N63" s="20"/>
      <c r="O63" s="33"/>
      <c r="P63" s="32"/>
      <c r="Q63" s="20"/>
      <c r="R63" s="33"/>
      <c r="S63" s="32"/>
      <c r="T63" s="20"/>
      <c r="U63" s="33"/>
      <c r="V63" s="32"/>
      <c r="W63" s="20"/>
      <c r="X63" s="33"/>
      <c r="Y63" s="20"/>
      <c r="Z63" s="20"/>
      <c r="AA63" s="27"/>
      <c r="AB63" s="26"/>
      <c r="AC63" s="20"/>
      <c r="AD63" s="33"/>
      <c r="AE63" s="32"/>
      <c r="AF63" s="20"/>
      <c r="AG63" s="33"/>
      <c r="AH63" s="32"/>
      <c r="AI63" s="20"/>
      <c r="AJ63" s="33"/>
      <c r="AK63" s="32"/>
      <c r="AL63" s="20"/>
      <c r="AM63" s="33"/>
      <c r="AN63" s="32"/>
      <c r="AO63" s="20"/>
      <c r="AP63" s="33"/>
      <c r="AQ63" s="32"/>
      <c r="AR63" s="20"/>
      <c r="AS63" s="33"/>
      <c r="AT63" s="20"/>
      <c r="AU63" s="20"/>
      <c r="AV63" s="27"/>
      <c r="AW63"/>
      <c r="AX63" s="5">
        <f>COUNTIF(AvailabilityMatrixOriginal[[#This Row],[1-Mon-AM]:[2-Sun-NIGHT]],"X")</f>
        <v>2</v>
      </c>
      <c r="AY63">
        <f t="shared" si="0"/>
        <v>2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98</v>
      </c>
      <c r="C64" s="18" t="s">
        <v>46</v>
      </c>
      <c r="E64" s="1"/>
      <c r="G64" s="26"/>
      <c r="H64" s="20" t="s">
        <v>128</v>
      </c>
      <c r="I64" s="33"/>
      <c r="J64" s="32" t="s">
        <v>128</v>
      </c>
      <c r="K64" s="20"/>
      <c r="L64" s="33" t="s">
        <v>128</v>
      </c>
      <c r="M64" s="32" t="s">
        <v>128</v>
      </c>
      <c r="N64" s="20"/>
      <c r="O64" s="33" t="s">
        <v>128</v>
      </c>
      <c r="P64" s="32"/>
      <c r="Q64" s="20"/>
      <c r="R64" s="33"/>
      <c r="S64" s="32"/>
      <c r="T64" s="20" t="s">
        <v>128</v>
      </c>
      <c r="U64" s="33"/>
      <c r="V64" s="32"/>
      <c r="W64" s="20" t="s">
        <v>128</v>
      </c>
      <c r="X64" s="33"/>
      <c r="Y64" s="20"/>
      <c r="Z64" s="20"/>
      <c r="AA64" s="27" t="s">
        <v>128</v>
      </c>
      <c r="AB64" s="26"/>
      <c r="AC64" s="20" t="s">
        <v>128</v>
      </c>
      <c r="AD64" s="33"/>
      <c r="AE64" s="32" t="s">
        <v>128</v>
      </c>
      <c r="AF64" s="20"/>
      <c r="AG64" s="33" t="s">
        <v>128</v>
      </c>
      <c r="AH64" s="32" t="s">
        <v>128</v>
      </c>
      <c r="AI64" s="20"/>
      <c r="AJ64" s="33" t="s">
        <v>128</v>
      </c>
      <c r="AK64" s="32"/>
      <c r="AL64" s="20"/>
      <c r="AM64" s="33"/>
      <c r="AN64" s="32"/>
      <c r="AO64" s="20" t="s">
        <v>128</v>
      </c>
      <c r="AP64" s="33"/>
      <c r="AQ64" s="32"/>
      <c r="AR64" s="20" t="s">
        <v>128</v>
      </c>
      <c r="AS64" s="33"/>
      <c r="AT64" s="20"/>
      <c r="AU64" s="20"/>
      <c r="AV64" s="27" t="s">
        <v>128</v>
      </c>
      <c r="AW64"/>
      <c r="AX64" s="5">
        <f>COUNTIF(AvailabilityMatrixOriginal[[#This Row],[1-Mon-AM]:[2-Sun-NIGHT]],"X")</f>
        <v>16</v>
      </c>
      <c r="AY64">
        <f t="shared" si="0"/>
        <v>10</v>
      </c>
      <c r="AZ64"/>
      <c r="BA64"/>
      <c r="BB64"/>
      <c r="BC64"/>
      <c r="BD64"/>
      <c r="BE64"/>
      <c r="BF64"/>
      <c r="BG64"/>
      <c r="BH64"/>
    </row>
    <row r="65" spans="1:60" ht="17.25" customHeight="1" x14ac:dyDescent="0.25">
      <c r="A65" s="19"/>
      <c r="B65" s="18" t="s">
        <v>99</v>
      </c>
      <c r="C65" s="18" t="s">
        <v>46</v>
      </c>
      <c r="E65" s="1"/>
      <c r="G65" s="26"/>
      <c r="H65" s="20"/>
      <c r="I65" s="33"/>
      <c r="J65" s="32"/>
      <c r="K65" s="20" t="s">
        <v>128</v>
      </c>
      <c r="L65" s="33"/>
      <c r="M65" s="32"/>
      <c r="N65" s="20" t="s">
        <v>128</v>
      </c>
      <c r="O65" s="33"/>
      <c r="P65" s="32" t="s">
        <v>128</v>
      </c>
      <c r="Q65" s="20"/>
      <c r="R65" s="33"/>
      <c r="S65" s="32"/>
      <c r="T65" s="20" t="s">
        <v>128</v>
      </c>
      <c r="U65" s="33"/>
      <c r="V65" s="32"/>
      <c r="W65" s="20" t="s">
        <v>128</v>
      </c>
      <c r="X65" s="33"/>
      <c r="Y65" s="20"/>
      <c r="Z65" s="20" t="s">
        <v>128</v>
      </c>
      <c r="AA65" s="27"/>
      <c r="AB65" s="26"/>
      <c r="AC65" s="20"/>
      <c r="AD65" s="33"/>
      <c r="AE65" s="32"/>
      <c r="AF65" s="20" t="s">
        <v>128</v>
      </c>
      <c r="AG65" s="33"/>
      <c r="AH65" s="32"/>
      <c r="AI65" s="20" t="s">
        <v>128</v>
      </c>
      <c r="AJ65" s="33"/>
      <c r="AK65" s="32"/>
      <c r="AL65" s="20" t="s">
        <v>128</v>
      </c>
      <c r="AM65" s="33"/>
      <c r="AN65" s="32"/>
      <c r="AO65" s="20" t="s">
        <v>128</v>
      </c>
      <c r="AP65" s="33"/>
      <c r="AQ65" s="32"/>
      <c r="AR65" s="20" t="s">
        <v>128</v>
      </c>
      <c r="AS65" s="33"/>
      <c r="AT65" s="20"/>
      <c r="AU65" s="20" t="s">
        <v>128</v>
      </c>
      <c r="AV65" s="27"/>
      <c r="AW65"/>
      <c r="AX65" s="5">
        <f>COUNTIF(AvailabilityMatrixOriginal[[#This Row],[1-Mon-AM]:[2-Sun-NIGHT]],"X")</f>
        <v>12</v>
      </c>
      <c r="AY65">
        <f t="shared" si="0"/>
        <v>10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100</v>
      </c>
      <c r="C66" s="18" t="s">
        <v>46</v>
      </c>
      <c r="E66" s="1"/>
      <c r="G66" s="26"/>
      <c r="H66" s="20" t="s">
        <v>128</v>
      </c>
      <c r="I66" s="33"/>
      <c r="J66" s="32"/>
      <c r="K66" s="20" t="s">
        <v>128</v>
      </c>
      <c r="L66" s="33"/>
      <c r="M66" s="32" t="s">
        <v>128</v>
      </c>
      <c r="N66" s="20" t="s">
        <v>128</v>
      </c>
      <c r="O66" s="33"/>
      <c r="P66" s="32"/>
      <c r="Q66" s="20" t="s">
        <v>128</v>
      </c>
      <c r="R66" s="33"/>
      <c r="S66" s="32"/>
      <c r="T66" s="20"/>
      <c r="U66" s="33"/>
      <c r="V66" s="32" t="s">
        <v>128</v>
      </c>
      <c r="W66" s="20"/>
      <c r="X66" s="33"/>
      <c r="Y66" s="20" t="s">
        <v>128</v>
      </c>
      <c r="Z66" s="20"/>
      <c r="AA66" s="27"/>
      <c r="AB66" s="26"/>
      <c r="AC66" s="20" t="s">
        <v>128</v>
      </c>
      <c r="AD66" s="33"/>
      <c r="AE66" s="32"/>
      <c r="AF66" s="20" t="s">
        <v>128</v>
      </c>
      <c r="AG66" s="33"/>
      <c r="AH66" s="32" t="s">
        <v>128</v>
      </c>
      <c r="AI66" s="20" t="s">
        <v>128</v>
      </c>
      <c r="AJ66" s="33"/>
      <c r="AK66" s="32"/>
      <c r="AL66" s="20" t="s">
        <v>128</v>
      </c>
      <c r="AM66" s="33"/>
      <c r="AN66" s="32"/>
      <c r="AO66" s="20"/>
      <c r="AP66" s="33"/>
      <c r="AQ66" s="32" t="s">
        <v>128</v>
      </c>
      <c r="AR66" s="20"/>
      <c r="AS66" s="33"/>
      <c r="AT66" s="20" t="s">
        <v>128</v>
      </c>
      <c r="AU66" s="20"/>
      <c r="AV66" s="27"/>
      <c r="AW66"/>
      <c r="AX66" s="5">
        <f>COUNTIF(AvailabilityMatrixOriginal[[#This Row],[1-Mon-AM]:[2-Sun-NIGHT]],"X")</f>
        <v>14</v>
      </c>
      <c r="AY66">
        <f t="shared" si="0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101</v>
      </c>
      <c r="C67" s="18" t="s">
        <v>46</v>
      </c>
      <c r="E67" s="1"/>
      <c r="G67" s="26"/>
      <c r="H67" s="20"/>
      <c r="I67" s="33" t="s">
        <v>128</v>
      </c>
      <c r="J67" s="32"/>
      <c r="K67" s="20"/>
      <c r="L67" s="33" t="s">
        <v>128</v>
      </c>
      <c r="M67" s="32"/>
      <c r="N67" s="20"/>
      <c r="O67" s="33" t="s">
        <v>128</v>
      </c>
      <c r="P67" s="32"/>
      <c r="Q67" s="20"/>
      <c r="R67" s="33" t="s">
        <v>128</v>
      </c>
      <c r="S67" s="32"/>
      <c r="T67" s="20"/>
      <c r="U67" s="33" t="s">
        <v>128</v>
      </c>
      <c r="V67" s="32"/>
      <c r="W67" s="20"/>
      <c r="X67" s="33" t="s">
        <v>128</v>
      </c>
      <c r="Y67" s="20"/>
      <c r="Z67" s="20"/>
      <c r="AA67" s="27"/>
      <c r="AB67" s="26"/>
      <c r="AC67" s="20"/>
      <c r="AD67" s="33" t="s">
        <v>128</v>
      </c>
      <c r="AE67" s="32"/>
      <c r="AF67" s="20"/>
      <c r="AG67" s="33" t="s">
        <v>128</v>
      </c>
      <c r="AH67" s="32"/>
      <c r="AI67" s="20"/>
      <c r="AJ67" s="33" t="s">
        <v>128</v>
      </c>
      <c r="AK67" s="32"/>
      <c r="AL67" s="20"/>
      <c r="AM67" s="33" t="s">
        <v>128</v>
      </c>
      <c r="AN67" s="32"/>
      <c r="AO67" s="20"/>
      <c r="AP67" s="33" t="s">
        <v>128</v>
      </c>
      <c r="AQ67" s="32"/>
      <c r="AR67" s="20"/>
      <c r="AS67" s="33" t="s">
        <v>128</v>
      </c>
      <c r="AT67" s="20"/>
      <c r="AU67" s="20"/>
      <c r="AV67" s="27"/>
      <c r="AW67"/>
      <c r="AX67" s="5">
        <f>COUNTIF(AvailabilityMatrixOriginal[[#This Row],[1-Mon-AM]:[2-Sun-NIGHT]],"X")</f>
        <v>12</v>
      </c>
      <c r="AY67">
        <f t="shared" si="0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102</v>
      </c>
      <c r="C68" s="18" t="s">
        <v>46</v>
      </c>
      <c r="E68" s="1"/>
      <c r="G68" s="26" t="s">
        <v>128</v>
      </c>
      <c r="H68" s="20"/>
      <c r="I68" s="33"/>
      <c r="J68" s="32"/>
      <c r="K68" s="20"/>
      <c r="L68" s="33"/>
      <c r="M68" s="32"/>
      <c r="N68" s="20" t="s">
        <v>128</v>
      </c>
      <c r="O68" s="33"/>
      <c r="P68" s="32"/>
      <c r="Q68" s="20" t="s">
        <v>128</v>
      </c>
      <c r="R68" s="33"/>
      <c r="S68" s="32"/>
      <c r="T68" s="20" t="s">
        <v>128</v>
      </c>
      <c r="U68" s="33"/>
      <c r="V68" s="32" t="s">
        <v>128</v>
      </c>
      <c r="W68" s="20"/>
      <c r="X68" s="33"/>
      <c r="Y68" s="20"/>
      <c r="Z68" s="20" t="s">
        <v>128</v>
      </c>
      <c r="AA68" s="27"/>
      <c r="AB68" s="26" t="s">
        <v>128</v>
      </c>
      <c r="AC68" s="20"/>
      <c r="AD68" s="33"/>
      <c r="AE68" s="32"/>
      <c r="AF68" s="20"/>
      <c r="AG68" s="33"/>
      <c r="AH68" s="32"/>
      <c r="AI68" s="20" t="s">
        <v>128</v>
      </c>
      <c r="AJ68" s="33"/>
      <c r="AK68" s="32"/>
      <c r="AL68" s="20" t="s">
        <v>128</v>
      </c>
      <c r="AM68" s="33"/>
      <c r="AN68" s="32"/>
      <c r="AO68" s="20" t="s">
        <v>128</v>
      </c>
      <c r="AP68" s="33"/>
      <c r="AQ68" s="32" t="s">
        <v>128</v>
      </c>
      <c r="AR68" s="20"/>
      <c r="AS68" s="33"/>
      <c r="AT68" s="20"/>
      <c r="AU68" s="20" t="s">
        <v>128</v>
      </c>
      <c r="AV68" s="27"/>
      <c r="AW68"/>
      <c r="AX68" s="5">
        <f>COUNTIF(AvailabilityMatrixOriginal[[#This Row],[1-Mon-AM]:[2-Sun-NIGHT]],"X")</f>
        <v>12</v>
      </c>
      <c r="AY68">
        <f t="shared" si="0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103</v>
      </c>
      <c r="C69" s="18" t="s">
        <v>46</v>
      </c>
      <c r="E69" s="1"/>
      <c r="G69" s="26"/>
      <c r="H69" s="20" t="s">
        <v>128</v>
      </c>
      <c r="I69" s="33"/>
      <c r="J69" s="32" t="s">
        <v>128</v>
      </c>
      <c r="K69" s="20"/>
      <c r="L69" s="33"/>
      <c r="M69" s="32"/>
      <c r="N69" s="20" t="s">
        <v>128</v>
      </c>
      <c r="O69" s="33"/>
      <c r="P69" s="32"/>
      <c r="Q69" s="20"/>
      <c r="R69" s="33" t="s">
        <v>128</v>
      </c>
      <c r="S69" s="32"/>
      <c r="T69" s="20"/>
      <c r="U69" s="33"/>
      <c r="V69" s="32" t="s">
        <v>128</v>
      </c>
      <c r="W69" s="20"/>
      <c r="X69" s="33"/>
      <c r="Y69" s="20" t="s">
        <v>128</v>
      </c>
      <c r="Z69" s="20"/>
      <c r="AA69" s="27"/>
      <c r="AB69" s="26"/>
      <c r="AC69" s="20" t="s">
        <v>128</v>
      </c>
      <c r="AD69" s="33"/>
      <c r="AE69" s="32" t="s">
        <v>128</v>
      </c>
      <c r="AF69" s="20"/>
      <c r="AG69" s="33"/>
      <c r="AH69" s="32"/>
      <c r="AI69" s="20" t="s">
        <v>128</v>
      </c>
      <c r="AJ69" s="33"/>
      <c r="AK69" s="32"/>
      <c r="AL69" s="20"/>
      <c r="AM69" s="33" t="s">
        <v>128</v>
      </c>
      <c r="AN69" s="32"/>
      <c r="AO69" s="20"/>
      <c r="AP69" s="33"/>
      <c r="AQ69" s="32" t="s">
        <v>128</v>
      </c>
      <c r="AR69" s="20"/>
      <c r="AS69" s="33"/>
      <c r="AT69" s="20" t="s">
        <v>128</v>
      </c>
      <c r="AU69" s="20"/>
      <c r="AV69" s="27"/>
      <c r="AW69"/>
      <c r="AX69" s="5">
        <f>COUNTIF(AvailabilityMatrixOriginal[[#This Row],[1-Mon-AM]:[2-Sun-NIGHT]],"X")</f>
        <v>12</v>
      </c>
      <c r="AY69">
        <f t="shared" si="0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104</v>
      </c>
      <c r="C70" s="18" t="s">
        <v>46</v>
      </c>
      <c r="E70" s="1"/>
      <c r="G70" s="26"/>
      <c r="H70" s="20"/>
      <c r="I70" s="33"/>
      <c r="J70" s="32"/>
      <c r="K70" s="20"/>
      <c r="L70" s="33" t="s">
        <v>128</v>
      </c>
      <c r="M70" s="32"/>
      <c r="N70" s="20"/>
      <c r="O70" s="33"/>
      <c r="P70" s="32"/>
      <c r="Q70" s="20"/>
      <c r="R70" s="33" t="s">
        <v>128</v>
      </c>
      <c r="S70" s="32"/>
      <c r="T70" s="20"/>
      <c r="U70" s="33" t="s">
        <v>128</v>
      </c>
      <c r="V70" s="32"/>
      <c r="W70" s="20"/>
      <c r="X70" s="33" t="s">
        <v>128</v>
      </c>
      <c r="Y70" s="20"/>
      <c r="Z70" s="20"/>
      <c r="AA70" s="27" t="s">
        <v>128</v>
      </c>
      <c r="AB70" s="26"/>
      <c r="AC70" s="20"/>
      <c r="AD70" s="33"/>
      <c r="AE70" s="32"/>
      <c r="AF70" s="20"/>
      <c r="AG70" s="33" t="s">
        <v>128</v>
      </c>
      <c r="AH70" s="32"/>
      <c r="AI70" s="20"/>
      <c r="AJ70" s="33"/>
      <c r="AK70" s="32"/>
      <c r="AL70" s="20"/>
      <c r="AM70" s="33" t="s">
        <v>128</v>
      </c>
      <c r="AN70" s="32"/>
      <c r="AO70" s="20"/>
      <c r="AP70" s="33" t="s">
        <v>128</v>
      </c>
      <c r="AQ70" s="32"/>
      <c r="AR70" s="20"/>
      <c r="AS70" s="33" t="s">
        <v>128</v>
      </c>
      <c r="AT70" s="20"/>
      <c r="AU70" s="20"/>
      <c r="AV70" s="27" t="s">
        <v>128</v>
      </c>
      <c r="AW70"/>
      <c r="AX70" s="5">
        <f>COUNTIF(AvailabilityMatrixOriginal[[#This Row],[1-Mon-AM]:[2-Sun-NIGHT]],"X")</f>
        <v>10</v>
      </c>
      <c r="AY70">
        <f t="shared" si="0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105</v>
      </c>
      <c r="C71" s="18" t="s">
        <v>46</v>
      </c>
      <c r="E71" s="1"/>
      <c r="G71" s="26"/>
      <c r="H71" s="20"/>
      <c r="I71" s="33"/>
      <c r="J71" s="32"/>
      <c r="K71" s="20"/>
      <c r="L71" s="33"/>
      <c r="M71" s="32"/>
      <c r="N71" s="20"/>
      <c r="O71" s="33"/>
      <c r="P71" s="32"/>
      <c r="Q71" s="20"/>
      <c r="R71" s="33"/>
      <c r="S71" s="32" t="s">
        <v>128</v>
      </c>
      <c r="T71" s="20"/>
      <c r="U71" s="33"/>
      <c r="V71" s="32" t="s">
        <v>128</v>
      </c>
      <c r="W71" s="20"/>
      <c r="X71" s="33"/>
      <c r="Y71" s="20" t="s">
        <v>128</v>
      </c>
      <c r="Z71" s="20"/>
      <c r="AA71" s="27"/>
      <c r="AB71" s="26"/>
      <c r="AC71" s="20"/>
      <c r="AD71" s="33"/>
      <c r="AE71" s="32"/>
      <c r="AF71" s="20"/>
      <c r="AG71" s="33"/>
      <c r="AH71" s="32"/>
      <c r="AI71" s="20"/>
      <c r="AJ71" s="33"/>
      <c r="AK71" s="32"/>
      <c r="AL71" s="20"/>
      <c r="AM71" s="33"/>
      <c r="AN71" s="32" t="s">
        <v>128</v>
      </c>
      <c r="AO71" s="20"/>
      <c r="AP71" s="33"/>
      <c r="AQ71" s="32" t="s">
        <v>128</v>
      </c>
      <c r="AR71" s="20"/>
      <c r="AS71" s="33"/>
      <c r="AT71" s="20" t="s">
        <v>128</v>
      </c>
      <c r="AU71" s="20"/>
      <c r="AV71" s="27"/>
      <c r="AW71"/>
      <c r="AX71" s="5">
        <f>COUNTIF(AvailabilityMatrixOriginal[[#This Row],[1-Mon-AM]:[2-Sun-NIGHT]],"X")</f>
        <v>6</v>
      </c>
      <c r="AY71">
        <f t="shared" si="0"/>
        <v>6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106</v>
      </c>
      <c r="C72" s="18" t="s">
        <v>46</v>
      </c>
      <c r="E72" s="1"/>
      <c r="G72" s="26" t="s">
        <v>128</v>
      </c>
      <c r="H72" s="20"/>
      <c r="I72" s="33"/>
      <c r="J72" s="32"/>
      <c r="K72" s="20"/>
      <c r="L72" s="33"/>
      <c r="M72" s="32"/>
      <c r="N72" s="20"/>
      <c r="O72" s="33"/>
      <c r="P72" s="32" t="s">
        <v>128</v>
      </c>
      <c r="Q72" s="20"/>
      <c r="R72" s="33"/>
      <c r="S72" s="32" t="s">
        <v>128</v>
      </c>
      <c r="T72" s="20"/>
      <c r="U72" s="33"/>
      <c r="V72" s="32"/>
      <c r="W72" s="20"/>
      <c r="X72" s="33"/>
      <c r="Y72" s="20"/>
      <c r="Z72" s="20"/>
      <c r="AA72" s="27"/>
      <c r="AB72" s="26" t="s">
        <v>128</v>
      </c>
      <c r="AC72" s="20"/>
      <c r="AD72" s="33"/>
      <c r="AE72" s="32"/>
      <c r="AF72" s="20"/>
      <c r="AG72" s="33"/>
      <c r="AH72" s="32"/>
      <c r="AI72" s="20"/>
      <c r="AJ72" s="33"/>
      <c r="AK72" s="32" t="s">
        <v>128</v>
      </c>
      <c r="AL72" s="20"/>
      <c r="AM72" s="33"/>
      <c r="AN72" s="32" t="s">
        <v>128</v>
      </c>
      <c r="AO72" s="20"/>
      <c r="AP72" s="33"/>
      <c r="AQ72" s="32"/>
      <c r="AR72" s="20"/>
      <c r="AS72" s="33"/>
      <c r="AT72" s="20"/>
      <c r="AU72" s="20"/>
      <c r="AV72" s="27"/>
      <c r="AW72"/>
      <c r="AX72" s="5">
        <f>COUNTIF(AvailabilityMatrixOriginal[[#This Row],[1-Mon-AM]:[2-Sun-NIGHT]],"X")</f>
        <v>6</v>
      </c>
      <c r="AY72">
        <f t="shared" ref="AY72:AY100" si="1">IF(AX72&gt;10,10,AX72)</f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107</v>
      </c>
      <c r="C73" s="18" t="s">
        <v>46</v>
      </c>
      <c r="E73" s="1"/>
      <c r="G73" s="26"/>
      <c r="H73" s="20"/>
      <c r="I73" s="33"/>
      <c r="J73" s="32"/>
      <c r="K73" s="20"/>
      <c r="L73" s="33"/>
      <c r="M73" s="32" t="s">
        <v>128</v>
      </c>
      <c r="N73" s="20" t="s">
        <v>128</v>
      </c>
      <c r="O73" s="33"/>
      <c r="P73" s="32" t="s">
        <v>128</v>
      </c>
      <c r="Q73" s="20" t="s">
        <v>128</v>
      </c>
      <c r="R73" s="33"/>
      <c r="S73" s="32" t="s">
        <v>128</v>
      </c>
      <c r="T73" s="20" t="s">
        <v>128</v>
      </c>
      <c r="U73" s="33" t="s">
        <v>128</v>
      </c>
      <c r="V73" s="32" t="s">
        <v>128</v>
      </c>
      <c r="W73" s="20" t="s">
        <v>128</v>
      </c>
      <c r="X73" s="33" t="s">
        <v>128</v>
      </c>
      <c r="Y73" s="20" t="s">
        <v>128</v>
      </c>
      <c r="Z73" s="20" t="s">
        <v>128</v>
      </c>
      <c r="AA73" s="27"/>
      <c r="AB73" s="26"/>
      <c r="AC73" s="20"/>
      <c r="AD73" s="33"/>
      <c r="AE73" s="32"/>
      <c r="AF73" s="20"/>
      <c r="AG73" s="33"/>
      <c r="AH73" s="32" t="s">
        <v>128</v>
      </c>
      <c r="AI73" s="20" t="s">
        <v>128</v>
      </c>
      <c r="AJ73" s="33"/>
      <c r="AK73" s="32" t="s">
        <v>128</v>
      </c>
      <c r="AL73" s="20" t="s">
        <v>128</v>
      </c>
      <c r="AM73" s="33"/>
      <c r="AN73" s="32" t="s">
        <v>128</v>
      </c>
      <c r="AO73" s="20" t="s">
        <v>128</v>
      </c>
      <c r="AP73" s="33" t="s">
        <v>128</v>
      </c>
      <c r="AQ73" s="32" t="s">
        <v>128</v>
      </c>
      <c r="AR73" s="20" t="s">
        <v>128</v>
      </c>
      <c r="AS73" s="33" t="s">
        <v>128</v>
      </c>
      <c r="AT73" s="20" t="s">
        <v>128</v>
      </c>
      <c r="AU73" s="20" t="s">
        <v>128</v>
      </c>
      <c r="AV73" s="27"/>
      <c r="AW73"/>
      <c r="AX73" s="5">
        <f>COUNTIF(AvailabilityMatrixOriginal[[#This Row],[1-Mon-AM]:[2-Sun-NIGHT]],"X")</f>
        <v>24</v>
      </c>
      <c r="AY73">
        <f t="shared" si="1"/>
        <v>10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108</v>
      </c>
      <c r="C74" s="18" t="s">
        <v>46</v>
      </c>
      <c r="E74" s="1"/>
      <c r="G74" s="26"/>
      <c r="H74" s="20" t="s">
        <v>128</v>
      </c>
      <c r="I74" s="33"/>
      <c r="J74" s="32"/>
      <c r="K74" s="20" t="s">
        <v>128</v>
      </c>
      <c r="L74" s="33"/>
      <c r="M74" s="32"/>
      <c r="N74" s="20" t="s">
        <v>128</v>
      </c>
      <c r="O74" s="33"/>
      <c r="P74" s="32"/>
      <c r="Q74" s="20"/>
      <c r="R74" s="33"/>
      <c r="S74" s="32"/>
      <c r="T74" s="20"/>
      <c r="U74" s="33"/>
      <c r="V74" s="32"/>
      <c r="W74" s="20"/>
      <c r="X74" s="33"/>
      <c r="Y74" s="20"/>
      <c r="Z74" s="20"/>
      <c r="AA74" s="27"/>
      <c r="AB74" s="26"/>
      <c r="AC74" s="20" t="s">
        <v>128</v>
      </c>
      <c r="AD74" s="33"/>
      <c r="AE74" s="32"/>
      <c r="AF74" s="20" t="s">
        <v>128</v>
      </c>
      <c r="AG74" s="33"/>
      <c r="AH74" s="32"/>
      <c r="AI74" s="20" t="s">
        <v>128</v>
      </c>
      <c r="AJ74" s="33"/>
      <c r="AK74" s="32"/>
      <c r="AL74" s="20"/>
      <c r="AM74" s="33"/>
      <c r="AN74" s="32"/>
      <c r="AO74" s="20"/>
      <c r="AP74" s="33"/>
      <c r="AQ74" s="32"/>
      <c r="AR74" s="20"/>
      <c r="AS74" s="33"/>
      <c r="AT74" s="20"/>
      <c r="AU74" s="20"/>
      <c r="AV74" s="27"/>
      <c r="AW74"/>
      <c r="AX74" s="5">
        <f>COUNTIF(AvailabilityMatrixOriginal[[#This Row],[1-Mon-AM]:[2-Sun-NIGHT]],"X")</f>
        <v>6</v>
      </c>
      <c r="AY74">
        <f t="shared" si="1"/>
        <v>6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109</v>
      </c>
      <c r="C75" s="18" t="s">
        <v>46</v>
      </c>
      <c r="E75" s="1"/>
      <c r="G75" s="26" t="s">
        <v>128</v>
      </c>
      <c r="H75" s="20"/>
      <c r="I75" s="33"/>
      <c r="J75" s="32" t="s">
        <v>128</v>
      </c>
      <c r="K75" s="20"/>
      <c r="L75" s="33"/>
      <c r="M75" s="32" t="s">
        <v>128</v>
      </c>
      <c r="N75" s="20"/>
      <c r="O75" s="33"/>
      <c r="P75" s="32"/>
      <c r="Q75" s="20"/>
      <c r="R75" s="33"/>
      <c r="S75" s="32" t="s">
        <v>128</v>
      </c>
      <c r="T75" s="20"/>
      <c r="U75" s="33"/>
      <c r="V75" s="32" t="s">
        <v>128</v>
      </c>
      <c r="W75" s="20"/>
      <c r="X75" s="33"/>
      <c r="Y75" s="20"/>
      <c r="Z75" s="20"/>
      <c r="AA75" s="27"/>
      <c r="AB75" s="26" t="s">
        <v>128</v>
      </c>
      <c r="AC75" s="20"/>
      <c r="AD75" s="33"/>
      <c r="AE75" s="32" t="s">
        <v>128</v>
      </c>
      <c r="AF75" s="20"/>
      <c r="AG75" s="33"/>
      <c r="AH75" s="32" t="s">
        <v>128</v>
      </c>
      <c r="AI75" s="20"/>
      <c r="AJ75" s="33"/>
      <c r="AK75" s="32"/>
      <c r="AL75" s="20"/>
      <c r="AM75" s="33"/>
      <c r="AN75" s="32" t="s">
        <v>128</v>
      </c>
      <c r="AO75" s="20"/>
      <c r="AP75" s="33"/>
      <c r="AQ75" s="32" t="s">
        <v>128</v>
      </c>
      <c r="AR75" s="20"/>
      <c r="AS75" s="33"/>
      <c r="AT75" s="20"/>
      <c r="AU75" s="20"/>
      <c r="AV75" s="27"/>
      <c r="AW75"/>
      <c r="AX75" s="5">
        <f>COUNTIF(AvailabilityMatrixOriginal[[#This Row],[1-Mon-AM]:[2-Sun-NIGHT]],"X")</f>
        <v>10</v>
      </c>
      <c r="AY75">
        <f t="shared" si="1"/>
        <v>10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110</v>
      </c>
      <c r="C76" s="18" t="s">
        <v>46</v>
      </c>
      <c r="E76" s="1"/>
      <c r="G76" s="26"/>
      <c r="H76" s="20" t="s">
        <v>128</v>
      </c>
      <c r="I76" s="33"/>
      <c r="J76" s="32"/>
      <c r="K76" s="20" t="s">
        <v>128</v>
      </c>
      <c r="L76" s="33"/>
      <c r="M76" s="32"/>
      <c r="N76" s="20"/>
      <c r="O76" s="33"/>
      <c r="P76" s="32"/>
      <c r="Q76" s="20" t="s">
        <v>128</v>
      </c>
      <c r="R76" s="33"/>
      <c r="S76" s="32"/>
      <c r="T76" s="20"/>
      <c r="U76" s="33"/>
      <c r="V76" s="32" t="s">
        <v>128</v>
      </c>
      <c r="W76" s="20"/>
      <c r="X76" s="33"/>
      <c r="Y76" s="20" t="s">
        <v>128</v>
      </c>
      <c r="Z76" s="20"/>
      <c r="AA76" s="27"/>
      <c r="AB76" s="26"/>
      <c r="AC76" s="20" t="s">
        <v>128</v>
      </c>
      <c r="AD76" s="33"/>
      <c r="AE76" s="32"/>
      <c r="AF76" s="20" t="s">
        <v>128</v>
      </c>
      <c r="AG76" s="33"/>
      <c r="AH76" s="32"/>
      <c r="AI76" s="20"/>
      <c r="AJ76" s="33"/>
      <c r="AK76" s="32"/>
      <c r="AL76" s="20" t="s">
        <v>128</v>
      </c>
      <c r="AM76" s="33"/>
      <c r="AN76" s="32"/>
      <c r="AO76" s="20"/>
      <c r="AP76" s="33"/>
      <c r="AQ76" s="32" t="s">
        <v>128</v>
      </c>
      <c r="AR76" s="20"/>
      <c r="AS76" s="33"/>
      <c r="AT76" s="20" t="s">
        <v>128</v>
      </c>
      <c r="AU76" s="20"/>
      <c r="AV76" s="27"/>
      <c r="AW76"/>
      <c r="AX76" s="5">
        <f>COUNTIF(AvailabilityMatrixOriginal[[#This Row],[1-Mon-AM]:[2-Sun-NIGHT]],"X")</f>
        <v>10</v>
      </c>
      <c r="AY76">
        <f t="shared" si="1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111</v>
      </c>
      <c r="C77" s="18" t="s">
        <v>46</v>
      </c>
      <c r="E77" s="1"/>
      <c r="G77" s="26"/>
      <c r="H77" s="20"/>
      <c r="I77" s="33"/>
      <c r="J77" s="32"/>
      <c r="K77" s="20"/>
      <c r="L77" s="33"/>
      <c r="M77" s="32"/>
      <c r="N77" s="20"/>
      <c r="O77" s="33" t="s">
        <v>128</v>
      </c>
      <c r="P77" s="32"/>
      <c r="Q77" s="20"/>
      <c r="R77" s="33" t="s">
        <v>128</v>
      </c>
      <c r="S77" s="32"/>
      <c r="T77" s="20"/>
      <c r="U77" s="33"/>
      <c r="V77" s="32"/>
      <c r="W77" s="20"/>
      <c r="X77" s="33"/>
      <c r="Y77" s="20"/>
      <c r="Z77" s="20" t="s">
        <v>128</v>
      </c>
      <c r="AA77" s="27"/>
      <c r="AB77" s="26"/>
      <c r="AC77" s="20"/>
      <c r="AD77" s="33"/>
      <c r="AE77" s="32"/>
      <c r="AF77" s="20"/>
      <c r="AG77" s="33"/>
      <c r="AH77" s="32"/>
      <c r="AI77" s="20"/>
      <c r="AJ77" s="33" t="s">
        <v>128</v>
      </c>
      <c r="AK77" s="32"/>
      <c r="AL77" s="20"/>
      <c r="AM77" s="33" t="s">
        <v>128</v>
      </c>
      <c r="AN77" s="32"/>
      <c r="AO77" s="20"/>
      <c r="AP77" s="33"/>
      <c r="AQ77" s="32"/>
      <c r="AR77" s="20"/>
      <c r="AS77" s="33"/>
      <c r="AT77" s="20"/>
      <c r="AU77" s="20" t="s">
        <v>128</v>
      </c>
      <c r="AV77" s="27"/>
      <c r="AW77"/>
      <c r="AX77" s="5">
        <f>COUNTIF(AvailabilityMatrixOriginal[[#This Row],[1-Mon-AM]:[2-Sun-NIGHT]],"X")</f>
        <v>6</v>
      </c>
      <c r="AY77">
        <f t="shared" si="1"/>
        <v>6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112</v>
      </c>
      <c r="C78" s="18" t="s">
        <v>46</v>
      </c>
      <c r="E78" s="1"/>
      <c r="G78" s="26"/>
      <c r="H78" s="20" t="s">
        <v>128</v>
      </c>
      <c r="I78" s="33"/>
      <c r="J78" s="32"/>
      <c r="K78" s="20" t="s">
        <v>128</v>
      </c>
      <c r="L78" s="33"/>
      <c r="M78" s="32"/>
      <c r="N78" s="20"/>
      <c r="O78" s="33"/>
      <c r="P78" s="32"/>
      <c r="Q78" s="20" t="s">
        <v>128</v>
      </c>
      <c r="R78" s="33"/>
      <c r="S78" s="32"/>
      <c r="T78" s="20" t="s">
        <v>128</v>
      </c>
      <c r="U78" s="33"/>
      <c r="V78" s="32" t="s">
        <v>128</v>
      </c>
      <c r="W78" s="20"/>
      <c r="X78" s="33"/>
      <c r="Y78" s="20"/>
      <c r="Z78" s="20" t="s">
        <v>128</v>
      </c>
      <c r="AA78" s="27"/>
      <c r="AB78" s="26"/>
      <c r="AC78" s="20" t="s">
        <v>128</v>
      </c>
      <c r="AD78" s="33"/>
      <c r="AE78" s="32"/>
      <c r="AF78" s="20" t="s">
        <v>128</v>
      </c>
      <c r="AG78" s="33"/>
      <c r="AH78" s="32"/>
      <c r="AI78" s="20"/>
      <c r="AJ78" s="33"/>
      <c r="AK78" s="32"/>
      <c r="AL78" s="20" t="s">
        <v>128</v>
      </c>
      <c r="AM78" s="33"/>
      <c r="AN78" s="32"/>
      <c r="AO78" s="20" t="s">
        <v>128</v>
      </c>
      <c r="AP78" s="33"/>
      <c r="AQ78" s="32" t="s">
        <v>128</v>
      </c>
      <c r="AR78" s="20"/>
      <c r="AS78" s="33"/>
      <c r="AT78" s="20"/>
      <c r="AU78" s="20" t="s">
        <v>128</v>
      </c>
      <c r="AV78" s="27"/>
      <c r="AW78"/>
      <c r="AX78" s="5">
        <f>COUNTIF(AvailabilityMatrixOriginal[[#This Row],[1-Mon-AM]:[2-Sun-NIGHT]],"X")</f>
        <v>12</v>
      </c>
      <c r="AY78">
        <f t="shared" si="1"/>
        <v>10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18" t="s">
        <v>47</v>
      </c>
      <c r="C79" s="18" t="s">
        <v>45</v>
      </c>
      <c r="E79" s="1"/>
      <c r="G79" s="26" t="s">
        <v>128</v>
      </c>
      <c r="H79" s="20"/>
      <c r="I79" s="33"/>
      <c r="J79" s="32" t="s">
        <v>128</v>
      </c>
      <c r="K79" s="20" t="s">
        <v>128</v>
      </c>
      <c r="L79" s="33"/>
      <c r="M79" s="32"/>
      <c r="N79" s="20"/>
      <c r="O79" s="33"/>
      <c r="P79" s="32" t="s">
        <v>128</v>
      </c>
      <c r="Q79" s="20" t="s">
        <v>128</v>
      </c>
      <c r="R79" s="33"/>
      <c r="S79" s="32" t="s">
        <v>128</v>
      </c>
      <c r="T79" s="20"/>
      <c r="U79" s="33"/>
      <c r="V79" s="32" t="s">
        <v>128</v>
      </c>
      <c r="W79" s="20"/>
      <c r="X79" s="33"/>
      <c r="Y79" s="20" t="s">
        <v>128</v>
      </c>
      <c r="Z79" s="20"/>
      <c r="AA79" s="27"/>
      <c r="AB79" s="26" t="s">
        <v>128</v>
      </c>
      <c r="AC79" s="20"/>
      <c r="AD79" s="33"/>
      <c r="AE79" s="32" t="s">
        <v>128</v>
      </c>
      <c r="AF79" s="20" t="s">
        <v>128</v>
      </c>
      <c r="AG79" s="33"/>
      <c r="AH79" s="32"/>
      <c r="AI79" s="20"/>
      <c r="AJ79" s="33"/>
      <c r="AK79" s="32" t="s">
        <v>128</v>
      </c>
      <c r="AL79" s="20" t="s">
        <v>128</v>
      </c>
      <c r="AM79" s="33"/>
      <c r="AN79" s="32" t="s">
        <v>128</v>
      </c>
      <c r="AO79" s="20"/>
      <c r="AP79" s="33"/>
      <c r="AQ79" s="32" t="s">
        <v>128</v>
      </c>
      <c r="AR79" s="20"/>
      <c r="AS79" s="33"/>
      <c r="AT79" s="20" t="s">
        <v>128</v>
      </c>
      <c r="AU79" s="20"/>
      <c r="AV79" s="27"/>
      <c r="AX79" s="5">
        <f>COUNTIF(AvailabilityMatrixOriginal[[#This Row],[1-Mon-AM]:[2-Sun-NIGHT]],"X")</f>
        <v>16</v>
      </c>
      <c r="AY79">
        <f t="shared" si="1"/>
        <v>10</v>
      </c>
      <c r="BF79" s="2"/>
      <c r="BG79"/>
      <c r="BH79"/>
    </row>
    <row r="80" spans="1:60" ht="17.25" hidden="1" customHeight="1" x14ac:dyDescent="0.25">
      <c r="A80" s="19"/>
      <c r="B80" s="18" t="s">
        <v>52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35"/>
      <c r="M80" s="34"/>
      <c r="N80" s="21"/>
      <c r="O80" s="35"/>
      <c r="P80" s="34" t="s">
        <v>128</v>
      </c>
      <c r="Q80" s="21"/>
      <c r="R80" s="35"/>
      <c r="S80" s="34" t="s">
        <v>128</v>
      </c>
      <c r="T80" s="21"/>
      <c r="U80" s="35"/>
      <c r="V80" s="34" t="s">
        <v>128</v>
      </c>
      <c r="W80" s="21"/>
      <c r="X80" s="35"/>
      <c r="Y80" s="21"/>
      <c r="Z80" s="21" t="s">
        <v>128</v>
      </c>
      <c r="AA80" s="29"/>
      <c r="AB80" s="28"/>
      <c r="AC80" s="21" t="s">
        <v>128</v>
      </c>
      <c r="AD80" s="35"/>
      <c r="AE80" s="34"/>
      <c r="AF80" s="21"/>
      <c r="AG80" s="35"/>
      <c r="AH80" s="34"/>
      <c r="AI80" s="21"/>
      <c r="AJ80" s="35"/>
      <c r="AK80" s="34" t="s">
        <v>128</v>
      </c>
      <c r="AL80" s="21"/>
      <c r="AM80" s="35"/>
      <c r="AN80" s="34" t="s">
        <v>128</v>
      </c>
      <c r="AO80" s="21"/>
      <c r="AP80" s="35"/>
      <c r="AQ80" s="34" t="s">
        <v>128</v>
      </c>
      <c r="AR80" s="21"/>
      <c r="AS80" s="35"/>
      <c r="AT80" s="21"/>
      <c r="AU80" s="21" t="s">
        <v>128</v>
      </c>
      <c r="AV80" s="29"/>
      <c r="AX80" s="5">
        <f>COUNTIF(AvailabilityMatrixOriginal[[#This Row],[1-Mon-AM]:[2-Sun-NIGHT]],"X")</f>
        <v>10</v>
      </c>
      <c r="AY80">
        <f t="shared" si="1"/>
        <v>10</v>
      </c>
    </row>
    <row r="81" spans="1:51" ht="17.25" hidden="1" customHeight="1" x14ac:dyDescent="0.25">
      <c r="A81" s="19"/>
      <c r="B81" s="18" t="s">
        <v>113</v>
      </c>
      <c r="C81" s="18" t="s">
        <v>45</v>
      </c>
      <c r="E81" s="1"/>
      <c r="G81" s="26" t="s">
        <v>128</v>
      </c>
      <c r="H81" s="20"/>
      <c r="I81" s="33"/>
      <c r="J81" s="32"/>
      <c r="K81" s="20"/>
      <c r="L81" s="33"/>
      <c r="M81" s="32"/>
      <c r="N81" s="20"/>
      <c r="O81" s="33"/>
      <c r="P81" s="32" t="s">
        <v>128</v>
      </c>
      <c r="Q81" s="20"/>
      <c r="R81" s="33"/>
      <c r="S81" s="32"/>
      <c r="T81" s="20" t="s">
        <v>128</v>
      </c>
      <c r="U81" s="33"/>
      <c r="V81" s="32" t="s">
        <v>128</v>
      </c>
      <c r="W81" s="20"/>
      <c r="X81" s="33"/>
      <c r="Y81" s="20" t="s">
        <v>128</v>
      </c>
      <c r="Z81" s="20" t="s">
        <v>128</v>
      </c>
      <c r="AA81" s="27"/>
      <c r="AB81" s="26" t="s">
        <v>128</v>
      </c>
      <c r="AC81" s="20"/>
      <c r="AD81" s="33"/>
      <c r="AE81" s="32"/>
      <c r="AF81" s="20"/>
      <c r="AG81" s="33"/>
      <c r="AH81" s="32"/>
      <c r="AI81" s="20"/>
      <c r="AJ81" s="33"/>
      <c r="AK81" s="32" t="s">
        <v>128</v>
      </c>
      <c r="AL81" s="20"/>
      <c r="AM81" s="33"/>
      <c r="AN81" s="32"/>
      <c r="AO81" s="20" t="s">
        <v>128</v>
      </c>
      <c r="AP81" s="33"/>
      <c r="AQ81" s="32" t="s">
        <v>128</v>
      </c>
      <c r="AR81" s="20"/>
      <c r="AS81" s="33"/>
      <c r="AT81" s="20" t="s">
        <v>128</v>
      </c>
      <c r="AU81" s="20" t="s">
        <v>128</v>
      </c>
      <c r="AV81" s="27"/>
      <c r="AX81" s="5">
        <f>COUNTIF(AvailabilityMatrixOriginal[[#This Row],[1-Mon-AM]:[2-Sun-NIGHT]],"X")</f>
        <v>12</v>
      </c>
      <c r="AY81">
        <f t="shared" si="1"/>
        <v>10</v>
      </c>
    </row>
    <row r="82" spans="1:51" ht="17.25" hidden="1" customHeight="1" x14ac:dyDescent="0.25">
      <c r="A82" s="19"/>
      <c r="B82" s="18" t="s">
        <v>57</v>
      </c>
      <c r="C82" s="18" t="s">
        <v>45</v>
      </c>
      <c r="E82" s="1"/>
      <c r="G82" s="28"/>
      <c r="H82" s="21" t="s">
        <v>128</v>
      </c>
      <c r="I82" s="35"/>
      <c r="J82" s="34"/>
      <c r="K82" s="21"/>
      <c r="L82" s="35" t="s">
        <v>128</v>
      </c>
      <c r="M82" s="34"/>
      <c r="N82" s="21"/>
      <c r="O82" s="35" t="s">
        <v>128</v>
      </c>
      <c r="P82" s="34"/>
      <c r="Q82" s="21" t="s">
        <v>128</v>
      </c>
      <c r="R82" s="35"/>
      <c r="S82" s="34" t="s">
        <v>128</v>
      </c>
      <c r="T82" s="21"/>
      <c r="U82" s="35"/>
      <c r="V82" s="34"/>
      <c r="W82" s="21"/>
      <c r="X82" s="35"/>
      <c r="Y82" s="21" t="s">
        <v>128</v>
      </c>
      <c r="Z82" s="21"/>
      <c r="AA82" s="29" t="s">
        <v>128</v>
      </c>
      <c r="AB82" s="28"/>
      <c r="AC82" s="21" t="s">
        <v>128</v>
      </c>
      <c r="AD82" s="35"/>
      <c r="AE82" s="34"/>
      <c r="AF82" s="21"/>
      <c r="AG82" s="35" t="s">
        <v>128</v>
      </c>
      <c r="AH82" s="34"/>
      <c r="AI82" s="21"/>
      <c r="AJ82" s="35" t="s">
        <v>128</v>
      </c>
      <c r="AK82" s="34"/>
      <c r="AL82" s="21" t="s">
        <v>128</v>
      </c>
      <c r="AM82" s="35"/>
      <c r="AN82" s="34" t="s">
        <v>128</v>
      </c>
      <c r="AO82" s="21"/>
      <c r="AP82" s="35"/>
      <c r="AQ82" s="34"/>
      <c r="AR82" s="21"/>
      <c r="AS82" s="35"/>
      <c r="AT82" s="21" t="s">
        <v>128</v>
      </c>
      <c r="AU82" s="20"/>
      <c r="AV82" s="27"/>
      <c r="AX82" s="5">
        <f>COUNTIF(AvailabilityMatrixOriginal[[#This Row],[1-Mon-AM]:[2-Sun-NIGHT]],"X")</f>
        <v>13</v>
      </c>
      <c r="AY82">
        <f t="shared" si="1"/>
        <v>10</v>
      </c>
    </row>
    <row r="83" spans="1:51" ht="17.25" hidden="1" customHeight="1" x14ac:dyDescent="0.25">
      <c r="A83" s="19"/>
      <c r="B83" s="18" t="s">
        <v>60</v>
      </c>
      <c r="C83" s="18" t="s">
        <v>45</v>
      </c>
      <c r="E83" s="1"/>
      <c r="G83" s="26"/>
      <c r="H83" s="20"/>
      <c r="I83" s="33"/>
      <c r="J83" s="32" t="s">
        <v>128</v>
      </c>
      <c r="K83" s="20"/>
      <c r="L83" s="33"/>
      <c r="M83" s="32" t="s">
        <v>128</v>
      </c>
      <c r="N83" s="20"/>
      <c r="O83" s="33"/>
      <c r="P83" s="32"/>
      <c r="Q83" s="20"/>
      <c r="R83" s="33"/>
      <c r="S83" s="32"/>
      <c r="T83" s="20"/>
      <c r="U83" s="33"/>
      <c r="V83" s="32" t="s">
        <v>128</v>
      </c>
      <c r="W83" s="20"/>
      <c r="X83" s="33"/>
      <c r="Y83" s="20"/>
      <c r="Z83" s="20"/>
      <c r="AA83" s="27"/>
      <c r="AB83" s="26"/>
      <c r="AC83" s="20"/>
      <c r="AD83" s="33"/>
      <c r="AE83" s="32" t="s">
        <v>128</v>
      </c>
      <c r="AF83" s="20"/>
      <c r="AG83" s="33"/>
      <c r="AH83" s="32" t="s">
        <v>128</v>
      </c>
      <c r="AI83" s="20"/>
      <c r="AJ83" s="33"/>
      <c r="AK83" s="32"/>
      <c r="AL83" s="20"/>
      <c r="AM83" s="33"/>
      <c r="AN83" s="32"/>
      <c r="AO83" s="20"/>
      <c r="AP83" s="33"/>
      <c r="AQ83" s="32" t="s">
        <v>128</v>
      </c>
      <c r="AR83" s="20"/>
      <c r="AS83" s="33"/>
      <c r="AT83" s="20"/>
      <c r="AU83" s="20"/>
      <c r="AV83" s="27"/>
      <c r="AX83" s="5">
        <f>COUNTIF(AvailabilityMatrixOriginal[[#This Row],[1-Mon-AM]:[2-Sun-NIGHT]],"X")</f>
        <v>6</v>
      </c>
      <c r="AY83">
        <f t="shared" si="1"/>
        <v>6</v>
      </c>
    </row>
    <row r="84" spans="1:51" ht="17.25" hidden="1" customHeight="1" x14ac:dyDescent="0.25">
      <c r="A84" s="19"/>
      <c r="B84" s="18" t="s">
        <v>114</v>
      </c>
      <c r="C84" s="18" t="s">
        <v>45</v>
      </c>
      <c r="E84" s="1"/>
      <c r="G84" s="26" t="s">
        <v>128</v>
      </c>
      <c r="H84" s="20"/>
      <c r="I84" s="33"/>
      <c r="J84" s="32"/>
      <c r="K84" s="20" t="s">
        <v>128</v>
      </c>
      <c r="L84" s="33"/>
      <c r="M84" s="32"/>
      <c r="N84" s="20" t="s">
        <v>128</v>
      </c>
      <c r="O84" s="33"/>
      <c r="P84" s="32" t="s">
        <v>128</v>
      </c>
      <c r="Q84" s="20" t="s">
        <v>128</v>
      </c>
      <c r="R84" s="33"/>
      <c r="S84" s="32" t="s">
        <v>128</v>
      </c>
      <c r="T84" s="20" t="s">
        <v>128</v>
      </c>
      <c r="U84" s="33"/>
      <c r="V84" s="32"/>
      <c r="W84" s="20" t="s">
        <v>128</v>
      </c>
      <c r="X84" s="33"/>
      <c r="Y84" s="20"/>
      <c r="Z84" s="20" t="s">
        <v>128</v>
      </c>
      <c r="AA84" s="27"/>
      <c r="AB84" s="26" t="s">
        <v>128</v>
      </c>
      <c r="AC84" s="20"/>
      <c r="AD84" s="33"/>
      <c r="AE84" s="32"/>
      <c r="AF84" s="20" t="s">
        <v>128</v>
      </c>
      <c r="AG84" s="33"/>
      <c r="AH84" s="32"/>
      <c r="AI84" s="20" t="s">
        <v>128</v>
      </c>
      <c r="AJ84" s="33"/>
      <c r="AK84" s="32" t="s">
        <v>128</v>
      </c>
      <c r="AL84" s="20" t="s">
        <v>128</v>
      </c>
      <c r="AM84" s="33"/>
      <c r="AN84" s="32" t="s">
        <v>128</v>
      </c>
      <c r="AO84" s="20" t="s">
        <v>128</v>
      </c>
      <c r="AP84" s="33"/>
      <c r="AQ84" s="32"/>
      <c r="AR84" s="20" t="s">
        <v>128</v>
      </c>
      <c r="AS84" s="33"/>
      <c r="AT84" s="20"/>
      <c r="AU84" s="20" t="s">
        <v>128</v>
      </c>
      <c r="AV84" s="27"/>
      <c r="AX84" s="5">
        <f>COUNTIF(AvailabilityMatrixOriginal[[#This Row],[1-Mon-AM]:[2-Sun-NIGHT]],"X")</f>
        <v>18</v>
      </c>
      <c r="AY84">
        <f t="shared" si="1"/>
        <v>10</v>
      </c>
    </row>
    <row r="85" spans="1:51" ht="17.25" hidden="1" customHeight="1" x14ac:dyDescent="0.25">
      <c r="A85" s="19"/>
      <c r="B85" s="18" t="s">
        <v>115</v>
      </c>
      <c r="C85" s="18" t="s">
        <v>45</v>
      </c>
      <c r="E85" s="1"/>
      <c r="G85" s="26" t="s">
        <v>128</v>
      </c>
      <c r="H85" s="20"/>
      <c r="I85" s="33"/>
      <c r="J85" s="32"/>
      <c r="K85" s="20" t="s">
        <v>128</v>
      </c>
      <c r="L85" s="33"/>
      <c r="M85" s="32"/>
      <c r="N85" s="20" t="s">
        <v>128</v>
      </c>
      <c r="O85" s="33"/>
      <c r="P85" s="32"/>
      <c r="Q85" s="20"/>
      <c r="R85" s="33"/>
      <c r="S85" s="32"/>
      <c r="T85" s="20"/>
      <c r="U85" s="33"/>
      <c r="V85" s="32" t="s">
        <v>128</v>
      </c>
      <c r="W85" s="20"/>
      <c r="X85" s="33"/>
      <c r="Y85" s="20" t="s">
        <v>128</v>
      </c>
      <c r="Z85" s="20"/>
      <c r="AA85" s="27"/>
      <c r="AB85" s="26" t="s">
        <v>128</v>
      </c>
      <c r="AC85" s="20"/>
      <c r="AD85" s="33"/>
      <c r="AE85" s="32"/>
      <c r="AF85" s="20" t="s">
        <v>128</v>
      </c>
      <c r="AG85" s="33"/>
      <c r="AH85" s="32"/>
      <c r="AI85" s="20" t="s">
        <v>128</v>
      </c>
      <c r="AJ85" s="33"/>
      <c r="AK85" s="32"/>
      <c r="AL85" s="20"/>
      <c r="AM85" s="33"/>
      <c r="AN85" s="32"/>
      <c r="AO85" s="20"/>
      <c r="AP85" s="33"/>
      <c r="AQ85" s="32" t="s">
        <v>128</v>
      </c>
      <c r="AR85" s="20"/>
      <c r="AS85" s="33"/>
      <c r="AT85" s="20" t="s">
        <v>128</v>
      </c>
      <c r="AU85" s="20"/>
      <c r="AV85" s="27"/>
      <c r="AX85" s="5">
        <f>COUNTIF(AvailabilityMatrixOriginal[[#This Row],[1-Mon-AM]:[2-Sun-NIGHT]],"X")</f>
        <v>10</v>
      </c>
      <c r="AY85">
        <f t="shared" si="1"/>
        <v>10</v>
      </c>
    </row>
    <row r="86" spans="1:51" ht="17.25" hidden="1" customHeight="1" x14ac:dyDescent="0.25">
      <c r="A86" s="19"/>
      <c r="B86" s="18" t="s">
        <v>81</v>
      </c>
      <c r="C86" s="18" t="s">
        <v>45</v>
      </c>
      <c r="E86" s="1"/>
      <c r="G86" s="26" t="s">
        <v>128</v>
      </c>
      <c r="H86" s="20" t="s">
        <v>128</v>
      </c>
      <c r="I86" s="33"/>
      <c r="J86" s="32" t="s">
        <v>128</v>
      </c>
      <c r="K86" s="20" t="s">
        <v>128</v>
      </c>
      <c r="L86" s="33"/>
      <c r="M86" s="32"/>
      <c r="N86" s="20"/>
      <c r="O86" s="33"/>
      <c r="P86" s="32"/>
      <c r="Q86" s="20"/>
      <c r="R86" s="33"/>
      <c r="S86" s="32"/>
      <c r="T86" s="20"/>
      <c r="U86" s="33"/>
      <c r="V86" s="32" t="s">
        <v>128</v>
      </c>
      <c r="W86" s="20" t="s">
        <v>128</v>
      </c>
      <c r="X86" s="33"/>
      <c r="Y86" s="20" t="s">
        <v>128</v>
      </c>
      <c r="Z86" s="20" t="s">
        <v>128</v>
      </c>
      <c r="AA86" s="27"/>
      <c r="AB86" s="26" t="s">
        <v>128</v>
      </c>
      <c r="AC86" s="20" t="s">
        <v>128</v>
      </c>
      <c r="AD86" s="33"/>
      <c r="AE86" s="32" t="s">
        <v>128</v>
      </c>
      <c r="AF86" s="20" t="s">
        <v>128</v>
      </c>
      <c r="AG86" s="33"/>
      <c r="AH86" s="32"/>
      <c r="AI86" s="20"/>
      <c r="AJ86" s="33"/>
      <c r="AK86" s="32"/>
      <c r="AL86" s="20"/>
      <c r="AM86" s="33"/>
      <c r="AN86" s="32"/>
      <c r="AO86" s="20"/>
      <c r="AP86" s="33"/>
      <c r="AQ86" s="32" t="s">
        <v>128</v>
      </c>
      <c r="AR86" s="20" t="s">
        <v>128</v>
      </c>
      <c r="AS86" s="33"/>
      <c r="AT86" s="20" t="s">
        <v>128</v>
      </c>
      <c r="AU86" s="20" t="s">
        <v>128</v>
      </c>
      <c r="AV86" s="27"/>
      <c r="AX86" s="5">
        <f>COUNTIF(AvailabilityMatrixOriginal[[#This Row],[1-Mon-AM]:[2-Sun-NIGHT]],"X")</f>
        <v>16</v>
      </c>
      <c r="AY86">
        <f t="shared" si="1"/>
        <v>10</v>
      </c>
    </row>
    <row r="87" spans="1:51" ht="17.25" hidden="1" customHeight="1" x14ac:dyDescent="0.25">
      <c r="A87" s="19"/>
      <c r="B87" s="18" t="s">
        <v>116</v>
      </c>
      <c r="C87" s="18" t="s">
        <v>45</v>
      </c>
      <c r="E87" s="1"/>
      <c r="G87" s="26"/>
      <c r="H87" s="20"/>
      <c r="I87" s="33"/>
      <c r="J87" s="32" t="s">
        <v>129</v>
      </c>
      <c r="K87" s="20"/>
      <c r="L87" s="33"/>
      <c r="M87" s="32" t="s">
        <v>129</v>
      </c>
      <c r="N87" s="20"/>
      <c r="O87" s="33"/>
      <c r="P87" s="32" t="s">
        <v>129</v>
      </c>
      <c r="Q87" s="20"/>
      <c r="R87" s="33"/>
      <c r="S87" s="32" t="s">
        <v>129</v>
      </c>
      <c r="T87" s="20"/>
      <c r="U87" s="33"/>
      <c r="V87" s="32"/>
      <c r="W87" s="20"/>
      <c r="X87" s="33"/>
      <c r="Y87" s="20"/>
      <c r="Z87" s="20"/>
      <c r="AA87" s="27"/>
      <c r="AB87" s="26"/>
      <c r="AC87" s="20"/>
      <c r="AD87" s="33"/>
      <c r="AE87" s="32" t="s">
        <v>129</v>
      </c>
      <c r="AF87" s="20"/>
      <c r="AG87" s="33"/>
      <c r="AH87" s="32" t="s">
        <v>129</v>
      </c>
      <c r="AI87" s="20"/>
      <c r="AJ87" s="33"/>
      <c r="AK87" s="32" t="s">
        <v>129</v>
      </c>
      <c r="AL87" s="20"/>
      <c r="AM87" s="33"/>
      <c r="AN87" s="32" t="s">
        <v>129</v>
      </c>
      <c r="AO87" s="20"/>
      <c r="AP87" s="33"/>
      <c r="AQ87" s="32"/>
      <c r="AR87" s="20"/>
      <c r="AS87" s="33"/>
      <c r="AT87" s="20"/>
      <c r="AU87" s="20"/>
      <c r="AV87" s="27"/>
      <c r="AX87" s="5">
        <f>COUNTIF(AvailabilityMatrixOriginal[[#This Row],[1-Mon-AM]:[2-Sun-NIGHT]],"X")</f>
        <v>8</v>
      </c>
      <c r="AY87">
        <f t="shared" si="1"/>
        <v>8</v>
      </c>
    </row>
    <row r="88" spans="1:51" ht="17.25" hidden="1" customHeight="1" x14ac:dyDescent="0.25">
      <c r="A88" s="19"/>
      <c r="B88" s="18" t="s">
        <v>112</v>
      </c>
      <c r="C88" s="18" t="s">
        <v>45</v>
      </c>
      <c r="E88" s="1"/>
      <c r="G88" s="26"/>
      <c r="H88" s="20" t="s">
        <v>128</v>
      </c>
      <c r="I88" s="33"/>
      <c r="J88" s="32"/>
      <c r="K88" s="20" t="s">
        <v>128</v>
      </c>
      <c r="L88" s="33"/>
      <c r="M88" s="32"/>
      <c r="N88" s="20"/>
      <c r="O88" s="33"/>
      <c r="P88" s="32"/>
      <c r="Q88" s="20" t="s">
        <v>128</v>
      </c>
      <c r="R88" s="33"/>
      <c r="S88" s="32"/>
      <c r="T88" s="20" t="s">
        <v>128</v>
      </c>
      <c r="U88" s="33"/>
      <c r="V88" s="32" t="s">
        <v>128</v>
      </c>
      <c r="W88" s="20"/>
      <c r="X88" s="33"/>
      <c r="Y88" s="20"/>
      <c r="Z88" s="20" t="s">
        <v>128</v>
      </c>
      <c r="AA88" s="27"/>
      <c r="AB88" s="26"/>
      <c r="AC88" s="20" t="s">
        <v>128</v>
      </c>
      <c r="AD88" s="33"/>
      <c r="AE88" s="32"/>
      <c r="AF88" s="20" t="s">
        <v>128</v>
      </c>
      <c r="AG88" s="33"/>
      <c r="AH88" s="32"/>
      <c r="AI88" s="20"/>
      <c r="AJ88" s="33"/>
      <c r="AK88" s="32"/>
      <c r="AL88" s="20" t="s">
        <v>128</v>
      </c>
      <c r="AM88" s="33"/>
      <c r="AN88" s="32"/>
      <c r="AO88" s="20" t="s">
        <v>128</v>
      </c>
      <c r="AP88" s="33"/>
      <c r="AQ88" s="32" t="s">
        <v>128</v>
      </c>
      <c r="AR88" s="20"/>
      <c r="AS88" s="33"/>
      <c r="AT88" s="20"/>
      <c r="AU88" s="20" t="s">
        <v>128</v>
      </c>
      <c r="AV88" s="27"/>
      <c r="AX88" s="5">
        <f>COUNTIF(AvailabilityMatrixOriginal[[#This Row],[1-Mon-AM]:[2-Sun-NIGHT]],"X")</f>
        <v>12</v>
      </c>
      <c r="AY88">
        <f t="shared" si="1"/>
        <v>10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W89" s="5" t="s">
        <v>158</v>
      </c>
      <c r="AX89" s="5">
        <f>COUNTIF(AvailabilityMatrixOriginal[[#This Row],[1-Mon-AM]:[2-Sun-NIGHT]],"X")</f>
        <v>28</v>
      </c>
      <c r="AY89">
        <f t="shared" si="1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 s="5">
        <f>COUNTIF(AvailabilityMatrixOriginal[[#This Row],[1-Mon-AM]:[2-Sun-NIGHT]],"X")</f>
        <v>4</v>
      </c>
      <c r="AY90">
        <f t="shared" si="1"/>
        <v>4</v>
      </c>
    </row>
    <row r="91" spans="1:51" ht="17.25" hidden="1" customHeight="1" x14ac:dyDescent="0.25">
      <c r="A91" s="19"/>
      <c r="B91" s="18" t="s">
        <v>119</v>
      </c>
      <c r="C91" s="18" t="s">
        <v>44</v>
      </c>
      <c r="E91" s="1"/>
      <c r="G91" s="26" t="s">
        <v>128</v>
      </c>
      <c r="H91" s="20"/>
      <c r="I91" s="33"/>
      <c r="J91" s="32" t="s">
        <v>128</v>
      </c>
      <c r="K91" s="20"/>
      <c r="L91" s="33"/>
      <c r="M91" s="32" t="s">
        <v>128</v>
      </c>
      <c r="N91" s="20"/>
      <c r="O91" s="33"/>
      <c r="P91" s="32" t="s">
        <v>128</v>
      </c>
      <c r="Q91" s="20"/>
      <c r="R91" s="33"/>
      <c r="S91" s="32" t="s">
        <v>128</v>
      </c>
      <c r="T91" s="20"/>
      <c r="U91" s="33"/>
      <c r="V91" s="32" t="s">
        <v>128</v>
      </c>
      <c r="W91" s="20"/>
      <c r="X91" s="33"/>
      <c r="Y91" s="20"/>
      <c r="Z91" s="20"/>
      <c r="AA91" s="27"/>
      <c r="AB91" s="26" t="s">
        <v>128</v>
      </c>
      <c r="AC91" s="20"/>
      <c r="AD91" s="33"/>
      <c r="AE91" s="32" t="s">
        <v>128</v>
      </c>
      <c r="AF91" s="20"/>
      <c r="AG91" s="33"/>
      <c r="AH91" s="32" t="s">
        <v>128</v>
      </c>
      <c r="AI91" s="20"/>
      <c r="AJ91" s="33"/>
      <c r="AK91" s="32" t="s">
        <v>128</v>
      </c>
      <c r="AL91" s="20"/>
      <c r="AM91" s="33"/>
      <c r="AN91" s="32" t="s">
        <v>128</v>
      </c>
      <c r="AO91" s="20"/>
      <c r="AP91" s="33"/>
      <c r="AQ91" s="32" t="s">
        <v>128</v>
      </c>
      <c r="AR91" s="20"/>
      <c r="AS91" s="33"/>
      <c r="AT91" s="20"/>
      <c r="AU91" s="20"/>
      <c r="AV91" s="27"/>
      <c r="AX91" s="5">
        <f>COUNTIF(AvailabilityMatrixOriginal[[#This Row],[1-Mon-AM]:[2-Sun-NIGHT]],"X")</f>
        <v>12</v>
      </c>
      <c r="AY91">
        <f t="shared" si="1"/>
        <v>10</v>
      </c>
    </row>
    <row r="92" spans="1:51" ht="17.25" hidden="1" customHeight="1" x14ac:dyDescent="0.25">
      <c r="A92" s="19"/>
      <c r="B92" s="18" t="s">
        <v>120</v>
      </c>
      <c r="C92" s="18" t="s">
        <v>44</v>
      </c>
      <c r="E92" s="1"/>
      <c r="G92" s="26"/>
      <c r="H92" s="20" t="s">
        <v>128</v>
      </c>
      <c r="I92" s="33"/>
      <c r="J92" s="32"/>
      <c r="K92" s="20"/>
      <c r="L92" s="33"/>
      <c r="M92" s="32"/>
      <c r="N92" s="20" t="s">
        <v>128</v>
      </c>
      <c r="O92" s="33"/>
      <c r="P92" s="32"/>
      <c r="Q92" s="20"/>
      <c r="R92" s="33"/>
      <c r="S92" s="32"/>
      <c r="T92" s="20"/>
      <c r="U92" s="33"/>
      <c r="V92" s="32"/>
      <c r="W92" s="20"/>
      <c r="X92" s="33"/>
      <c r="Y92" s="20"/>
      <c r="Z92" s="20"/>
      <c r="AA92" s="27"/>
      <c r="AB92" s="26"/>
      <c r="AC92" s="20" t="s">
        <v>128</v>
      </c>
      <c r="AD92" s="33"/>
      <c r="AE92" s="32"/>
      <c r="AF92" s="20"/>
      <c r="AG92" s="33"/>
      <c r="AH92" s="32"/>
      <c r="AI92" s="20" t="s">
        <v>128</v>
      </c>
      <c r="AJ92" s="33"/>
      <c r="AK92" s="32"/>
      <c r="AL92" s="20"/>
      <c r="AM92" s="33"/>
      <c r="AN92" s="32"/>
      <c r="AO92" s="20"/>
      <c r="AP92" s="33"/>
      <c r="AQ92" s="32"/>
      <c r="AR92" s="20"/>
      <c r="AS92" s="33"/>
      <c r="AT92" s="20"/>
      <c r="AU92" s="20"/>
      <c r="AV92" s="27"/>
      <c r="AX92" s="5">
        <f>COUNTIF(AvailabilityMatrixOriginal[[#This Row],[1-Mon-AM]:[2-Sun-NIGHT]],"X")</f>
        <v>4</v>
      </c>
      <c r="AY92">
        <f t="shared" si="1"/>
        <v>4</v>
      </c>
    </row>
    <row r="93" spans="1:51" ht="17.25" hidden="1" customHeight="1" x14ac:dyDescent="0.25">
      <c r="A93" s="19"/>
      <c r="B93" s="18" t="s">
        <v>121</v>
      </c>
      <c r="C93" s="18" t="s">
        <v>44</v>
      </c>
      <c r="E93" s="1"/>
      <c r="G93" s="26" t="s">
        <v>128</v>
      </c>
      <c r="H93" s="20"/>
      <c r="I93" s="33"/>
      <c r="J93" s="32" t="s">
        <v>128</v>
      </c>
      <c r="K93" s="20"/>
      <c r="L93" s="33"/>
      <c r="M93" s="32" t="s">
        <v>128</v>
      </c>
      <c r="N93" s="20"/>
      <c r="O93" s="33"/>
      <c r="P93" s="32"/>
      <c r="Q93" s="20"/>
      <c r="R93" s="33"/>
      <c r="S93" s="32"/>
      <c r="T93" s="20" t="s">
        <v>128</v>
      </c>
      <c r="U93" s="33"/>
      <c r="V93" s="32"/>
      <c r="W93" s="20" t="s">
        <v>128</v>
      </c>
      <c r="X93" s="33" t="s">
        <v>128</v>
      </c>
      <c r="Y93" s="20" t="s">
        <v>128</v>
      </c>
      <c r="Z93" s="20"/>
      <c r="AA93" s="27"/>
      <c r="AB93" s="26" t="s">
        <v>128</v>
      </c>
      <c r="AC93" s="20"/>
      <c r="AD93" s="33"/>
      <c r="AE93" s="32" t="s">
        <v>128</v>
      </c>
      <c r="AF93" s="20"/>
      <c r="AG93" s="33"/>
      <c r="AH93" s="32" t="s">
        <v>128</v>
      </c>
      <c r="AI93" s="20"/>
      <c r="AJ93" s="33"/>
      <c r="AK93" s="32"/>
      <c r="AL93" s="20"/>
      <c r="AM93" s="33"/>
      <c r="AN93" s="32"/>
      <c r="AO93" s="20" t="s">
        <v>128</v>
      </c>
      <c r="AP93" s="33"/>
      <c r="AQ93" s="32"/>
      <c r="AR93" s="20" t="s">
        <v>128</v>
      </c>
      <c r="AS93" s="33" t="s">
        <v>128</v>
      </c>
      <c r="AT93" s="20" t="s">
        <v>128</v>
      </c>
      <c r="AU93" s="20"/>
      <c r="AV93" s="27"/>
      <c r="AX93" s="5">
        <f>COUNTIF(AvailabilityMatrixOriginal[[#This Row],[1-Mon-AM]:[2-Sun-NIGHT]],"X")</f>
        <v>14</v>
      </c>
      <c r="AY93">
        <f t="shared" si="1"/>
        <v>10</v>
      </c>
    </row>
    <row r="94" spans="1:51" ht="17.25" hidden="1" customHeight="1" x14ac:dyDescent="0.25">
      <c r="A94" s="19"/>
      <c r="B94" s="18" t="s">
        <v>122</v>
      </c>
      <c r="C94" s="18" t="s">
        <v>44</v>
      </c>
      <c r="E94" s="1"/>
      <c r="G94" s="26" t="s">
        <v>128</v>
      </c>
      <c r="H94" s="20"/>
      <c r="I94" s="33"/>
      <c r="J94" s="32"/>
      <c r="K94" s="20"/>
      <c r="L94" s="33"/>
      <c r="M94" s="32"/>
      <c r="N94" s="20" t="s">
        <v>128</v>
      </c>
      <c r="O94" s="33"/>
      <c r="P94" s="32"/>
      <c r="Q94" s="20"/>
      <c r="R94" s="33"/>
      <c r="S94" s="32" t="s">
        <v>128</v>
      </c>
      <c r="T94" s="20"/>
      <c r="U94" s="33"/>
      <c r="V94" s="32" t="s">
        <v>128</v>
      </c>
      <c r="W94" s="20"/>
      <c r="X94" s="33"/>
      <c r="Y94" s="20" t="s">
        <v>128</v>
      </c>
      <c r="Z94" s="20"/>
      <c r="AA94" s="27"/>
      <c r="AB94" s="26" t="s">
        <v>128</v>
      </c>
      <c r="AC94" s="20"/>
      <c r="AD94" s="33"/>
      <c r="AE94" s="32"/>
      <c r="AF94" s="20"/>
      <c r="AG94" s="33"/>
      <c r="AH94" s="32"/>
      <c r="AI94" s="20" t="s">
        <v>128</v>
      </c>
      <c r="AJ94" s="33"/>
      <c r="AK94" s="32"/>
      <c r="AL94" s="20"/>
      <c r="AM94" s="33"/>
      <c r="AN94" s="32" t="s">
        <v>128</v>
      </c>
      <c r="AO94" s="20"/>
      <c r="AP94" s="33"/>
      <c r="AQ94" s="32" t="s">
        <v>128</v>
      </c>
      <c r="AR94" s="20"/>
      <c r="AS94" s="33"/>
      <c r="AT94" s="20" t="s">
        <v>128</v>
      </c>
      <c r="AU94" s="20"/>
      <c r="AV94" s="27"/>
      <c r="AX94" s="5">
        <f>COUNTIF(AvailabilityMatrixOriginal[[#This Row],[1-Mon-AM]:[2-Sun-NIGHT]],"X")</f>
        <v>10</v>
      </c>
      <c r="AY94">
        <f t="shared" si="1"/>
        <v>10</v>
      </c>
    </row>
    <row r="95" spans="1:51" ht="17.25" hidden="1" customHeight="1" x14ac:dyDescent="0.25">
      <c r="A95" s="19"/>
      <c r="B95" s="45" t="s">
        <v>132</v>
      </c>
      <c r="C95" s="42" t="s">
        <v>44</v>
      </c>
      <c r="D95" s="43"/>
      <c r="E95" s="43"/>
      <c r="F95" s="44"/>
      <c r="G95" s="26"/>
      <c r="H95" s="20"/>
      <c r="I95" s="33"/>
      <c r="J95" s="32"/>
      <c r="K95" s="20"/>
      <c r="L95" s="33"/>
      <c r="M95" s="32"/>
      <c r="N95" s="20"/>
      <c r="O95" s="33"/>
      <c r="P95" s="32"/>
      <c r="Q95" s="20" t="s">
        <v>128</v>
      </c>
      <c r="R95" s="33"/>
      <c r="S95" s="32"/>
      <c r="T95" s="20" t="s">
        <v>128</v>
      </c>
      <c r="U95" s="33"/>
      <c r="V95" s="32"/>
      <c r="W95" s="20"/>
      <c r="X95" s="33"/>
      <c r="Y95" s="20" t="s">
        <v>128</v>
      </c>
      <c r="Z95" s="20"/>
      <c r="AA95" s="27"/>
      <c r="AB95" s="26"/>
      <c r="AC95" s="20"/>
      <c r="AD95" s="33"/>
      <c r="AE95" s="32"/>
      <c r="AF95" s="20"/>
      <c r="AG95" s="33"/>
      <c r="AH95" s="32"/>
      <c r="AI95" s="20"/>
      <c r="AJ95" s="33"/>
      <c r="AK95" s="32"/>
      <c r="AL95" s="20" t="s">
        <v>128</v>
      </c>
      <c r="AM95" s="33"/>
      <c r="AN95" s="32"/>
      <c r="AO95" s="20" t="s">
        <v>128</v>
      </c>
      <c r="AP95" s="33"/>
      <c r="AQ95" s="32"/>
      <c r="AR95" s="20"/>
      <c r="AS95" s="33"/>
      <c r="AT95" s="20" t="s">
        <v>128</v>
      </c>
      <c r="AU95" s="20"/>
      <c r="AV95" s="27"/>
      <c r="AX95" s="5">
        <f>COUNTIF(AvailabilityMatrixOriginal[[#This Row],[1-Mon-AM]:[2-Sun-NIGHT]],"X")</f>
        <v>6</v>
      </c>
      <c r="AY95">
        <f t="shared" si="1"/>
        <v>6</v>
      </c>
    </row>
    <row r="96" spans="1:51" ht="17.25" hidden="1" customHeight="1" x14ac:dyDescent="0.25">
      <c r="A96" s="19"/>
      <c r="B96" s="18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 s="5">
        <f>COUNTIF(AvailabilityMatrixOriginal[[#This Row],[1-Mon-AM]:[2-Sun-NIGHT]],"X")</f>
        <v>4</v>
      </c>
      <c r="AY96">
        <f t="shared" si="1"/>
        <v>4</v>
      </c>
    </row>
    <row r="97" spans="1:51" ht="17.25" hidden="1" customHeight="1" x14ac:dyDescent="0.25">
      <c r="A97" s="19"/>
      <c r="B97" s="18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 s="5">
        <f>COUNTIF(AvailabilityMatrixOriginal[[#This Row],[1-Mon-AM]:[2-Sun-NIGHT]],"X")</f>
        <v>4</v>
      </c>
      <c r="AY97">
        <f t="shared" si="1"/>
        <v>4</v>
      </c>
    </row>
    <row r="98" spans="1:51" ht="17.25" hidden="1" customHeight="1" x14ac:dyDescent="0.25">
      <c r="A98" s="19"/>
      <c r="B98" s="18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 s="5">
        <f>COUNTIF(AvailabilityMatrixOriginal[[#This Row],[1-Mon-AM]:[2-Sun-NIGHT]],"X")</f>
        <v>10</v>
      </c>
      <c r="AY98">
        <f t="shared" si="1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 s="5">
        <f>COUNTIF(AvailabilityMatrixOriginal[[#This Row],[1-Mon-AM]:[2-Sun-NIGHT]],"X")</f>
        <v>10</v>
      </c>
      <c r="AY99">
        <f t="shared" si="1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 s="5">
        <f>COUNTIF(AvailabilityMatrixOriginal[[#This Row],[1-Mon-AM]:[2-Sun-NIGHT]],"X")</f>
        <v>28</v>
      </c>
      <c r="AY100">
        <f t="shared" si="1"/>
        <v>10</v>
      </c>
    </row>
    <row r="101" spans="1:51" x14ac:dyDescent="0.4">
      <c r="B101" s="15" t="s">
        <v>42</v>
      </c>
      <c r="U101" s="5"/>
      <c r="W101" s="5"/>
      <c r="X101" s="5"/>
      <c r="Z101" s="5"/>
      <c r="AA101" s="5"/>
      <c r="AB101" s="5"/>
      <c r="AC101" s="5"/>
      <c r="AE101" s="5"/>
      <c r="AF101" s="5"/>
      <c r="AH101" s="5"/>
      <c r="AI101" s="5"/>
      <c r="AK101" s="5"/>
      <c r="AL101" s="5"/>
      <c r="AN101" s="5"/>
      <c r="AO101" s="5"/>
      <c r="AP101" s="5"/>
      <c r="AR101" s="5"/>
      <c r="AS101" s="5"/>
      <c r="AU101" s="5"/>
    </row>
    <row r="102" spans="1:51" x14ac:dyDescent="0.4">
      <c r="U102" s="5"/>
      <c r="W102" s="5"/>
      <c r="X102" s="5"/>
      <c r="Z102" s="5"/>
      <c r="AA102" s="5"/>
      <c r="AB102" s="5"/>
      <c r="AC102" s="5"/>
      <c r="AE102" s="5"/>
      <c r="AF102" s="5"/>
      <c r="AH102" s="5"/>
      <c r="AI102" s="5"/>
      <c r="AK102" s="5"/>
      <c r="AL102" s="5"/>
      <c r="AN102" s="5"/>
      <c r="AO102" s="5"/>
      <c r="AP102" s="5"/>
      <c r="AR102" s="5"/>
      <c r="AS102" s="5"/>
      <c r="AU102" s="5"/>
    </row>
    <row r="103" spans="1:51" x14ac:dyDescent="0.4">
      <c r="U103" s="5"/>
      <c r="W103" s="5"/>
      <c r="X103" s="5"/>
      <c r="Z103" s="5"/>
      <c r="AA103" s="5"/>
      <c r="AB103" s="5"/>
      <c r="AC103" s="5"/>
      <c r="AE103" s="5"/>
      <c r="AF103" s="5"/>
      <c r="AH103" s="5"/>
      <c r="AI103" s="5"/>
      <c r="AK103" s="5"/>
      <c r="AL103" s="5"/>
      <c r="AN103" s="5"/>
      <c r="AO103" s="5"/>
      <c r="AP103" s="5"/>
      <c r="AR103" s="5"/>
      <c r="AS103" s="5"/>
      <c r="AU103" s="5"/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x14ac:dyDescent="0.4"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Q4:AS4"/>
    <mergeCell ref="AT4:AV4"/>
    <mergeCell ref="AK4:AM4"/>
    <mergeCell ref="AN4:AP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497E-5366-4E28-9FB4-27C5B1BC5C21}">
  <sheetPr>
    <tabColor theme="9"/>
    <pageSetUpPr fitToPage="1"/>
  </sheetPr>
  <dimension ref="A1:BH200"/>
  <sheetViews>
    <sheetView tabSelected="1" topLeftCell="B1" zoomScale="115" zoomScaleNormal="115" workbookViewId="0">
      <pane xSplit="5" ySplit="6" topLeftCell="AF107" activePane="bottomRight" state="frozenSplit"/>
      <selection activeCell="AW7" sqref="AW7"/>
      <selection pane="topRight" activeCell="G1" sqref="G1:AV1048576"/>
      <selection pane="bottomLeft" activeCell="B3" sqref="B3:F3"/>
      <selection pane="bottomRight" activeCell="B104" sqref="B104"/>
    </sheetView>
  </sheetViews>
  <sheetFormatPr defaultRowHeight="26.25" x14ac:dyDescent="0.4"/>
  <cols>
    <col min="1" max="1" width="21.28515625" style="3" hidden="1" customWidth="1"/>
    <col min="2" max="2" width="20.42578125" style="9" customWidth="1"/>
    <col min="3" max="3" width="10.285156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7.42578125" style="5" customWidth="1"/>
    <col min="26" max="26" width="7.42578125" style="6" customWidth="1"/>
    <col min="27" max="27" width="7.42578125" style="4" customWidth="1"/>
    <col min="28" max="28" width="7.42578125" style="6" customWidth="1"/>
    <col min="29" max="29" width="7.42578125" style="4" customWidth="1"/>
    <col min="30" max="30" width="7.42578125" style="5" customWidth="1"/>
    <col min="31" max="31" width="7.42578125" style="6" customWidth="1"/>
    <col min="32" max="32" width="7.42578125" style="4" customWidth="1"/>
    <col min="33" max="33" width="7.42578125" style="5" customWidth="1"/>
    <col min="34" max="34" width="7.42578125" style="6" customWidth="1"/>
    <col min="35" max="35" width="7.42578125" style="4" customWidth="1"/>
    <col min="36" max="36" width="7.42578125" style="5" customWidth="1"/>
    <col min="37" max="37" width="7.42578125" style="6" customWidth="1"/>
    <col min="38" max="38" width="7.42578125" style="4" customWidth="1"/>
    <col min="39" max="39" width="7.42578125" style="5" customWidth="1"/>
    <col min="40" max="40" width="7.42578125" style="6" customWidth="1"/>
    <col min="41" max="41" width="7.42578125" style="7" customWidth="1"/>
    <col min="42" max="42" width="7.42578125" style="4" customWidth="1"/>
    <col min="43" max="43" width="7.42578125" style="5" customWidth="1"/>
    <col min="44" max="44" width="7.42578125" style="6" customWidth="1"/>
    <col min="45" max="45" width="7.42578125" style="4" customWidth="1"/>
    <col min="46" max="46" width="7.42578125" style="5" customWidth="1"/>
    <col min="47" max="47" width="7.42578125" style="6" customWidth="1"/>
    <col min="48" max="49" width="7.42578125" style="5" customWidth="1"/>
    <col min="50" max="59" width="9.140625" style="5"/>
    <col min="60" max="60" width="27.140625" style="2" customWidth="1"/>
  </cols>
  <sheetData>
    <row r="1" spans="1:60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60" ht="16.5" thickBot="1" x14ac:dyDescent="0.3">
      <c r="B2" s="14" t="s">
        <v>39</v>
      </c>
      <c r="C2" s="17">
        <v>45502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</row>
    <row r="3" spans="1:60" ht="27" thickBot="1" x14ac:dyDescent="0.45">
      <c r="G3" s="83" t="s">
        <v>27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/>
      <c r="AB3" s="86" t="s">
        <v>28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8"/>
    </row>
    <row r="4" spans="1:60" x14ac:dyDescent="0.4">
      <c r="G4" s="89" t="s">
        <v>29</v>
      </c>
      <c r="H4" s="81"/>
      <c r="I4" s="90"/>
      <c r="J4" s="91" t="s">
        <v>30</v>
      </c>
      <c r="K4" s="81"/>
      <c r="L4" s="90"/>
      <c r="M4" s="91" t="s">
        <v>31</v>
      </c>
      <c r="N4" s="81"/>
      <c r="O4" s="90"/>
      <c r="P4" s="91" t="s">
        <v>32</v>
      </c>
      <c r="Q4" s="81"/>
      <c r="R4" s="90"/>
      <c r="S4" s="91" t="s">
        <v>33</v>
      </c>
      <c r="T4" s="81"/>
      <c r="U4" s="90"/>
      <c r="V4" s="91" t="s">
        <v>34</v>
      </c>
      <c r="W4" s="81"/>
      <c r="X4" s="90"/>
      <c r="Y4" s="80" t="s">
        <v>35</v>
      </c>
      <c r="Z4" s="81"/>
      <c r="AA4" s="82"/>
      <c r="AB4" s="89" t="s">
        <v>29</v>
      </c>
      <c r="AC4" s="81"/>
      <c r="AD4" s="90"/>
      <c r="AE4" s="91" t="s">
        <v>30</v>
      </c>
      <c r="AF4" s="81"/>
      <c r="AG4" s="90"/>
      <c r="AH4" s="91" t="s">
        <v>31</v>
      </c>
      <c r="AI4" s="81"/>
      <c r="AJ4" s="90"/>
      <c r="AK4" s="91" t="s">
        <v>32</v>
      </c>
      <c r="AL4" s="81"/>
      <c r="AM4" s="90"/>
      <c r="AN4" s="91" t="s">
        <v>33</v>
      </c>
      <c r="AO4" s="81"/>
      <c r="AP4" s="90"/>
      <c r="AQ4" s="91" t="s">
        <v>34</v>
      </c>
      <c r="AR4" s="81"/>
      <c r="AS4" s="90"/>
      <c r="AT4" s="80" t="s">
        <v>35</v>
      </c>
      <c r="AU4" s="81"/>
      <c r="AV4" s="82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60" ht="39" customHeight="1" x14ac:dyDescent="0.25">
      <c r="B5" s="12" t="str">
        <f>AvailabilityMatrix[[#Headers],[Full Name]]</f>
        <v>Full Name</v>
      </c>
      <c r="C5" s="12" t="str">
        <f>AvailabilityMatrix[[#Headers],[Role]]</f>
        <v>Role</v>
      </c>
      <c r="D5" s="12" t="str">
        <f>AvailabilityMatrix[[#Headers],[ID]]</f>
        <v>ID</v>
      </c>
      <c r="E5" s="12" t="str">
        <f>AvailabilityMatrix[[#Headers],[Employment Status]]</f>
        <v>Employment Status</v>
      </c>
      <c r="F5" s="12" t="str">
        <f>AvailabilityMatrix[[#Headers],[Contracted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60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24" t="s">
        <v>160</v>
      </c>
      <c r="AC6" s="13" t="s">
        <v>161</v>
      </c>
      <c r="AD6" s="31" t="s">
        <v>162</v>
      </c>
      <c r="AE6" s="30" t="s">
        <v>163</v>
      </c>
      <c r="AF6" s="13" t="s">
        <v>164</v>
      </c>
      <c r="AG6" s="31" t="s">
        <v>165</v>
      </c>
      <c r="AH6" s="30" t="s">
        <v>166</v>
      </c>
      <c r="AI6" s="13" t="s">
        <v>167</v>
      </c>
      <c r="AJ6" s="31" t="s">
        <v>168</v>
      </c>
      <c r="AK6" s="30" t="s">
        <v>169</v>
      </c>
      <c r="AL6" s="13" t="s">
        <v>170</v>
      </c>
      <c r="AM6" s="31" t="s">
        <v>171</v>
      </c>
      <c r="AN6" s="30" t="s">
        <v>172</v>
      </c>
      <c r="AO6" s="13" t="s">
        <v>173</v>
      </c>
      <c r="AP6" s="31" t="s">
        <v>174</v>
      </c>
      <c r="AQ6" s="30" t="s">
        <v>175</v>
      </c>
      <c r="AR6" s="13" t="s">
        <v>176</v>
      </c>
      <c r="AS6" s="31" t="s">
        <v>177</v>
      </c>
      <c r="AT6" s="23" t="s">
        <v>178</v>
      </c>
      <c r="AU6" s="22" t="s">
        <v>179</v>
      </c>
      <c r="AV6" s="25" t="s">
        <v>180</v>
      </c>
    </row>
    <row r="7" spans="1:60" ht="17.25" hidden="1" customHeight="1" x14ac:dyDescent="0.25">
      <c r="A7">
        <v>237164</v>
      </c>
      <c r="B7" s="53" t="s">
        <v>47</v>
      </c>
      <c r="C7" s="18" t="s">
        <v>46</v>
      </c>
      <c r="E7" s="1"/>
      <c r="G7" s="54"/>
      <c r="H7" s="20"/>
      <c r="I7" s="33"/>
      <c r="J7" s="54"/>
      <c r="K7" s="54"/>
      <c r="L7" s="33"/>
      <c r="M7" s="32"/>
      <c r="N7" s="20"/>
      <c r="O7" s="33"/>
      <c r="P7" s="32" t="s">
        <v>128</v>
      </c>
      <c r="Q7" s="20" t="s">
        <v>128</v>
      </c>
      <c r="R7" s="33"/>
      <c r="S7" s="54"/>
      <c r="T7" s="20"/>
      <c r="U7" s="33"/>
      <c r="V7" s="54"/>
      <c r="W7" s="20"/>
      <c r="X7" s="33"/>
      <c r="Y7" s="54"/>
      <c r="Z7" s="20"/>
      <c r="AA7" s="27"/>
      <c r="AB7" s="26" t="s">
        <v>128</v>
      </c>
      <c r="AC7" s="20"/>
      <c r="AD7" s="33"/>
      <c r="AE7" s="54"/>
      <c r="AF7" s="54"/>
      <c r="AG7" s="33"/>
      <c r="AH7" s="32"/>
      <c r="AI7" s="20"/>
      <c r="AJ7" s="33"/>
      <c r="AK7" s="54"/>
      <c r="AL7" s="54"/>
      <c r="AM7" s="33"/>
      <c r="AN7" s="54"/>
      <c r="AO7" s="20"/>
      <c r="AP7" s="33"/>
      <c r="AQ7" s="54"/>
      <c r="AR7" s="20"/>
      <c r="AS7" s="33"/>
      <c r="AT7" s="54"/>
      <c r="AU7" s="20"/>
      <c r="AV7" s="27"/>
      <c r="AW7"/>
      <c r="AX7">
        <f>COUNTIF(AvailabilityMatrix[[#This Row],[1-Mon-AM]:[2-Sun-NIGHT2-2-]],"X")</f>
        <v>3</v>
      </c>
      <c r="AY7">
        <f>IF(AX7&gt;10,10,AX7)</f>
        <v>3</v>
      </c>
      <c r="AZ7"/>
      <c r="BA7"/>
      <c r="BB7"/>
      <c r="BC7"/>
      <c r="BD7"/>
      <c r="BE7"/>
      <c r="BF7"/>
      <c r="BG7"/>
      <c r="BH7"/>
    </row>
    <row r="8" spans="1:60" ht="17.25" hidden="1" customHeight="1" x14ac:dyDescent="0.25">
      <c r="B8" s="53" t="s">
        <v>57</v>
      </c>
      <c r="C8" s="18" t="s">
        <v>46</v>
      </c>
      <c r="E8" s="1"/>
      <c r="G8" s="28"/>
      <c r="H8" s="61"/>
      <c r="I8" s="35"/>
      <c r="J8" s="28"/>
      <c r="K8" s="28"/>
      <c r="L8" s="35" t="s">
        <v>128</v>
      </c>
      <c r="M8" s="34"/>
      <c r="N8" s="21"/>
      <c r="O8" s="55"/>
      <c r="P8" s="67"/>
      <c r="Q8" s="68"/>
      <c r="R8" s="35"/>
      <c r="S8" s="58"/>
      <c r="T8" s="21"/>
      <c r="U8" s="35"/>
      <c r="V8" s="34"/>
      <c r="W8" s="21"/>
      <c r="X8" s="35"/>
      <c r="Y8" s="54"/>
      <c r="Z8" s="21"/>
      <c r="AA8" s="70"/>
      <c r="AB8" s="28"/>
      <c r="AC8" s="61"/>
      <c r="AD8" s="35"/>
      <c r="AE8" s="28"/>
      <c r="AF8" s="28"/>
      <c r="AG8" s="35" t="s">
        <v>128</v>
      </c>
      <c r="AH8" s="34"/>
      <c r="AI8" s="21"/>
      <c r="AJ8" s="55"/>
      <c r="AK8" s="28"/>
      <c r="AL8" s="28" t="s">
        <v>128</v>
      </c>
      <c r="AM8" s="35"/>
      <c r="AN8" s="54"/>
      <c r="AO8" s="21"/>
      <c r="AP8" s="35"/>
      <c r="AQ8" s="28"/>
      <c r="AR8" s="21"/>
      <c r="AS8" s="35"/>
      <c r="AT8" s="61"/>
      <c r="AU8" s="21"/>
      <c r="AV8" s="29" t="s">
        <v>128</v>
      </c>
      <c r="AW8"/>
      <c r="AX8">
        <f>COUNTIF(AvailabilityMatrix[[#This Row],[1-Mon-AM]:[2-Sun-NIGHT2-2-]],"X")</f>
        <v>4</v>
      </c>
      <c r="AY8">
        <f t="shared" ref="AY8:AY10" si="0">IF(AX8&gt;10,10,AX8)</f>
        <v>4</v>
      </c>
      <c r="AZ8"/>
      <c r="BA8"/>
      <c r="BB8"/>
      <c r="BC8"/>
      <c r="BD8"/>
      <c r="BE8"/>
      <c r="BF8"/>
      <c r="BG8"/>
      <c r="BH8"/>
    </row>
    <row r="9" spans="1:60" ht="17.25" hidden="1" customHeight="1" x14ac:dyDescent="0.25">
      <c r="B9" s="53" t="s">
        <v>60</v>
      </c>
      <c r="C9" s="18" t="s">
        <v>46</v>
      </c>
      <c r="E9" s="1"/>
      <c r="G9" s="26"/>
      <c r="H9" s="26"/>
      <c r="I9" s="33"/>
      <c r="J9" s="58"/>
      <c r="K9" s="20"/>
      <c r="L9" s="33"/>
      <c r="M9" s="58"/>
      <c r="N9" s="20"/>
      <c r="O9" s="33"/>
      <c r="P9" s="32"/>
      <c r="Q9" s="33"/>
      <c r="R9" s="33"/>
      <c r="S9" s="26"/>
      <c r="T9" s="20"/>
      <c r="U9" s="33"/>
      <c r="V9" s="32"/>
      <c r="W9" s="20"/>
      <c r="X9" s="33"/>
      <c r="Y9" s="26" t="s">
        <v>128</v>
      </c>
      <c r="Z9" s="20"/>
      <c r="AA9" s="33"/>
      <c r="AB9" s="26"/>
      <c r="AC9" s="26"/>
      <c r="AD9" s="33"/>
      <c r="AE9" s="58"/>
      <c r="AF9" s="20"/>
      <c r="AG9" s="33"/>
      <c r="AH9" s="58"/>
      <c r="AI9" s="20"/>
      <c r="AJ9" s="33"/>
      <c r="AK9" s="32"/>
      <c r="AL9" s="20"/>
      <c r="AM9" s="33"/>
      <c r="AN9" s="26"/>
      <c r="AO9" s="20"/>
      <c r="AP9" s="33"/>
      <c r="AQ9" s="32"/>
      <c r="AR9" s="20"/>
      <c r="AS9" s="33"/>
      <c r="AT9" s="26" t="s">
        <v>128</v>
      </c>
      <c r="AU9" s="20"/>
      <c r="AV9" s="27"/>
      <c r="AX9">
        <f>COUNTIF(AvailabilityMatrix[[#This Row],[1-Mon-AM]:[2-Sun-NIGHT2-2-]],"X")</f>
        <v>2</v>
      </c>
      <c r="AY9">
        <f t="shared" si="0"/>
        <v>2</v>
      </c>
      <c r="AZ9"/>
      <c r="BA9"/>
      <c r="BB9"/>
      <c r="BC9"/>
      <c r="BD9"/>
      <c r="BE9"/>
      <c r="BF9"/>
      <c r="BG9"/>
      <c r="BH9"/>
    </row>
    <row r="10" spans="1:60" ht="17.25" hidden="1" customHeight="1" x14ac:dyDescent="0.25">
      <c r="B10" s="59" t="s">
        <v>68</v>
      </c>
      <c r="C10" s="60" t="s">
        <v>46</v>
      </c>
      <c r="E10" s="1"/>
      <c r="G10" s="26"/>
      <c r="H10" s="20"/>
      <c r="I10" s="33"/>
      <c r="J10" s="32" t="s">
        <v>128</v>
      </c>
      <c r="K10" s="20"/>
      <c r="L10" s="26"/>
      <c r="M10" s="32"/>
      <c r="N10" s="20" t="s">
        <v>128</v>
      </c>
      <c r="O10" s="33"/>
      <c r="P10" s="32" t="s">
        <v>128</v>
      </c>
      <c r="Q10" s="33"/>
      <c r="R10" s="33"/>
      <c r="S10" s="32" t="s">
        <v>128</v>
      </c>
      <c r="T10" s="20"/>
      <c r="U10" s="33"/>
      <c r="V10" s="32"/>
      <c r="W10" s="20"/>
      <c r="X10" s="33"/>
      <c r="Y10" s="20" t="s">
        <v>128</v>
      </c>
      <c r="Z10" s="20"/>
      <c r="AA10" s="33"/>
      <c r="AB10" s="20" t="s">
        <v>128</v>
      </c>
      <c r="AC10" s="20"/>
      <c r="AD10" s="33"/>
      <c r="AE10" s="32" t="s">
        <v>128</v>
      </c>
      <c r="AF10" s="20"/>
      <c r="AG10" s="26"/>
      <c r="AH10" s="32"/>
      <c r="AI10" s="74"/>
      <c r="AJ10" s="33"/>
      <c r="AK10" s="32" t="s">
        <v>128</v>
      </c>
      <c r="AL10" s="26"/>
      <c r="AM10" s="33"/>
      <c r="AN10" s="74"/>
      <c r="AO10" s="20"/>
      <c r="AP10" s="33"/>
      <c r="AQ10" s="32"/>
      <c r="AR10" s="20"/>
      <c r="AS10" s="33"/>
      <c r="AT10" s="20" t="s">
        <v>128</v>
      </c>
      <c r="AU10" s="20"/>
      <c r="AV10" s="27"/>
      <c r="AW10"/>
      <c r="AX10">
        <f>COUNTIF(AvailabilityMatrix[[#This Row],[1-Mon-AM]:[2-Sun-NIGHT2-2-]],"X")</f>
        <v>9</v>
      </c>
      <c r="AY10">
        <f t="shared" si="0"/>
        <v>9</v>
      </c>
      <c r="AZ10"/>
      <c r="BA10"/>
      <c r="BB10"/>
      <c r="BC10"/>
      <c r="BD10"/>
      <c r="BE10"/>
      <c r="BF10"/>
      <c r="BG10"/>
      <c r="BH10"/>
    </row>
    <row r="11" spans="1:60" ht="17.25" hidden="1" customHeight="1" x14ac:dyDescent="0.25">
      <c r="A11" s="19"/>
      <c r="B11" s="57" t="s">
        <v>81</v>
      </c>
      <c r="C11" s="18" t="s">
        <v>46</v>
      </c>
      <c r="D11" s="43"/>
      <c r="E11" s="43"/>
      <c r="F11" s="44"/>
      <c r="G11" s="26" t="s">
        <v>128</v>
      </c>
      <c r="H11" s="20" t="s">
        <v>128</v>
      </c>
      <c r="I11" s="33"/>
      <c r="J11" s="32" t="s">
        <v>128</v>
      </c>
      <c r="K11" s="20" t="s">
        <v>128</v>
      </c>
      <c r="L11" s="33"/>
      <c r="M11" s="32"/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 t="s">
        <v>128</v>
      </c>
      <c r="X11" s="33"/>
      <c r="Y11" s="20" t="s">
        <v>128</v>
      </c>
      <c r="Z11" s="20" t="s">
        <v>128</v>
      </c>
      <c r="AA11" s="27"/>
      <c r="AB11" s="26" t="s">
        <v>128</v>
      </c>
      <c r="AC11" s="20" t="s">
        <v>128</v>
      </c>
      <c r="AD11" s="33"/>
      <c r="AE11" s="32" t="s">
        <v>128</v>
      </c>
      <c r="AF11" s="20" t="s">
        <v>128</v>
      </c>
      <c r="AG11" s="33"/>
      <c r="AH11" s="32"/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61"/>
      <c r="AS11" s="33"/>
      <c r="AT11" s="61"/>
      <c r="AU11" s="61"/>
      <c r="AV11" s="27"/>
      <c r="AW11"/>
      <c r="AX11">
        <f>COUNTIF(AvailabilityMatrix[[#This Row],[1-Mon-AM]:[2-Sun-NIGHT2-2-]],"X")</f>
        <v>13</v>
      </c>
      <c r="AY11">
        <f t="shared" ref="AY11:AY74" si="1">IF(AX11&gt;10,10,AX11)</f>
        <v>10</v>
      </c>
      <c r="AZ11"/>
      <c r="BA11"/>
      <c r="BB11"/>
      <c r="BC11"/>
      <c r="BD11"/>
      <c r="BE11"/>
      <c r="BF11"/>
      <c r="BG11"/>
      <c r="BH11"/>
    </row>
    <row r="12" spans="1:60" ht="17.25" hidden="1" customHeight="1" x14ac:dyDescent="0.25">
      <c r="B12" s="59" t="s">
        <v>68</v>
      </c>
      <c r="C12" s="18" t="s">
        <v>45</v>
      </c>
      <c r="E12" s="1"/>
      <c r="G12" s="26"/>
      <c r="H12" s="20"/>
      <c r="I12" s="33"/>
      <c r="J12" s="74"/>
      <c r="K12" s="20"/>
      <c r="L12" s="26"/>
      <c r="M12" s="32"/>
      <c r="N12" s="74"/>
      <c r="O12" s="74"/>
      <c r="P12" s="74"/>
      <c r="Q12" s="33"/>
      <c r="R12" s="33"/>
      <c r="S12" s="74"/>
      <c r="T12" s="20"/>
      <c r="U12" s="33"/>
      <c r="V12" s="32"/>
      <c r="W12" s="20"/>
      <c r="X12" s="33"/>
      <c r="Y12" s="74"/>
      <c r="Z12" s="20"/>
      <c r="AA12" s="33"/>
      <c r="AB12" s="74"/>
      <c r="AC12" s="20"/>
      <c r="AD12" s="33"/>
      <c r="AE12" s="74"/>
      <c r="AF12" s="20"/>
      <c r="AG12" s="26"/>
      <c r="AH12" s="32"/>
      <c r="AI12" s="20" t="s">
        <v>128</v>
      </c>
      <c r="AJ12" s="33"/>
      <c r="AK12" s="74"/>
      <c r="AL12" s="26"/>
      <c r="AM12" s="33"/>
      <c r="AN12" s="32" t="s">
        <v>128</v>
      </c>
      <c r="AO12" s="20"/>
      <c r="AP12" s="33"/>
      <c r="AQ12" s="32"/>
      <c r="AR12" s="20"/>
      <c r="AS12" s="33"/>
      <c r="AT12" s="74"/>
      <c r="AU12" s="20"/>
      <c r="AV12" s="27"/>
      <c r="AW12"/>
      <c r="AX12">
        <f>COUNTIF(AvailabilityMatrix[[#This Row],[1-Mon-AM]:[2-Sun-NIGHT2-2-]],"X")</f>
        <v>2</v>
      </c>
      <c r="AY12">
        <f t="shared" si="1"/>
        <v>2</v>
      </c>
      <c r="AZ12"/>
      <c r="BA12"/>
      <c r="BB12"/>
      <c r="BC12"/>
      <c r="BD12"/>
      <c r="BE12"/>
      <c r="BF12"/>
      <c r="BG12"/>
      <c r="BH12"/>
    </row>
    <row r="13" spans="1:60" ht="17.25" hidden="1" customHeight="1" x14ac:dyDescent="0.25">
      <c r="B13" s="59" t="s">
        <v>89</v>
      </c>
      <c r="C13" s="60" t="s">
        <v>46</v>
      </c>
      <c r="E13" s="1"/>
      <c r="G13" s="26" t="s">
        <v>128</v>
      </c>
      <c r="H13" s="75" t="s">
        <v>128</v>
      </c>
      <c r="I13" s="33"/>
      <c r="J13" s="32" t="s">
        <v>128</v>
      </c>
      <c r="K13" s="74"/>
      <c r="L13" s="33"/>
      <c r="M13" s="74"/>
      <c r="N13" s="74"/>
      <c r="O13" s="33"/>
      <c r="P13" s="74"/>
      <c r="Q13" s="74"/>
      <c r="R13" s="33"/>
      <c r="S13" s="74"/>
      <c r="T13" s="74"/>
      <c r="U13" s="33"/>
      <c r="V13" s="74"/>
      <c r="W13" s="20" t="s">
        <v>128</v>
      </c>
      <c r="X13" s="33"/>
      <c r="Y13" s="20" t="s">
        <v>128</v>
      </c>
      <c r="Z13" s="20" t="s">
        <v>128</v>
      </c>
      <c r="AA13" s="27"/>
      <c r="AB13" s="26" t="s">
        <v>128</v>
      </c>
      <c r="AC13" s="20" t="s">
        <v>128</v>
      </c>
      <c r="AD13" s="33"/>
      <c r="AE13" s="32" t="s">
        <v>128</v>
      </c>
      <c r="AF13" s="20" t="s">
        <v>128</v>
      </c>
      <c r="AG13" s="33"/>
      <c r="AH13" s="32" t="s">
        <v>128</v>
      </c>
      <c r="AI13" s="20" t="s">
        <v>128</v>
      </c>
      <c r="AJ13" s="33"/>
      <c r="AK13" s="74"/>
      <c r="AL13" s="74"/>
      <c r="AM13" s="33"/>
      <c r="AN13" s="74"/>
      <c r="AO13" s="74"/>
      <c r="AP13" s="33"/>
      <c r="AQ13" s="32" t="s">
        <v>128</v>
      </c>
      <c r="AR13" s="20" t="s">
        <v>128</v>
      </c>
      <c r="AS13" s="33"/>
      <c r="AT13" s="20" t="s">
        <v>128</v>
      </c>
      <c r="AU13" s="20" t="s">
        <v>128</v>
      </c>
      <c r="AV13" s="27"/>
      <c r="AW13"/>
      <c r="AX13">
        <f>COUNTIF(AvailabilityMatrix[[#This Row],[1-Mon-AM]:[2-Sun-NIGHT2-2-]],"X")</f>
        <v>16</v>
      </c>
      <c r="AY13">
        <f t="shared" si="1"/>
        <v>10</v>
      </c>
      <c r="AZ13"/>
      <c r="BA13"/>
      <c r="BB13"/>
      <c r="BC13"/>
      <c r="BD13"/>
      <c r="BE13"/>
      <c r="BF13"/>
      <c r="BG13"/>
      <c r="BH13"/>
    </row>
    <row r="14" spans="1:60" ht="17.25" hidden="1" customHeight="1" x14ac:dyDescent="0.25">
      <c r="B14" s="18" t="s">
        <v>185</v>
      </c>
      <c r="C14" s="18" t="s">
        <v>46</v>
      </c>
      <c r="E14" s="1"/>
      <c r="G14" s="26" t="s">
        <v>128</v>
      </c>
      <c r="H14" s="20" t="s">
        <v>128</v>
      </c>
      <c r="I14" s="33" t="s">
        <v>128</v>
      </c>
      <c r="J14" s="32"/>
      <c r="K14" s="20" t="s">
        <v>128</v>
      </c>
      <c r="L14" s="33"/>
      <c r="M14" s="32"/>
      <c r="N14" s="20" t="s">
        <v>128</v>
      </c>
      <c r="O14" s="33"/>
      <c r="P14" s="32"/>
      <c r="Q14" s="20" t="s">
        <v>128</v>
      </c>
      <c r="R14" s="33"/>
      <c r="S14" s="32"/>
      <c r="T14" s="20"/>
      <c r="U14" s="33" t="s">
        <v>128</v>
      </c>
      <c r="V14" s="32"/>
      <c r="W14" s="20"/>
      <c r="X14" s="33" t="s">
        <v>128</v>
      </c>
      <c r="Y14" s="20"/>
      <c r="Z14" s="20"/>
      <c r="AA14" s="27"/>
      <c r="AB14" s="26" t="s">
        <v>128</v>
      </c>
      <c r="AC14" s="20" t="s">
        <v>128</v>
      </c>
      <c r="AD14" s="33" t="s">
        <v>128</v>
      </c>
      <c r="AE14" s="32"/>
      <c r="AF14" s="20" t="s">
        <v>128</v>
      </c>
      <c r="AG14" s="33"/>
      <c r="AH14" s="32"/>
      <c r="AI14" s="20" t="s">
        <v>128</v>
      </c>
      <c r="AJ14" s="33"/>
      <c r="AK14" s="32"/>
      <c r="AL14" s="20" t="s">
        <v>128</v>
      </c>
      <c r="AM14" s="33"/>
      <c r="AN14" s="32"/>
      <c r="AO14" s="20"/>
      <c r="AP14" s="33" t="s">
        <v>128</v>
      </c>
      <c r="AQ14" s="32"/>
      <c r="AR14" s="20"/>
      <c r="AS14" s="33" t="s">
        <v>128</v>
      </c>
      <c r="AT14" s="20"/>
      <c r="AU14" s="20"/>
      <c r="AV14" s="27"/>
      <c r="AW14"/>
      <c r="AX14">
        <f>COUNTIF(AvailabilityMatrix[[#This Row],[1-Mon-AM]:[2-Sun-NIGHT2-2-]],"X")</f>
        <v>16</v>
      </c>
      <c r="AY14">
        <f t="shared" si="1"/>
        <v>10</v>
      </c>
      <c r="AZ14"/>
      <c r="BA14"/>
      <c r="BB14"/>
      <c r="BC14"/>
      <c r="BD14"/>
      <c r="BE14"/>
      <c r="BF14"/>
      <c r="BG14"/>
      <c r="BH14"/>
    </row>
    <row r="15" spans="1:60" ht="17.25" hidden="1" customHeight="1" x14ac:dyDescent="0.25">
      <c r="A15">
        <v>236456</v>
      </c>
      <c r="B15" s="18" t="s">
        <v>48</v>
      </c>
      <c r="C15" s="18" t="s">
        <v>46</v>
      </c>
      <c r="E15" s="1"/>
      <c r="G15" s="26"/>
      <c r="H15" s="20"/>
      <c r="I15" s="33"/>
      <c r="J15" s="32"/>
      <c r="K15" s="20" t="s">
        <v>128</v>
      </c>
      <c r="L15" s="33"/>
      <c r="M15" s="32"/>
      <c r="N15" s="20" t="s">
        <v>128</v>
      </c>
      <c r="O15" s="33"/>
      <c r="P15" s="32" t="s">
        <v>128</v>
      </c>
      <c r="Q15" s="20"/>
      <c r="R15" s="33"/>
      <c r="S15" s="32" t="s">
        <v>128</v>
      </c>
      <c r="T15" s="20"/>
      <c r="U15" s="33"/>
      <c r="V15" s="32"/>
      <c r="W15" s="20"/>
      <c r="X15" s="33"/>
      <c r="Y15" s="20"/>
      <c r="Z15" s="20"/>
      <c r="AA15" s="27"/>
      <c r="AB15" s="26"/>
      <c r="AC15" s="20"/>
      <c r="AD15" s="33"/>
      <c r="AE15" s="32"/>
      <c r="AF15" s="20" t="s">
        <v>128</v>
      </c>
      <c r="AG15" s="33"/>
      <c r="AH15" s="32"/>
      <c r="AI15" s="20" t="s">
        <v>128</v>
      </c>
      <c r="AJ15" s="33"/>
      <c r="AK15" s="32" t="s">
        <v>128</v>
      </c>
      <c r="AL15" s="20"/>
      <c r="AM15" s="33"/>
      <c r="AN15" s="32" t="s">
        <v>128</v>
      </c>
      <c r="AO15" s="20"/>
      <c r="AP15" s="33"/>
      <c r="AQ15" s="32"/>
      <c r="AR15" s="20"/>
      <c r="AS15" s="33"/>
      <c r="AT15" s="20"/>
      <c r="AU15" s="20"/>
      <c r="AV15" s="27"/>
      <c r="AX15">
        <f>COUNTIF(AvailabilityMatrix[[#This Row],[1-Mon-AM]:[2-Sun-NIGHT2-2-]],"X")</f>
        <v>8</v>
      </c>
      <c r="AY15">
        <f t="shared" si="1"/>
        <v>8</v>
      </c>
      <c r="AZ15"/>
      <c r="BA15"/>
      <c r="BB15" t="s">
        <v>159</v>
      </c>
      <c r="BC15"/>
      <c r="BD15"/>
      <c r="BE15"/>
      <c r="BF15"/>
      <c r="BG15"/>
      <c r="BH15"/>
    </row>
    <row r="16" spans="1:60" ht="17.25" hidden="1" customHeight="1" x14ac:dyDescent="0.25">
      <c r="A16"/>
      <c r="B16" s="18" t="s">
        <v>49</v>
      </c>
      <c r="C16" s="18" t="s">
        <v>46</v>
      </c>
      <c r="E16" s="1"/>
      <c r="G16" s="28"/>
      <c r="H16" s="21"/>
      <c r="I16" s="35"/>
      <c r="J16" s="28" t="s">
        <v>128</v>
      </c>
      <c r="K16" s="28" t="s">
        <v>128</v>
      </c>
      <c r="L16" s="35"/>
      <c r="M16" s="34" t="s">
        <v>128</v>
      </c>
      <c r="N16" s="21" t="s">
        <v>128</v>
      </c>
      <c r="O16" s="35"/>
      <c r="P16" s="34" t="s">
        <v>128</v>
      </c>
      <c r="Q16" s="21" t="s">
        <v>128</v>
      </c>
      <c r="R16" s="35"/>
      <c r="S16" s="34" t="s">
        <v>128</v>
      </c>
      <c r="T16" s="21" t="s">
        <v>128</v>
      </c>
      <c r="U16" s="35"/>
      <c r="V16" s="28" t="s">
        <v>128</v>
      </c>
      <c r="W16" s="28" t="s">
        <v>128</v>
      </c>
      <c r="X16" s="35"/>
      <c r="Y16" s="28" t="s">
        <v>128</v>
      </c>
      <c r="Z16" s="28" t="s">
        <v>128</v>
      </c>
      <c r="AA16" s="29"/>
      <c r="AB16" s="28"/>
      <c r="AC16" s="28"/>
      <c r="AD16" s="35"/>
      <c r="AE16" s="28" t="s">
        <v>128</v>
      </c>
      <c r="AF16" s="28" t="s">
        <v>128</v>
      </c>
      <c r="AG16" s="35"/>
      <c r="AH16" s="34" t="s">
        <v>128</v>
      </c>
      <c r="AI16" s="21" t="s">
        <v>128</v>
      </c>
      <c r="AJ16" s="35"/>
      <c r="AK16" s="34" t="s">
        <v>128</v>
      </c>
      <c r="AL16" s="21" t="s">
        <v>128</v>
      </c>
      <c r="AM16" s="35"/>
      <c r="AN16" s="34" t="s">
        <v>128</v>
      </c>
      <c r="AO16" s="21" t="s">
        <v>128</v>
      </c>
      <c r="AP16" s="35"/>
      <c r="AQ16" s="28" t="s">
        <v>128</v>
      </c>
      <c r="AR16" s="21" t="s">
        <v>128</v>
      </c>
      <c r="AS16" s="35"/>
      <c r="AT16" s="21" t="s">
        <v>128</v>
      </c>
      <c r="AU16" s="21" t="s">
        <v>128</v>
      </c>
      <c r="AV16" s="29"/>
      <c r="AW16"/>
      <c r="AX16">
        <f>COUNTIF(AvailabilityMatrix[[#This Row],[1-Mon-AM]:[2-Sun-NIGHT2-2-]],"X")</f>
        <v>24</v>
      </c>
      <c r="AY16">
        <f t="shared" si="1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50</v>
      </c>
      <c r="C17" s="42" t="s">
        <v>46</v>
      </c>
      <c r="D17" s="43"/>
      <c r="E17" s="43"/>
      <c r="F17" s="44"/>
      <c r="G17" s="28"/>
      <c r="H17" s="21"/>
      <c r="I17" s="35"/>
      <c r="J17" s="34"/>
      <c r="K17" s="21"/>
      <c r="L17" s="35"/>
      <c r="M17" s="34"/>
      <c r="N17" s="21"/>
      <c r="O17" s="35" t="s">
        <v>128</v>
      </c>
      <c r="P17" s="34"/>
      <c r="Q17" s="21"/>
      <c r="R17" s="35" t="s">
        <v>128</v>
      </c>
      <c r="S17" s="34"/>
      <c r="T17" s="21"/>
      <c r="U17" s="35" t="s">
        <v>128</v>
      </c>
      <c r="V17" s="34"/>
      <c r="W17" s="21"/>
      <c r="X17" s="35"/>
      <c r="Y17" s="21"/>
      <c r="Z17" s="21"/>
      <c r="AA17" s="29"/>
      <c r="AB17" s="28"/>
      <c r="AC17" s="21"/>
      <c r="AD17" s="35"/>
      <c r="AE17" s="34"/>
      <c r="AF17" s="21"/>
      <c r="AG17" s="35"/>
      <c r="AH17" s="34"/>
      <c r="AI17" s="21"/>
      <c r="AJ17" s="35" t="s">
        <v>128</v>
      </c>
      <c r="AK17" s="34"/>
      <c r="AL17" s="21"/>
      <c r="AM17" s="35" t="s">
        <v>128</v>
      </c>
      <c r="AN17" s="34"/>
      <c r="AO17" s="21"/>
      <c r="AP17" s="35" t="s">
        <v>128</v>
      </c>
      <c r="AQ17" s="34"/>
      <c r="AR17" s="21"/>
      <c r="AS17" s="35"/>
      <c r="AT17" s="21"/>
      <c r="AU17" s="21"/>
      <c r="AV17" s="29"/>
      <c r="AW17"/>
      <c r="AX17">
        <f>COUNTIF(AvailabilityMatrix[[#This Row],[1-Mon-AM]:[2-Sun-NIGHT2-2-]],"X")</f>
        <v>6</v>
      </c>
      <c r="AY17">
        <f t="shared" si="1"/>
        <v>6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181</v>
      </c>
      <c r="C18" s="60" t="s">
        <v>46</v>
      </c>
      <c r="E18" s="1"/>
      <c r="G18" s="26" t="s">
        <v>128</v>
      </c>
      <c r="H18" s="20"/>
      <c r="I18" s="33"/>
      <c r="J18" s="32"/>
      <c r="K18" s="20"/>
      <c r="L18" s="33"/>
      <c r="M18" s="32" t="s">
        <v>128</v>
      </c>
      <c r="N18" s="20"/>
      <c r="O18" s="33"/>
      <c r="P18" s="32"/>
      <c r="Q18" s="20"/>
      <c r="R18" s="33"/>
      <c r="S18" s="32"/>
      <c r="T18" s="20"/>
      <c r="U18" s="33"/>
      <c r="V18" s="32" t="s">
        <v>128</v>
      </c>
      <c r="W18" s="20"/>
      <c r="X18" s="33"/>
      <c r="Y18" s="20" t="s">
        <v>128</v>
      </c>
      <c r="Z18" s="20" t="s">
        <v>128</v>
      </c>
      <c r="AA18" s="27"/>
      <c r="AB18" s="26" t="s">
        <v>128</v>
      </c>
      <c r="AC18" s="20"/>
      <c r="AD18" s="33"/>
      <c r="AE18" s="32"/>
      <c r="AF18" s="20"/>
      <c r="AG18" s="33"/>
      <c r="AH18" s="32" t="s">
        <v>128</v>
      </c>
      <c r="AI18" s="20"/>
      <c r="AJ18" s="33"/>
      <c r="AK18" s="32"/>
      <c r="AL18" s="20"/>
      <c r="AM18" s="33"/>
      <c r="AN18" s="32"/>
      <c r="AO18" s="20"/>
      <c r="AP18" s="33"/>
      <c r="AQ18" s="32" t="s">
        <v>128</v>
      </c>
      <c r="AR18" s="20"/>
      <c r="AS18" s="33"/>
      <c r="AT18" s="20" t="s">
        <v>128</v>
      </c>
      <c r="AU18" s="20" t="s">
        <v>128</v>
      </c>
      <c r="AV18" s="27"/>
      <c r="AW18"/>
      <c r="AX18">
        <f>COUNTIF(AvailabilityMatrix[[#This Row],[1-Mon-AM]:[2-Sun-NIGHT2-2-]],"X")</f>
        <v>10</v>
      </c>
      <c r="AY18">
        <f t="shared" si="1"/>
        <v>10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51</v>
      </c>
      <c r="C19" s="18" t="s">
        <v>46</v>
      </c>
      <c r="E19" s="1"/>
      <c r="G19" s="28"/>
      <c r="H19" s="21"/>
      <c r="I19" s="35"/>
      <c r="J19" s="34"/>
      <c r="K19" s="21"/>
      <c r="L19" s="35"/>
      <c r="M19" s="34"/>
      <c r="N19" s="21"/>
      <c r="O19" s="35"/>
      <c r="P19" s="34"/>
      <c r="Q19" s="21"/>
      <c r="R19" s="35"/>
      <c r="S19" s="34"/>
      <c r="T19" s="21"/>
      <c r="U19" s="35"/>
      <c r="V19" s="21"/>
      <c r="W19" s="21"/>
      <c r="X19" s="35" t="s">
        <v>128</v>
      </c>
      <c r="Y19" s="21"/>
      <c r="Z19" s="21"/>
      <c r="AA19" s="29" t="s">
        <v>128</v>
      </c>
      <c r="AB19" s="28"/>
      <c r="AC19" s="21"/>
      <c r="AD19" s="35"/>
      <c r="AE19" s="34"/>
      <c r="AF19" s="34"/>
      <c r="AG19" s="35"/>
      <c r="AH19" s="34"/>
      <c r="AI19" s="21"/>
      <c r="AJ19" s="35"/>
      <c r="AK19" s="34"/>
      <c r="AL19" s="21"/>
      <c r="AM19" s="35"/>
      <c r="AN19" s="34"/>
      <c r="AO19" s="34"/>
      <c r="AP19" s="35"/>
      <c r="AQ19" s="34"/>
      <c r="AR19" s="21"/>
      <c r="AS19" s="35" t="s">
        <v>128</v>
      </c>
      <c r="AT19" s="21"/>
      <c r="AU19" s="21"/>
      <c r="AV19" s="29" t="s">
        <v>128</v>
      </c>
      <c r="AW19"/>
      <c r="AX19">
        <f>COUNTIF(AvailabilityMatrix[[#This Row],[1-Mon-AM]:[2-Sun-NIGHT2-2-]],"X")</f>
        <v>4</v>
      </c>
      <c r="AY19">
        <f t="shared" si="1"/>
        <v>4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52</v>
      </c>
      <c r="C20" s="42" t="s">
        <v>46</v>
      </c>
      <c r="D20" s="43"/>
      <c r="E20" s="43"/>
      <c r="F20" s="44"/>
      <c r="G20" s="28"/>
      <c r="H20" s="21" t="s">
        <v>128</v>
      </c>
      <c r="I20" s="35"/>
      <c r="J20" s="34"/>
      <c r="K20" s="21"/>
      <c r="L20" s="35"/>
      <c r="M20" s="34"/>
      <c r="N20" s="21"/>
      <c r="O20" s="35"/>
      <c r="P20" s="34" t="s">
        <v>128</v>
      </c>
      <c r="Q20" s="21"/>
      <c r="R20" s="35"/>
      <c r="S20" s="34" t="s">
        <v>128</v>
      </c>
      <c r="T20" s="21"/>
      <c r="U20" s="35"/>
      <c r="V20" s="34" t="s">
        <v>128</v>
      </c>
      <c r="W20" s="21"/>
      <c r="X20" s="35"/>
      <c r="Y20" s="21"/>
      <c r="Z20" s="21" t="s">
        <v>128</v>
      </c>
      <c r="AA20" s="29"/>
      <c r="AB20" s="28"/>
      <c r="AC20" s="21" t="s">
        <v>128</v>
      </c>
      <c r="AD20" s="35"/>
      <c r="AE20" s="34"/>
      <c r="AF20" s="34"/>
      <c r="AG20" s="35"/>
      <c r="AH20" s="34"/>
      <c r="AI20" s="21"/>
      <c r="AJ20" s="35"/>
      <c r="AK20" s="34" t="s">
        <v>128</v>
      </c>
      <c r="AL20" s="21"/>
      <c r="AM20" s="35"/>
      <c r="AN20" s="34" t="s">
        <v>128</v>
      </c>
      <c r="AO20" s="34"/>
      <c r="AP20" s="35"/>
      <c r="AQ20" s="34" t="s">
        <v>128</v>
      </c>
      <c r="AR20" s="21"/>
      <c r="AS20" s="35"/>
      <c r="AT20" s="21"/>
      <c r="AU20" s="21" t="s">
        <v>128</v>
      </c>
      <c r="AV20" s="29"/>
      <c r="AW20"/>
      <c r="AX20">
        <f>COUNTIF(AvailabilityMatrix[[#This Row],[1-Mon-AM]:[2-Sun-NIGHT2-2-]],"X")</f>
        <v>10</v>
      </c>
      <c r="AY20">
        <f t="shared" si="1"/>
        <v>10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53</v>
      </c>
      <c r="C21" s="18" t="s">
        <v>46</v>
      </c>
      <c r="E21" s="1"/>
      <c r="G21" s="28"/>
      <c r="H21" s="21"/>
      <c r="I21" s="35"/>
      <c r="J21" s="34"/>
      <c r="K21" s="21" t="s">
        <v>128</v>
      </c>
      <c r="L21" s="35"/>
      <c r="M21" s="34"/>
      <c r="N21" s="21" t="s">
        <v>128</v>
      </c>
      <c r="O21" s="35"/>
      <c r="P21" s="34"/>
      <c r="Q21" s="21" t="s">
        <v>128</v>
      </c>
      <c r="R21" s="35"/>
      <c r="S21" s="34"/>
      <c r="T21" s="21"/>
      <c r="U21" s="35"/>
      <c r="V21" s="34"/>
      <c r="W21" s="21"/>
      <c r="X21" s="35"/>
      <c r="Y21" s="21"/>
      <c r="Z21" s="21"/>
      <c r="AA21" s="29"/>
      <c r="AB21" s="28"/>
      <c r="AC21" s="21"/>
      <c r="AD21" s="35"/>
      <c r="AE21" s="34"/>
      <c r="AF21" s="21" t="s">
        <v>128</v>
      </c>
      <c r="AG21" s="35"/>
      <c r="AH21" s="34"/>
      <c r="AI21" s="21" t="s">
        <v>128</v>
      </c>
      <c r="AJ21" s="35"/>
      <c r="AK21" s="34"/>
      <c r="AL21" s="21" t="s">
        <v>128</v>
      </c>
      <c r="AM21" s="35"/>
      <c r="AN21" s="34"/>
      <c r="AO21" s="21"/>
      <c r="AP21" s="35"/>
      <c r="AQ21" s="34"/>
      <c r="AR21" s="21"/>
      <c r="AS21" s="35"/>
      <c r="AT21" s="21"/>
      <c r="AU21" s="21"/>
      <c r="AV21" s="29"/>
      <c r="AW21"/>
      <c r="AX21">
        <f>COUNTIF(AvailabilityMatrix[[#This Row],[1-Mon-AM]:[2-Sun-NIGHT2-2-]],"X")</f>
        <v>6</v>
      </c>
      <c r="AY21">
        <f t="shared" si="1"/>
        <v>6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54</v>
      </c>
      <c r="C22" s="18" t="s">
        <v>46</v>
      </c>
      <c r="E22" s="1"/>
      <c r="G22" s="28" t="s">
        <v>128</v>
      </c>
      <c r="H22" s="21"/>
      <c r="I22" s="35"/>
      <c r="J22" s="34" t="s">
        <v>128</v>
      </c>
      <c r="K22" s="21"/>
      <c r="L22" s="35"/>
      <c r="M22" s="34"/>
      <c r="N22" s="21" t="s">
        <v>128</v>
      </c>
      <c r="O22" s="35"/>
      <c r="P22" s="34" t="s">
        <v>128</v>
      </c>
      <c r="Q22" s="21"/>
      <c r="R22" s="35"/>
      <c r="S22" s="34" t="s">
        <v>128</v>
      </c>
      <c r="T22" s="21"/>
      <c r="U22" s="35"/>
      <c r="V22" s="34"/>
      <c r="W22" s="21"/>
      <c r="X22" s="35"/>
      <c r="Y22" s="21"/>
      <c r="Z22" s="21"/>
      <c r="AA22" s="29"/>
      <c r="AB22" s="28" t="s">
        <v>128</v>
      </c>
      <c r="AC22" s="21"/>
      <c r="AD22" s="35"/>
      <c r="AE22" s="34" t="s">
        <v>128</v>
      </c>
      <c r="AF22" s="21"/>
      <c r="AG22" s="35"/>
      <c r="AH22" s="34"/>
      <c r="AI22" s="21" t="s">
        <v>128</v>
      </c>
      <c r="AJ22" s="35"/>
      <c r="AK22" s="34" t="s">
        <v>128</v>
      </c>
      <c r="AL22" s="21"/>
      <c r="AM22" s="35"/>
      <c r="AN22" s="34" t="s">
        <v>128</v>
      </c>
      <c r="AO22" s="21"/>
      <c r="AP22" s="35"/>
      <c r="AQ22" s="34"/>
      <c r="AR22" s="21"/>
      <c r="AS22" s="35"/>
      <c r="AT22" s="21"/>
      <c r="AU22" s="21"/>
      <c r="AV22" s="29"/>
      <c r="AW22"/>
      <c r="AX22">
        <f>COUNTIF(AvailabilityMatrix[[#This Row],[1-Mon-AM]:[2-Sun-NIGHT2-2-]],"X")</f>
        <v>10</v>
      </c>
      <c r="AY22">
        <f t="shared" si="1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55</v>
      </c>
      <c r="C23" s="18" t="s">
        <v>46</v>
      </c>
      <c r="E23" s="1"/>
      <c r="G23" s="28"/>
      <c r="H23" s="21" t="s">
        <v>128</v>
      </c>
      <c r="I23" s="35"/>
      <c r="J23" s="34"/>
      <c r="K23" s="21" t="s">
        <v>128</v>
      </c>
      <c r="L23" s="35"/>
      <c r="M23" s="34" t="s">
        <v>128</v>
      </c>
      <c r="N23" s="21"/>
      <c r="O23" s="35"/>
      <c r="P23" s="34"/>
      <c r="Q23" s="21"/>
      <c r="R23" s="35"/>
      <c r="S23" s="34"/>
      <c r="T23" s="21" t="s">
        <v>128</v>
      </c>
      <c r="U23" s="35"/>
      <c r="V23" s="34"/>
      <c r="W23" s="21" t="s">
        <v>128</v>
      </c>
      <c r="X23" s="35"/>
      <c r="Y23" s="21"/>
      <c r="Z23" s="21"/>
      <c r="AA23" s="29"/>
      <c r="AB23" s="28"/>
      <c r="AC23" s="21" t="s">
        <v>128</v>
      </c>
      <c r="AD23" s="35"/>
      <c r="AE23" s="34"/>
      <c r="AF23" s="21" t="s">
        <v>128</v>
      </c>
      <c r="AG23" s="35"/>
      <c r="AH23" s="34" t="s">
        <v>128</v>
      </c>
      <c r="AI23" s="21"/>
      <c r="AJ23" s="35"/>
      <c r="AK23" s="34"/>
      <c r="AL23" s="21"/>
      <c r="AM23" s="35"/>
      <c r="AN23" s="34"/>
      <c r="AO23" s="21" t="s">
        <v>128</v>
      </c>
      <c r="AP23" s="35"/>
      <c r="AQ23" s="34"/>
      <c r="AR23" s="21" t="s">
        <v>128</v>
      </c>
      <c r="AS23" s="35"/>
      <c r="AT23" s="21"/>
      <c r="AU23" s="21"/>
      <c r="AV23" s="29"/>
      <c r="AW23"/>
      <c r="AX23">
        <f>COUNTIF(AvailabilityMatrix[[#This Row],[1-Mon-AM]:[2-Sun-NIGHT2-2-]],"X")</f>
        <v>10</v>
      </c>
      <c r="AY23">
        <f t="shared" si="1"/>
        <v>10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59" t="s">
        <v>114</v>
      </c>
      <c r="C24" s="60" t="s">
        <v>45</v>
      </c>
      <c r="E24" s="1"/>
      <c r="G24" s="26" t="s">
        <v>128</v>
      </c>
      <c r="H24" s="20"/>
      <c r="I24" s="33"/>
      <c r="J24" s="32"/>
      <c r="K24" s="20" t="s">
        <v>128</v>
      </c>
      <c r="L24" s="33"/>
      <c r="M24" s="32"/>
      <c r="N24" s="20" t="s">
        <v>128</v>
      </c>
      <c r="O24" s="33"/>
      <c r="P24" s="32" t="s">
        <v>128</v>
      </c>
      <c r="Q24" s="20" t="s">
        <v>128</v>
      </c>
      <c r="R24" s="33"/>
      <c r="S24" s="32" t="s">
        <v>128</v>
      </c>
      <c r="T24" s="20" t="s">
        <v>128</v>
      </c>
      <c r="U24" s="33"/>
      <c r="V24" s="32"/>
      <c r="W24" s="20" t="s">
        <v>128</v>
      </c>
      <c r="X24" s="33"/>
      <c r="Y24" s="20"/>
      <c r="Z24" s="20" t="s">
        <v>128</v>
      </c>
      <c r="AA24" s="27"/>
      <c r="AB24" s="26" t="s">
        <v>128</v>
      </c>
      <c r="AC24" s="20"/>
      <c r="AD24" s="33"/>
      <c r="AE24" s="32"/>
      <c r="AF24" s="20" t="s">
        <v>128</v>
      </c>
      <c r="AG24" s="33"/>
      <c r="AH24" s="32"/>
      <c r="AI24" s="20" t="s">
        <v>128</v>
      </c>
      <c r="AJ24" s="33"/>
      <c r="AK24" s="32" t="s">
        <v>128</v>
      </c>
      <c r="AL24" s="20" t="s">
        <v>128</v>
      </c>
      <c r="AM24" s="33"/>
      <c r="AN24" s="32" t="s">
        <v>128</v>
      </c>
      <c r="AO24" s="20" t="s">
        <v>128</v>
      </c>
      <c r="AP24" s="33"/>
      <c r="AQ24" s="32"/>
      <c r="AR24" s="20" t="s">
        <v>128</v>
      </c>
      <c r="AS24" s="33"/>
      <c r="AT24" s="20"/>
      <c r="AU24" s="20" t="s">
        <v>128</v>
      </c>
      <c r="AV24" s="27"/>
      <c r="AW24"/>
      <c r="AX24">
        <f>COUNTIF(AvailabilityMatrix[[#This Row],[1-Mon-AM]:[2-Sun-NIGHT2-2-]],"X")</f>
        <v>18</v>
      </c>
      <c r="AY24">
        <f t="shared" si="1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56</v>
      </c>
      <c r="C25" s="18" t="s">
        <v>46</v>
      </c>
      <c r="E25" s="1"/>
      <c r="G25" s="28"/>
      <c r="H25" s="21"/>
      <c r="I25" s="35"/>
      <c r="J25" s="34"/>
      <c r="K25" s="21"/>
      <c r="L25" s="35"/>
      <c r="M25" s="34"/>
      <c r="N25" s="21"/>
      <c r="O25" s="35"/>
      <c r="P25" s="34" t="s">
        <v>128</v>
      </c>
      <c r="Q25" s="21"/>
      <c r="R25" s="35"/>
      <c r="S25" s="34" t="s">
        <v>128</v>
      </c>
      <c r="T25" s="21"/>
      <c r="U25" s="35"/>
      <c r="V25" s="34"/>
      <c r="W25" s="21"/>
      <c r="X25" s="35"/>
      <c r="Y25" s="21"/>
      <c r="Z25" s="21" t="s">
        <v>128</v>
      </c>
      <c r="AA25" s="29"/>
      <c r="AB25" s="28" t="s">
        <v>128</v>
      </c>
      <c r="AC25" s="21"/>
      <c r="AD25" s="35"/>
      <c r="AE25" s="34"/>
      <c r="AF25" s="21"/>
      <c r="AG25" s="35"/>
      <c r="AH25" s="34"/>
      <c r="AI25" s="21"/>
      <c r="AJ25" s="35"/>
      <c r="AK25" s="34" t="s">
        <v>128</v>
      </c>
      <c r="AL25" s="21"/>
      <c r="AM25" s="35"/>
      <c r="AN25" s="34"/>
      <c r="AO25" s="21" t="s">
        <v>128</v>
      </c>
      <c r="AP25" s="35"/>
      <c r="AQ25" s="34" t="s">
        <v>128</v>
      </c>
      <c r="AR25" s="21"/>
      <c r="AS25" s="35"/>
      <c r="AT25" s="21"/>
      <c r="AU25" s="21"/>
      <c r="AV25" s="29"/>
      <c r="AW25"/>
      <c r="AX25">
        <f>COUNTIF(AvailabilityMatrix[[#This Row],[1-Mon-AM]:[2-Sun-NIGHT2-2-]],"X")</f>
        <v>7</v>
      </c>
      <c r="AY25">
        <f t="shared" si="1"/>
        <v>7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135</v>
      </c>
      <c r="C26" s="18" t="s">
        <v>46</v>
      </c>
      <c r="E26" s="1"/>
      <c r="G26" s="26"/>
      <c r="H26" s="20"/>
      <c r="I26" s="33"/>
      <c r="J26" s="32"/>
      <c r="K26" s="20"/>
      <c r="L26" s="33"/>
      <c r="M26" s="32"/>
      <c r="N26" s="20"/>
      <c r="O26" s="33"/>
      <c r="P26" s="32"/>
      <c r="Q26" s="20"/>
      <c r="R26" s="33"/>
      <c r="S26" s="32"/>
      <c r="T26" s="20"/>
      <c r="U26" s="33"/>
      <c r="V26" s="32"/>
      <c r="W26" s="20"/>
      <c r="X26" s="33" t="s">
        <v>128</v>
      </c>
      <c r="Y26" s="20"/>
      <c r="Z26" s="20"/>
      <c r="AA26" s="27" t="s">
        <v>128</v>
      </c>
      <c r="AB26" s="26"/>
      <c r="AC26" s="20"/>
      <c r="AD26" s="33"/>
      <c r="AE26" s="32"/>
      <c r="AF26" s="20"/>
      <c r="AG26" s="33"/>
      <c r="AH26" s="32"/>
      <c r="AI26" s="20"/>
      <c r="AJ26" s="33"/>
      <c r="AK26" s="32"/>
      <c r="AL26" s="20"/>
      <c r="AM26" s="33"/>
      <c r="AN26" s="32"/>
      <c r="AO26" s="20"/>
      <c r="AP26" s="33"/>
      <c r="AQ26" s="32"/>
      <c r="AR26" s="20"/>
      <c r="AS26" s="33" t="s">
        <v>128</v>
      </c>
      <c r="AT26" s="20"/>
      <c r="AU26" s="20"/>
      <c r="AV26" s="27" t="s">
        <v>128</v>
      </c>
      <c r="AW26"/>
      <c r="AX26">
        <f>COUNTIF(AvailabilityMatrix[[#This Row],[1-Mon-AM]:[2-Sun-NIGHT2-2-]],"X")</f>
        <v>4</v>
      </c>
      <c r="AY26">
        <f t="shared" si="1"/>
        <v>4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58</v>
      </c>
      <c r="C27" s="18" t="s">
        <v>46</v>
      </c>
      <c r="E27" s="1"/>
      <c r="G27" s="28"/>
      <c r="H27" s="21"/>
      <c r="I27" s="35"/>
      <c r="J27" s="34" t="s">
        <v>128</v>
      </c>
      <c r="K27" s="21"/>
      <c r="L27" s="35"/>
      <c r="M27" s="34" t="s">
        <v>128</v>
      </c>
      <c r="N27" s="21"/>
      <c r="O27" s="35"/>
      <c r="P27" s="34" t="s">
        <v>128</v>
      </c>
      <c r="Q27" s="21"/>
      <c r="R27" s="35"/>
      <c r="S27" s="34" t="s">
        <v>128</v>
      </c>
      <c r="T27" s="21"/>
      <c r="U27" s="35"/>
      <c r="V27" s="34" t="s">
        <v>128</v>
      </c>
      <c r="W27" s="21"/>
      <c r="X27" s="35"/>
      <c r="Y27" s="21"/>
      <c r="Z27" s="21"/>
      <c r="AA27" s="29"/>
      <c r="AB27" s="28"/>
      <c r="AC27" s="21"/>
      <c r="AD27" s="35"/>
      <c r="AE27" s="34" t="s">
        <v>128</v>
      </c>
      <c r="AF27" s="21"/>
      <c r="AG27" s="35"/>
      <c r="AH27" s="34" t="s">
        <v>128</v>
      </c>
      <c r="AI27" s="21"/>
      <c r="AJ27" s="35"/>
      <c r="AK27" s="34" t="s">
        <v>128</v>
      </c>
      <c r="AL27" s="21"/>
      <c r="AM27" s="35"/>
      <c r="AN27" s="34" t="s">
        <v>128</v>
      </c>
      <c r="AO27" s="21"/>
      <c r="AP27" s="35"/>
      <c r="AQ27" s="34" t="s">
        <v>128</v>
      </c>
      <c r="AR27" s="21"/>
      <c r="AS27" s="35"/>
      <c r="AT27" s="21"/>
      <c r="AU27" s="21"/>
      <c r="AV27" s="29"/>
      <c r="AW27"/>
      <c r="AX27">
        <f>COUNTIF(AvailabilityMatrix[[#This Row],[1-Mon-AM]:[2-Sun-NIGHT2-2-]],"X")</f>
        <v>10</v>
      </c>
      <c r="AY27">
        <f t="shared" si="1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59</v>
      </c>
      <c r="C28" s="18" t="s">
        <v>46</v>
      </c>
      <c r="E28" s="1"/>
      <c r="G28" s="28"/>
      <c r="H28" s="21" t="s">
        <v>128</v>
      </c>
      <c r="I28" s="35"/>
      <c r="J28" s="34"/>
      <c r="K28" s="21" t="s">
        <v>128</v>
      </c>
      <c r="L28" s="35"/>
      <c r="M28" s="34"/>
      <c r="N28" s="21"/>
      <c r="O28" s="35"/>
      <c r="P28" s="34"/>
      <c r="Q28" s="21"/>
      <c r="R28" s="35"/>
      <c r="S28" s="34"/>
      <c r="T28" s="21" t="s">
        <v>128</v>
      </c>
      <c r="U28" s="35"/>
      <c r="V28" s="34"/>
      <c r="W28" s="21" t="s">
        <v>128</v>
      </c>
      <c r="X28" s="35"/>
      <c r="Y28" s="21"/>
      <c r="Z28" s="21" t="s">
        <v>128</v>
      </c>
      <c r="AA28" s="29"/>
      <c r="AB28" s="28"/>
      <c r="AC28" s="21" t="s">
        <v>128</v>
      </c>
      <c r="AD28" s="35"/>
      <c r="AE28" s="34"/>
      <c r="AF28" s="21" t="s">
        <v>128</v>
      </c>
      <c r="AG28" s="35"/>
      <c r="AH28" s="34"/>
      <c r="AI28" s="21"/>
      <c r="AJ28" s="35"/>
      <c r="AK28" s="34"/>
      <c r="AL28" s="21"/>
      <c r="AM28" s="35"/>
      <c r="AN28" s="34"/>
      <c r="AO28" s="21" t="s">
        <v>128</v>
      </c>
      <c r="AP28" s="35"/>
      <c r="AQ28" s="34"/>
      <c r="AR28" s="21" t="s">
        <v>128</v>
      </c>
      <c r="AS28" s="35"/>
      <c r="AT28" s="21"/>
      <c r="AU28" s="21" t="s">
        <v>128</v>
      </c>
      <c r="AV28" s="29"/>
      <c r="AW28"/>
      <c r="AX28">
        <f>COUNTIF(AvailabilityMatrix[[#This Row],[1-Mon-AM]:[2-Sun-NIGHT2-2-]],"X")</f>
        <v>10</v>
      </c>
      <c r="AY28">
        <f t="shared" si="1"/>
        <v>10</v>
      </c>
      <c r="AZ28"/>
      <c r="BA28"/>
      <c r="BB28"/>
      <c r="BC28"/>
      <c r="BD28"/>
      <c r="BE28"/>
      <c r="BF28"/>
      <c r="BG28"/>
      <c r="BH28"/>
    </row>
    <row r="29" spans="1:60" ht="17.25" customHeight="1" x14ac:dyDescent="0.25">
      <c r="A29" s="19"/>
      <c r="B29" s="18" t="s">
        <v>61</v>
      </c>
      <c r="C29" s="18" t="s">
        <v>46</v>
      </c>
      <c r="E29" s="1"/>
      <c r="G29" s="26" t="s">
        <v>128</v>
      </c>
      <c r="H29" s="20" t="s">
        <v>128</v>
      </c>
      <c r="I29" s="33"/>
      <c r="J29" s="32" t="s">
        <v>128</v>
      </c>
      <c r="K29" s="20" t="s">
        <v>128</v>
      </c>
      <c r="L29" s="33"/>
      <c r="M29" s="32" t="s">
        <v>128</v>
      </c>
      <c r="N29" s="20" t="s">
        <v>128</v>
      </c>
      <c r="O29" s="33"/>
      <c r="P29" s="32"/>
      <c r="Q29" s="20"/>
      <c r="R29" s="33"/>
      <c r="S29" s="32"/>
      <c r="T29" s="20"/>
      <c r="U29" s="33"/>
      <c r="V29" s="32" t="s">
        <v>128</v>
      </c>
      <c r="W29" s="20" t="s">
        <v>128</v>
      </c>
      <c r="X29" s="33"/>
      <c r="Y29" s="20" t="s">
        <v>128</v>
      </c>
      <c r="Z29" s="20" t="s">
        <v>128</v>
      </c>
      <c r="AA29" s="27"/>
      <c r="AB29" s="26" t="s">
        <v>128</v>
      </c>
      <c r="AC29" s="20" t="s">
        <v>128</v>
      </c>
      <c r="AD29" s="33"/>
      <c r="AE29" s="32" t="s">
        <v>128</v>
      </c>
      <c r="AF29" s="20" t="s">
        <v>128</v>
      </c>
      <c r="AG29" s="33"/>
      <c r="AH29" s="32" t="s">
        <v>128</v>
      </c>
      <c r="AI29" s="20" t="s">
        <v>128</v>
      </c>
      <c r="AJ29" s="33"/>
      <c r="AK29" s="32"/>
      <c r="AL29" s="20"/>
      <c r="AM29" s="33"/>
      <c r="AN29" s="32"/>
      <c r="AO29" s="20"/>
      <c r="AP29" s="33"/>
      <c r="AQ29" s="32" t="s">
        <v>128</v>
      </c>
      <c r="AR29" s="20" t="s">
        <v>128</v>
      </c>
      <c r="AS29" s="33"/>
      <c r="AT29" s="20" t="s">
        <v>128</v>
      </c>
      <c r="AU29" s="20" t="s">
        <v>128</v>
      </c>
      <c r="AV29" s="27"/>
      <c r="AW29"/>
      <c r="AX29">
        <f>COUNTIF(AvailabilityMatrix[[#This Row],[1-Mon-AM]:[2-Sun-NIGHT2-2-]],"X")</f>
        <v>20</v>
      </c>
      <c r="AY29">
        <f t="shared" si="1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62</v>
      </c>
      <c r="C30" s="18" t="s">
        <v>46</v>
      </c>
      <c r="E30" s="1"/>
      <c r="G30" s="26"/>
      <c r="H30" s="20"/>
      <c r="I30" s="33"/>
      <c r="J30" s="32" t="s">
        <v>128</v>
      </c>
      <c r="K30" s="20"/>
      <c r="L30" s="33"/>
      <c r="M30" s="32"/>
      <c r="N30" s="20"/>
      <c r="O30" s="33"/>
      <c r="P30" s="32"/>
      <c r="Q30" s="20"/>
      <c r="R30" s="33"/>
      <c r="S30" s="32"/>
      <c r="T30" s="20" t="s">
        <v>128</v>
      </c>
      <c r="U30" s="33"/>
      <c r="V30" s="32" t="s">
        <v>128</v>
      </c>
      <c r="W30" s="20"/>
      <c r="X30" s="33"/>
      <c r="Y30" s="20"/>
      <c r="Z30" s="20"/>
      <c r="AA30" s="27"/>
      <c r="AB30" s="26"/>
      <c r="AC30" s="20"/>
      <c r="AD30" s="33"/>
      <c r="AE30" s="32" t="s">
        <v>128</v>
      </c>
      <c r="AF30" s="20"/>
      <c r="AG30" s="33"/>
      <c r="AH30" s="32"/>
      <c r="AI30" s="20"/>
      <c r="AJ30" s="33"/>
      <c r="AK30" s="32"/>
      <c r="AL30" s="20"/>
      <c r="AM30" s="33"/>
      <c r="AN30" s="32"/>
      <c r="AO30" s="20" t="s">
        <v>128</v>
      </c>
      <c r="AP30" s="33"/>
      <c r="AQ30" s="32" t="s">
        <v>128</v>
      </c>
      <c r="AR30" s="20"/>
      <c r="AS30" s="33"/>
      <c r="AT30" s="20"/>
      <c r="AU30" s="20"/>
      <c r="AV30" s="27"/>
      <c r="AW30"/>
      <c r="AX30">
        <f>COUNTIF(AvailabilityMatrix[[#This Row],[1-Mon-AM]:[2-Sun-NIGHT2-2-]],"X")</f>
        <v>6</v>
      </c>
      <c r="AY30">
        <f t="shared" si="1"/>
        <v>6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63</v>
      </c>
      <c r="C31" s="18" t="s">
        <v>46</v>
      </c>
      <c r="E31" s="1"/>
      <c r="G31" s="26"/>
      <c r="H31" s="20"/>
      <c r="I31" s="33"/>
      <c r="J31" s="32"/>
      <c r="K31" s="20" t="s">
        <v>128</v>
      </c>
      <c r="L31" s="33"/>
      <c r="M31" s="32" t="s">
        <v>128</v>
      </c>
      <c r="N31" s="20"/>
      <c r="O31" s="33"/>
      <c r="P31" s="32"/>
      <c r="Q31" s="20" t="s">
        <v>128</v>
      </c>
      <c r="R31" s="33"/>
      <c r="S31" s="32"/>
      <c r="T31" s="20" t="s">
        <v>128</v>
      </c>
      <c r="U31" s="33"/>
      <c r="V31" s="32"/>
      <c r="W31" s="20"/>
      <c r="X31" s="33"/>
      <c r="Y31" s="20"/>
      <c r="Z31" s="20"/>
      <c r="AA31" s="27"/>
      <c r="AB31" s="26"/>
      <c r="AC31" s="20"/>
      <c r="AD31" s="33"/>
      <c r="AE31" s="32"/>
      <c r="AF31" s="20" t="s">
        <v>128</v>
      </c>
      <c r="AG31" s="33"/>
      <c r="AH31" s="32" t="s">
        <v>128</v>
      </c>
      <c r="AI31" s="20"/>
      <c r="AJ31" s="33"/>
      <c r="AK31" s="32"/>
      <c r="AL31" s="20" t="s">
        <v>128</v>
      </c>
      <c r="AM31" s="33"/>
      <c r="AN31" s="32"/>
      <c r="AO31" s="20" t="s">
        <v>128</v>
      </c>
      <c r="AP31" s="33"/>
      <c r="AQ31" s="32"/>
      <c r="AR31" s="20"/>
      <c r="AS31" s="33"/>
      <c r="AT31" s="20"/>
      <c r="AU31" s="20"/>
      <c r="AV31" s="27"/>
      <c r="AW31"/>
      <c r="AX31">
        <f>COUNTIF(AvailabilityMatrix[[#This Row],[1-Mon-AM]:[2-Sun-NIGHT2-2-]],"X")</f>
        <v>8</v>
      </c>
      <c r="AY31">
        <f t="shared" si="1"/>
        <v>8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64</v>
      </c>
      <c r="C32" s="18" t="s">
        <v>46</v>
      </c>
      <c r="E32" s="1"/>
      <c r="G32" s="26"/>
      <c r="H32" s="20"/>
      <c r="I32" s="33"/>
      <c r="J32" s="32"/>
      <c r="K32" s="20"/>
      <c r="L32" s="33"/>
      <c r="M32" s="32"/>
      <c r="N32" s="20" t="s">
        <v>128</v>
      </c>
      <c r="O32" s="33"/>
      <c r="P32" s="32"/>
      <c r="Q32" s="20" t="s">
        <v>128</v>
      </c>
      <c r="R32" s="33"/>
      <c r="S32" s="32"/>
      <c r="T32" s="20" t="s">
        <v>128</v>
      </c>
      <c r="U32" s="33"/>
      <c r="V32" s="32" t="s">
        <v>128</v>
      </c>
      <c r="W32" s="20"/>
      <c r="X32" s="33"/>
      <c r="Y32" s="20" t="s">
        <v>128</v>
      </c>
      <c r="Z32" s="20"/>
      <c r="AA32" s="27"/>
      <c r="AB32" s="26"/>
      <c r="AC32" s="20"/>
      <c r="AD32" s="33"/>
      <c r="AE32" s="32"/>
      <c r="AF32" s="20"/>
      <c r="AG32" s="33"/>
      <c r="AH32" s="32"/>
      <c r="AI32" s="20" t="s">
        <v>128</v>
      </c>
      <c r="AJ32" s="33"/>
      <c r="AK32" s="32"/>
      <c r="AL32" s="20" t="s">
        <v>128</v>
      </c>
      <c r="AM32" s="33"/>
      <c r="AN32" s="32"/>
      <c r="AO32" s="20" t="s">
        <v>128</v>
      </c>
      <c r="AP32" s="33"/>
      <c r="AQ32" s="32" t="s">
        <v>128</v>
      </c>
      <c r="AR32" s="20"/>
      <c r="AS32" s="33"/>
      <c r="AT32" s="20" t="s">
        <v>128</v>
      </c>
      <c r="AU32" s="20"/>
      <c r="AV32" s="27"/>
      <c r="AW32"/>
      <c r="AX32">
        <f>COUNTIF(AvailabilityMatrix[[#This Row],[1-Mon-AM]:[2-Sun-NIGHT2-2-]],"X")</f>
        <v>10</v>
      </c>
      <c r="AY32">
        <f t="shared" si="1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65</v>
      </c>
      <c r="C33" s="18" t="s">
        <v>46</v>
      </c>
      <c r="E33" s="1"/>
      <c r="G33" s="26" t="s">
        <v>128</v>
      </c>
      <c r="H33" s="20" t="s">
        <v>128</v>
      </c>
      <c r="I33" s="33"/>
      <c r="J33" s="32" t="s">
        <v>128</v>
      </c>
      <c r="K33" s="20" t="s">
        <v>128</v>
      </c>
      <c r="L33" s="33"/>
      <c r="M33" s="32" t="s">
        <v>128</v>
      </c>
      <c r="N33" s="20"/>
      <c r="O33" s="33"/>
      <c r="P33" s="32" t="s">
        <v>128</v>
      </c>
      <c r="Q33" s="20"/>
      <c r="R33" s="33"/>
      <c r="S33" s="32" t="s">
        <v>128</v>
      </c>
      <c r="T33" s="20" t="s">
        <v>128</v>
      </c>
      <c r="U33" s="33"/>
      <c r="V33" s="32" t="s">
        <v>128</v>
      </c>
      <c r="W33" s="20" t="s">
        <v>128</v>
      </c>
      <c r="X33" s="33"/>
      <c r="Y33" s="20" t="s">
        <v>128</v>
      </c>
      <c r="Z33" s="20" t="s">
        <v>128</v>
      </c>
      <c r="AA33" s="27"/>
      <c r="AB33" s="26" t="s">
        <v>128</v>
      </c>
      <c r="AC33" s="20" t="s">
        <v>128</v>
      </c>
      <c r="AD33" s="33"/>
      <c r="AE33" s="32" t="s">
        <v>128</v>
      </c>
      <c r="AF33" s="20" t="s">
        <v>128</v>
      </c>
      <c r="AG33" s="33"/>
      <c r="AH33" s="32" t="s">
        <v>128</v>
      </c>
      <c r="AI33" s="20"/>
      <c r="AJ33" s="33"/>
      <c r="AK33" s="32" t="s">
        <v>128</v>
      </c>
      <c r="AL33" s="20"/>
      <c r="AM33" s="33"/>
      <c r="AN33" s="32" t="s">
        <v>128</v>
      </c>
      <c r="AO33" s="20" t="s">
        <v>128</v>
      </c>
      <c r="AP33" s="33"/>
      <c r="AQ33" s="32" t="s">
        <v>128</v>
      </c>
      <c r="AR33" s="20" t="s">
        <v>128</v>
      </c>
      <c r="AS33" s="33"/>
      <c r="AT33" s="20" t="s">
        <v>128</v>
      </c>
      <c r="AU33" s="20" t="s">
        <v>128</v>
      </c>
      <c r="AV33" s="27"/>
      <c r="AW33"/>
      <c r="AX33">
        <f>COUNTIF(AvailabilityMatrix[[#This Row],[1-Mon-AM]:[2-Sun-NIGHT2-2-]],"X")</f>
        <v>24</v>
      </c>
      <c r="AY33">
        <f t="shared" si="1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66</v>
      </c>
      <c r="C34" s="18" t="s">
        <v>46</v>
      </c>
      <c r="E34" s="1"/>
      <c r="G34" s="26"/>
      <c r="H34" s="20"/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 t="s">
        <v>128</v>
      </c>
      <c r="T34" s="20"/>
      <c r="U34" s="33"/>
      <c r="V34" s="32" t="s">
        <v>128</v>
      </c>
      <c r="W34" s="20"/>
      <c r="X34" s="33"/>
      <c r="Y34" s="20"/>
      <c r="Z34" s="20"/>
      <c r="AA34" s="27"/>
      <c r="AB34" s="26"/>
      <c r="AC34" s="20"/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 t="s">
        <v>128</v>
      </c>
      <c r="AO34" s="20"/>
      <c r="AP34" s="33"/>
      <c r="AQ34" s="32" t="s">
        <v>128</v>
      </c>
      <c r="AR34" s="20"/>
      <c r="AS34" s="33"/>
      <c r="AT34" s="20"/>
      <c r="AU34" s="20"/>
      <c r="AV34" s="27"/>
      <c r="AW34"/>
      <c r="AX34">
        <f>COUNTIF(AvailabilityMatrix[[#This Row],[1-Mon-AM]:[2-Sun-NIGHT2-2-]],"X")</f>
        <v>10</v>
      </c>
      <c r="AY34">
        <f t="shared" si="1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67</v>
      </c>
      <c r="C35" s="18" t="s">
        <v>46</v>
      </c>
      <c r="E35" s="1"/>
      <c r="G35" s="26"/>
      <c r="H35" s="20" t="s">
        <v>128</v>
      </c>
      <c r="I35" s="33"/>
      <c r="J35" s="32"/>
      <c r="K35" s="20"/>
      <c r="L35" s="33"/>
      <c r="M35" s="32"/>
      <c r="N35" s="20"/>
      <c r="O35" s="33"/>
      <c r="P35" s="32"/>
      <c r="Q35" s="20" t="s">
        <v>128</v>
      </c>
      <c r="R35" s="33"/>
      <c r="S35" s="32"/>
      <c r="T35" s="20" t="s">
        <v>128</v>
      </c>
      <c r="U35" s="33"/>
      <c r="V35" s="32"/>
      <c r="W35" s="20" t="s">
        <v>128</v>
      </c>
      <c r="X35" s="33"/>
      <c r="Y35" s="20"/>
      <c r="Z35" s="20" t="s">
        <v>128</v>
      </c>
      <c r="AA35" s="27"/>
      <c r="AB35" s="26"/>
      <c r="AC35" s="20" t="s">
        <v>128</v>
      </c>
      <c r="AD35" s="33"/>
      <c r="AE35" s="32"/>
      <c r="AF35" s="20"/>
      <c r="AG35" s="33"/>
      <c r="AH35" s="32"/>
      <c r="AI35" s="20"/>
      <c r="AJ35" s="33"/>
      <c r="AK35" s="32"/>
      <c r="AL35" s="20" t="s">
        <v>128</v>
      </c>
      <c r="AM35" s="33"/>
      <c r="AN35" s="32"/>
      <c r="AO35" s="20" t="s">
        <v>128</v>
      </c>
      <c r="AP35" s="33"/>
      <c r="AQ35" s="32"/>
      <c r="AR35" s="20" t="s">
        <v>128</v>
      </c>
      <c r="AS35" s="33"/>
      <c r="AT35" s="20"/>
      <c r="AU35" s="20" t="s">
        <v>128</v>
      </c>
      <c r="AV35" s="27"/>
      <c r="AW35"/>
      <c r="AX35">
        <f>COUNTIF(AvailabilityMatrix[[#This Row],[1-Mon-AM]:[2-Sun-NIGHT2-2-]],"X")</f>
        <v>10</v>
      </c>
      <c r="AY35">
        <f t="shared" si="1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69</v>
      </c>
      <c r="C36" s="18" t="s">
        <v>46</v>
      </c>
      <c r="E36" s="1"/>
      <c r="G36" s="26"/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 t="s">
        <v>128</v>
      </c>
      <c r="T36" s="20"/>
      <c r="U36" s="33"/>
      <c r="V36" s="32" t="s">
        <v>128</v>
      </c>
      <c r="W36" s="20"/>
      <c r="X36" s="33"/>
      <c r="Y36" s="20"/>
      <c r="Z36" s="20"/>
      <c r="AA36" s="27"/>
      <c r="AB36" s="26"/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 t="s">
        <v>128</v>
      </c>
      <c r="AO36" s="20"/>
      <c r="AP36" s="33"/>
      <c r="AQ36" s="32" t="s">
        <v>128</v>
      </c>
      <c r="AR36" s="20"/>
      <c r="AS36" s="33"/>
      <c r="AT36" s="20"/>
      <c r="AU36" s="20"/>
      <c r="AV36" s="27"/>
      <c r="AW36"/>
      <c r="AX36">
        <f>COUNTIF(AvailabilityMatrix[[#This Row],[1-Mon-AM]:[2-Sun-NIGHT2-2-]],"X")</f>
        <v>10</v>
      </c>
      <c r="AY36">
        <f t="shared" si="1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70</v>
      </c>
      <c r="C37" s="18" t="s">
        <v>46</v>
      </c>
      <c r="E37" s="1"/>
      <c r="G37" s="26" t="s">
        <v>128</v>
      </c>
      <c r="H37" s="20"/>
      <c r="I37" s="33"/>
      <c r="J37" s="32"/>
      <c r="K37" s="20"/>
      <c r="L37" s="33"/>
      <c r="M37" s="32"/>
      <c r="N37" s="20"/>
      <c r="O37" s="33"/>
      <c r="P37" s="32" t="s">
        <v>128</v>
      </c>
      <c r="Q37" s="20"/>
      <c r="R37" s="33"/>
      <c r="S37" s="32" t="s">
        <v>128</v>
      </c>
      <c r="T37" s="20"/>
      <c r="U37" s="33"/>
      <c r="V37" s="32" t="s">
        <v>128</v>
      </c>
      <c r="W37" s="20"/>
      <c r="X37" s="33"/>
      <c r="Y37" s="20" t="s">
        <v>128</v>
      </c>
      <c r="Z37" s="20"/>
      <c r="AA37" s="27"/>
      <c r="AB37" s="26" t="s">
        <v>128</v>
      </c>
      <c r="AC37" s="20"/>
      <c r="AD37" s="33"/>
      <c r="AE37" s="32"/>
      <c r="AF37" s="20"/>
      <c r="AG37" s="33"/>
      <c r="AH37" s="32"/>
      <c r="AI37" s="20"/>
      <c r="AJ37" s="33"/>
      <c r="AK37" s="32" t="s">
        <v>128</v>
      </c>
      <c r="AL37" s="20"/>
      <c r="AM37" s="33"/>
      <c r="AN37" s="32" t="s">
        <v>128</v>
      </c>
      <c r="AO37" s="20"/>
      <c r="AP37" s="33"/>
      <c r="AQ37" s="32" t="s">
        <v>128</v>
      </c>
      <c r="AR37" s="20"/>
      <c r="AS37" s="33"/>
      <c r="AT37" s="20" t="s">
        <v>128</v>
      </c>
      <c r="AU37" s="20"/>
      <c r="AV37" s="27"/>
      <c r="AW37"/>
      <c r="AX37">
        <f>COUNTIF(AvailabilityMatrix[[#This Row],[1-Mon-AM]:[2-Sun-NIGHT2-2-]],"X")</f>
        <v>10</v>
      </c>
      <c r="AY37">
        <f t="shared" si="1"/>
        <v>10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71</v>
      </c>
      <c r="C38" s="18" t="s">
        <v>46</v>
      </c>
      <c r="E38" s="1"/>
      <c r="G38" s="26" t="s">
        <v>128</v>
      </c>
      <c r="H38" s="20" t="s">
        <v>128</v>
      </c>
      <c r="I38" s="33"/>
      <c r="J38" s="32" t="s">
        <v>128</v>
      </c>
      <c r="K38" s="20"/>
      <c r="L38" s="33"/>
      <c r="M38" s="32" t="s">
        <v>128</v>
      </c>
      <c r="N38" s="20"/>
      <c r="O38" s="33"/>
      <c r="P38" s="32" t="s">
        <v>128</v>
      </c>
      <c r="Q38" s="20"/>
      <c r="R38" s="33"/>
      <c r="S38" s="32"/>
      <c r="T38" s="20"/>
      <c r="U38" s="33"/>
      <c r="V38" s="32" t="s">
        <v>128</v>
      </c>
      <c r="W38" s="20" t="s">
        <v>128</v>
      </c>
      <c r="X38" s="33"/>
      <c r="Y38" s="20" t="s">
        <v>128</v>
      </c>
      <c r="Z38" s="20"/>
      <c r="AA38" s="27"/>
      <c r="AB38" s="26" t="s">
        <v>128</v>
      </c>
      <c r="AC38" s="20" t="s">
        <v>128</v>
      </c>
      <c r="AD38" s="33"/>
      <c r="AE38" s="32" t="s">
        <v>128</v>
      </c>
      <c r="AF38" s="20"/>
      <c r="AG38" s="33"/>
      <c r="AH38" s="32" t="s">
        <v>128</v>
      </c>
      <c r="AI38" s="20"/>
      <c r="AJ38" s="33"/>
      <c r="AK38" s="32" t="s">
        <v>128</v>
      </c>
      <c r="AL38" s="20"/>
      <c r="AM38" s="33"/>
      <c r="AN38" s="32"/>
      <c r="AO38" s="20"/>
      <c r="AP38" s="33"/>
      <c r="AQ38" s="32" t="s">
        <v>128</v>
      </c>
      <c r="AR38" s="20" t="s">
        <v>128</v>
      </c>
      <c r="AS38" s="33"/>
      <c r="AT38" s="20" t="s">
        <v>128</v>
      </c>
      <c r="AU38" s="20"/>
      <c r="AV38" s="27"/>
      <c r="AW38"/>
      <c r="AX38">
        <f>COUNTIF(AvailabilityMatrix[[#This Row],[1-Mon-AM]:[2-Sun-NIGHT2-2-]],"X")</f>
        <v>16</v>
      </c>
      <c r="AY38">
        <f t="shared" si="1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72</v>
      </c>
      <c r="C39" s="18" t="s">
        <v>46</v>
      </c>
      <c r="E39" s="1"/>
      <c r="G39" s="26"/>
      <c r="H39" s="20" t="s">
        <v>128</v>
      </c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 t="s">
        <v>128</v>
      </c>
      <c r="W39" s="20" t="s">
        <v>128</v>
      </c>
      <c r="X39" s="33"/>
      <c r="Y39" s="20" t="s">
        <v>128</v>
      </c>
      <c r="Z39" s="20"/>
      <c r="AA39" s="27"/>
      <c r="AB39" s="26"/>
      <c r="AC39" s="20" t="s">
        <v>128</v>
      </c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 t="s">
        <v>128</v>
      </c>
      <c r="AR39" s="20" t="s">
        <v>128</v>
      </c>
      <c r="AS39" s="33"/>
      <c r="AT39" s="20" t="s">
        <v>128</v>
      </c>
      <c r="AU39" s="20"/>
      <c r="AV39" s="27"/>
      <c r="AW39"/>
      <c r="AX39">
        <f>COUNTIF(AvailabilityMatrix[[#This Row],[1-Mon-AM]:[2-Sun-NIGHT2-2-]],"X")</f>
        <v>12</v>
      </c>
      <c r="AY39">
        <f t="shared" si="1"/>
        <v>10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73</v>
      </c>
      <c r="C40" s="18" t="s">
        <v>46</v>
      </c>
      <c r="E40" s="1"/>
      <c r="G40" s="26" t="s">
        <v>128</v>
      </c>
      <c r="H40" s="20"/>
      <c r="I40" s="33"/>
      <c r="J40" s="32" t="s">
        <v>128</v>
      </c>
      <c r="K40" s="20"/>
      <c r="L40" s="33"/>
      <c r="M40" s="32" t="s">
        <v>128</v>
      </c>
      <c r="N40" s="20"/>
      <c r="O40" s="33"/>
      <c r="P40" s="32" t="s">
        <v>128</v>
      </c>
      <c r="Q40" s="20"/>
      <c r="R40" s="33"/>
      <c r="S40" s="32"/>
      <c r="T40" s="20"/>
      <c r="U40" s="33"/>
      <c r="V40" s="32" t="s">
        <v>128</v>
      </c>
      <c r="W40" s="20"/>
      <c r="X40" s="33"/>
      <c r="Y40" s="20"/>
      <c r="Z40" s="20" t="s">
        <v>128</v>
      </c>
      <c r="AA40" s="27"/>
      <c r="AB40" s="26" t="s">
        <v>128</v>
      </c>
      <c r="AC40" s="20"/>
      <c r="AD40" s="33"/>
      <c r="AE40" s="32" t="s">
        <v>128</v>
      </c>
      <c r="AF40" s="20"/>
      <c r="AG40" s="33"/>
      <c r="AH40" s="32" t="s">
        <v>128</v>
      </c>
      <c r="AI40" s="20"/>
      <c r="AJ40" s="33"/>
      <c r="AK40" s="32" t="s">
        <v>128</v>
      </c>
      <c r="AL40" s="20"/>
      <c r="AM40" s="33"/>
      <c r="AN40" s="32"/>
      <c r="AO40" s="20"/>
      <c r="AP40" s="33"/>
      <c r="AQ40" s="32" t="s">
        <v>128</v>
      </c>
      <c r="AR40" s="20"/>
      <c r="AS40" s="33"/>
      <c r="AT40" s="20"/>
      <c r="AU40" s="20" t="s">
        <v>128</v>
      </c>
      <c r="AV40" s="27"/>
      <c r="AW40"/>
      <c r="AX40">
        <f>COUNTIF(AvailabilityMatrix[[#This Row],[1-Mon-AM]:[2-Sun-NIGHT2-2-]],"X")</f>
        <v>12</v>
      </c>
      <c r="AY40">
        <f t="shared" si="1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74</v>
      </c>
      <c r="C41" s="42" t="s">
        <v>46</v>
      </c>
      <c r="D41" s="43"/>
      <c r="E41" s="43"/>
      <c r="F41" s="44"/>
      <c r="G41" s="26"/>
      <c r="H41" s="20"/>
      <c r="I41" s="33" t="s">
        <v>128</v>
      </c>
      <c r="J41" s="32"/>
      <c r="K41" s="20"/>
      <c r="L41" s="33" t="s">
        <v>128</v>
      </c>
      <c r="M41" s="32"/>
      <c r="N41" s="20"/>
      <c r="O41" s="33" t="s">
        <v>128</v>
      </c>
      <c r="P41" s="32"/>
      <c r="Q41" s="20"/>
      <c r="R41" s="33" t="s">
        <v>128</v>
      </c>
      <c r="S41" s="32"/>
      <c r="T41" s="20"/>
      <c r="U41" s="33" t="s">
        <v>128</v>
      </c>
      <c r="V41" s="32"/>
      <c r="W41" s="20"/>
      <c r="X41" s="33"/>
      <c r="Y41" s="20"/>
      <c r="Z41" s="20"/>
      <c r="AA41" s="27"/>
      <c r="AB41" s="26"/>
      <c r="AC41" s="20"/>
      <c r="AD41" s="33" t="s">
        <v>128</v>
      </c>
      <c r="AE41" s="32"/>
      <c r="AF41" s="20"/>
      <c r="AG41" s="33" t="s">
        <v>128</v>
      </c>
      <c r="AH41" s="32"/>
      <c r="AI41" s="20"/>
      <c r="AJ41" s="33" t="s">
        <v>128</v>
      </c>
      <c r="AK41" s="32"/>
      <c r="AL41" s="20"/>
      <c r="AM41" s="33"/>
      <c r="AN41" s="32"/>
      <c r="AO41" s="20"/>
      <c r="AP41" s="33" t="s">
        <v>128</v>
      </c>
      <c r="AQ41" s="32"/>
      <c r="AR41" s="20"/>
      <c r="AS41" s="33"/>
      <c r="AT41" s="20"/>
      <c r="AU41" s="20"/>
      <c r="AV41" s="27"/>
      <c r="AW41"/>
      <c r="AX41">
        <f>COUNTIF(AvailabilityMatrix[[#This Row],[1-Mon-AM]:[2-Sun-NIGHT2-2-]],"X")</f>
        <v>9</v>
      </c>
      <c r="AY41">
        <f t="shared" si="1"/>
        <v>9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75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 t="s">
        <v>128</v>
      </c>
      <c r="P42" s="32"/>
      <c r="Q42" s="20"/>
      <c r="R42" s="33" t="s">
        <v>128</v>
      </c>
      <c r="S42" s="32"/>
      <c r="T42" s="20"/>
      <c r="U42" s="33" t="s">
        <v>128</v>
      </c>
      <c r="V42" s="32"/>
      <c r="W42" s="20"/>
      <c r="X42" s="33" t="s">
        <v>128</v>
      </c>
      <c r="Y42" s="20"/>
      <c r="Z42" s="20"/>
      <c r="AA42" s="27" t="s">
        <v>128</v>
      </c>
      <c r="AB42" s="26"/>
      <c r="AC42" s="20"/>
      <c r="AD42" s="33" t="s">
        <v>128</v>
      </c>
      <c r="AE42" s="32"/>
      <c r="AF42" s="20"/>
      <c r="AG42" s="33" t="s">
        <v>128</v>
      </c>
      <c r="AH42" s="32"/>
      <c r="AI42" s="20"/>
      <c r="AJ42" s="33" t="s">
        <v>128</v>
      </c>
      <c r="AK42" s="32"/>
      <c r="AL42" s="20"/>
      <c r="AM42" s="33" t="s">
        <v>128</v>
      </c>
      <c r="AN42" s="32"/>
      <c r="AO42" s="20"/>
      <c r="AP42" s="33" t="s">
        <v>128</v>
      </c>
      <c r="AQ42" s="32"/>
      <c r="AR42" s="20"/>
      <c r="AS42" s="33" t="s">
        <v>128</v>
      </c>
      <c r="AT42" s="20"/>
      <c r="AU42" s="20"/>
      <c r="AV42" s="27"/>
      <c r="AW42"/>
      <c r="AX42">
        <f>COUNTIF(AvailabilityMatrix[[#This Row],[1-Mon-AM]:[2-Sun-NIGHT2-2-]],"X")</f>
        <v>13</v>
      </c>
      <c r="AY42">
        <f t="shared" si="1"/>
        <v>10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76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/>
      <c r="N43" s="20" t="s">
        <v>128</v>
      </c>
      <c r="O43" s="33"/>
      <c r="P43" s="32"/>
      <c r="Q43" s="20"/>
      <c r="R43" s="33"/>
      <c r="S43" s="32"/>
      <c r="T43" s="20"/>
      <c r="U43" s="33"/>
      <c r="V43" s="32"/>
      <c r="W43" s="20"/>
      <c r="X43" s="33"/>
      <c r="Y43" s="20"/>
      <c r="Z43" s="20"/>
      <c r="AA43" s="27"/>
      <c r="AB43" s="26"/>
      <c r="AC43" s="20"/>
      <c r="AD43" s="33"/>
      <c r="AE43" s="32"/>
      <c r="AF43" s="20" t="s">
        <v>128</v>
      </c>
      <c r="AG43" s="33"/>
      <c r="AH43" s="32"/>
      <c r="AI43" s="20" t="s">
        <v>128</v>
      </c>
      <c r="AJ43" s="33"/>
      <c r="AK43" s="32"/>
      <c r="AL43" s="20"/>
      <c r="AM43" s="33"/>
      <c r="AN43" s="32"/>
      <c r="AO43" s="20"/>
      <c r="AP43" s="33"/>
      <c r="AQ43" s="32"/>
      <c r="AR43" s="20"/>
      <c r="AS43" s="33"/>
      <c r="AT43" s="20"/>
      <c r="AU43" s="20"/>
      <c r="AV43" s="27"/>
      <c r="AW43"/>
      <c r="AX43">
        <f>COUNTIF(AvailabilityMatrix[[#This Row],[1-Mon-AM]:[2-Sun-NIGHT2-2-]],"X")</f>
        <v>4</v>
      </c>
      <c r="AY43">
        <f t="shared" si="1"/>
        <v>4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77</v>
      </c>
      <c r="C44" s="18" t="s">
        <v>46</v>
      </c>
      <c r="E44" s="1"/>
      <c r="G44" s="26" t="s">
        <v>128</v>
      </c>
      <c r="H44" s="20"/>
      <c r="I44" s="33"/>
      <c r="J44" s="32"/>
      <c r="K44" s="20"/>
      <c r="L44" s="33"/>
      <c r="M44" s="32" t="s">
        <v>128</v>
      </c>
      <c r="N44" s="20" t="s">
        <v>128</v>
      </c>
      <c r="O44" s="33"/>
      <c r="P44" s="32"/>
      <c r="Q44" s="20" t="s">
        <v>128</v>
      </c>
      <c r="R44" s="33"/>
      <c r="S44" s="32" t="s">
        <v>128</v>
      </c>
      <c r="T44" s="20"/>
      <c r="U44" s="33" t="s">
        <v>128</v>
      </c>
      <c r="V44" s="32"/>
      <c r="W44" s="20" t="s">
        <v>128</v>
      </c>
      <c r="X44" s="33" t="s">
        <v>128</v>
      </c>
      <c r="Y44" s="20" t="s">
        <v>128</v>
      </c>
      <c r="Z44" s="20" t="s">
        <v>128</v>
      </c>
      <c r="AA44" s="27"/>
      <c r="AB44" s="26" t="s">
        <v>128</v>
      </c>
      <c r="AC44" s="20"/>
      <c r="AD44" s="33"/>
      <c r="AE44" s="32"/>
      <c r="AF44" s="20"/>
      <c r="AG44" s="33"/>
      <c r="AH44" s="32" t="s">
        <v>128</v>
      </c>
      <c r="AI44" s="20" t="s">
        <v>128</v>
      </c>
      <c r="AJ44" s="33"/>
      <c r="AK44" s="32"/>
      <c r="AL44" s="20" t="s">
        <v>128</v>
      </c>
      <c r="AM44" s="33"/>
      <c r="AN44" s="32" t="s">
        <v>128</v>
      </c>
      <c r="AO44" s="20"/>
      <c r="AP44" s="33" t="s">
        <v>128</v>
      </c>
      <c r="AQ44" s="32"/>
      <c r="AR44" s="20" t="s">
        <v>128</v>
      </c>
      <c r="AS44" s="33" t="s">
        <v>128</v>
      </c>
      <c r="AT44" s="20" t="s">
        <v>128</v>
      </c>
      <c r="AU44" s="20" t="s">
        <v>128</v>
      </c>
      <c r="AV44" s="27"/>
      <c r="AW44"/>
      <c r="AX44">
        <f>COUNTIF(AvailabilityMatrix[[#This Row],[1-Mon-AM]:[2-Sun-NIGHT2-2-]],"X")</f>
        <v>20</v>
      </c>
      <c r="AY44">
        <f t="shared" si="1"/>
        <v>10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183</v>
      </c>
      <c r="C45" s="18" t="s">
        <v>46</v>
      </c>
      <c r="E45" s="1"/>
      <c r="G45" s="26" t="s">
        <v>128</v>
      </c>
      <c r="H45" s="20" t="s">
        <v>128</v>
      </c>
      <c r="I45" s="33" t="s">
        <v>128</v>
      </c>
      <c r="J45" s="32" t="s">
        <v>128</v>
      </c>
      <c r="K45" s="20" t="s">
        <v>128</v>
      </c>
      <c r="L45" s="33" t="s">
        <v>128</v>
      </c>
      <c r="M45" s="32" t="s">
        <v>128</v>
      </c>
      <c r="N45" s="20" t="s">
        <v>128</v>
      </c>
      <c r="O45" s="33" t="s">
        <v>128</v>
      </c>
      <c r="P45" s="32" t="s">
        <v>128</v>
      </c>
      <c r="Q45" s="20" t="s">
        <v>128</v>
      </c>
      <c r="R45" s="33" t="s">
        <v>128</v>
      </c>
      <c r="S45" s="32" t="s">
        <v>128</v>
      </c>
      <c r="T45" s="20" t="s">
        <v>128</v>
      </c>
      <c r="U45" s="33" t="s">
        <v>128</v>
      </c>
      <c r="V45" s="32" t="s">
        <v>128</v>
      </c>
      <c r="W45" s="20" t="s">
        <v>128</v>
      </c>
      <c r="X45" s="33" t="s">
        <v>128</v>
      </c>
      <c r="Y45" s="20" t="s">
        <v>128</v>
      </c>
      <c r="Z45" s="20" t="s">
        <v>128</v>
      </c>
      <c r="AA45" s="27" t="s">
        <v>128</v>
      </c>
      <c r="AB45" s="26" t="s">
        <v>128</v>
      </c>
      <c r="AC45" s="20" t="s">
        <v>128</v>
      </c>
      <c r="AD45" s="33" t="s">
        <v>128</v>
      </c>
      <c r="AE45" s="32" t="s">
        <v>128</v>
      </c>
      <c r="AF45" s="20" t="s">
        <v>128</v>
      </c>
      <c r="AG45" s="33" t="s">
        <v>128</v>
      </c>
      <c r="AH45" s="32" t="s">
        <v>128</v>
      </c>
      <c r="AI45" s="20" t="s">
        <v>128</v>
      </c>
      <c r="AJ45" s="33" t="s">
        <v>128</v>
      </c>
      <c r="AK45" s="32" t="s">
        <v>128</v>
      </c>
      <c r="AL45" s="20" t="s">
        <v>128</v>
      </c>
      <c r="AM45" s="33" t="s">
        <v>128</v>
      </c>
      <c r="AN45" s="32" t="s">
        <v>128</v>
      </c>
      <c r="AO45" s="20" t="s">
        <v>128</v>
      </c>
      <c r="AP45" s="33" t="s">
        <v>128</v>
      </c>
      <c r="AQ45" s="32" t="s">
        <v>128</v>
      </c>
      <c r="AR45" s="20" t="s">
        <v>128</v>
      </c>
      <c r="AS45" s="33" t="s">
        <v>128</v>
      </c>
      <c r="AT45" s="20" t="s">
        <v>128</v>
      </c>
      <c r="AU45" s="20" t="s">
        <v>128</v>
      </c>
      <c r="AV45" s="27" t="s">
        <v>128</v>
      </c>
      <c r="AW45"/>
      <c r="AX45">
        <f>COUNTIF(AvailabilityMatrix[[#This Row],[1-Mon-AM]:[2-Sun-NIGHT2-2-]],"X")</f>
        <v>42</v>
      </c>
      <c r="AY45">
        <f t="shared" si="1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78</v>
      </c>
      <c r="C46" s="18" t="s">
        <v>46</v>
      </c>
      <c r="E46" s="1"/>
      <c r="G46" s="26"/>
      <c r="H46" s="20"/>
      <c r="I46" s="33" t="s">
        <v>128</v>
      </c>
      <c r="J46" s="32"/>
      <c r="K46" s="20"/>
      <c r="L46" s="33" t="s">
        <v>128</v>
      </c>
      <c r="M46" s="32"/>
      <c r="N46" s="20"/>
      <c r="O46" s="33"/>
      <c r="P46" s="32"/>
      <c r="Q46" s="20"/>
      <c r="R46" s="33"/>
      <c r="S46" s="32"/>
      <c r="T46" s="20"/>
      <c r="U46" s="33" t="s">
        <v>128</v>
      </c>
      <c r="V46" s="32"/>
      <c r="W46" s="20"/>
      <c r="X46" s="33"/>
      <c r="Y46" s="20"/>
      <c r="Z46" s="20" t="s">
        <v>128</v>
      </c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/>
      <c r="AN46" s="32"/>
      <c r="AO46" s="20"/>
      <c r="AP46" s="33"/>
      <c r="AQ46" s="32"/>
      <c r="AR46" s="20"/>
      <c r="AS46" s="33"/>
      <c r="AT46" s="20"/>
      <c r="AU46" s="20"/>
      <c r="AV46" s="27"/>
      <c r="AW46"/>
      <c r="AX46">
        <f>COUNTIF(AvailabilityMatrix[[#This Row],[1-Mon-AM]:[2-Sun-NIGHT2-2-]],"X")</f>
        <v>5</v>
      </c>
      <c r="AY46">
        <f t="shared" si="1"/>
        <v>5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79</v>
      </c>
      <c r="C47" s="18" t="s">
        <v>46</v>
      </c>
      <c r="E47" s="1"/>
      <c r="G47" s="26"/>
      <c r="H47" s="20"/>
      <c r="I47" s="33"/>
      <c r="J47" s="32"/>
      <c r="K47" s="20" t="s">
        <v>128</v>
      </c>
      <c r="L47" s="33"/>
      <c r="M47" s="32" t="s">
        <v>128</v>
      </c>
      <c r="N47" s="20"/>
      <c r="O47" s="33"/>
      <c r="P47" s="32" t="s">
        <v>128</v>
      </c>
      <c r="Q47" s="20"/>
      <c r="R47" s="33"/>
      <c r="S47" s="32"/>
      <c r="T47" s="20"/>
      <c r="U47" s="33"/>
      <c r="V47" s="32"/>
      <c r="W47" s="20" t="s">
        <v>128</v>
      </c>
      <c r="X47" s="33"/>
      <c r="Y47" s="20"/>
      <c r="Z47" s="20" t="s">
        <v>128</v>
      </c>
      <c r="AA47" s="27"/>
      <c r="AB47" s="26"/>
      <c r="AC47" s="20"/>
      <c r="AD47" s="33"/>
      <c r="AE47" s="32"/>
      <c r="AF47" s="20" t="s">
        <v>128</v>
      </c>
      <c r="AG47" s="33"/>
      <c r="AH47" s="32" t="s">
        <v>128</v>
      </c>
      <c r="AI47" s="20"/>
      <c r="AJ47" s="33"/>
      <c r="AK47" s="32" t="s">
        <v>128</v>
      </c>
      <c r="AL47" s="20"/>
      <c r="AM47" s="33"/>
      <c r="AN47" s="32"/>
      <c r="AO47" s="20"/>
      <c r="AP47" s="33"/>
      <c r="AQ47" s="32"/>
      <c r="AR47" s="20" t="s">
        <v>128</v>
      </c>
      <c r="AS47" s="33"/>
      <c r="AT47" s="20"/>
      <c r="AU47" s="20" t="s">
        <v>128</v>
      </c>
      <c r="AV47" s="27"/>
      <c r="AW47"/>
      <c r="AX47">
        <f>COUNTIF(AvailabilityMatrix[[#This Row],[1-Mon-AM]:[2-Sun-NIGHT2-2-]],"X")</f>
        <v>10</v>
      </c>
      <c r="AY47">
        <f t="shared" si="1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80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/>
      <c r="R48" s="33"/>
      <c r="S48" s="32"/>
      <c r="T48" s="20"/>
      <c r="U48" s="33" t="s">
        <v>128</v>
      </c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/>
      <c r="AM48" s="33"/>
      <c r="AN48" s="32"/>
      <c r="AO48" s="20"/>
      <c r="AP48" s="33" t="s">
        <v>128</v>
      </c>
      <c r="AQ48" s="32"/>
      <c r="AR48" s="20" t="s">
        <v>128</v>
      </c>
      <c r="AS48" s="33"/>
      <c r="AT48" s="20"/>
      <c r="AU48" s="20" t="s">
        <v>128</v>
      </c>
      <c r="AV48" s="27"/>
      <c r="AW48"/>
      <c r="AX48">
        <f>COUNTIF(AvailabilityMatrix[[#This Row],[1-Mon-AM]:[2-Sun-NIGHT2-2-]],"X")</f>
        <v>8</v>
      </c>
      <c r="AY48">
        <f t="shared" si="1"/>
        <v>8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82</v>
      </c>
      <c r="C49" s="42" t="s">
        <v>46</v>
      </c>
      <c r="D49" s="43"/>
      <c r="E49" s="43"/>
      <c r="F49" s="44"/>
      <c r="G49" s="26"/>
      <c r="H49" s="20"/>
      <c r="I49" s="33"/>
      <c r="J49" s="32"/>
      <c r="K49" s="20"/>
      <c r="L49" s="33"/>
      <c r="M49" s="32"/>
      <c r="N49" s="20"/>
      <c r="O49" s="33"/>
      <c r="P49" s="32"/>
      <c r="Q49" s="20"/>
      <c r="R49" s="33" t="s">
        <v>128</v>
      </c>
      <c r="S49" s="32"/>
      <c r="T49" s="20"/>
      <c r="U49" s="33" t="s">
        <v>128</v>
      </c>
      <c r="V49" s="32"/>
      <c r="W49" s="20"/>
      <c r="X49" s="33" t="s">
        <v>128</v>
      </c>
      <c r="Y49" s="20"/>
      <c r="Z49" s="20"/>
      <c r="AA49" s="27" t="s">
        <v>128</v>
      </c>
      <c r="AB49" s="26"/>
      <c r="AC49" s="20"/>
      <c r="AD49" s="33"/>
      <c r="AE49" s="32"/>
      <c r="AF49" s="20"/>
      <c r="AG49" s="33"/>
      <c r="AH49" s="32"/>
      <c r="AI49" s="20"/>
      <c r="AJ49" s="33"/>
      <c r="AK49" s="32"/>
      <c r="AL49" s="20"/>
      <c r="AM49" s="33" t="s">
        <v>128</v>
      </c>
      <c r="AN49" s="32"/>
      <c r="AO49" s="20"/>
      <c r="AP49" s="33" t="s">
        <v>128</v>
      </c>
      <c r="AQ49" s="32"/>
      <c r="AR49" s="20"/>
      <c r="AS49" s="33" t="s">
        <v>128</v>
      </c>
      <c r="AT49" s="20"/>
      <c r="AU49" s="20"/>
      <c r="AV49" s="27" t="s">
        <v>128</v>
      </c>
      <c r="AW49"/>
      <c r="AX49">
        <f>COUNTIF(AvailabilityMatrix[[#This Row],[1-Mon-AM]:[2-Sun-NIGHT2-2-]],"X")</f>
        <v>8</v>
      </c>
      <c r="AY49">
        <f t="shared" si="1"/>
        <v>8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83</v>
      </c>
      <c r="C50" s="18" t="s">
        <v>46</v>
      </c>
      <c r="E50" s="1"/>
      <c r="G50" s="26"/>
      <c r="H50" s="20"/>
      <c r="I50" s="33" t="s">
        <v>128</v>
      </c>
      <c r="J50" s="32"/>
      <c r="K50" s="20"/>
      <c r="L50" s="33" t="s">
        <v>128</v>
      </c>
      <c r="M50" s="32"/>
      <c r="N50" s="20"/>
      <c r="O50" s="33" t="s">
        <v>128</v>
      </c>
      <c r="P50" s="32"/>
      <c r="Q50" s="20"/>
      <c r="R50" s="33" t="s">
        <v>128</v>
      </c>
      <c r="S50" s="32"/>
      <c r="T50" s="20"/>
      <c r="U50" s="33" t="s">
        <v>128</v>
      </c>
      <c r="V50" s="32"/>
      <c r="W50" s="20"/>
      <c r="X50" s="33" t="s">
        <v>128</v>
      </c>
      <c r="Y50" s="20"/>
      <c r="Z50" s="20"/>
      <c r="AA50" s="27" t="s">
        <v>128</v>
      </c>
      <c r="AB50" s="26"/>
      <c r="AC50" s="20"/>
      <c r="AD50" s="33" t="s">
        <v>128</v>
      </c>
      <c r="AE50" s="32"/>
      <c r="AF50" s="20"/>
      <c r="AG50" s="33" t="s">
        <v>128</v>
      </c>
      <c r="AH50" s="32"/>
      <c r="AI50" s="20"/>
      <c r="AJ50" s="33" t="s">
        <v>128</v>
      </c>
      <c r="AK50" s="32"/>
      <c r="AL50" s="20"/>
      <c r="AM50" s="33" t="s">
        <v>128</v>
      </c>
      <c r="AN50" s="32"/>
      <c r="AO50" s="20"/>
      <c r="AP50" s="33" t="s">
        <v>128</v>
      </c>
      <c r="AQ50" s="32"/>
      <c r="AR50" s="20"/>
      <c r="AS50" s="33" t="s">
        <v>128</v>
      </c>
      <c r="AT50" s="20"/>
      <c r="AU50" s="20"/>
      <c r="AV50" s="27" t="s">
        <v>128</v>
      </c>
      <c r="AW50"/>
      <c r="AX50">
        <f>COUNTIF(AvailabilityMatrix[[#This Row],[1-Mon-AM]:[2-Sun-NIGHT2-2-]],"X")</f>
        <v>14</v>
      </c>
      <c r="AY50">
        <f t="shared" si="1"/>
        <v>10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84</v>
      </c>
      <c r="C51" s="18" t="s">
        <v>46</v>
      </c>
      <c r="E51" s="1"/>
      <c r="G51" s="26"/>
      <c r="H51" s="20" t="s">
        <v>128</v>
      </c>
      <c r="I51" s="33"/>
      <c r="J51" s="32"/>
      <c r="K51" s="20"/>
      <c r="L51" s="33"/>
      <c r="M51" s="32"/>
      <c r="N51" s="20"/>
      <c r="O51" s="33"/>
      <c r="P51" s="32"/>
      <c r="Q51" s="20" t="s">
        <v>128</v>
      </c>
      <c r="R51" s="33"/>
      <c r="S51" s="32"/>
      <c r="T51" s="20" t="s">
        <v>128</v>
      </c>
      <c r="U51" s="33"/>
      <c r="V51" s="32"/>
      <c r="W51" s="20" t="s">
        <v>128</v>
      </c>
      <c r="X51" s="33"/>
      <c r="Y51" s="20"/>
      <c r="Z51" s="20" t="s">
        <v>128</v>
      </c>
      <c r="AA51" s="27"/>
      <c r="AB51" s="26"/>
      <c r="AC51" s="20" t="s">
        <v>128</v>
      </c>
      <c r="AD51" s="33"/>
      <c r="AE51" s="32"/>
      <c r="AF51" s="20"/>
      <c r="AG51" s="33"/>
      <c r="AH51" s="32"/>
      <c r="AI51" s="20"/>
      <c r="AJ51" s="33"/>
      <c r="AK51" s="32"/>
      <c r="AL51" s="20" t="s">
        <v>128</v>
      </c>
      <c r="AM51" s="33"/>
      <c r="AN51" s="32"/>
      <c r="AO51" s="20" t="s">
        <v>128</v>
      </c>
      <c r="AP51" s="33"/>
      <c r="AQ51" s="32"/>
      <c r="AR51" s="20" t="s">
        <v>128</v>
      </c>
      <c r="AS51" s="33"/>
      <c r="AT51" s="20"/>
      <c r="AU51" s="20" t="s">
        <v>128</v>
      </c>
      <c r="AV51" s="27"/>
      <c r="AW51"/>
      <c r="AX51">
        <f>COUNTIF(AvailabilityMatrix[[#This Row],[1-Mon-AM]:[2-Sun-NIGHT2-2-]],"X")</f>
        <v>10</v>
      </c>
      <c r="AY51">
        <f t="shared" si="1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182</v>
      </c>
      <c r="C52" s="42" t="s">
        <v>46</v>
      </c>
      <c r="D52" s="43"/>
      <c r="E52" s="43"/>
      <c r="F52" s="44"/>
      <c r="G52" s="26" t="s">
        <v>128</v>
      </c>
      <c r="H52" s="20" t="s">
        <v>128</v>
      </c>
      <c r="I52" s="33"/>
      <c r="J52" s="32" t="s">
        <v>128</v>
      </c>
      <c r="K52" s="20" t="s">
        <v>128</v>
      </c>
      <c r="L52" s="33"/>
      <c r="M52" s="32" t="s">
        <v>128</v>
      </c>
      <c r="N52" s="20" t="s">
        <v>128</v>
      </c>
      <c r="O52" s="33"/>
      <c r="P52" s="32" t="s">
        <v>128</v>
      </c>
      <c r="Q52" s="20" t="s">
        <v>128</v>
      </c>
      <c r="R52" s="33"/>
      <c r="S52" s="32" t="s">
        <v>128</v>
      </c>
      <c r="T52" s="20" t="s">
        <v>128</v>
      </c>
      <c r="U52" s="33"/>
      <c r="V52" s="32" t="s">
        <v>128</v>
      </c>
      <c r="W52" s="20" t="s">
        <v>128</v>
      </c>
      <c r="X52" s="33"/>
      <c r="Y52" s="20" t="s">
        <v>128</v>
      </c>
      <c r="Z52" s="20" t="s">
        <v>128</v>
      </c>
      <c r="AA52" s="27"/>
      <c r="AB52" s="26" t="s">
        <v>128</v>
      </c>
      <c r="AC52" s="20" t="s">
        <v>128</v>
      </c>
      <c r="AD52" s="33"/>
      <c r="AE52" s="32" t="s">
        <v>128</v>
      </c>
      <c r="AF52" s="20" t="s">
        <v>128</v>
      </c>
      <c r="AG52" s="33"/>
      <c r="AH52" s="32" t="s">
        <v>128</v>
      </c>
      <c r="AI52" s="20" t="s">
        <v>128</v>
      </c>
      <c r="AJ52" s="33"/>
      <c r="AK52" s="32" t="s">
        <v>128</v>
      </c>
      <c r="AL52" s="20" t="s">
        <v>128</v>
      </c>
      <c r="AM52" s="33"/>
      <c r="AN52" s="32" t="s">
        <v>128</v>
      </c>
      <c r="AO52" s="20" t="s">
        <v>128</v>
      </c>
      <c r="AP52" s="33"/>
      <c r="AQ52" s="32" t="s">
        <v>128</v>
      </c>
      <c r="AR52" s="20" t="s">
        <v>128</v>
      </c>
      <c r="AS52" s="33"/>
      <c r="AT52" s="20" t="s">
        <v>128</v>
      </c>
      <c r="AU52" s="20" t="s">
        <v>128</v>
      </c>
      <c r="AV52" s="27"/>
      <c r="AW52"/>
      <c r="AX52">
        <f>COUNTIF(AvailabilityMatrix[[#This Row],[1-Mon-AM]:[2-Sun-NIGHT2-2-]],"X")</f>
        <v>28</v>
      </c>
      <c r="AY52">
        <f t="shared" si="1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85</v>
      </c>
      <c r="C53" s="18" t="s">
        <v>46</v>
      </c>
      <c r="E53" s="1"/>
      <c r="G53" s="26"/>
      <c r="H53" s="20" t="s">
        <v>128</v>
      </c>
      <c r="I53" s="33"/>
      <c r="J53" s="32"/>
      <c r="K53" s="20"/>
      <c r="L53" s="33"/>
      <c r="M53" s="32"/>
      <c r="N53" s="20"/>
      <c r="O53" s="33"/>
      <c r="P53" s="32"/>
      <c r="Q53" s="20"/>
      <c r="R53" s="33"/>
      <c r="S53" s="32" t="s">
        <v>128</v>
      </c>
      <c r="T53" s="20"/>
      <c r="U53" s="33"/>
      <c r="V53" s="32" t="s">
        <v>128</v>
      </c>
      <c r="W53" s="20"/>
      <c r="X53" s="33"/>
      <c r="Y53" s="20" t="s">
        <v>128</v>
      </c>
      <c r="Z53" s="20"/>
      <c r="AA53" s="27"/>
      <c r="AB53" s="26"/>
      <c r="AC53" s="20" t="s">
        <v>128</v>
      </c>
      <c r="AD53" s="33"/>
      <c r="AE53" s="32"/>
      <c r="AF53" s="20"/>
      <c r="AG53" s="33"/>
      <c r="AH53" s="32"/>
      <c r="AI53" s="20"/>
      <c r="AJ53" s="33"/>
      <c r="AK53" s="32"/>
      <c r="AL53" s="20"/>
      <c r="AM53" s="33"/>
      <c r="AN53" s="32" t="s">
        <v>128</v>
      </c>
      <c r="AO53" s="20"/>
      <c r="AP53" s="33"/>
      <c r="AQ53" s="32" t="s">
        <v>128</v>
      </c>
      <c r="AR53" s="20"/>
      <c r="AS53" s="33"/>
      <c r="AT53" s="20" t="s">
        <v>128</v>
      </c>
      <c r="AU53" s="20"/>
      <c r="AV53" s="27"/>
      <c r="AW53"/>
      <c r="AX53">
        <f>COUNTIF(AvailabilityMatrix[[#This Row],[1-Mon-AM]:[2-Sun-NIGHT2-2-]],"X")</f>
        <v>8</v>
      </c>
      <c r="AY53">
        <f t="shared" si="1"/>
        <v>8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86</v>
      </c>
      <c r="C54" s="18" t="s">
        <v>46</v>
      </c>
      <c r="E54" s="1"/>
      <c r="G54" s="26"/>
      <c r="H54" s="20"/>
      <c r="I54" s="33"/>
      <c r="J54" s="32"/>
      <c r="K54" s="20"/>
      <c r="L54" s="33" t="s">
        <v>128</v>
      </c>
      <c r="M54" s="32"/>
      <c r="N54" s="20"/>
      <c r="O54" s="33" t="s">
        <v>128</v>
      </c>
      <c r="P54" s="32"/>
      <c r="Q54" s="20"/>
      <c r="R54" s="33"/>
      <c r="S54" s="32"/>
      <c r="T54" s="20"/>
      <c r="U54" s="33" t="s">
        <v>128</v>
      </c>
      <c r="V54" s="32" t="s">
        <v>128</v>
      </c>
      <c r="W54" s="20" t="s">
        <v>128</v>
      </c>
      <c r="X54" s="33" t="s">
        <v>128</v>
      </c>
      <c r="Y54" s="20" t="s">
        <v>128</v>
      </c>
      <c r="Z54" s="20" t="s">
        <v>128</v>
      </c>
      <c r="AA54" s="27" t="s">
        <v>128</v>
      </c>
      <c r="AB54" s="26"/>
      <c r="AC54" s="20"/>
      <c r="AD54" s="33"/>
      <c r="AE54" s="32"/>
      <c r="AF54" s="20"/>
      <c r="AG54" s="33" t="s">
        <v>128</v>
      </c>
      <c r="AH54" s="32"/>
      <c r="AI54" s="20"/>
      <c r="AJ54" s="33" t="s">
        <v>128</v>
      </c>
      <c r="AK54" s="32"/>
      <c r="AL54" s="20"/>
      <c r="AM54" s="33"/>
      <c r="AN54" s="32"/>
      <c r="AO54" s="20"/>
      <c r="AP54" s="33" t="s">
        <v>128</v>
      </c>
      <c r="AQ54" s="32" t="s">
        <v>128</v>
      </c>
      <c r="AR54" s="20" t="s">
        <v>128</v>
      </c>
      <c r="AS54" s="33" t="s">
        <v>128</v>
      </c>
      <c r="AT54" s="20" t="s">
        <v>128</v>
      </c>
      <c r="AU54" s="20" t="s">
        <v>128</v>
      </c>
      <c r="AV54" s="27" t="s">
        <v>128</v>
      </c>
      <c r="AW54"/>
      <c r="AX54">
        <f>COUNTIF(AvailabilityMatrix[[#This Row],[1-Mon-AM]:[2-Sun-NIGHT2-2-]],"X")</f>
        <v>18</v>
      </c>
      <c r="AY54">
        <f t="shared" si="1"/>
        <v>10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186</v>
      </c>
      <c r="C55" s="18" t="s">
        <v>46</v>
      </c>
      <c r="E55" s="1"/>
      <c r="G55" s="26" t="s">
        <v>128</v>
      </c>
      <c r="H55" s="20"/>
      <c r="I55" s="33"/>
      <c r="J55" s="32" t="s">
        <v>128</v>
      </c>
      <c r="K55" s="20"/>
      <c r="L55" s="33"/>
      <c r="M55" s="32"/>
      <c r="N55" s="20"/>
      <c r="O55" s="33"/>
      <c r="P55" s="32"/>
      <c r="Q55" s="20"/>
      <c r="R55" s="33"/>
      <c r="S55" s="32" t="s">
        <v>128</v>
      </c>
      <c r="T55" s="20"/>
      <c r="U55" s="33"/>
      <c r="V55" s="32" t="s">
        <v>128</v>
      </c>
      <c r="W55" s="20"/>
      <c r="X55" s="33"/>
      <c r="Y55" s="20" t="s">
        <v>128</v>
      </c>
      <c r="Z55" s="20"/>
      <c r="AA55" s="27"/>
      <c r="AB55" s="26" t="s">
        <v>128</v>
      </c>
      <c r="AC55" s="20"/>
      <c r="AD55" s="33"/>
      <c r="AE55" s="32" t="s">
        <v>128</v>
      </c>
      <c r="AF55" s="20"/>
      <c r="AG55" s="33"/>
      <c r="AH55" s="32"/>
      <c r="AI55" s="20"/>
      <c r="AJ55" s="33"/>
      <c r="AK55" s="32"/>
      <c r="AL55" s="20"/>
      <c r="AM55" s="33"/>
      <c r="AN55" s="32" t="s">
        <v>128</v>
      </c>
      <c r="AO55" s="20"/>
      <c r="AP55" s="33"/>
      <c r="AQ55" s="32" t="s">
        <v>128</v>
      </c>
      <c r="AR55" s="20"/>
      <c r="AS55" s="33"/>
      <c r="AT55" s="20" t="s">
        <v>128</v>
      </c>
      <c r="AU55" s="20"/>
      <c r="AV55" s="27"/>
      <c r="AW55"/>
      <c r="AX55">
        <f>COUNTIF(AvailabilityMatrix[[#This Row],[1-Mon-AM]:[2-Sun-NIGHT2-2-]],"X")</f>
        <v>10</v>
      </c>
      <c r="AY55">
        <f t="shared" si="1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87</v>
      </c>
      <c r="C56" s="18" t="s">
        <v>46</v>
      </c>
      <c r="E56" s="1"/>
      <c r="G56" s="26"/>
      <c r="H56" s="20"/>
      <c r="I56" s="33"/>
      <c r="J56" s="32"/>
      <c r="K56" s="20"/>
      <c r="L56" s="33"/>
      <c r="M56" s="32"/>
      <c r="N56" s="20"/>
      <c r="O56" s="33"/>
      <c r="P56" s="32"/>
      <c r="Q56" s="20" t="s">
        <v>128</v>
      </c>
      <c r="R56" s="33"/>
      <c r="S56" s="32"/>
      <c r="T56" s="20" t="s">
        <v>128</v>
      </c>
      <c r="U56" s="33"/>
      <c r="V56" s="32"/>
      <c r="W56" s="20"/>
      <c r="X56" s="33"/>
      <c r="Y56" s="20"/>
      <c r="Z56" s="20"/>
      <c r="AA56" s="27"/>
      <c r="AB56" s="26"/>
      <c r="AC56" s="20"/>
      <c r="AD56" s="33"/>
      <c r="AE56" s="32"/>
      <c r="AF56" s="20"/>
      <c r="AG56" s="33"/>
      <c r="AH56" s="32"/>
      <c r="AI56" s="20"/>
      <c r="AJ56" s="33"/>
      <c r="AK56" s="32"/>
      <c r="AL56" s="20" t="s">
        <v>128</v>
      </c>
      <c r="AM56" s="33"/>
      <c r="AN56" s="32"/>
      <c r="AO56" s="20" t="s">
        <v>128</v>
      </c>
      <c r="AP56" s="33"/>
      <c r="AQ56" s="32"/>
      <c r="AR56" s="20"/>
      <c r="AS56" s="33"/>
      <c r="AT56" s="20"/>
      <c r="AU56" s="20"/>
      <c r="AV56" s="27"/>
      <c r="AW56"/>
      <c r="AX56">
        <f>COUNTIF(AvailabilityMatrix[[#This Row],[1-Mon-AM]:[2-Sun-NIGHT2-2-]],"X")</f>
        <v>4</v>
      </c>
      <c r="AY56">
        <f t="shared" si="1"/>
        <v>4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88</v>
      </c>
      <c r="C57" s="18" t="s">
        <v>46</v>
      </c>
      <c r="E57" s="1"/>
      <c r="G57" s="26"/>
      <c r="H57" s="20"/>
      <c r="I57" s="33"/>
      <c r="J57" s="32"/>
      <c r="K57" s="20"/>
      <c r="L57" s="33"/>
      <c r="M57" s="32"/>
      <c r="N57" s="20"/>
      <c r="O57" s="33"/>
      <c r="P57" s="32"/>
      <c r="Q57" s="20" t="s">
        <v>128</v>
      </c>
      <c r="R57" s="33"/>
      <c r="S57" s="32"/>
      <c r="T57" s="20" t="s">
        <v>128</v>
      </c>
      <c r="U57" s="33"/>
      <c r="V57" s="32"/>
      <c r="W57" s="20"/>
      <c r="X57" s="33"/>
      <c r="Y57" s="20"/>
      <c r="Z57" s="20"/>
      <c r="AA57" s="27"/>
      <c r="AB57" s="26"/>
      <c r="AC57" s="20"/>
      <c r="AD57" s="33"/>
      <c r="AE57" s="32"/>
      <c r="AF57" s="20"/>
      <c r="AG57" s="33"/>
      <c r="AH57" s="32"/>
      <c r="AI57" s="20"/>
      <c r="AJ57" s="33"/>
      <c r="AK57" s="32"/>
      <c r="AL57" s="20" t="s">
        <v>128</v>
      </c>
      <c r="AM57" s="33"/>
      <c r="AN57" s="32"/>
      <c r="AO57" s="20" t="s">
        <v>128</v>
      </c>
      <c r="AP57" s="33"/>
      <c r="AQ57" s="32"/>
      <c r="AR57" s="20"/>
      <c r="AS57" s="33"/>
      <c r="AT57" s="20"/>
      <c r="AU57" s="20"/>
      <c r="AV57" s="27"/>
      <c r="AW57"/>
      <c r="AX57">
        <f>COUNTIF(AvailabilityMatrix[[#This Row],[1-Mon-AM]:[2-Sun-NIGHT2-2-]],"X")</f>
        <v>4</v>
      </c>
      <c r="AY57">
        <f t="shared" si="1"/>
        <v>4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90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/>
      <c r="O58" s="33"/>
      <c r="P58" s="32"/>
      <c r="Q58" s="20"/>
      <c r="R58" s="33"/>
      <c r="S58" s="32"/>
      <c r="T58" s="20" t="s">
        <v>128</v>
      </c>
      <c r="U58" s="33"/>
      <c r="V58" s="32"/>
      <c r="W58" s="20"/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/>
      <c r="AJ58" s="33"/>
      <c r="AK58" s="32"/>
      <c r="AL58" s="20"/>
      <c r="AM58" s="33"/>
      <c r="AN58" s="32"/>
      <c r="AO58" s="20" t="s">
        <v>128</v>
      </c>
      <c r="AP58" s="33"/>
      <c r="AQ58" s="32"/>
      <c r="AR58" s="20"/>
      <c r="AS58" s="33"/>
      <c r="AT58" s="20"/>
      <c r="AU58" s="20" t="s">
        <v>128</v>
      </c>
      <c r="AV58" s="27"/>
      <c r="AW58"/>
      <c r="AX58">
        <f>COUNTIF(AvailabilityMatrix[[#This Row],[1-Mon-AM]:[2-Sun-NIGHT2-2-]],"X")</f>
        <v>6</v>
      </c>
      <c r="AY58">
        <f t="shared" si="1"/>
        <v>6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91</v>
      </c>
      <c r="C59" s="18" t="s">
        <v>46</v>
      </c>
      <c r="E59" s="1"/>
      <c r="G59" s="26" t="s">
        <v>128</v>
      </c>
      <c r="H59" s="20"/>
      <c r="I59" s="33"/>
      <c r="J59" s="32"/>
      <c r="K59" s="20" t="s">
        <v>128</v>
      </c>
      <c r="L59" s="33"/>
      <c r="M59" s="32"/>
      <c r="N59" s="20"/>
      <c r="O59" s="33"/>
      <c r="P59" s="32"/>
      <c r="Q59" s="20" t="s">
        <v>128</v>
      </c>
      <c r="R59" s="33"/>
      <c r="S59" s="32"/>
      <c r="T59" s="20"/>
      <c r="U59" s="33"/>
      <c r="V59" s="32" t="s">
        <v>128</v>
      </c>
      <c r="W59" s="20"/>
      <c r="X59" s="33"/>
      <c r="Y59" s="20" t="s">
        <v>128</v>
      </c>
      <c r="Z59" s="20"/>
      <c r="AA59" s="27"/>
      <c r="AB59" s="26" t="s">
        <v>128</v>
      </c>
      <c r="AC59" s="20"/>
      <c r="AD59" s="33"/>
      <c r="AE59" s="32"/>
      <c r="AF59" s="20" t="s">
        <v>128</v>
      </c>
      <c r="AG59" s="33"/>
      <c r="AH59" s="32"/>
      <c r="AI59" s="20"/>
      <c r="AJ59" s="33"/>
      <c r="AK59" s="32"/>
      <c r="AL59" s="20" t="s">
        <v>128</v>
      </c>
      <c r="AM59" s="33"/>
      <c r="AN59" s="32"/>
      <c r="AO59" s="20"/>
      <c r="AP59" s="33"/>
      <c r="AQ59" s="32" t="s">
        <v>128</v>
      </c>
      <c r="AR59" s="20"/>
      <c r="AS59" s="33"/>
      <c r="AT59" s="20" t="s">
        <v>128</v>
      </c>
      <c r="AU59" s="20"/>
      <c r="AV59" s="27"/>
      <c r="AW59"/>
      <c r="AX59">
        <f>COUNTIF(AvailabilityMatrix[[#This Row],[1-Mon-AM]:[2-Sun-NIGHT2-2-]],"X")</f>
        <v>10</v>
      </c>
      <c r="AY59">
        <f t="shared" si="1"/>
        <v>10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92</v>
      </c>
      <c r="C60" s="18" t="s">
        <v>46</v>
      </c>
      <c r="E60" s="1"/>
      <c r="G60" s="26"/>
      <c r="H60" s="20" t="s">
        <v>128</v>
      </c>
      <c r="I60" s="33"/>
      <c r="J60" s="32"/>
      <c r="K60" s="20"/>
      <c r="L60" s="33"/>
      <c r="M60" s="32"/>
      <c r="N60" s="20" t="s">
        <v>128</v>
      </c>
      <c r="O60" s="33"/>
      <c r="P60" s="32"/>
      <c r="Q60" s="20"/>
      <c r="R60" s="33"/>
      <c r="S60" s="32"/>
      <c r="T60" s="20"/>
      <c r="U60" s="33"/>
      <c r="V60" s="32"/>
      <c r="W60" s="20" t="s">
        <v>128</v>
      </c>
      <c r="X60" s="33"/>
      <c r="Y60" s="20"/>
      <c r="Z60" s="20" t="s">
        <v>128</v>
      </c>
      <c r="AA60" s="27"/>
      <c r="AB60" s="26"/>
      <c r="AC60" s="20" t="s">
        <v>128</v>
      </c>
      <c r="AD60" s="33"/>
      <c r="AE60" s="32"/>
      <c r="AF60" s="20"/>
      <c r="AG60" s="33"/>
      <c r="AH60" s="32"/>
      <c r="AI60" s="20" t="s">
        <v>128</v>
      </c>
      <c r="AJ60" s="33"/>
      <c r="AK60" s="32"/>
      <c r="AL60" s="20"/>
      <c r="AM60" s="33"/>
      <c r="AN60" s="32"/>
      <c r="AO60" s="20"/>
      <c r="AP60" s="33"/>
      <c r="AQ60" s="32"/>
      <c r="AR60" s="20" t="s">
        <v>128</v>
      </c>
      <c r="AS60" s="33"/>
      <c r="AT60" s="20"/>
      <c r="AU60" s="20" t="s">
        <v>128</v>
      </c>
      <c r="AV60" s="27"/>
      <c r="AW60"/>
      <c r="AX60">
        <f>COUNTIF(AvailabilityMatrix[[#This Row],[1-Mon-AM]:[2-Sun-NIGHT2-2-]],"X")</f>
        <v>8</v>
      </c>
      <c r="AY60">
        <f t="shared" si="1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93</v>
      </c>
      <c r="C61" s="18" t="s">
        <v>46</v>
      </c>
      <c r="E61" s="1"/>
      <c r="G61" s="26"/>
      <c r="H61" s="20"/>
      <c r="I61" s="33"/>
      <c r="J61" s="32"/>
      <c r="K61" s="20"/>
      <c r="L61" s="33"/>
      <c r="M61" s="32"/>
      <c r="N61" s="20" t="s">
        <v>128</v>
      </c>
      <c r="O61" s="33"/>
      <c r="P61" s="32"/>
      <c r="Q61" s="20" t="s">
        <v>128</v>
      </c>
      <c r="R61" s="33"/>
      <c r="S61" s="32"/>
      <c r="T61" s="20" t="s">
        <v>128</v>
      </c>
      <c r="U61" s="33"/>
      <c r="V61" s="32"/>
      <c r="W61" s="20" t="s">
        <v>128</v>
      </c>
      <c r="X61" s="33"/>
      <c r="Y61" s="20"/>
      <c r="Z61" s="20"/>
      <c r="AA61" s="27"/>
      <c r="AB61" s="26"/>
      <c r="AC61" s="20"/>
      <c r="AD61" s="33"/>
      <c r="AE61" s="32"/>
      <c r="AF61" s="20"/>
      <c r="AG61" s="33"/>
      <c r="AH61" s="32"/>
      <c r="AI61" s="20" t="s">
        <v>128</v>
      </c>
      <c r="AJ61" s="33"/>
      <c r="AK61" s="32"/>
      <c r="AL61" s="20" t="s">
        <v>128</v>
      </c>
      <c r="AM61" s="33"/>
      <c r="AN61" s="32"/>
      <c r="AO61" s="20" t="s">
        <v>128</v>
      </c>
      <c r="AP61" s="33"/>
      <c r="AQ61" s="32"/>
      <c r="AR61" s="20" t="s">
        <v>128</v>
      </c>
      <c r="AS61" s="33"/>
      <c r="AT61" s="20"/>
      <c r="AU61" s="20"/>
      <c r="AV61" s="27"/>
      <c r="AW61"/>
      <c r="AX61">
        <f>COUNTIF(AvailabilityMatrix[[#This Row],[1-Mon-AM]:[2-Sun-NIGHT2-2-]],"X")</f>
        <v>8</v>
      </c>
      <c r="AY61">
        <f t="shared" si="1"/>
        <v>8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94</v>
      </c>
      <c r="C62" s="18" t="s">
        <v>46</v>
      </c>
      <c r="E62" s="1"/>
      <c r="G62" s="26" t="s">
        <v>128</v>
      </c>
      <c r="H62" s="20"/>
      <c r="I62" s="33"/>
      <c r="J62" s="32" t="s">
        <v>128</v>
      </c>
      <c r="K62" s="20"/>
      <c r="L62" s="33"/>
      <c r="M62" s="32"/>
      <c r="N62" s="20"/>
      <c r="O62" s="33"/>
      <c r="P62" s="32"/>
      <c r="Q62" s="20"/>
      <c r="R62" s="33"/>
      <c r="S62" s="32"/>
      <c r="T62" s="20"/>
      <c r="U62" s="33"/>
      <c r="V62" s="32" t="s">
        <v>128</v>
      </c>
      <c r="W62" s="20"/>
      <c r="X62" s="33"/>
      <c r="Y62" s="20" t="s">
        <v>128</v>
      </c>
      <c r="Z62" s="20"/>
      <c r="AA62" s="27"/>
      <c r="AB62" s="26" t="s">
        <v>128</v>
      </c>
      <c r="AC62" s="20"/>
      <c r="AD62" s="33"/>
      <c r="AE62" s="32" t="s">
        <v>128</v>
      </c>
      <c r="AF62" s="20"/>
      <c r="AG62" s="33"/>
      <c r="AH62" s="32"/>
      <c r="AI62" s="20"/>
      <c r="AJ62" s="33"/>
      <c r="AK62" s="32"/>
      <c r="AL62" s="20"/>
      <c r="AM62" s="33"/>
      <c r="AN62" s="32"/>
      <c r="AO62" s="20"/>
      <c r="AP62" s="33"/>
      <c r="AQ62" s="32" t="s">
        <v>128</v>
      </c>
      <c r="AR62" s="20"/>
      <c r="AS62" s="33"/>
      <c r="AT62" s="20" t="s">
        <v>128</v>
      </c>
      <c r="AU62" s="20"/>
      <c r="AV62" s="27"/>
      <c r="AW62"/>
      <c r="AX62">
        <f>COUNTIF(AvailabilityMatrix[[#This Row],[1-Mon-AM]:[2-Sun-NIGHT2-2-]],"X")</f>
        <v>8</v>
      </c>
      <c r="AY62">
        <f t="shared" si="1"/>
        <v>8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95</v>
      </c>
      <c r="C63" s="18" t="s">
        <v>46</v>
      </c>
      <c r="E63" s="1"/>
      <c r="G63" s="26" t="s">
        <v>128</v>
      </c>
      <c r="H63" s="20"/>
      <c r="I63" s="33"/>
      <c r="J63" s="32" t="s">
        <v>128</v>
      </c>
      <c r="K63" s="20"/>
      <c r="L63" s="33"/>
      <c r="M63" s="32" t="s">
        <v>128</v>
      </c>
      <c r="N63" s="20"/>
      <c r="O63" s="33"/>
      <c r="P63" s="32" t="s">
        <v>128</v>
      </c>
      <c r="Q63" s="20"/>
      <c r="R63" s="33"/>
      <c r="S63" s="32" t="s">
        <v>128</v>
      </c>
      <c r="T63" s="20"/>
      <c r="U63" s="33"/>
      <c r="V63" s="32"/>
      <c r="W63" s="20"/>
      <c r="X63" s="33"/>
      <c r="Y63" s="20"/>
      <c r="Z63" s="20"/>
      <c r="AA63" s="27"/>
      <c r="AB63" s="26" t="s">
        <v>128</v>
      </c>
      <c r="AC63" s="20"/>
      <c r="AD63" s="33"/>
      <c r="AE63" s="32" t="s">
        <v>128</v>
      </c>
      <c r="AF63" s="20"/>
      <c r="AG63" s="33"/>
      <c r="AH63" s="32" t="s">
        <v>128</v>
      </c>
      <c r="AI63" s="20"/>
      <c r="AJ63" s="33"/>
      <c r="AK63" s="32" t="s">
        <v>128</v>
      </c>
      <c r="AL63" s="20"/>
      <c r="AM63" s="33"/>
      <c r="AN63" s="32" t="s">
        <v>128</v>
      </c>
      <c r="AO63" s="20"/>
      <c r="AP63" s="33"/>
      <c r="AQ63" s="32"/>
      <c r="AR63" s="20"/>
      <c r="AS63" s="33"/>
      <c r="AT63" s="20"/>
      <c r="AU63" s="20"/>
      <c r="AV63" s="27"/>
      <c r="AW63"/>
      <c r="AX63">
        <f>COUNTIF(AvailabilityMatrix[[#This Row],[1-Mon-AM]:[2-Sun-NIGHT2-2-]],"X")</f>
        <v>10</v>
      </c>
      <c r="AY63">
        <f t="shared" si="1"/>
        <v>10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96</v>
      </c>
      <c r="C64" s="18" t="s">
        <v>46</v>
      </c>
      <c r="E64" s="1"/>
      <c r="G64" s="26"/>
      <c r="H64" s="20" t="s">
        <v>128</v>
      </c>
      <c r="I64" s="33"/>
      <c r="J64" s="32"/>
      <c r="K64" s="20" t="s">
        <v>128</v>
      </c>
      <c r="L64" s="33"/>
      <c r="M64" s="32"/>
      <c r="N64" s="20" t="s">
        <v>128</v>
      </c>
      <c r="O64" s="33"/>
      <c r="P64" s="32"/>
      <c r="Q64" s="20"/>
      <c r="R64" s="33"/>
      <c r="S64" s="32"/>
      <c r="T64" s="20"/>
      <c r="U64" s="33"/>
      <c r="V64" s="32"/>
      <c r="W64" s="20"/>
      <c r="X64" s="33"/>
      <c r="Y64" s="20"/>
      <c r="Z64" s="20"/>
      <c r="AA64" s="27"/>
      <c r="AB64" s="26"/>
      <c r="AC64" s="20" t="s">
        <v>128</v>
      </c>
      <c r="AD64" s="33"/>
      <c r="AE64" s="32"/>
      <c r="AF64" s="20" t="s">
        <v>128</v>
      </c>
      <c r="AG64" s="33"/>
      <c r="AH64" s="32"/>
      <c r="AI64" s="20" t="s">
        <v>128</v>
      </c>
      <c r="AJ64" s="33"/>
      <c r="AK64" s="32"/>
      <c r="AL64" s="20"/>
      <c r="AM64" s="33"/>
      <c r="AN64" s="32"/>
      <c r="AO64" s="20"/>
      <c r="AP64" s="33"/>
      <c r="AQ64" s="32"/>
      <c r="AR64" s="20"/>
      <c r="AS64" s="33"/>
      <c r="AT64" s="20"/>
      <c r="AU64" s="20"/>
      <c r="AV64" s="27"/>
      <c r="AW64"/>
      <c r="AX64">
        <f>COUNTIF(AvailabilityMatrix[[#This Row],[1-Mon-AM]:[2-Sun-NIGHT2-2-]],"X")</f>
        <v>6</v>
      </c>
      <c r="AY64">
        <f t="shared" si="1"/>
        <v>6</v>
      </c>
      <c r="AZ64"/>
      <c r="BA64"/>
      <c r="BB64"/>
      <c r="BC64"/>
      <c r="BD64"/>
      <c r="BE64"/>
      <c r="BF64"/>
      <c r="BG64"/>
      <c r="BH64"/>
    </row>
    <row r="65" spans="1:60" ht="17.25" hidden="1" customHeight="1" x14ac:dyDescent="0.25">
      <c r="A65" s="19"/>
      <c r="B65" s="18" t="s">
        <v>97</v>
      </c>
      <c r="C65" s="18" t="s">
        <v>46</v>
      </c>
      <c r="E65" s="1"/>
      <c r="G65" s="26"/>
      <c r="H65" s="20"/>
      <c r="I65" s="33" t="s">
        <v>128</v>
      </c>
      <c r="J65" s="32"/>
      <c r="K65" s="20"/>
      <c r="L65" s="33" t="s">
        <v>128</v>
      </c>
      <c r="M65" s="32"/>
      <c r="N65" s="20"/>
      <c r="O65" s="33"/>
      <c r="P65" s="32"/>
      <c r="Q65" s="20"/>
      <c r="R65" s="33"/>
      <c r="S65" s="32"/>
      <c r="T65" s="20"/>
      <c r="U65" s="33"/>
      <c r="V65" s="32"/>
      <c r="W65" s="20"/>
      <c r="X65" s="33"/>
      <c r="Y65" s="20"/>
      <c r="Z65" s="20"/>
      <c r="AA65" s="27"/>
      <c r="AB65" s="26"/>
      <c r="AC65" s="20"/>
      <c r="AD65" s="33"/>
      <c r="AE65" s="32"/>
      <c r="AF65" s="20"/>
      <c r="AG65" s="33"/>
      <c r="AH65" s="32"/>
      <c r="AI65" s="20"/>
      <c r="AJ65" s="33"/>
      <c r="AK65" s="32"/>
      <c r="AL65" s="20"/>
      <c r="AM65" s="33"/>
      <c r="AN65" s="32"/>
      <c r="AO65" s="20"/>
      <c r="AP65" s="33"/>
      <c r="AQ65" s="32"/>
      <c r="AR65" s="20"/>
      <c r="AS65" s="33"/>
      <c r="AT65" s="20"/>
      <c r="AU65" s="20"/>
      <c r="AV65" s="27"/>
      <c r="AW65"/>
      <c r="AX65">
        <f>COUNTIF(AvailabilityMatrix[[#This Row],[1-Mon-AM]:[2-Sun-NIGHT2-2-]],"X")</f>
        <v>2</v>
      </c>
      <c r="AY65">
        <f t="shared" si="1"/>
        <v>2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98</v>
      </c>
      <c r="C66" s="18" t="s">
        <v>46</v>
      </c>
      <c r="E66" s="1"/>
      <c r="G66" s="26"/>
      <c r="H66" s="20" t="s">
        <v>128</v>
      </c>
      <c r="I66" s="33"/>
      <c r="J66" s="32" t="s">
        <v>128</v>
      </c>
      <c r="K66" s="20"/>
      <c r="L66" s="33" t="s">
        <v>128</v>
      </c>
      <c r="M66" s="32" t="s">
        <v>128</v>
      </c>
      <c r="N66" s="20"/>
      <c r="O66" s="33" t="s">
        <v>128</v>
      </c>
      <c r="P66" s="32"/>
      <c r="Q66" s="20"/>
      <c r="R66" s="33"/>
      <c r="S66" s="32"/>
      <c r="T66" s="20" t="s">
        <v>128</v>
      </c>
      <c r="U66" s="33"/>
      <c r="V66" s="32"/>
      <c r="W66" s="20" t="s">
        <v>128</v>
      </c>
      <c r="X66" s="33"/>
      <c r="Y66" s="20"/>
      <c r="Z66" s="20"/>
      <c r="AA66" s="27" t="s">
        <v>128</v>
      </c>
      <c r="AB66" s="26"/>
      <c r="AC66" s="20" t="s">
        <v>128</v>
      </c>
      <c r="AD66" s="33"/>
      <c r="AE66" s="32" t="s">
        <v>128</v>
      </c>
      <c r="AF66" s="20"/>
      <c r="AG66" s="33" t="s">
        <v>128</v>
      </c>
      <c r="AH66" s="32" t="s">
        <v>128</v>
      </c>
      <c r="AI66" s="20"/>
      <c r="AJ66" s="33" t="s">
        <v>128</v>
      </c>
      <c r="AK66" s="32"/>
      <c r="AL66" s="20"/>
      <c r="AM66" s="33"/>
      <c r="AN66" s="32"/>
      <c r="AO66" s="20" t="s">
        <v>128</v>
      </c>
      <c r="AP66" s="33"/>
      <c r="AQ66" s="32"/>
      <c r="AR66" s="20" t="s">
        <v>128</v>
      </c>
      <c r="AS66" s="33"/>
      <c r="AT66" s="20"/>
      <c r="AU66" s="20"/>
      <c r="AV66" s="27" t="s">
        <v>128</v>
      </c>
      <c r="AW66"/>
      <c r="AX66">
        <f>COUNTIF(AvailabilityMatrix[[#This Row],[1-Mon-AM]:[2-Sun-NIGHT2-2-]],"X")</f>
        <v>16</v>
      </c>
      <c r="AY66">
        <f t="shared" si="1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100</v>
      </c>
      <c r="C67" s="18" t="s">
        <v>46</v>
      </c>
      <c r="E67" s="1"/>
      <c r="G67" s="26"/>
      <c r="H67" s="20" t="s">
        <v>128</v>
      </c>
      <c r="I67" s="33"/>
      <c r="J67" s="32"/>
      <c r="K67" s="20" t="s">
        <v>128</v>
      </c>
      <c r="L67" s="33"/>
      <c r="M67" s="32" t="s">
        <v>128</v>
      </c>
      <c r="N67" s="20" t="s">
        <v>128</v>
      </c>
      <c r="O67" s="33"/>
      <c r="P67" s="32"/>
      <c r="Q67" s="20" t="s">
        <v>128</v>
      </c>
      <c r="R67" s="33"/>
      <c r="S67" s="32"/>
      <c r="T67" s="20"/>
      <c r="U67" s="33"/>
      <c r="V67" s="32" t="s">
        <v>128</v>
      </c>
      <c r="W67" s="20"/>
      <c r="X67" s="33"/>
      <c r="Y67" s="20" t="s">
        <v>128</v>
      </c>
      <c r="Z67" s="20"/>
      <c r="AA67" s="27"/>
      <c r="AB67" s="26"/>
      <c r="AC67" s="20" t="s">
        <v>128</v>
      </c>
      <c r="AD67" s="33"/>
      <c r="AE67" s="32"/>
      <c r="AF67" s="20" t="s">
        <v>128</v>
      </c>
      <c r="AG67" s="33"/>
      <c r="AH67" s="32" t="s">
        <v>128</v>
      </c>
      <c r="AI67" s="20" t="s">
        <v>128</v>
      </c>
      <c r="AJ67" s="33"/>
      <c r="AK67" s="32"/>
      <c r="AL67" s="20" t="s">
        <v>128</v>
      </c>
      <c r="AM67" s="33"/>
      <c r="AN67" s="32"/>
      <c r="AO67" s="20"/>
      <c r="AP67" s="33"/>
      <c r="AQ67" s="32" t="s">
        <v>128</v>
      </c>
      <c r="AR67" s="20"/>
      <c r="AS67" s="33"/>
      <c r="AT67" s="20" t="s">
        <v>128</v>
      </c>
      <c r="AU67" s="20"/>
      <c r="AV67" s="27"/>
      <c r="AW67"/>
      <c r="AX67">
        <f>COUNTIF(AvailabilityMatrix[[#This Row],[1-Mon-AM]:[2-Sun-NIGHT2-2-]],"X")</f>
        <v>14</v>
      </c>
      <c r="AY67">
        <f t="shared" si="1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101</v>
      </c>
      <c r="C68" s="18" t="s">
        <v>46</v>
      </c>
      <c r="E68" s="1"/>
      <c r="G68" s="26"/>
      <c r="H68" s="20"/>
      <c r="I68" s="33" t="s">
        <v>128</v>
      </c>
      <c r="J68" s="32"/>
      <c r="K68" s="20"/>
      <c r="L68" s="33" t="s">
        <v>128</v>
      </c>
      <c r="M68" s="32"/>
      <c r="N68" s="20"/>
      <c r="O68" s="33" t="s">
        <v>128</v>
      </c>
      <c r="P68" s="32"/>
      <c r="Q68" s="20"/>
      <c r="R68" s="33" t="s">
        <v>128</v>
      </c>
      <c r="S68" s="32"/>
      <c r="T68" s="20"/>
      <c r="U68" s="33" t="s">
        <v>128</v>
      </c>
      <c r="V68" s="32"/>
      <c r="W68" s="20"/>
      <c r="X68" s="33" t="s">
        <v>128</v>
      </c>
      <c r="Y68" s="20"/>
      <c r="Z68" s="20"/>
      <c r="AA68" s="27"/>
      <c r="AB68" s="26"/>
      <c r="AC68" s="20"/>
      <c r="AD68" s="33" t="s">
        <v>128</v>
      </c>
      <c r="AE68" s="32"/>
      <c r="AF68" s="20"/>
      <c r="AG68" s="33" t="s">
        <v>128</v>
      </c>
      <c r="AH68" s="32"/>
      <c r="AI68" s="20"/>
      <c r="AJ68" s="33" t="s">
        <v>128</v>
      </c>
      <c r="AK68" s="32"/>
      <c r="AL68" s="20"/>
      <c r="AM68" s="33" t="s">
        <v>128</v>
      </c>
      <c r="AN68" s="32"/>
      <c r="AO68" s="20"/>
      <c r="AP68" s="33" t="s">
        <v>128</v>
      </c>
      <c r="AQ68" s="32"/>
      <c r="AR68" s="20"/>
      <c r="AS68" s="33" t="s">
        <v>128</v>
      </c>
      <c r="AT68" s="20"/>
      <c r="AU68" s="20"/>
      <c r="AV68" s="27"/>
      <c r="AW68"/>
      <c r="AX68">
        <f>COUNTIF(AvailabilityMatrix[[#This Row],[1-Mon-AM]:[2-Sun-NIGHT2-2-]],"X")</f>
        <v>12</v>
      </c>
      <c r="AY68">
        <f t="shared" si="1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102</v>
      </c>
      <c r="C69" s="18" t="s">
        <v>46</v>
      </c>
      <c r="E69" s="1"/>
      <c r="G69" s="26" t="s">
        <v>128</v>
      </c>
      <c r="H69" s="20"/>
      <c r="I69" s="33"/>
      <c r="J69" s="32"/>
      <c r="K69" s="20"/>
      <c r="L69" s="33"/>
      <c r="M69" s="32"/>
      <c r="N69" s="20" t="s">
        <v>128</v>
      </c>
      <c r="O69" s="33"/>
      <c r="P69" s="32"/>
      <c r="Q69" s="20" t="s">
        <v>128</v>
      </c>
      <c r="R69" s="33"/>
      <c r="S69" s="32"/>
      <c r="T69" s="20" t="s">
        <v>128</v>
      </c>
      <c r="U69" s="33"/>
      <c r="V69" s="32" t="s">
        <v>128</v>
      </c>
      <c r="W69" s="20"/>
      <c r="X69" s="33"/>
      <c r="Y69" s="20"/>
      <c r="Z69" s="20" t="s">
        <v>128</v>
      </c>
      <c r="AA69" s="27"/>
      <c r="AB69" s="26" t="s">
        <v>128</v>
      </c>
      <c r="AC69" s="20"/>
      <c r="AD69" s="33"/>
      <c r="AE69" s="32"/>
      <c r="AF69" s="20"/>
      <c r="AG69" s="33"/>
      <c r="AH69" s="32"/>
      <c r="AI69" s="20" t="s">
        <v>128</v>
      </c>
      <c r="AJ69" s="33"/>
      <c r="AK69" s="32"/>
      <c r="AL69" s="20" t="s">
        <v>128</v>
      </c>
      <c r="AM69" s="33"/>
      <c r="AN69" s="32"/>
      <c r="AO69" s="20" t="s">
        <v>128</v>
      </c>
      <c r="AP69" s="33"/>
      <c r="AQ69" s="32" t="s">
        <v>128</v>
      </c>
      <c r="AR69" s="20"/>
      <c r="AS69" s="33"/>
      <c r="AT69" s="20"/>
      <c r="AU69" s="20" t="s">
        <v>128</v>
      </c>
      <c r="AV69" s="27"/>
      <c r="AW69"/>
      <c r="AX69">
        <f>COUNTIF(AvailabilityMatrix[[#This Row],[1-Mon-AM]:[2-Sun-NIGHT2-2-]],"X")</f>
        <v>12</v>
      </c>
      <c r="AY69">
        <f t="shared" si="1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103</v>
      </c>
      <c r="C70" s="18" t="s">
        <v>46</v>
      </c>
      <c r="E70" s="1"/>
      <c r="G70" s="26"/>
      <c r="H70" s="20" t="s">
        <v>128</v>
      </c>
      <c r="I70" s="33"/>
      <c r="J70" s="32" t="s">
        <v>128</v>
      </c>
      <c r="K70" s="20"/>
      <c r="L70" s="33"/>
      <c r="M70" s="32"/>
      <c r="N70" s="20" t="s">
        <v>128</v>
      </c>
      <c r="O70" s="33"/>
      <c r="P70" s="32"/>
      <c r="Q70" s="20"/>
      <c r="R70" s="33" t="s">
        <v>128</v>
      </c>
      <c r="S70" s="32"/>
      <c r="T70" s="20"/>
      <c r="U70" s="33"/>
      <c r="V70" s="32" t="s">
        <v>128</v>
      </c>
      <c r="W70" s="20"/>
      <c r="X70" s="33"/>
      <c r="Y70" s="20" t="s">
        <v>128</v>
      </c>
      <c r="Z70" s="20"/>
      <c r="AA70" s="27"/>
      <c r="AB70" s="26"/>
      <c r="AC70" s="20" t="s">
        <v>128</v>
      </c>
      <c r="AD70" s="33"/>
      <c r="AE70" s="32" t="s">
        <v>128</v>
      </c>
      <c r="AF70" s="20"/>
      <c r="AG70" s="33"/>
      <c r="AH70" s="32"/>
      <c r="AI70" s="20" t="s">
        <v>128</v>
      </c>
      <c r="AJ70" s="33"/>
      <c r="AK70" s="32"/>
      <c r="AL70" s="20"/>
      <c r="AM70" s="33" t="s">
        <v>128</v>
      </c>
      <c r="AN70" s="32"/>
      <c r="AO70" s="20"/>
      <c r="AP70" s="33"/>
      <c r="AQ70" s="32" t="s">
        <v>128</v>
      </c>
      <c r="AR70" s="20"/>
      <c r="AS70" s="33"/>
      <c r="AT70" s="20" t="s">
        <v>128</v>
      </c>
      <c r="AU70" s="20"/>
      <c r="AV70" s="27"/>
      <c r="AW70"/>
      <c r="AX70">
        <f>COUNTIF(AvailabilityMatrix[[#This Row],[1-Mon-AM]:[2-Sun-NIGHT2-2-]],"X")</f>
        <v>12</v>
      </c>
      <c r="AY70">
        <f t="shared" si="1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104</v>
      </c>
      <c r="C71" s="18" t="s">
        <v>46</v>
      </c>
      <c r="E71" s="1"/>
      <c r="G71" s="26"/>
      <c r="H71" s="20"/>
      <c r="I71" s="33"/>
      <c r="J71" s="32"/>
      <c r="K71" s="20"/>
      <c r="L71" s="33" t="s">
        <v>128</v>
      </c>
      <c r="M71" s="32"/>
      <c r="N71" s="20"/>
      <c r="O71" s="33"/>
      <c r="P71" s="32"/>
      <c r="Q71" s="20"/>
      <c r="R71" s="33" t="s">
        <v>128</v>
      </c>
      <c r="S71" s="32"/>
      <c r="T71" s="20"/>
      <c r="U71" s="33" t="s">
        <v>128</v>
      </c>
      <c r="V71" s="32"/>
      <c r="W71" s="20"/>
      <c r="X71" s="33" t="s">
        <v>128</v>
      </c>
      <c r="Y71" s="20"/>
      <c r="Z71" s="20"/>
      <c r="AA71" s="27" t="s">
        <v>128</v>
      </c>
      <c r="AB71" s="26"/>
      <c r="AC71" s="20"/>
      <c r="AD71" s="33"/>
      <c r="AE71" s="32"/>
      <c r="AF71" s="20"/>
      <c r="AG71" s="33" t="s">
        <v>128</v>
      </c>
      <c r="AH71" s="32"/>
      <c r="AI71" s="20"/>
      <c r="AJ71" s="33"/>
      <c r="AK71" s="32"/>
      <c r="AL71" s="20"/>
      <c r="AM71" s="33" t="s">
        <v>128</v>
      </c>
      <c r="AN71" s="32"/>
      <c r="AO71" s="20"/>
      <c r="AP71" s="33" t="s">
        <v>128</v>
      </c>
      <c r="AQ71" s="32"/>
      <c r="AR71" s="20"/>
      <c r="AS71" s="33" t="s">
        <v>128</v>
      </c>
      <c r="AT71" s="20"/>
      <c r="AU71" s="20"/>
      <c r="AV71" s="27" t="s">
        <v>128</v>
      </c>
      <c r="AW71"/>
      <c r="AX71">
        <f>COUNTIF(AvailabilityMatrix[[#This Row],[1-Mon-AM]:[2-Sun-NIGHT2-2-]],"X")</f>
        <v>10</v>
      </c>
      <c r="AY71">
        <f t="shared" si="1"/>
        <v>10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105</v>
      </c>
      <c r="C72" s="18" t="s">
        <v>46</v>
      </c>
      <c r="E72" s="1"/>
      <c r="G72" s="26"/>
      <c r="H72" s="20"/>
      <c r="I72" s="33"/>
      <c r="J72" s="32"/>
      <c r="K72" s="20"/>
      <c r="L72" s="33"/>
      <c r="M72" s="32"/>
      <c r="N72" s="20"/>
      <c r="O72" s="33"/>
      <c r="P72" s="32"/>
      <c r="Q72" s="20"/>
      <c r="R72" s="33"/>
      <c r="S72" s="32" t="s">
        <v>128</v>
      </c>
      <c r="T72" s="20"/>
      <c r="U72" s="33"/>
      <c r="V72" s="32" t="s">
        <v>128</v>
      </c>
      <c r="W72" s="20"/>
      <c r="X72" s="33"/>
      <c r="Y72" s="20" t="s">
        <v>128</v>
      </c>
      <c r="Z72" s="20"/>
      <c r="AA72" s="27"/>
      <c r="AB72" s="26"/>
      <c r="AC72" s="20"/>
      <c r="AD72" s="33"/>
      <c r="AE72" s="32"/>
      <c r="AF72" s="20"/>
      <c r="AG72" s="33"/>
      <c r="AH72" s="32"/>
      <c r="AI72" s="20"/>
      <c r="AJ72" s="33"/>
      <c r="AK72" s="32"/>
      <c r="AL72" s="20"/>
      <c r="AM72" s="33"/>
      <c r="AN72" s="32" t="s">
        <v>128</v>
      </c>
      <c r="AO72" s="20"/>
      <c r="AP72" s="33"/>
      <c r="AQ72" s="32" t="s">
        <v>128</v>
      </c>
      <c r="AR72" s="20"/>
      <c r="AS72" s="33"/>
      <c r="AT72" s="20" t="s">
        <v>128</v>
      </c>
      <c r="AU72" s="20"/>
      <c r="AV72" s="27"/>
      <c r="AW72"/>
      <c r="AX72">
        <f>COUNTIF(AvailabilityMatrix[[#This Row],[1-Mon-AM]:[2-Sun-NIGHT2-2-]],"X")</f>
        <v>6</v>
      </c>
      <c r="AY72">
        <f t="shared" si="1"/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106</v>
      </c>
      <c r="C73" s="18" t="s">
        <v>46</v>
      </c>
      <c r="E73" s="1"/>
      <c r="G73" s="26" t="s">
        <v>128</v>
      </c>
      <c r="H73" s="20"/>
      <c r="I73" s="33"/>
      <c r="J73" s="32"/>
      <c r="K73" s="20"/>
      <c r="L73" s="33"/>
      <c r="M73" s="32"/>
      <c r="N73" s="20"/>
      <c r="O73" s="33"/>
      <c r="P73" s="32" t="s">
        <v>128</v>
      </c>
      <c r="Q73" s="20"/>
      <c r="R73" s="33"/>
      <c r="S73" s="32" t="s">
        <v>128</v>
      </c>
      <c r="T73" s="20"/>
      <c r="U73" s="33"/>
      <c r="V73" s="32"/>
      <c r="W73" s="20"/>
      <c r="X73" s="33"/>
      <c r="Y73" s="20"/>
      <c r="Z73" s="20"/>
      <c r="AA73" s="27"/>
      <c r="AB73" s="26" t="s">
        <v>128</v>
      </c>
      <c r="AC73" s="20"/>
      <c r="AD73" s="33"/>
      <c r="AE73" s="32"/>
      <c r="AF73" s="20"/>
      <c r="AG73" s="33"/>
      <c r="AH73" s="32"/>
      <c r="AI73" s="20"/>
      <c r="AJ73" s="33"/>
      <c r="AK73" s="32" t="s">
        <v>128</v>
      </c>
      <c r="AL73" s="20"/>
      <c r="AM73" s="33"/>
      <c r="AN73" s="32" t="s">
        <v>128</v>
      </c>
      <c r="AO73" s="20"/>
      <c r="AP73" s="33"/>
      <c r="AQ73" s="32"/>
      <c r="AR73" s="20"/>
      <c r="AS73" s="33"/>
      <c r="AT73" s="20"/>
      <c r="AU73" s="20"/>
      <c r="AV73" s="27"/>
      <c r="AW73"/>
      <c r="AX73">
        <f>COUNTIF(AvailabilityMatrix[[#This Row],[1-Mon-AM]:[2-Sun-NIGHT2-2-]],"X")</f>
        <v>6</v>
      </c>
      <c r="AY73">
        <f t="shared" si="1"/>
        <v>6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107</v>
      </c>
      <c r="C74" s="18" t="s">
        <v>46</v>
      </c>
      <c r="E74" s="1"/>
      <c r="G74" s="26"/>
      <c r="H74" s="20"/>
      <c r="I74" s="33"/>
      <c r="J74" s="32"/>
      <c r="K74" s="20"/>
      <c r="L74" s="33"/>
      <c r="M74" s="32" t="s">
        <v>128</v>
      </c>
      <c r="N74" s="20" t="s">
        <v>128</v>
      </c>
      <c r="O74" s="33"/>
      <c r="P74" s="32" t="s">
        <v>128</v>
      </c>
      <c r="Q74" s="20" t="s">
        <v>128</v>
      </c>
      <c r="R74" s="33"/>
      <c r="S74" s="32" t="s">
        <v>128</v>
      </c>
      <c r="T74" s="20" t="s">
        <v>128</v>
      </c>
      <c r="U74" s="33" t="s">
        <v>128</v>
      </c>
      <c r="V74" s="32" t="s">
        <v>128</v>
      </c>
      <c r="W74" s="20" t="s">
        <v>128</v>
      </c>
      <c r="X74" s="33" t="s">
        <v>128</v>
      </c>
      <c r="Y74" s="20" t="s">
        <v>128</v>
      </c>
      <c r="Z74" s="20" t="s">
        <v>128</v>
      </c>
      <c r="AA74" s="27"/>
      <c r="AB74" s="26"/>
      <c r="AC74" s="20"/>
      <c r="AD74" s="33"/>
      <c r="AE74" s="32"/>
      <c r="AF74" s="20"/>
      <c r="AG74" s="33"/>
      <c r="AH74" s="32" t="s">
        <v>128</v>
      </c>
      <c r="AI74" s="20" t="s">
        <v>128</v>
      </c>
      <c r="AJ74" s="33"/>
      <c r="AK74" s="32" t="s">
        <v>128</v>
      </c>
      <c r="AL74" s="20" t="s">
        <v>128</v>
      </c>
      <c r="AM74" s="33"/>
      <c r="AN74" s="32" t="s">
        <v>128</v>
      </c>
      <c r="AO74" s="20" t="s">
        <v>128</v>
      </c>
      <c r="AP74" s="33" t="s">
        <v>128</v>
      </c>
      <c r="AQ74" s="32" t="s">
        <v>128</v>
      </c>
      <c r="AR74" s="20" t="s">
        <v>128</v>
      </c>
      <c r="AS74" s="33" t="s">
        <v>128</v>
      </c>
      <c r="AT74" s="20" t="s">
        <v>128</v>
      </c>
      <c r="AU74" s="20" t="s">
        <v>128</v>
      </c>
      <c r="AV74" s="27"/>
      <c r="AW74"/>
      <c r="AX74">
        <f>COUNTIF(AvailabilityMatrix[[#This Row],[1-Mon-AM]:[2-Sun-NIGHT2-2-]],"X")</f>
        <v>24</v>
      </c>
      <c r="AY74">
        <f t="shared" si="1"/>
        <v>10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108</v>
      </c>
      <c r="C75" s="18" t="s">
        <v>46</v>
      </c>
      <c r="E75" s="1"/>
      <c r="G75" s="26"/>
      <c r="H75" s="20" t="s">
        <v>128</v>
      </c>
      <c r="I75" s="33"/>
      <c r="J75" s="32"/>
      <c r="K75" s="20" t="s">
        <v>128</v>
      </c>
      <c r="L75" s="33"/>
      <c r="M75" s="32"/>
      <c r="N75" s="20" t="s">
        <v>128</v>
      </c>
      <c r="O75" s="33"/>
      <c r="P75" s="32"/>
      <c r="Q75" s="20"/>
      <c r="R75" s="33"/>
      <c r="S75" s="32"/>
      <c r="T75" s="20"/>
      <c r="U75" s="33"/>
      <c r="V75" s="32"/>
      <c r="W75" s="20"/>
      <c r="X75" s="33"/>
      <c r="Y75" s="20"/>
      <c r="Z75" s="20"/>
      <c r="AA75" s="27"/>
      <c r="AB75" s="26"/>
      <c r="AC75" s="20" t="s">
        <v>128</v>
      </c>
      <c r="AD75" s="33"/>
      <c r="AE75" s="32"/>
      <c r="AF75" s="20" t="s">
        <v>128</v>
      </c>
      <c r="AG75" s="33"/>
      <c r="AH75" s="32"/>
      <c r="AI75" s="20" t="s">
        <v>128</v>
      </c>
      <c r="AJ75" s="33"/>
      <c r="AK75" s="32"/>
      <c r="AL75" s="20"/>
      <c r="AM75" s="33"/>
      <c r="AN75" s="32"/>
      <c r="AO75" s="20"/>
      <c r="AP75" s="33"/>
      <c r="AQ75" s="32"/>
      <c r="AR75" s="20"/>
      <c r="AS75" s="33"/>
      <c r="AT75" s="20"/>
      <c r="AU75" s="20"/>
      <c r="AV75" s="27"/>
      <c r="AW75"/>
      <c r="AX75">
        <f>COUNTIF(AvailabilityMatrix[[#This Row],[1-Mon-AM]:[2-Sun-NIGHT2-2-]],"X")</f>
        <v>6</v>
      </c>
      <c r="AY75">
        <f t="shared" ref="AY75:AY103" si="2">IF(AX75&gt;10,10,AX75)</f>
        <v>6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109</v>
      </c>
      <c r="C76" s="18" t="s">
        <v>46</v>
      </c>
      <c r="E76" s="1"/>
      <c r="G76" s="26" t="s">
        <v>128</v>
      </c>
      <c r="H76" s="20"/>
      <c r="I76" s="33"/>
      <c r="J76" s="32" t="s">
        <v>128</v>
      </c>
      <c r="K76" s="20"/>
      <c r="L76" s="33"/>
      <c r="M76" s="32" t="s">
        <v>128</v>
      </c>
      <c r="N76" s="20"/>
      <c r="O76" s="33"/>
      <c r="P76" s="32"/>
      <c r="Q76" s="20"/>
      <c r="R76" s="33"/>
      <c r="S76" s="32" t="s">
        <v>128</v>
      </c>
      <c r="T76" s="20"/>
      <c r="U76" s="33"/>
      <c r="V76" s="32" t="s">
        <v>128</v>
      </c>
      <c r="W76" s="20"/>
      <c r="X76" s="33"/>
      <c r="Y76" s="20"/>
      <c r="Z76" s="20"/>
      <c r="AA76" s="27"/>
      <c r="AB76" s="26" t="s">
        <v>128</v>
      </c>
      <c r="AC76" s="20"/>
      <c r="AD76" s="33"/>
      <c r="AE76" s="32" t="s">
        <v>128</v>
      </c>
      <c r="AF76" s="20"/>
      <c r="AG76" s="33"/>
      <c r="AH76" s="32" t="s">
        <v>128</v>
      </c>
      <c r="AI76" s="20"/>
      <c r="AJ76" s="33"/>
      <c r="AK76" s="32"/>
      <c r="AL76" s="20"/>
      <c r="AM76" s="33"/>
      <c r="AN76" s="32" t="s">
        <v>128</v>
      </c>
      <c r="AO76" s="20"/>
      <c r="AP76" s="33"/>
      <c r="AQ76" s="32" t="s">
        <v>128</v>
      </c>
      <c r="AR76" s="20"/>
      <c r="AS76" s="33"/>
      <c r="AT76" s="20"/>
      <c r="AU76" s="20"/>
      <c r="AV76" s="27"/>
      <c r="AW76"/>
      <c r="AX76">
        <f>COUNTIF(AvailabilityMatrix[[#This Row],[1-Mon-AM]:[2-Sun-NIGHT2-2-]],"X")</f>
        <v>10</v>
      </c>
      <c r="AY76">
        <f t="shared" si="2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110</v>
      </c>
      <c r="C77" s="18" t="s">
        <v>46</v>
      </c>
      <c r="E77" s="1"/>
      <c r="G77" s="26"/>
      <c r="H77" s="20" t="s">
        <v>128</v>
      </c>
      <c r="I77" s="33"/>
      <c r="J77" s="32"/>
      <c r="K77" s="20" t="s">
        <v>128</v>
      </c>
      <c r="L77" s="33"/>
      <c r="M77" s="32"/>
      <c r="N77" s="20"/>
      <c r="O77" s="33"/>
      <c r="P77" s="32"/>
      <c r="Q77" s="20" t="s">
        <v>128</v>
      </c>
      <c r="R77" s="33"/>
      <c r="S77" s="32"/>
      <c r="T77" s="20"/>
      <c r="U77" s="33"/>
      <c r="V77" s="32" t="s">
        <v>128</v>
      </c>
      <c r="W77" s="20"/>
      <c r="X77" s="33"/>
      <c r="Y77" s="20" t="s">
        <v>128</v>
      </c>
      <c r="Z77" s="20"/>
      <c r="AA77" s="27"/>
      <c r="AB77" s="26"/>
      <c r="AC77" s="20" t="s">
        <v>128</v>
      </c>
      <c r="AD77" s="33"/>
      <c r="AE77" s="32"/>
      <c r="AF77" s="20" t="s">
        <v>128</v>
      </c>
      <c r="AG77" s="33"/>
      <c r="AH77" s="32"/>
      <c r="AI77" s="20"/>
      <c r="AJ77" s="33"/>
      <c r="AK77" s="32"/>
      <c r="AL77" s="20" t="s">
        <v>128</v>
      </c>
      <c r="AM77" s="33"/>
      <c r="AN77" s="32"/>
      <c r="AO77" s="20"/>
      <c r="AP77" s="33"/>
      <c r="AQ77" s="32" t="s">
        <v>128</v>
      </c>
      <c r="AR77" s="20"/>
      <c r="AS77" s="33"/>
      <c r="AT77" s="20" t="s">
        <v>128</v>
      </c>
      <c r="AU77" s="20"/>
      <c r="AV77" s="27"/>
      <c r="AW77"/>
      <c r="AX77">
        <f>COUNTIF(AvailabilityMatrix[[#This Row],[1-Mon-AM]:[2-Sun-NIGHT2-2-]],"X")</f>
        <v>10</v>
      </c>
      <c r="AY77">
        <f t="shared" si="2"/>
        <v>10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111</v>
      </c>
      <c r="C78" s="18" t="s">
        <v>46</v>
      </c>
      <c r="E78" s="1"/>
      <c r="G78" s="26"/>
      <c r="H78" s="20"/>
      <c r="I78" s="33"/>
      <c r="J78" s="32"/>
      <c r="K78" s="20"/>
      <c r="L78" s="33"/>
      <c r="M78" s="32"/>
      <c r="N78" s="20"/>
      <c r="O78" s="33" t="s">
        <v>128</v>
      </c>
      <c r="P78" s="32"/>
      <c r="Q78" s="20"/>
      <c r="R78" s="33" t="s">
        <v>128</v>
      </c>
      <c r="S78" s="32"/>
      <c r="T78" s="20"/>
      <c r="U78" s="33"/>
      <c r="V78" s="32"/>
      <c r="W78" s="20"/>
      <c r="X78" s="33"/>
      <c r="Y78" s="20"/>
      <c r="Z78" s="20" t="s">
        <v>128</v>
      </c>
      <c r="AA78" s="27"/>
      <c r="AB78" s="26"/>
      <c r="AC78" s="20"/>
      <c r="AD78" s="33"/>
      <c r="AE78" s="32"/>
      <c r="AF78" s="20"/>
      <c r="AG78" s="33"/>
      <c r="AH78" s="32"/>
      <c r="AI78" s="20"/>
      <c r="AJ78" s="33" t="s">
        <v>128</v>
      </c>
      <c r="AK78" s="32"/>
      <c r="AL78" s="20"/>
      <c r="AM78" s="33" t="s">
        <v>128</v>
      </c>
      <c r="AN78" s="32"/>
      <c r="AO78" s="20"/>
      <c r="AP78" s="33"/>
      <c r="AQ78" s="32"/>
      <c r="AR78" s="20"/>
      <c r="AS78" s="33"/>
      <c r="AT78" s="20"/>
      <c r="AU78" s="20" t="s">
        <v>128</v>
      </c>
      <c r="AV78" s="27"/>
      <c r="AW78"/>
      <c r="AX78">
        <f>COUNTIF(AvailabilityMatrix[[#This Row],[1-Mon-AM]:[2-Sun-NIGHT2-2-]],"X")</f>
        <v>6</v>
      </c>
      <c r="AY78">
        <f t="shared" si="2"/>
        <v>6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53" t="s">
        <v>47</v>
      </c>
      <c r="C79" s="18" t="s">
        <v>45</v>
      </c>
      <c r="E79" s="1"/>
      <c r="G79" s="54"/>
      <c r="H79" s="20"/>
      <c r="I79" s="33"/>
      <c r="J79" s="58"/>
      <c r="K79" s="61"/>
      <c r="L79" s="33"/>
      <c r="M79" s="32"/>
      <c r="N79" s="20"/>
      <c r="O79" s="33"/>
      <c r="P79" s="58"/>
      <c r="Q79" s="61"/>
      <c r="R79" s="33"/>
      <c r="S79" s="32" t="s">
        <v>128</v>
      </c>
      <c r="T79" s="20"/>
      <c r="U79" s="33"/>
      <c r="V79" s="32" t="s">
        <v>128</v>
      </c>
      <c r="W79" s="20"/>
      <c r="X79" s="33"/>
      <c r="Y79" s="61"/>
      <c r="Z79" s="20"/>
      <c r="AA79" s="27"/>
      <c r="AB79" s="54"/>
      <c r="AC79" s="20"/>
      <c r="AD79" s="33"/>
      <c r="AE79" s="58"/>
      <c r="AF79" s="61"/>
      <c r="AG79" s="33"/>
      <c r="AH79" s="32"/>
      <c r="AI79" s="20"/>
      <c r="AJ79" s="33"/>
      <c r="AK79" s="58"/>
      <c r="AL79" s="61"/>
      <c r="AM79" s="33"/>
      <c r="AN79" s="58"/>
      <c r="AO79" s="20"/>
      <c r="AP79" s="33"/>
      <c r="AQ79" s="58"/>
      <c r="AR79" s="20"/>
      <c r="AS79" s="33"/>
      <c r="AT79" s="20" t="s">
        <v>128</v>
      </c>
      <c r="AU79" s="20"/>
      <c r="AV79" s="27"/>
      <c r="AX79">
        <f>COUNTIF(AvailabilityMatrix[[#This Row],[1-Mon-AM]:[2-Sun-NIGHT2-2-]],"X")</f>
        <v>3</v>
      </c>
      <c r="AY79">
        <f t="shared" si="2"/>
        <v>3</v>
      </c>
      <c r="BF79" s="2"/>
      <c r="BG79"/>
      <c r="BH79"/>
    </row>
    <row r="80" spans="1:60" ht="17.25" hidden="1" customHeight="1" x14ac:dyDescent="0.25">
      <c r="A80" s="19"/>
      <c r="B80" s="53" t="s">
        <v>57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66"/>
      <c r="M80" s="34"/>
      <c r="N80" s="21"/>
      <c r="O80" s="55"/>
      <c r="P80" s="56"/>
      <c r="Q80" s="69"/>
      <c r="R80" s="35"/>
      <c r="S80" s="34" t="s">
        <v>128</v>
      </c>
      <c r="T80" s="21"/>
      <c r="U80" s="35"/>
      <c r="V80" s="34"/>
      <c r="W80" s="21"/>
      <c r="X80" s="35"/>
      <c r="Y80" s="21" t="s">
        <v>128</v>
      </c>
      <c r="Z80" s="21"/>
      <c r="AA80" s="70"/>
      <c r="AB80" s="28"/>
      <c r="AC80" s="21" t="s">
        <v>128</v>
      </c>
      <c r="AD80" s="35"/>
      <c r="AE80" s="34"/>
      <c r="AF80" s="21"/>
      <c r="AG80" s="66"/>
      <c r="AH80" s="34"/>
      <c r="AI80" s="21"/>
      <c r="AJ80" s="55"/>
      <c r="AK80" s="34"/>
      <c r="AL80" s="61"/>
      <c r="AM80" s="35"/>
      <c r="AN80" s="34" t="s">
        <v>128</v>
      </c>
      <c r="AO80" s="21"/>
      <c r="AP80" s="35"/>
      <c r="AQ80" s="34"/>
      <c r="AR80" s="21"/>
      <c r="AS80" s="35"/>
      <c r="AT80" s="21" t="s">
        <v>128</v>
      </c>
      <c r="AU80" s="20"/>
      <c r="AV80" s="27"/>
      <c r="AX80">
        <f>COUNTIF(AvailabilityMatrix[[#This Row],[1-Mon-AM]:[2-Sun-NIGHT2-2-]],"X")</f>
        <v>6</v>
      </c>
      <c r="AY80">
        <f t="shared" si="2"/>
        <v>6</v>
      </c>
    </row>
    <row r="81" spans="1:51" ht="17.25" hidden="1" customHeight="1" x14ac:dyDescent="0.25">
      <c r="A81" s="19"/>
      <c r="B81" s="53" t="s">
        <v>60</v>
      </c>
      <c r="C81" s="18" t="s">
        <v>45</v>
      </c>
      <c r="E81" s="1"/>
      <c r="G81" s="26"/>
      <c r="H81" s="20"/>
      <c r="I81" s="33"/>
      <c r="J81" s="32" t="s">
        <v>128</v>
      </c>
      <c r="K81" s="20"/>
      <c r="L81" s="33"/>
      <c r="M81" s="32" t="s">
        <v>128</v>
      </c>
      <c r="N81" s="20"/>
      <c r="O81" s="33"/>
      <c r="P81" s="32"/>
      <c r="Q81" s="20"/>
      <c r="R81" s="33"/>
      <c r="S81" s="32"/>
      <c r="T81" s="20"/>
      <c r="U81" s="33"/>
      <c r="V81" s="32" t="s">
        <v>128</v>
      </c>
      <c r="W81" s="20"/>
      <c r="X81" s="33"/>
      <c r="Y81" s="20"/>
      <c r="Z81" s="20"/>
      <c r="AA81" s="27"/>
      <c r="AB81" s="26"/>
      <c r="AC81" s="20"/>
      <c r="AD81" s="33"/>
      <c r="AE81" s="32" t="s">
        <v>128</v>
      </c>
      <c r="AF81" s="20"/>
      <c r="AG81" s="33"/>
      <c r="AH81" s="32" t="s">
        <v>128</v>
      </c>
      <c r="AI81" s="20"/>
      <c r="AJ81" s="33"/>
      <c r="AK81" s="32"/>
      <c r="AL81" s="20"/>
      <c r="AM81" s="33"/>
      <c r="AN81" s="32"/>
      <c r="AO81" s="20"/>
      <c r="AP81" s="33"/>
      <c r="AQ81" s="32" t="s">
        <v>128</v>
      </c>
      <c r="AR81" s="20"/>
      <c r="AS81" s="33"/>
      <c r="AT81" s="20"/>
      <c r="AU81" s="20"/>
      <c r="AV81" s="27"/>
      <c r="AX81">
        <f>COUNTIF(AvailabilityMatrix[[#This Row],[1-Mon-AM]:[2-Sun-NIGHT2-2-]],"X")</f>
        <v>6</v>
      </c>
      <c r="AY81">
        <f t="shared" si="2"/>
        <v>6</v>
      </c>
    </row>
    <row r="82" spans="1:51" ht="17.25" hidden="1" customHeight="1" x14ac:dyDescent="0.25">
      <c r="A82" s="19"/>
      <c r="B82" s="53" t="s">
        <v>112</v>
      </c>
      <c r="C82" s="18" t="s">
        <v>46</v>
      </c>
      <c r="E82" s="1"/>
      <c r="G82" s="26"/>
      <c r="H82" s="20" t="s">
        <v>128</v>
      </c>
      <c r="I82" s="33"/>
      <c r="J82" s="32"/>
      <c r="K82" s="20" t="s">
        <v>128</v>
      </c>
      <c r="L82" s="33"/>
      <c r="M82" s="32"/>
      <c r="N82" s="20"/>
      <c r="O82" s="33"/>
      <c r="P82" s="32"/>
      <c r="Q82" s="61"/>
      <c r="R82" s="33"/>
      <c r="S82" s="32"/>
      <c r="T82" s="61"/>
      <c r="U82" s="33"/>
      <c r="V82" s="58"/>
      <c r="W82" s="20"/>
      <c r="X82" s="33"/>
      <c r="Y82" s="20"/>
      <c r="Z82" s="20" t="s">
        <v>128</v>
      </c>
      <c r="AA82" s="27"/>
      <c r="AB82" s="26"/>
      <c r="AC82" s="61"/>
      <c r="AD82" s="33"/>
      <c r="AE82" s="32"/>
      <c r="AF82" s="71"/>
      <c r="AG82" s="33"/>
      <c r="AH82" s="32"/>
      <c r="AI82" s="20"/>
      <c r="AJ82" s="33"/>
      <c r="AK82" s="32"/>
      <c r="AL82" s="61"/>
      <c r="AM82" s="33"/>
      <c r="AN82" s="32"/>
      <c r="AO82" s="71"/>
      <c r="AP82" s="33"/>
      <c r="AQ82" s="64"/>
      <c r="AR82" s="20"/>
      <c r="AS82" s="33"/>
      <c r="AT82" s="20"/>
      <c r="AU82" s="20" t="s">
        <v>128</v>
      </c>
      <c r="AV82" s="27"/>
      <c r="AX82">
        <f>COUNTIF(AvailabilityMatrix[[#This Row],[1-Mon-AM]:[2-Sun-NIGHT2-2-]],"X")</f>
        <v>4</v>
      </c>
      <c r="AY82">
        <f t="shared" si="2"/>
        <v>4</v>
      </c>
    </row>
    <row r="83" spans="1:51" ht="17.25" hidden="1" customHeight="1" x14ac:dyDescent="0.25">
      <c r="A83" s="19"/>
      <c r="B83" s="53" t="s">
        <v>81</v>
      </c>
      <c r="C83" s="18" t="s">
        <v>45</v>
      </c>
      <c r="E83" s="1"/>
      <c r="G83" s="62"/>
      <c r="H83" s="63"/>
      <c r="I83" s="33"/>
      <c r="J83" s="65"/>
      <c r="K83" s="63"/>
      <c r="L83" s="33"/>
      <c r="M83" s="32"/>
      <c r="N83" s="20"/>
      <c r="O83" s="33"/>
      <c r="P83" s="32"/>
      <c r="Q83" s="20"/>
      <c r="R83" s="33"/>
      <c r="S83" s="32"/>
      <c r="T83" s="20"/>
      <c r="U83" s="33"/>
      <c r="V83" s="65"/>
      <c r="W83" s="63"/>
      <c r="X83" s="33"/>
      <c r="Y83" s="63"/>
      <c r="Z83" s="63"/>
      <c r="AA83" s="27"/>
      <c r="AB83" s="62"/>
      <c r="AC83" s="63"/>
      <c r="AD83" s="33"/>
      <c r="AE83" s="65"/>
      <c r="AF83" s="63"/>
      <c r="AG83" s="33"/>
      <c r="AH83" s="32"/>
      <c r="AI83" s="20"/>
      <c r="AJ83" s="33"/>
      <c r="AK83" s="32"/>
      <c r="AL83" s="20"/>
      <c r="AM83" s="33"/>
      <c r="AN83" s="32"/>
      <c r="AO83" s="20"/>
      <c r="AP83" s="33"/>
      <c r="AQ83" s="65"/>
      <c r="AR83" s="20" t="s">
        <v>128</v>
      </c>
      <c r="AS83" s="33"/>
      <c r="AT83" s="20" t="s">
        <v>128</v>
      </c>
      <c r="AU83" s="20" t="s">
        <v>128</v>
      </c>
      <c r="AV83" s="27"/>
      <c r="AX83">
        <f>COUNTIF(AvailabilityMatrix[[#This Row],[1-Mon-AM]:[2-Sun-NIGHT2-2-]],"X")</f>
        <v>3</v>
      </c>
      <c r="AY83">
        <f t="shared" si="2"/>
        <v>3</v>
      </c>
    </row>
    <row r="84" spans="1:51" ht="17.25" hidden="1" customHeight="1" x14ac:dyDescent="0.25">
      <c r="A84" s="19"/>
      <c r="B84" s="53" t="s">
        <v>112</v>
      </c>
      <c r="C84" s="18" t="s">
        <v>45</v>
      </c>
      <c r="E84" s="1"/>
      <c r="G84" s="26"/>
      <c r="H84" s="61"/>
      <c r="I84" s="33"/>
      <c r="J84" s="32"/>
      <c r="K84" s="61"/>
      <c r="L84" s="33"/>
      <c r="M84" s="32"/>
      <c r="N84" s="20"/>
      <c r="O84" s="33"/>
      <c r="P84" s="32"/>
      <c r="Q84" s="20" t="s">
        <v>128</v>
      </c>
      <c r="R84" s="33"/>
      <c r="S84" s="32"/>
      <c r="T84" s="20" t="s">
        <v>128</v>
      </c>
      <c r="U84" s="33"/>
      <c r="V84" s="32" t="s">
        <v>128</v>
      </c>
      <c r="W84" s="20"/>
      <c r="X84" s="33"/>
      <c r="Y84" s="20"/>
      <c r="Z84" s="61"/>
      <c r="AA84" s="27"/>
      <c r="AB84" s="26"/>
      <c r="AC84" s="20" t="s">
        <v>128</v>
      </c>
      <c r="AD84" s="33"/>
      <c r="AE84" s="32"/>
      <c r="AF84" s="71"/>
      <c r="AG84" s="33"/>
      <c r="AH84" s="32"/>
      <c r="AI84" s="20"/>
      <c r="AJ84" s="33"/>
      <c r="AK84" s="32"/>
      <c r="AL84" s="20" t="s">
        <v>128</v>
      </c>
      <c r="AM84" s="33"/>
      <c r="AN84" s="32"/>
      <c r="AO84" s="71"/>
      <c r="AP84" s="33"/>
      <c r="AQ84" s="64"/>
      <c r="AR84" s="20"/>
      <c r="AS84" s="33"/>
      <c r="AT84" s="20"/>
      <c r="AU84" s="61"/>
      <c r="AV84" s="27"/>
      <c r="AX84">
        <f>COUNTIF(AvailabilityMatrix[[#This Row],[1-Mon-AM]:[2-Sun-NIGHT2-2-]],"X")</f>
        <v>5</v>
      </c>
      <c r="AY84">
        <f t="shared" si="2"/>
        <v>5</v>
      </c>
    </row>
    <row r="85" spans="1:51" ht="17.25" hidden="1" customHeight="1" x14ac:dyDescent="0.25">
      <c r="A85" s="19"/>
      <c r="B85" s="18" t="s">
        <v>52</v>
      </c>
      <c r="C85" s="18" t="s">
        <v>45</v>
      </c>
      <c r="E85" s="1"/>
      <c r="G85" s="28"/>
      <c r="H85" s="21" t="s">
        <v>128</v>
      </c>
      <c r="I85" s="35"/>
      <c r="J85" s="34"/>
      <c r="K85" s="21"/>
      <c r="L85" s="35"/>
      <c r="M85" s="34"/>
      <c r="N85" s="21"/>
      <c r="O85" s="35"/>
      <c r="P85" s="34" t="s">
        <v>128</v>
      </c>
      <c r="Q85" s="21"/>
      <c r="R85" s="35"/>
      <c r="S85" s="34" t="s">
        <v>128</v>
      </c>
      <c r="T85" s="21"/>
      <c r="U85" s="35"/>
      <c r="V85" s="34" t="s">
        <v>128</v>
      </c>
      <c r="W85" s="21"/>
      <c r="X85" s="35"/>
      <c r="Y85" s="21"/>
      <c r="Z85" s="21" t="s">
        <v>128</v>
      </c>
      <c r="AA85" s="29"/>
      <c r="AB85" s="28"/>
      <c r="AC85" s="21" t="s">
        <v>128</v>
      </c>
      <c r="AD85" s="35"/>
      <c r="AE85" s="34"/>
      <c r="AF85" s="21"/>
      <c r="AG85" s="35"/>
      <c r="AH85" s="34"/>
      <c r="AI85" s="21"/>
      <c r="AJ85" s="35"/>
      <c r="AK85" s="34" t="s">
        <v>128</v>
      </c>
      <c r="AL85" s="21"/>
      <c r="AM85" s="35"/>
      <c r="AN85" s="34" t="s">
        <v>128</v>
      </c>
      <c r="AO85" s="21"/>
      <c r="AP85" s="35"/>
      <c r="AQ85" s="34" t="s">
        <v>128</v>
      </c>
      <c r="AR85" s="21"/>
      <c r="AS85" s="35"/>
      <c r="AT85" s="21"/>
      <c r="AU85" s="21" t="s">
        <v>128</v>
      </c>
      <c r="AV85" s="29"/>
      <c r="AX85">
        <f>COUNTIF(AvailabilityMatrix[[#This Row],[1-Mon-AM]:[2-Sun-NIGHT2-2-]],"X")</f>
        <v>10</v>
      </c>
      <c r="AY85">
        <f t="shared" si="2"/>
        <v>10</v>
      </c>
    </row>
    <row r="86" spans="1:51" ht="17.25" hidden="1" customHeight="1" x14ac:dyDescent="0.25">
      <c r="A86" s="19"/>
      <c r="B86" s="18" t="s">
        <v>113</v>
      </c>
      <c r="C86" s="18" t="s">
        <v>45</v>
      </c>
      <c r="E86" s="1"/>
      <c r="G86" s="26" t="s">
        <v>128</v>
      </c>
      <c r="H86" s="20"/>
      <c r="I86" s="33"/>
      <c r="J86" s="32"/>
      <c r="K86" s="20"/>
      <c r="L86" s="33"/>
      <c r="M86" s="32"/>
      <c r="N86" s="20"/>
      <c r="O86" s="33"/>
      <c r="P86" s="32" t="s">
        <v>128</v>
      </c>
      <c r="Q86" s="20"/>
      <c r="R86" s="33"/>
      <c r="S86" s="32"/>
      <c r="T86" s="20" t="s">
        <v>128</v>
      </c>
      <c r="U86" s="33"/>
      <c r="V86" s="32" t="s">
        <v>128</v>
      </c>
      <c r="W86" s="20"/>
      <c r="X86" s="33"/>
      <c r="Y86" s="20" t="s">
        <v>128</v>
      </c>
      <c r="Z86" s="20" t="s">
        <v>128</v>
      </c>
      <c r="AA86" s="27"/>
      <c r="AB86" s="26" t="s">
        <v>128</v>
      </c>
      <c r="AC86" s="20"/>
      <c r="AD86" s="33"/>
      <c r="AE86" s="32"/>
      <c r="AF86" s="20"/>
      <c r="AG86" s="33"/>
      <c r="AH86" s="32"/>
      <c r="AI86" s="20"/>
      <c r="AJ86" s="33"/>
      <c r="AK86" s="32" t="s">
        <v>128</v>
      </c>
      <c r="AL86" s="20"/>
      <c r="AM86" s="33"/>
      <c r="AN86" s="32"/>
      <c r="AO86" s="20" t="s">
        <v>128</v>
      </c>
      <c r="AP86" s="33"/>
      <c r="AQ86" s="32" t="s">
        <v>128</v>
      </c>
      <c r="AR86" s="20"/>
      <c r="AS86" s="33"/>
      <c r="AT86" s="20" t="s">
        <v>128</v>
      </c>
      <c r="AU86" s="20" t="s">
        <v>128</v>
      </c>
      <c r="AV86" s="27"/>
      <c r="AX86">
        <f>COUNTIF(AvailabilityMatrix[[#This Row],[1-Mon-AM]:[2-Sun-NIGHT2-2-]],"X")</f>
        <v>12</v>
      </c>
      <c r="AY86">
        <f t="shared" si="2"/>
        <v>10</v>
      </c>
    </row>
    <row r="87" spans="1:51" ht="17.25" hidden="1" customHeight="1" x14ac:dyDescent="0.25">
      <c r="A87" s="19"/>
      <c r="B87" s="18" t="s">
        <v>115</v>
      </c>
      <c r="C87" s="18" t="s">
        <v>45</v>
      </c>
      <c r="E87" s="1"/>
      <c r="G87" s="26" t="s">
        <v>128</v>
      </c>
      <c r="H87" s="20"/>
      <c r="I87" s="33"/>
      <c r="J87" s="32"/>
      <c r="K87" s="20" t="s">
        <v>128</v>
      </c>
      <c r="L87" s="33"/>
      <c r="M87" s="32"/>
      <c r="N87" s="20" t="s">
        <v>128</v>
      </c>
      <c r="O87" s="33"/>
      <c r="P87" s="32"/>
      <c r="Q87" s="20"/>
      <c r="R87" s="33"/>
      <c r="S87" s="32"/>
      <c r="T87" s="20"/>
      <c r="U87" s="33"/>
      <c r="V87" s="32" t="s">
        <v>128</v>
      </c>
      <c r="W87" s="20"/>
      <c r="X87" s="33"/>
      <c r="Y87" s="20" t="s">
        <v>128</v>
      </c>
      <c r="Z87" s="20"/>
      <c r="AA87" s="27"/>
      <c r="AB87" s="26" t="s">
        <v>128</v>
      </c>
      <c r="AC87" s="20"/>
      <c r="AD87" s="33"/>
      <c r="AE87" s="32"/>
      <c r="AF87" s="20" t="s">
        <v>128</v>
      </c>
      <c r="AG87" s="33"/>
      <c r="AH87" s="32"/>
      <c r="AI87" s="20" t="s">
        <v>128</v>
      </c>
      <c r="AJ87" s="33"/>
      <c r="AK87" s="32"/>
      <c r="AL87" s="20"/>
      <c r="AM87" s="33"/>
      <c r="AN87" s="32"/>
      <c r="AO87" s="20"/>
      <c r="AP87" s="33"/>
      <c r="AQ87" s="32" t="s">
        <v>128</v>
      </c>
      <c r="AR87" s="20"/>
      <c r="AS87" s="33"/>
      <c r="AT87" s="20" t="s">
        <v>128</v>
      </c>
      <c r="AU87" s="20"/>
      <c r="AV87" s="27"/>
      <c r="AX87">
        <f>COUNTIF(AvailabilityMatrix[[#This Row],[1-Mon-AM]:[2-Sun-NIGHT2-2-]],"X")</f>
        <v>10</v>
      </c>
      <c r="AY87">
        <f t="shared" si="2"/>
        <v>10</v>
      </c>
    </row>
    <row r="88" spans="1:51" ht="17.25" hidden="1" customHeight="1" x14ac:dyDescent="0.25">
      <c r="A88" s="19"/>
      <c r="B88" s="18" t="s">
        <v>116</v>
      </c>
      <c r="C88" s="18" t="s">
        <v>45</v>
      </c>
      <c r="E88" s="1"/>
      <c r="G88" s="26"/>
      <c r="H88" s="20"/>
      <c r="I88" s="33"/>
      <c r="J88" s="32" t="s">
        <v>129</v>
      </c>
      <c r="K88" s="20"/>
      <c r="L88" s="33"/>
      <c r="M88" s="32" t="s">
        <v>129</v>
      </c>
      <c r="N88" s="20"/>
      <c r="O88" s="33"/>
      <c r="P88" s="32" t="s">
        <v>129</v>
      </c>
      <c r="Q88" s="20"/>
      <c r="R88" s="33"/>
      <c r="S88" s="32" t="s">
        <v>129</v>
      </c>
      <c r="T88" s="20"/>
      <c r="U88" s="33"/>
      <c r="V88" s="32"/>
      <c r="W88" s="20"/>
      <c r="X88" s="33"/>
      <c r="Y88" s="20"/>
      <c r="Z88" s="20"/>
      <c r="AA88" s="27"/>
      <c r="AB88" s="26"/>
      <c r="AC88" s="20"/>
      <c r="AD88" s="33"/>
      <c r="AE88" s="32" t="s">
        <v>129</v>
      </c>
      <c r="AF88" s="20"/>
      <c r="AG88" s="33"/>
      <c r="AH88" s="32" t="s">
        <v>129</v>
      </c>
      <c r="AI88" s="20"/>
      <c r="AJ88" s="33"/>
      <c r="AK88" s="32" t="s">
        <v>129</v>
      </c>
      <c r="AL88" s="20"/>
      <c r="AM88" s="33"/>
      <c r="AN88" s="32" t="s">
        <v>129</v>
      </c>
      <c r="AO88" s="20"/>
      <c r="AP88" s="33"/>
      <c r="AQ88" s="32"/>
      <c r="AR88" s="20"/>
      <c r="AS88" s="33"/>
      <c r="AT88" s="20"/>
      <c r="AU88" s="20"/>
      <c r="AV88" s="27"/>
      <c r="AX88">
        <f>COUNTIF(AvailabilityMatrix[[#This Row],[1-Mon-AM]:[2-Sun-NIGHT2-2-]],"X")</f>
        <v>8</v>
      </c>
      <c r="AY88">
        <f t="shared" si="2"/>
        <v>8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X89">
        <f>COUNTIF(AvailabilityMatrix[[#This Row],[1-Mon-AM]:[2-Sun-NIGHT2-2-]],"X")</f>
        <v>28</v>
      </c>
      <c r="AY89">
        <f t="shared" si="2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>
        <f>COUNTIF(AvailabilityMatrix[[#This Row],[1-Mon-AM]:[2-Sun-NIGHT2-2-]],"X")</f>
        <v>4</v>
      </c>
      <c r="AY90">
        <f t="shared" si="2"/>
        <v>4</v>
      </c>
    </row>
    <row r="91" spans="1:51" ht="17.25" hidden="1" customHeight="1" x14ac:dyDescent="0.25">
      <c r="A91" s="19"/>
      <c r="B91" s="18" t="s">
        <v>184</v>
      </c>
      <c r="C91" s="18" t="s">
        <v>44</v>
      </c>
      <c r="E91" s="1"/>
      <c r="G91" s="26"/>
      <c r="H91" s="20"/>
      <c r="I91" s="33"/>
      <c r="J91" s="32"/>
      <c r="K91" s="20"/>
      <c r="L91" s="33"/>
      <c r="M91" s="32"/>
      <c r="N91" s="20"/>
      <c r="O91" s="33"/>
      <c r="P91" s="32"/>
      <c r="Q91" s="20" t="s">
        <v>128</v>
      </c>
      <c r="R91" s="33"/>
      <c r="S91" s="32"/>
      <c r="T91" s="20" t="s">
        <v>128</v>
      </c>
      <c r="U91" s="33"/>
      <c r="V91" s="32"/>
      <c r="W91" s="20"/>
      <c r="X91" s="33"/>
      <c r="Y91" s="20" t="s">
        <v>128</v>
      </c>
      <c r="Z91" s="20"/>
      <c r="AA91" s="27"/>
      <c r="AB91" s="26"/>
      <c r="AC91" s="20"/>
      <c r="AD91" s="33"/>
      <c r="AE91" s="32"/>
      <c r="AF91" s="20"/>
      <c r="AG91" s="33"/>
      <c r="AH91" s="32"/>
      <c r="AI91" s="20"/>
      <c r="AJ91" s="33"/>
      <c r="AK91" s="32"/>
      <c r="AL91" s="20" t="s">
        <v>128</v>
      </c>
      <c r="AM91" s="33"/>
      <c r="AN91" s="32"/>
      <c r="AO91" s="20" t="s">
        <v>128</v>
      </c>
      <c r="AP91" s="33"/>
      <c r="AQ91" s="32"/>
      <c r="AR91" s="20"/>
      <c r="AS91" s="33"/>
      <c r="AT91" s="61"/>
      <c r="AU91" s="20"/>
      <c r="AV91" s="27"/>
      <c r="AX91">
        <f>COUNTIF(AvailabilityMatrix[[#This Row],[1-Mon-AM]:[2-Sun-NIGHT2-2-]],"X")</f>
        <v>5</v>
      </c>
      <c r="AY91">
        <f t="shared" si="2"/>
        <v>5</v>
      </c>
    </row>
    <row r="92" spans="1:51" ht="17.25" hidden="1" customHeight="1" x14ac:dyDescent="0.25">
      <c r="A92" s="19"/>
      <c r="B92" s="18" t="s">
        <v>119</v>
      </c>
      <c r="C92" s="18" t="s">
        <v>44</v>
      </c>
      <c r="E92" s="1"/>
      <c r="G92" s="26" t="s">
        <v>128</v>
      </c>
      <c r="H92" s="20"/>
      <c r="I92" s="33"/>
      <c r="J92" s="32" t="s">
        <v>128</v>
      </c>
      <c r="K92" s="20"/>
      <c r="L92" s="33"/>
      <c r="M92" s="32" t="s">
        <v>128</v>
      </c>
      <c r="N92" s="20"/>
      <c r="O92" s="33"/>
      <c r="P92" s="32" t="s">
        <v>128</v>
      </c>
      <c r="Q92" s="20"/>
      <c r="R92" s="33"/>
      <c r="S92" s="32" t="s">
        <v>128</v>
      </c>
      <c r="T92" s="20"/>
      <c r="U92" s="33"/>
      <c r="V92" s="32" t="s">
        <v>128</v>
      </c>
      <c r="W92" s="20"/>
      <c r="X92" s="33"/>
      <c r="Y92" s="20"/>
      <c r="Z92" s="20"/>
      <c r="AA92" s="27"/>
      <c r="AB92" s="26" t="s">
        <v>128</v>
      </c>
      <c r="AC92" s="20"/>
      <c r="AD92" s="33"/>
      <c r="AE92" s="32" t="s">
        <v>128</v>
      </c>
      <c r="AF92" s="20"/>
      <c r="AG92" s="33"/>
      <c r="AH92" s="32" t="s">
        <v>128</v>
      </c>
      <c r="AI92" s="20"/>
      <c r="AJ92" s="33"/>
      <c r="AK92" s="32" t="s">
        <v>128</v>
      </c>
      <c r="AL92" s="20"/>
      <c r="AM92" s="33"/>
      <c r="AN92" s="32" t="s">
        <v>128</v>
      </c>
      <c r="AO92" s="20"/>
      <c r="AP92" s="33"/>
      <c r="AQ92" s="32" t="s">
        <v>128</v>
      </c>
      <c r="AR92" s="20"/>
      <c r="AS92" s="33"/>
      <c r="AT92" s="20"/>
      <c r="AU92" s="20"/>
      <c r="AV92" s="27"/>
      <c r="AX92">
        <f>COUNTIF(AvailabilityMatrix[[#This Row],[1-Mon-AM]:[2-Sun-NIGHT2-2-]],"X")</f>
        <v>12</v>
      </c>
      <c r="AY92">
        <f t="shared" si="2"/>
        <v>10</v>
      </c>
    </row>
    <row r="93" spans="1:51" ht="17.25" hidden="1" customHeight="1" x14ac:dyDescent="0.25">
      <c r="A93" s="19"/>
      <c r="B93" s="18" t="s">
        <v>120</v>
      </c>
      <c r="C93" s="18" t="s">
        <v>44</v>
      </c>
      <c r="E93" s="1"/>
      <c r="G93" s="26"/>
      <c r="H93" s="20" t="s">
        <v>128</v>
      </c>
      <c r="I93" s="33"/>
      <c r="J93" s="32"/>
      <c r="K93" s="20"/>
      <c r="L93" s="33"/>
      <c r="M93" s="32"/>
      <c r="N93" s="20" t="s">
        <v>128</v>
      </c>
      <c r="O93" s="33"/>
      <c r="P93" s="32"/>
      <c r="Q93" s="20"/>
      <c r="R93" s="33"/>
      <c r="S93" s="32"/>
      <c r="T93" s="20"/>
      <c r="U93" s="33"/>
      <c r="V93" s="32"/>
      <c r="W93" s="20"/>
      <c r="X93" s="33"/>
      <c r="Y93" s="20"/>
      <c r="Z93" s="20"/>
      <c r="AA93" s="27"/>
      <c r="AB93" s="26"/>
      <c r="AC93" s="20" t="s">
        <v>128</v>
      </c>
      <c r="AD93" s="33"/>
      <c r="AE93" s="32"/>
      <c r="AF93" s="20"/>
      <c r="AG93" s="33"/>
      <c r="AH93" s="32"/>
      <c r="AI93" s="20" t="s">
        <v>128</v>
      </c>
      <c r="AJ93" s="33"/>
      <c r="AK93" s="32"/>
      <c r="AL93" s="20"/>
      <c r="AM93" s="33"/>
      <c r="AN93" s="32"/>
      <c r="AO93" s="20"/>
      <c r="AP93" s="33"/>
      <c r="AQ93" s="32"/>
      <c r="AR93" s="20"/>
      <c r="AS93" s="33"/>
      <c r="AT93" s="20"/>
      <c r="AU93" s="20"/>
      <c r="AV93" s="27"/>
      <c r="AX93">
        <f>COUNTIF(AvailabilityMatrix[[#This Row],[1-Mon-AM]:[2-Sun-NIGHT2-2-]],"X")</f>
        <v>4</v>
      </c>
      <c r="AY93">
        <f t="shared" si="2"/>
        <v>4</v>
      </c>
    </row>
    <row r="94" spans="1:51" ht="17.25" hidden="1" customHeight="1" x14ac:dyDescent="0.25">
      <c r="A94" s="19"/>
      <c r="B94" s="18" t="s">
        <v>121</v>
      </c>
      <c r="C94" s="18" t="s">
        <v>44</v>
      </c>
      <c r="E94" s="1"/>
      <c r="G94" s="26" t="s">
        <v>128</v>
      </c>
      <c r="H94" s="20"/>
      <c r="I94" s="33"/>
      <c r="J94" s="32" t="s">
        <v>128</v>
      </c>
      <c r="K94" s="20"/>
      <c r="L94" s="33"/>
      <c r="M94" s="32" t="s">
        <v>128</v>
      </c>
      <c r="N94" s="20"/>
      <c r="O94" s="33"/>
      <c r="P94" s="32"/>
      <c r="Q94" s="20"/>
      <c r="R94" s="33"/>
      <c r="S94" s="32"/>
      <c r="T94" s="20" t="s">
        <v>128</v>
      </c>
      <c r="U94" s="33"/>
      <c r="V94" s="32"/>
      <c r="W94" s="20" t="s">
        <v>128</v>
      </c>
      <c r="X94" s="33" t="s">
        <v>128</v>
      </c>
      <c r="Y94" s="20" t="s">
        <v>128</v>
      </c>
      <c r="Z94" s="20"/>
      <c r="AA94" s="27"/>
      <c r="AB94" s="26" t="s">
        <v>128</v>
      </c>
      <c r="AC94" s="20"/>
      <c r="AD94" s="33"/>
      <c r="AE94" s="32" t="s">
        <v>128</v>
      </c>
      <c r="AF94" s="20"/>
      <c r="AG94" s="33"/>
      <c r="AH94" s="32" t="s">
        <v>128</v>
      </c>
      <c r="AI94" s="20"/>
      <c r="AJ94" s="33"/>
      <c r="AK94" s="32"/>
      <c r="AL94" s="20"/>
      <c r="AM94" s="33"/>
      <c r="AN94" s="32"/>
      <c r="AO94" s="20" t="s">
        <v>128</v>
      </c>
      <c r="AP94" s="33"/>
      <c r="AQ94" s="32"/>
      <c r="AR94" s="20" t="s">
        <v>128</v>
      </c>
      <c r="AS94" s="33" t="s">
        <v>128</v>
      </c>
      <c r="AT94" s="20" t="s">
        <v>128</v>
      </c>
      <c r="AU94" s="20"/>
      <c r="AV94" s="27"/>
      <c r="AX94">
        <f>COUNTIF(AvailabilityMatrix[[#This Row],[1-Mon-AM]:[2-Sun-NIGHT2-2-]],"X")</f>
        <v>14</v>
      </c>
      <c r="AY94">
        <f t="shared" si="2"/>
        <v>10</v>
      </c>
    </row>
    <row r="95" spans="1:51" ht="17.25" hidden="1" customHeight="1" x14ac:dyDescent="0.25">
      <c r="A95" s="19"/>
      <c r="B95" s="45" t="s">
        <v>122</v>
      </c>
      <c r="C95" s="42" t="s">
        <v>44</v>
      </c>
      <c r="D95" s="43"/>
      <c r="E95" s="43"/>
      <c r="F95" s="44"/>
      <c r="G95" s="26" t="s">
        <v>128</v>
      </c>
      <c r="H95" s="20"/>
      <c r="I95" s="33"/>
      <c r="J95" s="32"/>
      <c r="K95" s="20"/>
      <c r="L95" s="33"/>
      <c r="M95" s="32"/>
      <c r="N95" s="20" t="s">
        <v>128</v>
      </c>
      <c r="O95" s="33"/>
      <c r="P95" s="32"/>
      <c r="Q95" s="20"/>
      <c r="R95" s="33"/>
      <c r="S95" s="32" t="s">
        <v>128</v>
      </c>
      <c r="T95" s="20"/>
      <c r="U95" s="33"/>
      <c r="V95" s="32" t="s">
        <v>128</v>
      </c>
      <c r="W95" s="20"/>
      <c r="X95" s="33"/>
      <c r="Y95" s="20" t="s">
        <v>128</v>
      </c>
      <c r="Z95" s="20"/>
      <c r="AA95" s="27"/>
      <c r="AB95" s="26" t="s">
        <v>128</v>
      </c>
      <c r="AC95" s="20"/>
      <c r="AD95" s="33"/>
      <c r="AE95" s="32"/>
      <c r="AF95" s="20"/>
      <c r="AG95" s="33"/>
      <c r="AH95" s="32"/>
      <c r="AI95" s="20" t="s">
        <v>128</v>
      </c>
      <c r="AJ95" s="33"/>
      <c r="AK95" s="32"/>
      <c r="AL95" s="20"/>
      <c r="AM95" s="33"/>
      <c r="AN95" s="32" t="s">
        <v>128</v>
      </c>
      <c r="AO95" s="20"/>
      <c r="AP95" s="33"/>
      <c r="AQ95" s="32" t="s">
        <v>128</v>
      </c>
      <c r="AR95" s="20"/>
      <c r="AS95" s="33"/>
      <c r="AT95" s="20" t="s">
        <v>128</v>
      </c>
      <c r="AU95" s="20"/>
      <c r="AV95" s="27"/>
      <c r="AX95">
        <f>COUNTIF(AvailabilityMatrix[[#This Row],[1-Mon-AM]:[2-Sun-NIGHT2-2-]],"X")</f>
        <v>10</v>
      </c>
      <c r="AY95">
        <f t="shared" si="2"/>
        <v>10</v>
      </c>
    </row>
    <row r="96" spans="1:51" ht="17.25" hidden="1" customHeight="1" x14ac:dyDescent="0.25">
      <c r="A96" s="19"/>
      <c r="B96" s="60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>
        <f>COUNTIF(AvailabilityMatrix[[#This Row],[1-Mon-AM]:[2-Sun-NIGHT2-2-]],"X")</f>
        <v>4</v>
      </c>
      <c r="AY96">
        <f t="shared" si="2"/>
        <v>4</v>
      </c>
    </row>
    <row r="97" spans="1:51" ht="17.25" hidden="1" customHeight="1" x14ac:dyDescent="0.25">
      <c r="A97" s="19"/>
      <c r="B97" s="60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>
        <f>COUNTIF(AvailabilityMatrix[[#This Row],[1-Mon-AM]:[2-Sun-NIGHT2-2-]],"X")</f>
        <v>4</v>
      </c>
      <c r="AY97">
        <f t="shared" si="2"/>
        <v>4</v>
      </c>
    </row>
    <row r="98" spans="1:51" ht="17.25" hidden="1" customHeight="1" x14ac:dyDescent="0.25">
      <c r="A98" s="19"/>
      <c r="B98" s="60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>
        <f>COUNTIF(AvailabilityMatrix[[#This Row],[1-Mon-AM]:[2-Sun-NIGHT2-2-]],"X")</f>
        <v>10</v>
      </c>
      <c r="AY98">
        <f t="shared" si="2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>
        <f>COUNTIF(AvailabilityMatrix[[#This Row],[1-Mon-AM]:[2-Sun-NIGHT2-2-]],"X")</f>
        <v>10</v>
      </c>
      <c r="AY99">
        <f t="shared" si="2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>
        <f>COUNTIF(AvailabilityMatrix[[#This Row],[1-Mon-AM]:[2-Sun-NIGHT2-2-]],"X")</f>
        <v>28</v>
      </c>
      <c r="AY100">
        <f t="shared" si="2"/>
        <v>10</v>
      </c>
    </row>
    <row r="101" spans="1:51" ht="15" hidden="1" x14ac:dyDescent="0.25">
      <c r="A101" s="72"/>
      <c r="B101" s="59" t="s">
        <v>89</v>
      </c>
      <c r="C101" s="18" t="s">
        <v>45</v>
      </c>
      <c r="D101" s="73"/>
      <c r="E101" s="73"/>
      <c r="G101" s="74"/>
      <c r="H101" s="74"/>
      <c r="I101" s="33"/>
      <c r="J101" s="74"/>
      <c r="K101" s="74"/>
      <c r="L101" s="33"/>
      <c r="M101" s="20" t="s">
        <v>128</v>
      </c>
      <c r="N101" s="74"/>
      <c r="O101" s="33"/>
      <c r="P101" s="32" t="s">
        <v>128</v>
      </c>
      <c r="Q101" s="20" t="s">
        <v>128</v>
      </c>
      <c r="R101" s="33"/>
      <c r="S101" s="32" t="s">
        <v>128</v>
      </c>
      <c r="T101" s="20" t="s">
        <v>128</v>
      </c>
      <c r="U101" s="33"/>
      <c r="V101" s="74"/>
      <c r="W101" s="74"/>
      <c r="X101" s="33"/>
      <c r="Y101" s="74"/>
      <c r="Z101" s="74"/>
      <c r="AA101" s="27"/>
      <c r="AB101" s="74"/>
      <c r="AC101" s="74"/>
      <c r="AD101" s="33"/>
      <c r="AE101" s="74"/>
      <c r="AF101" s="74"/>
      <c r="AG101" s="33"/>
      <c r="AH101" s="74"/>
      <c r="AI101" s="74"/>
      <c r="AJ101" s="33"/>
      <c r="AK101" s="32" t="s">
        <v>128</v>
      </c>
      <c r="AL101" s="20" t="s">
        <v>128</v>
      </c>
      <c r="AM101" s="33"/>
      <c r="AN101" s="32" t="s">
        <v>128</v>
      </c>
      <c r="AO101" s="20" t="s">
        <v>128</v>
      </c>
      <c r="AP101" s="33"/>
      <c r="AQ101" s="74"/>
      <c r="AR101" s="74"/>
      <c r="AS101" s="33"/>
      <c r="AT101" s="74"/>
      <c r="AU101" s="74"/>
      <c r="AV101" s="27"/>
      <c r="AX101">
        <f>COUNTIF(AvailabilityMatrix[[#This Row],[1-Mon-AM]:[2-Sun-NIGHT2-2-]],"X")</f>
        <v>9</v>
      </c>
      <c r="AY101">
        <f t="shared" si="2"/>
        <v>9</v>
      </c>
    </row>
    <row r="102" spans="1:51" ht="15" hidden="1" x14ac:dyDescent="0.25">
      <c r="A102" s="19"/>
      <c r="B102" s="77" t="s">
        <v>99</v>
      </c>
      <c r="C102" s="78" t="s">
        <v>46</v>
      </c>
      <c r="D102" s="43"/>
      <c r="E102" s="43"/>
      <c r="F102" s="44"/>
      <c r="G102" s="26"/>
      <c r="H102" s="20"/>
      <c r="I102" s="20"/>
      <c r="J102" s="32"/>
      <c r="K102" s="74"/>
      <c r="L102" s="20"/>
      <c r="M102" s="32"/>
      <c r="N102" s="74"/>
      <c r="O102" s="20"/>
      <c r="P102" s="74"/>
      <c r="Q102" s="20"/>
      <c r="R102" s="20"/>
      <c r="S102" s="32"/>
      <c r="T102" s="74"/>
      <c r="U102" s="20"/>
      <c r="V102" s="32"/>
      <c r="W102" s="74"/>
      <c r="X102" s="20"/>
      <c r="Y102" s="20"/>
      <c r="Z102" s="74"/>
      <c r="AA102" s="20"/>
      <c r="AB102" s="26"/>
      <c r="AC102" s="20"/>
      <c r="AD102" s="33"/>
      <c r="AE102" s="32"/>
      <c r="AF102" s="74"/>
      <c r="AG102" s="33"/>
      <c r="AH102" s="32"/>
      <c r="AI102" s="74"/>
      <c r="AJ102" s="33"/>
      <c r="AK102" s="32"/>
      <c r="AL102" s="74"/>
      <c r="AM102" s="33"/>
      <c r="AN102" s="32"/>
      <c r="AO102" s="74"/>
      <c r="AP102" s="33"/>
      <c r="AQ102" s="32"/>
      <c r="AR102" s="74"/>
      <c r="AS102" s="33"/>
      <c r="AT102" s="20"/>
      <c r="AU102" s="74"/>
      <c r="AV102" s="27"/>
      <c r="AX102">
        <f>COUNTIF(AvailabilityMatrix[[#This Row],[1-Mon-AM]:[2-Sun-NIGHT2-2-]],"X")</f>
        <v>0</v>
      </c>
      <c r="AY102">
        <f t="shared" si="2"/>
        <v>0</v>
      </c>
    </row>
    <row r="103" spans="1:51" ht="15" hidden="1" x14ac:dyDescent="0.25">
      <c r="A103" s="19"/>
      <c r="B103" s="59" t="s">
        <v>99</v>
      </c>
      <c r="C103" s="76" t="s">
        <v>45</v>
      </c>
      <c r="D103" s="43"/>
      <c r="E103" s="43"/>
      <c r="F103" s="44"/>
      <c r="G103" s="26"/>
      <c r="H103" s="20"/>
      <c r="I103" s="20"/>
      <c r="J103" s="32"/>
      <c r="K103" s="20" t="s">
        <v>128</v>
      </c>
      <c r="L103" s="20"/>
      <c r="M103" s="32"/>
      <c r="N103" s="20" t="s">
        <v>128</v>
      </c>
      <c r="O103" s="20"/>
      <c r="P103" s="32" t="s">
        <v>128</v>
      </c>
      <c r="Q103" s="20"/>
      <c r="R103" s="20"/>
      <c r="S103" s="32"/>
      <c r="T103" s="20" t="s">
        <v>128</v>
      </c>
      <c r="U103" s="20"/>
      <c r="V103" s="32"/>
      <c r="W103" s="20" t="s">
        <v>128</v>
      </c>
      <c r="X103" s="20"/>
      <c r="Y103" s="20"/>
      <c r="Z103" s="20" t="s">
        <v>128</v>
      </c>
      <c r="AA103" s="20"/>
      <c r="AB103" s="26"/>
      <c r="AC103" s="20"/>
      <c r="AD103" s="33"/>
      <c r="AE103" s="32"/>
      <c r="AF103" s="20" t="s">
        <v>128</v>
      </c>
      <c r="AG103" s="33"/>
      <c r="AH103" s="32"/>
      <c r="AI103" s="20" t="s">
        <v>128</v>
      </c>
      <c r="AJ103" s="33"/>
      <c r="AK103" s="32"/>
      <c r="AL103" s="20" t="s">
        <v>128</v>
      </c>
      <c r="AM103" s="33"/>
      <c r="AN103" s="32"/>
      <c r="AO103" s="20" t="s">
        <v>128</v>
      </c>
      <c r="AP103" s="33"/>
      <c r="AQ103" s="32"/>
      <c r="AR103" s="20" t="s">
        <v>128</v>
      </c>
      <c r="AS103" s="33"/>
      <c r="AT103" s="20"/>
      <c r="AU103" s="20" t="s">
        <v>128</v>
      </c>
      <c r="AV103" s="27"/>
      <c r="AX103">
        <f>COUNTIF(AvailabilityMatrix[[#This Row],[1-Mon-AM]:[2-Sun-NIGHT2-2-]],"X")</f>
        <v>12</v>
      </c>
      <c r="AY103">
        <f t="shared" si="2"/>
        <v>10</v>
      </c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G105">
        <v>7</v>
      </c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ht="15" x14ac:dyDescent="0.25">
      <c r="B106" s="79" t="s">
        <v>116</v>
      </c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T4:AV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</mergeCells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6A941-BD1F-440C-ACA9-1CF591D3C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16AD6F-1882-4C31-A7FA-2DD3ED1092EB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b0fa578-f870-47d6-b0d9-5a423e2a9cfb"/>
    <ds:schemaRef ds:uri="b568fc2f-4d2a-4f1a-a92d-be6ea9d479bf"/>
    <ds:schemaRef ds:uri="http://www.w3.org/XML/1998/namespace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9A0B0A36-21E8-4222-A1F2-4A20D06BDC3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7EEAA70-75A4-49AA-B205-619A99CBE1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Staff Availability</vt:lpstr>
      <vt:lpstr>Staff Availability (2)</vt:lpstr>
      <vt:lpstr>'Staff Availability (2)'!Facility</vt:lpstr>
      <vt:lpstr>Facility</vt:lpstr>
      <vt:lpstr>'Staff Availability'!Print_Area</vt:lpstr>
      <vt:lpstr>'Staff Availability (2)'!Print_Area</vt:lpstr>
      <vt:lpstr>'Staff Availability'!Print_Titles</vt:lpstr>
      <vt:lpstr>'Staff Availability (2)'!Print_Titles</vt:lpstr>
      <vt:lpstr>'Staff Availability (2)'!Week_Starting</vt:lpstr>
      <vt:lpstr>Week_Starting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cp:lastPrinted>2024-09-18T21:56:38Z</cp:lastPrinted>
  <dcterms:created xsi:type="dcterms:W3CDTF">2022-12-28T02:04:34Z</dcterms:created>
  <dcterms:modified xsi:type="dcterms:W3CDTF">2026-09-25T02:33:39Z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