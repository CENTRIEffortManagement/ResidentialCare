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1E24201F-42B2-4245-90A2-7B0A6BA87DDE}" xr6:coauthVersionLast="47" xr6:coauthVersionMax="47" xr10:uidLastSave="{00000000-0000-0000-0000-000000000000}"/>
  <bookViews>
    <workbookView xWindow="-120" yWindow="-120" windowWidth="38640" windowHeight="21120" tabRatio="839" activeTab="1" xr2:uid="{2363204A-BB9E-49CC-B0E9-E601DBCA756D}"/>
  </bookViews>
  <sheets>
    <sheet name="Primary Inputs" sheetId="14" r:id="rId1"/>
    <sheet name="AN-ACC Minutes" sheetId="22" r:id="rId2"/>
    <sheet name="AN-ACC Simple" sheetId="29" r:id="rId3"/>
    <sheet name="Summary Roster" sheetId="21" r:id="rId4"/>
    <sheet name="Roster - G1 - RN" sheetId="16" r:id="rId5"/>
    <sheet name="Roster - G2 - Carer" sheetId="17" r:id="rId6"/>
    <sheet name="Roster - G3 - Ward 3" sheetId="18" state="hidden" r:id="rId7"/>
    <sheet name="Roster - G4 - Services" sheetId="19" state="hidden" r:id="rId8"/>
    <sheet name="Roster - G5 - Mgmt" sheetId="20" r:id="rId9"/>
    <sheet name="AN-ACC Worksheet" sheetId="25" r:id="rId10"/>
    <sheet name="AN-ACC Lookup Tables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9" l="1"/>
  <c r="G20" i="29"/>
  <c r="H37" i="17"/>
  <c r="I37" i="17" s="1"/>
  <c r="H40" i="17"/>
  <c r="I40" i="17" s="1"/>
  <c r="H33" i="17"/>
  <c r="I33" i="17" s="1"/>
  <c r="H39" i="17"/>
  <c r="I39" i="17" s="1"/>
  <c r="H36" i="17"/>
  <c r="I36" i="17" s="1"/>
  <c r="H35" i="17"/>
  <c r="I35" i="17" s="1"/>
  <c r="H32" i="17"/>
  <c r="I32" i="17" s="1"/>
  <c r="H37" i="16"/>
  <c r="I37" i="16" s="1"/>
  <c r="H34" i="16"/>
  <c r="I34" i="16" s="1"/>
  <c r="H32" i="16"/>
  <c r="I32" i="16" s="1"/>
  <c r="H31" i="16"/>
  <c r="I31" i="16" s="1"/>
  <c r="J37" i="16" l="1"/>
  <c r="K37" i="16" s="1"/>
  <c r="J32" i="16"/>
  <c r="K32" i="16" s="1"/>
  <c r="M32" i="16" s="1"/>
  <c r="J34" i="16"/>
  <c r="K34" i="16" s="1"/>
  <c r="M34" i="16" s="1"/>
  <c r="J31" i="16"/>
  <c r="K31" i="16" s="1"/>
  <c r="R31" i="16" s="1"/>
  <c r="J40" i="17"/>
  <c r="K40" i="17" s="1"/>
  <c r="R40" i="17" s="1"/>
  <c r="J37" i="17"/>
  <c r="K37" i="17" s="1"/>
  <c r="J33" i="17"/>
  <c r="K33" i="17" s="1"/>
  <c r="J39" i="17"/>
  <c r="K39" i="17" s="1"/>
  <c r="J36" i="17"/>
  <c r="K36" i="17" s="1"/>
  <c r="J35" i="17"/>
  <c r="K35" i="17" s="1"/>
  <c r="J32" i="17"/>
  <c r="K32" i="17" s="1"/>
  <c r="N37" i="16"/>
  <c r="M37" i="16"/>
  <c r="L37" i="16"/>
  <c r="R37" i="16"/>
  <c r="Q37" i="16"/>
  <c r="P37" i="16"/>
  <c r="O37" i="16"/>
  <c r="R34" i="16"/>
  <c r="P34" i="16"/>
  <c r="O34" i="16"/>
  <c r="Q34" i="16"/>
  <c r="N34" i="16"/>
  <c r="L34" i="16"/>
  <c r="H31" i="17"/>
  <c r="I31" i="17" s="1"/>
  <c r="H31" i="18"/>
  <c r="I31" i="18" s="1"/>
  <c r="H31" i="19"/>
  <c r="I31" i="19" s="1"/>
  <c r="H32" i="20"/>
  <c r="I32" i="20" s="1"/>
  <c r="B58" i="25"/>
  <c r="B32" i="25"/>
  <c r="B6" i="25"/>
  <c r="B8" i="29"/>
  <c r="B9" i="29"/>
  <c r="G9" i="29"/>
  <c r="G8" i="29"/>
  <c r="C9" i="29"/>
  <c r="C8" i="29"/>
  <c r="A9" i="29"/>
  <c r="A8" i="29"/>
  <c r="A7" i="29"/>
  <c r="C1" i="29"/>
  <c r="Q31" i="16" l="1"/>
  <c r="P31" i="16"/>
  <c r="O31" i="16"/>
  <c r="N31" i="16"/>
  <c r="L31" i="16"/>
  <c r="M31" i="16"/>
  <c r="P40" i="17"/>
  <c r="M40" i="17"/>
  <c r="Q40" i="17"/>
  <c r="O40" i="17"/>
  <c r="N40" i="17"/>
  <c r="L40" i="17"/>
  <c r="R33" i="17"/>
  <c r="Q33" i="17"/>
  <c r="P33" i="17"/>
  <c r="O33" i="17"/>
  <c r="N33" i="17"/>
  <c r="M33" i="17"/>
  <c r="L33" i="17"/>
  <c r="P36" i="17"/>
  <c r="O36" i="17"/>
  <c r="N36" i="17"/>
  <c r="M36" i="17"/>
  <c r="L36" i="17"/>
  <c r="R36" i="17"/>
  <c r="Q36" i="17"/>
  <c r="M32" i="17"/>
  <c r="L32" i="17"/>
  <c r="R32" i="17"/>
  <c r="Q32" i="17"/>
  <c r="P32" i="17"/>
  <c r="O32" i="17"/>
  <c r="N32" i="17"/>
  <c r="R35" i="17"/>
  <c r="Q35" i="17"/>
  <c r="P35" i="17"/>
  <c r="O35" i="17"/>
  <c r="N35" i="17"/>
  <c r="M35" i="17"/>
  <c r="L35" i="17"/>
  <c r="R39" i="17"/>
  <c r="Q39" i="17"/>
  <c r="P39" i="17"/>
  <c r="O39" i="17"/>
  <c r="N39" i="17"/>
  <c r="M39" i="17"/>
  <c r="L39" i="17"/>
  <c r="Q37" i="17"/>
  <c r="P37" i="17"/>
  <c r="O37" i="17"/>
  <c r="N37" i="17"/>
  <c r="M37" i="17"/>
  <c r="L37" i="17"/>
  <c r="R37" i="17"/>
  <c r="H9" i="14"/>
  <c r="I9" i="14" s="1"/>
  <c r="H11" i="14"/>
  <c r="I11" i="14" s="1"/>
  <c r="H10" i="14"/>
  <c r="I10" i="14" s="1"/>
  <c r="B43" i="25"/>
  <c r="B17" i="25"/>
  <c r="H7" i="29"/>
  <c r="B69" i="25"/>
  <c r="D9" i="29"/>
  <c r="E9" i="29" s="1"/>
  <c r="H9" i="29"/>
  <c r="I9" i="29" s="1"/>
  <c r="J31" i="17"/>
  <c r="K31" i="17" s="1"/>
  <c r="J31" i="18"/>
  <c r="K31" i="18" s="1"/>
  <c r="J31" i="19"/>
  <c r="K31" i="19" s="1"/>
  <c r="J32" i="20"/>
  <c r="K32" i="20" s="1"/>
  <c r="D8" i="29"/>
  <c r="E8" i="29" s="1"/>
  <c r="H8" i="29"/>
  <c r="I8" i="29" s="1"/>
  <c r="B15" i="22"/>
  <c r="B13" i="29"/>
  <c r="D7" i="29"/>
  <c r="E7" i="29" s="1"/>
  <c r="F7" i="29" s="1"/>
  <c r="H31" i="20"/>
  <c r="I31" i="20" s="1"/>
  <c r="T33" i="16"/>
  <c r="T35" i="16"/>
  <c r="T36" i="16"/>
  <c r="C15" i="22" l="1"/>
  <c r="R31" i="17"/>
  <c r="Q31" i="17"/>
  <c r="P31" i="17"/>
  <c r="O31" i="17"/>
  <c r="N31" i="17"/>
  <c r="M31" i="17"/>
  <c r="L31" i="17"/>
  <c r="D13" i="29"/>
  <c r="D14" i="29" s="1"/>
  <c r="E13" i="29"/>
  <c r="H13" i="29"/>
  <c r="H14" i="29" s="1"/>
  <c r="I7" i="29"/>
  <c r="J31" i="20"/>
  <c r="K31" i="20" s="1"/>
  <c r="L31" i="20" s="1"/>
  <c r="Z14" i="16" l="1"/>
  <c r="J7" i="29"/>
  <c r="Z15" i="17"/>
  <c r="I13" i="29"/>
  <c r="K15" i="22"/>
  <c r="P31" i="20"/>
  <c r="O31" i="20"/>
  <c r="N31" i="20"/>
  <c r="M31" i="20"/>
  <c r="P32" i="20"/>
  <c r="O32" i="20"/>
  <c r="L32" i="20"/>
  <c r="N32" i="20"/>
  <c r="M32" i="20"/>
  <c r="T31" i="16" l="1"/>
  <c r="T37" i="16"/>
  <c r="T34" i="16"/>
  <c r="T32" i="16"/>
  <c r="V71" i="20" l="1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71" i="19"/>
  <c r="V70" i="19"/>
  <c r="V69" i="19"/>
  <c r="V68" i="19"/>
  <c r="V67" i="19"/>
  <c r="V66" i="19"/>
  <c r="V65" i="19"/>
  <c r="V64" i="19"/>
  <c r="V63" i="19"/>
  <c r="V62" i="19"/>
  <c r="V61" i="19"/>
  <c r="V60" i="19"/>
  <c r="V59" i="19"/>
  <c r="V58" i="19"/>
  <c r="V57" i="19"/>
  <c r="V56" i="19"/>
  <c r="V55" i="19"/>
  <c r="V54" i="19"/>
  <c r="V53" i="19"/>
  <c r="V52" i="19"/>
  <c r="V51" i="19"/>
  <c r="V50" i="19"/>
  <c r="V49" i="19"/>
  <c r="V48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71" i="18"/>
  <c r="V70" i="18"/>
  <c r="V69" i="18"/>
  <c r="V68" i="18"/>
  <c r="V67" i="18"/>
  <c r="V66" i="18"/>
  <c r="V65" i="18"/>
  <c r="V64" i="18"/>
  <c r="V63" i="18"/>
  <c r="V62" i="18"/>
  <c r="V61" i="18"/>
  <c r="V60" i="18"/>
  <c r="V59" i="18"/>
  <c r="V58" i="18"/>
  <c r="V57" i="18"/>
  <c r="V56" i="18"/>
  <c r="V55" i="18"/>
  <c r="V54" i="18"/>
  <c r="V53" i="18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V34" i="18"/>
  <c r="V33" i="18"/>
  <c r="V32" i="18"/>
  <c r="V31" i="18"/>
  <c r="V57" i="16"/>
  <c r="V56" i="16"/>
  <c r="V55" i="16"/>
  <c r="V54" i="16"/>
  <c r="V53" i="16"/>
  <c r="V52" i="16"/>
  <c r="V51" i="16"/>
  <c r="V50" i="16"/>
  <c r="V49" i="16"/>
  <c r="V48" i="16"/>
  <c r="V47" i="16"/>
  <c r="V46" i="16"/>
  <c r="V45" i="16"/>
  <c r="V44" i="16"/>
  <c r="V43" i="16"/>
  <c r="V42" i="16"/>
  <c r="V41" i="16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A8" i="22"/>
  <c r="C1" i="25"/>
  <c r="E24" i="3"/>
  <c r="E23" i="3"/>
  <c r="E22" i="3"/>
  <c r="E21" i="3"/>
  <c r="E20" i="3"/>
  <c r="E19" i="3"/>
  <c r="T35" i="20" l="1"/>
  <c r="E81" i="25" l="1"/>
  <c r="E55" i="25"/>
  <c r="E29" i="25"/>
  <c r="A1" i="22"/>
  <c r="A6" i="21"/>
  <c r="B6" i="21" s="1"/>
  <c r="A1" i="21"/>
  <c r="W71" i="20"/>
  <c r="W70" i="20"/>
  <c r="W69" i="20"/>
  <c r="W68" i="20"/>
  <c r="W67" i="20"/>
  <c r="W66" i="20"/>
  <c r="W65" i="20"/>
  <c r="W64" i="20"/>
  <c r="W63" i="20"/>
  <c r="W62" i="20"/>
  <c r="W61" i="20"/>
  <c r="W60" i="20"/>
  <c r="W59" i="20"/>
  <c r="W58" i="20"/>
  <c r="W57" i="20"/>
  <c r="W56" i="20"/>
  <c r="W55" i="20"/>
  <c r="W54" i="20"/>
  <c r="W53" i="20"/>
  <c r="W52" i="20"/>
  <c r="W71" i="19"/>
  <c r="W70" i="19"/>
  <c r="W69" i="19"/>
  <c r="W68" i="19"/>
  <c r="W67" i="19"/>
  <c r="W66" i="19"/>
  <c r="W65" i="19"/>
  <c r="W64" i="19"/>
  <c r="W63" i="19"/>
  <c r="W62" i="19"/>
  <c r="W61" i="19"/>
  <c r="W60" i="19"/>
  <c r="W59" i="19"/>
  <c r="W58" i="19"/>
  <c r="W57" i="19"/>
  <c r="W56" i="19"/>
  <c r="W55" i="19"/>
  <c r="W54" i="19"/>
  <c r="W53" i="19"/>
  <c r="W52" i="19"/>
  <c r="W71" i="18"/>
  <c r="W70" i="18"/>
  <c r="W69" i="18"/>
  <c r="W68" i="18"/>
  <c r="W67" i="18"/>
  <c r="W66" i="18"/>
  <c r="W65" i="18"/>
  <c r="W64" i="18"/>
  <c r="W63" i="18"/>
  <c r="W62" i="18"/>
  <c r="W61" i="18"/>
  <c r="W60" i="18"/>
  <c r="W59" i="18"/>
  <c r="W58" i="18"/>
  <c r="W57" i="18"/>
  <c r="W56" i="18"/>
  <c r="W55" i="18"/>
  <c r="W54" i="18"/>
  <c r="W53" i="18"/>
  <c r="W52" i="18"/>
  <c r="W71" i="17"/>
  <c r="W70" i="17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A6" i="20"/>
  <c r="B6" i="20" s="1"/>
  <c r="T51" i="20"/>
  <c r="T50" i="20"/>
  <c r="T49" i="20"/>
  <c r="W49" i="20" s="1"/>
  <c r="T48" i="20"/>
  <c r="T47" i="20"/>
  <c r="T46" i="20"/>
  <c r="W46" i="20" s="1"/>
  <c r="T45" i="20"/>
  <c r="T44" i="20"/>
  <c r="T43" i="20"/>
  <c r="T42" i="20"/>
  <c r="W26" i="20"/>
  <c r="R26" i="20"/>
  <c r="Q26" i="20"/>
  <c r="P26" i="20"/>
  <c r="O26" i="20"/>
  <c r="N26" i="20"/>
  <c r="M26" i="20"/>
  <c r="L26" i="20"/>
  <c r="R25" i="20"/>
  <c r="Q25" i="20"/>
  <c r="R21" i="20"/>
  <c r="Q21" i="20"/>
  <c r="W17" i="20"/>
  <c r="R17" i="20"/>
  <c r="Q17" i="20"/>
  <c r="P17" i="20"/>
  <c r="O17" i="20"/>
  <c r="N17" i="20"/>
  <c r="M17" i="20"/>
  <c r="L17" i="20"/>
  <c r="W15" i="20"/>
  <c r="R15" i="20"/>
  <c r="Q15" i="20"/>
  <c r="P15" i="20"/>
  <c r="O15" i="20"/>
  <c r="N15" i="20"/>
  <c r="M15" i="20"/>
  <c r="L15" i="20"/>
  <c r="R14" i="20"/>
  <c r="Q14" i="20"/>
  <c r="P14" i="20"/>
  <c r="O14" i="20"/>
  <c r="N14" i="20"/>
  <c r="M14" i="20"/>
  <c r="L14" i="20"/>
  <c r="A1" i="20"/>
  <c r="A6" i="19"/>
  <c r="C6" i="19" s="1"/>
  <c r="A12" i="19" s="1"/>
  <c r="W26" i="19"/>
  <c r="R26" i="19"/>
  <c r="Q26" i="19"/>
  <c r="P26" i="19"/>
  <c r="O26" i="19"/>
  <c r="N26" i="19"/>
  <c r="M26" i="19"/>
  <c r="L26" i="19"/>
  <c r="W25" i="19"/>
  <c r="R25" i="19"/>
  <c r="Q25" i="19"/>
  <c r="P25" i="19"/>
  <c r="O25" i="19"/>
  <c r="N25" i="19"/>
  <c r="M25" i="19"/>
  <c r="L25" i="19"/>
  <c r="R21" i="19"/>
  <c r="Q21" i="19"/>
  <c r="W17" i="19"/>
  <c r="Q17" i="19"/>
  <c r="A1" i="19"/>
  <c r="A6" i="18"/>
  <c r="D6" i="18" s="1"/>
  <c r="W26" i="18"/>
  <c r="R26" i="18"/>
  <c r="Q26" i="18"/>
  <c r="P26" i="18"/>
  <c r="O26" i="18"/>
  <c r="N26" i="18"/>
  <c r="M26" i="18"/>
  <c r="L26" i="18"/>
  <c r="W25" i="18"/>
  <c r="R25" i="18"/>
  <c r="Q25" i="18"/>
  <c r="Q24" i="18" s="1"/>
  <c r="P25" i="18"/>
  <c r="O25" i="18"/>
  <c r="N25" i="18"/>
  <c r="M25" i="18"/>
  <c r="L25" i="18"/>
  <c r="W22" i="18"/>
  <c r="R22" i="18"/>
  <c r="Q22" i="18"/>
  <c r="P22" i="18"/>
  <c r="O22" i="18"/>
  <c r="N22" i="18"/>
  <c r="M22" i="18"/>
  <c r="L22" i="18"/>
  <c r="W21" i="18"/>
  <c r="R21" i="18"/>
  <c r="Q21" i="18"/>
  <c r="P21" i="18"/>
  <c r="O21" i="18"/>
  <c r="N21" i="18"/>
  <c r="M21" i="18"/>
  <c r="L21" i="18"/>
  <c r="W17" i="18"/>
  <c r="A1" i="18"/>
  <c r="W45" i="17"/>
  <c r="T39" i="17"/>
  <c r="A6" i="17"/>
  <c r="E6" i="17" s="1"/>
  <c r="W26" i="17"/>
  <c r="R26" i="17"/>
  <c r="Q26" i="17"/>
  <c r="P26" i="17"/>
  <c r="O26" i="17"/>
  <c r="N26" i="17"/>
  <c r="M26" i="17"/>
  <c r="L26" i="17"/>
  <c r="W25" i="17"/>
  <c r="R25" i="17"/>
  <c r="Q25" i="17"/>
  <c r="P25" i="17"/>
  <c r="O25" i="17"/>
  <c r="N25" i="17"/>
  <c r="M25" i="17"/>
  <c r="L25" i="17"/>
  <c r="W22" i="17"/>
  <c r="R22" i="17"/>
  <c r="Q22" i="17"/>
  <c r="P22" i="17"/>
  <c r="O22" i="17"/>
  <c r="N22" i="17"/>
  <c r="M22" i="17"/>
  <c r="L22" i="17"/>
  <c r="W21" i="17"/>
  <c r="R21" i="17"/>
  <c r="Q21" i="17"/>
  <c r="P21" i="17"/>
  <c r="O21" i="17"/>
  <c r="N21" i="17"/>
  <c r="M21" i="17"/>
  <c r="L21" i="17"/>
  <c r="W17" i="17"/>
  <c r="A1" i="17"/>
  <c r="W26" i="16"/>
  <c r="W25" i="16"/>
  <c r="W22" i="16"/>
  <c r="W21" i="16"/>
  <c r="R26" i="16"/>
  <c r="Q26" i="16"/>
  <c r="P26" i="16"/>
  <c r="O26" i="16"/>
  <c r="N26" i="16"/>
  <c r="M26" i="16"/>
  <c r="L26" i="16"/>
  <c r="R25" i="16"/>
  <c r="Q25" i="16"/>
  <c r="P25" i="16"/>
  <c r="O25" i="16"/>
  <c r="N25" i="16"/>
  <c r="M25" i="16"/>
  <c r="L25" i="16"/>
  <c r="R22" i="16"/>
  <c r="Q22" i="16"/>
  <c r="P22" i="16"/>
  <c r="O22" i="16"/>
  <c r="N22" i="16"/>
  <c r="M22" i="16"/>
  <c r="L22" i="16"/>
  <c r="R21" i="16"/>
  <c r="Q21" i="16"/>
  <c r="P21" i="16"/>
  <c r="O21" i="16"/>
  <c r="N21" i="16"/>
  <c r="M21" i="16"/>
  <c r="L21" i="16"/>
  <c r="R17" i="16"/>
  <c r="A6" i="16"/>
  <c r="E6" i="16" s="1"/>
  <c r="A1" i="16"/>
  <c r="M24" i="19" l="1"/>
  <c r="M24" i="17"/>
  <c r="Q24" i="17"/>
  <c r="L13" i="20"/>
  <c r="P24" i="19"/>
  <c r="Q24" i="19"/>
  <c r="N24" i="18"/>
  <c r="O24" i="18"/>
  <c r="M24" i="18"/>
  <c r="P13" i="20"/>
  <c r="R13" i="20"/>
  <c r="M13" i="20"/>
  <c r="N13" i="20"/>
  <c r="W24" i="19"/>
  <c r="E6" i="20"/>
  <c r="N24" i="19"/>
  <c r="O24" i="17"/>
  <c r="W45" i="20"/>
  <c r="P24" i="17"/>
  <c r="W38" i="17"/>
  <c r="W44" i="20"/>
  <c r="W43" i="20"/>
  <c r="W50" i="20"/>
  <c r="L26" i="21"/>
  <c r="M26" i="21"/>
  <c r="W36" i="16"/>
  <c r="W33" i="16"/>
  <c r="R25" i="21"/>
  <c r="C6" i="17"/>
  <c r="A12" i="17" s="1"/>
  <c r="R21" i="21"/>
  <c r="Q21" i="21"/>
  <c r="R24" i="19"/>
  <c r="N26" i="21"/>
  <c r="O26" i="21"/>
  <c r="P26" i="21"/>
  <c r="Q26" i="21"/>
  <c r="Q24" i="20"/>
  <c r="Q25" i="21"/>
  <c r="R26" i="21"/>
  <c r="C6" i="18"/>
  <c r="A12" i="18" s="1"/>
  <c r="D6" i="20"/>
  <c r="W26" i="21"/>
  <c r="G25" i="22" s="1"/>
  <c r="F24" i="25"/>
  <c r="H24" i="25"/>
  <c r="I24" i="25" s="1"/>
  <c r="K24" i="25"/>
  <c r="L24" i="25" s="1"/>
  <c r="H17" i="25"/>
  <c r="I17" i="25" s="1"/>
  <c r="F53" i="25"/>
  <c r="K25" i="25"/>
  <c r="L25" i="25" s="1"/>
  <c r="H25" i="25"/>
  <c r="I25" i="25" s="1"/>
  <c r="H53" i="25"/>
  <c r="I53" i="25" s="1"/>
  <c r="K53" i="25"/>
  <c r="L53" i="25" s="1"/>
  <c r="H69" i="25"/>
  <c r="I69" i="25" s="1"/>
  <c r="H75" i="25"/>
  <c r="I75" i="25" s="1"/>
  <c r="C6" i="21"/>
  <c r="A12" i="21" s="1"/>
  <c r="D6" i="21"/>
  <c r="E6" i="21"/>
  <c r="W51" i="20"/>
  <c r="W42" i="20"/>
  <c r="W47" i="20"/>
  <c r="W48" i="20"/>
  <c r="O13" i="20"/>
  <c r="Q13" i="20"/>
  <c r="T14" i="20"/>
  <c r="T17" i="20"/>
  <c r="V17" i="20" s="1"/>
  <c r="R24" i="20"/>
  <c r="T40" i="20"/>
  <c r="W40" i="20" s="1"/>
  <c r="C6" i="20"/>
  <c r="A12" i="20" s="1"/>
  <c r="T15" i="20"/>
  <c r="L25" i="20"/>
  <c r="L24" i="20" s="1"/>
  <c r="P25" i="20"/>
  <c r="P24" i="20" s="1"/>
  <c r="M25" i="20"/>
  <c r="M24" i="20" s="1"/>
  <c r="T32" i="20"/>
  <c r="W32" i="20" s="1"/>
  <c r="N25" i="20"/>
  <c r="N24" i="20" s="1"/>
  <c r="T26" i="20"/>
  <c r="V26" i="20" s="1"/>
  <c r="O25" i="20"/>
  <c r="T36" i="20"/>
  <c r="W36" i="20" s="1"/>
  <c r="O24" i="19"/>
  <c r="W35" i="16"/>
  <c r="T25" i="19"/>
  <c r="V25" i="19" s="1"/>
  <c r="E6" i="19"/>
  <c r="B6" i="19"/>
  <c r="T26" i="19"/>
  <c r="V26" i="19" s="1"/>
  <c r="L24" i="19"/>
  <c r="D6" i="19"/>
  <c r="R24" i="18"/>
  <c r="W24" i="18"/>
  <c r="T21" i="18"/>
  <c r="V21" i="18" s="1"/>
  <c r="P24" i="18"/>
  <c r="B6" i="18"/>
  <c r="E6" i="18"/>
  <c r="T25" i="18"/>
  <c r="L24" i="18"/>
  <c r="T26" i="18"/>
  <c r="V26" i="18" s="1"/>
  <c r="T22" i="18"/>
  <c r="V22" i="18" s="1"/>
  <c r="P24" i="16"/>
  <c r="N24" i="16"/>
  <c r="W39" i="17"/>
  <c r="T22" i="17"/>
  <c r="V22" i="17" s="1"/>
  <c r="T26" i="17"/>
  <c r="V26" i="17" s="1"/>
  <c r="T25" i="17"/>
  <c r="V25" i="17" s="1"/>
  <c r="T21" i="17"/>
  <c r="V21" i="17" s="1"/>
  <c r="N24" i="17"/>
  <c r="D6" i="17"/>
  <c r="R24" i="17"/>
  <c r="B6" i="17"/>
  <c r="L24" i="17"/>
  <c r="W24" i="17"/>
  <c r="R24" i="16"/>
  <c r="T22" i="16"/>
  <c r="V22" i="16" s="1"/>
  <c r="M24" i="16"/>
  <c r="T21" i="16"/>
  <c r="V21" i="16" s="1"/>
  <c r="O24" i="16"/>
  <c r="Q24" i="16"/>
  <c r="T26" i="16"/>
  <c r="V26" i="16" s="1"/>
  <c r="T25" i="16"/>
  <c r="L24" i="16"/>
  <c r="W24" i="16"/>
  <c r="P17" i="16"/>
  <c r="L17" i="16"/>
  <c r="O17" i="16"/>
  <c r="N17" i="16"/>
  <c r="M17" i="16"/>
  <c r="B6" i="16"/>
  <c r="C6" i="16"/>
  <c r="A12" i="16" s="1"/>
  <c r="D6" i="16"/>
  <c r="K52" i="25" l="1"/>
  <c r="L52" i="25" s="1"/>
  <c r="H77" i="25"/>
  <c r="I77" i="25" s="1"/>
  <c r="K13" i="25"/>
  <c r="L13" i="25" s="1"/>
  <c r="H52" i="25"/>
  <c r="I52" i="25" s="1"/>
  <c r="H74" i="25"/>
  <c r="I74" i="25" s="1"/>
  <c r="K44" i="25"/>
  <c r="L44" i="25" s="1"/>
  <c r="H44" i="25"/>
  <c r="I44" i="25" s="1"/>
  <c r="W25" i="22"/>
  <c r="Y25" i="22" s="1"/>
  <c r="I25" i="22"/>
  <c r="M25" i="21"/>
  <c r="M24" i="21" s="1"/>
  <c r="L25" i="21"/>
  <c r="L24" i="21" s="1"/>
  <c r="R24" i="21"/>
  <c r="Q24" i="21"/>
  <c r="O24" i="20"/>
  <c r="O25" i="21"/>
  <c r="O24" i="21" s="1"/>
  <c r="T35" i="19"/>
  <c r="W35" i="19" s="1"/>
  <c r="T26" i="21"/>
  <c r="V26" i="21" s="1"/>
  <c r="P14" i="17"/>
  <c r="O14" i="17"/>
  <c r="N25" i="21"/>
  <c r="N24" i="21" s="1"/>
  <c r="P17" i="17"/>
  <c r="O17" i="17"/>
  <c r="N17" i="17"/>
  <c r="P25" i="21"/>
  <c r="P24" i="21" s="1"/>
  <c r="H16" i="25"/>
  <c r="I16" i="25" s="1"/>
  <c r="K17" i="25"/>
  <c r="L17" i="25" s="1"/>
  <c r="H27" i="25"/>
  <c r="I27" i="25" s="1"/>
  <c r="K23" i="25"/>
  <c r="L23" i="25" s="1"/>
  <c r="F23" i="25"/>
  <c r="H70" i="25"/>
  <c r="I70" i="25" s="1"/>
  <c r="K27" i="25"/>
  <c r="L27" i="25" s="1"/>
  <c r="K20" i="25"/>
  <c r="L20" i="25" s="1"/>
  <c r="K78" i="25"/>
  <c r="L78" i="25" s="1"/>
  <c r="F38" i="25"/>
  <c r="H63" i="25"/>
  <c r="I63" i="25" s="1"/>
  <c r="H62" i="25"/>
  <c r="I62" i="25" s="1"/>
  <c r="F69" i="25"/>
  <c r="F25" i="25"/>
  <c r="K19" i="25"/>
  <c r="L19" i="25" s="1"/>
  <c r="F43" i="25"/>
  <c r="K73" i="25"/>
  <c r="L73" i="25" s="1"/>
  <c r="K48" i="25"/>
  <c r="L48" i="25" s="1"/>
  <c r="F67" i="25"/>
  <c r="H36" i="25"/>
  <c r="I36" i="25" s="1"/>
  <c r="K43" i="25"/>
  <c r="L43" i="25" s="1"/>
  <c r="K66" i="25"/>
  <c r="L66" i="25" s="1"/>
  <c r="K18" i="25"/>
  <c r="L18" i="25" s="1"/>
  <c r="H19" i="25"/>
  <c r="I19" i="25" s="1"/>
  <c r="H67" i="25"/>
  <c r="I67" i="25" s="1"/>
  <c r="H20" i="25"/>
  <c r="I20" i="25" s="1"/>
  <c r="H18" i="25"/>
  <c r="I18" i="25" s="1"/>
  <c r="H43" i="25"/>
  <c r="I43" i="25" s="1"/>
  <c r="H38" i="25"/>
  <c r="I38" i="25" s="1"/>
  <c r="H48" i="25"/>
  <c r="I48" i="25" s="1"/>
  <c r="F64" i="25"/>
  <c r="K22" i="25"/>
  <c r="L22" i="25" s="1"/>
  <c r="F18" i="25"/>
  <c r="F35" i="25"/>
  <c r="H22" i="25"/>
  <c r="I22" i="25" s="1"/>
  <c r="K14" i="25"/>
  <c r="L14" i="25" s="1"/>
  <c r="F14" i="25"/>
  <c r="K12" i="25"/>
  <c r="L12" i="25" s="1"/>
  <c r="H65" i="25"/>
  <c r="I65" i="25" s="1"/>
  <c r="H14" i="25"/>
  <c r="I14" i="25" s="1"/>
  <c r="F12" i="25"/>
  <c r="K21" i="25"/>
  <c r="L21" i="25" s="1"/>
  <c r="F78" i="25"/>
  <c r="K39" i="25"/>
  <c r="L39" i="25" s="1"/>
  <c r="H21" i="25"/>
  <c r="I21" i="25" s="1"/>
  <c r="H78" i="25"/>
  <c r="I78" i="25" s="1"/>
  <c r="K79" i="25"/>
  <c r="L79" i="25" s="1"/>
  <c r="F37" i="25"/>
  <c r="K64" i="25"/>
  <c r="L64" i="25" s="1"/>
  <c r="H79" i="25"/>
  <c r="I79" i="25" s="1"/>
  <c r="H13" i="25"/>
  <c r="I13" i="25" s="1"/>
  <c r="F79" i="25"/>
  <c r="H23" i="25"/>
  <c r="I23" i="25" s="1"/>
  <c r="K36" i="25"/>
  <c r="L36" i="25" s="1"/>
  <c r="F36" i="25"/>
  <c r="H71" i="25"/>
  <c r="I71" i="25" s="1"/>
  <c r="F73" i="25"/>
  <c r="K71" i="25"/>
  <c r="L71" i="25" s="1"/>
  <c r="F13" i="25"/>
  <c r="H37" i="25"/>
  <c r="I37" i="25" s="1"/>
  <c r="H39" i="25"/>
  <c r="I39" i="25" s="1"/>
  <c r="H64" i="25"/>
  <c r="I64" i="25" s="1"/>
  <c r="H61" i="25"/>
  <c r="I61" i="25" s="1"/>
  <c r="K35" i="25"/>
  <c r="L35" i="25" s="1"/>
  <c r="H9" i="25"/>
  <c r="I9" i="25" s="1"/>
  <c r="H12" i="25"/>
  <c r="I12" i="25" s="1"/>
  <c r="H10" i="25"/>
  <c r="I10" i="25" s="1"/>
  <c r="K11" i="25"/>
  <c r="L11" i="25" s="1"/>
  <c r="K38" i="25"/>
  <c r="L38" i="25" s="1"/>
  <c r="F61" i="25"/>
  <c r="H35" i="25"/>
  <c r="I35" i="25" s="1"/>
  <c r="K9" i="25"/>
  <c r="L9" i="25" s="1"/>
  <c r="K61" i="25"/>
  <c r="L61" i="25" s="1"/>
  <c r="F65" i="25"/>
  <c r="F41" i="25"/>
  <c r="F66" i="25"/>
  <c r="H11" i="25"/>
  <c r="I11" i="25" s="1"/>
  <c r="K40" i="25"/>
  <c r="L40" i="25" s="1"/>
  <c r="H41" i="25"/>
  <c r="I41" i="25" s="1"/>
  <c r="F40" i="25"/>
  <c r="K65" i="25"/>
  <c r="L65" i="25" s="1"/>
  <c r="K41" i="25"/>
  <c r="L41" i="25" s="1"/>
  <c r="K10" i="25"/>
  <c r="L10" i="25" s="1"/>
  <c r="H40" i="25"/>
  <c r="I40" i="25" s="1"/>
  <c r="H66" i="25"/>
  <c r="I66" i="25" s="1"/>
  <c r="K26" i="25"/>
  <c r="L26" i="25" s="1"/>
  <c r="H51" i="25"/>
  <c r="I51" i="25" s="1"/>
  <c r="K15" i="25"/>
  <c r="L15" i="25" s="1"/>
  <c r="H45" i="25"/>
  <c r="I45" i="25" s="1"/>
  <c r="K63" i="25"/>
  <c r="L63" i="25" s="1"/>
  <c r="H26" i="25"/>
  <c r="I26" i="25" s="1"/>
  <c r="K16" i="25"/>
  <c r="L16" i="25" s="1"/>
  <c r="F63" i="25"/>
  <c r="K62" i="25"/>
  <c r="L62" i="25" s="1"/>
  <c r="F26" i="25"/>
  <c r="H15" i="25"/>
  <c r="I15" i="25" s="1"/>
  <c r="K37" i="25"/>
  <c r="L37" i="25" s="1"/>
  <c r="F27" i="25"/>
  <c r="B29" i="25"/>
  <c r="K77" i="25"/>
  <c r="L77" i="25" s="1"/>
  <c r="F77" i="25"/>
  <c r="K70" i="25"/>
  <c r="L70" i="25" s="1"/>
  <c r="B81" i="25"/>
  <c r="H68" i="25"/>
  <c r="I68" i="25" s="1"/>
  <c r="K68" i="25"/>
  <c r="L68" i="25" s="1"/>
  <c r="K67" i="25"/>
  <c r="L67" i="25" s="1"/>
  <c r="K75" i="25"/>
  <c r="L75" i="25" s="1"/>
  <c r="F75" i="25"/>
  <c r="H73" i="25"/>
  <c r="I73" i="25" s="1"/>
  <c r="H76" i="25"/>
  <c r="I76" i="25" s="1"/>
  <c r="F76" i="25"/>
  <c r="K76" i="25"/>
  <c r="L76" i="25" s="1"/>
  <c r="H72" i="25"/>
  <c r="I72" i="25" s="1"/>
  <c r="F72" i="25"/>
  <c r="K72" i="25"/>
  <c r="L72" i="25" s="1"/>
  <c r="F74" i="25"/>
  <c r="K74" i="25"/>
  <c r="L74" i="25" s="1"/>
  <c r="K69" i="25"/>
  <c r="L69" i="25" s="1"/>
  <c r="K45" i="25"/>
  <c r="L45" i="25" s="1"/>
  <c r="F45" i="25"/>
  <c r="H49" i="25"/>
  <c r="I49" i="25" s="1"/>
  <c r="H47" i="25"/>
  <c r="I47" i="25" s="1"/>
  <c r="K51" i="25"/>
  <c r="L51" i="25" s="1"/>
  <c r="K42" i="25"/>
  <c r="L42" i="25" s="1"/>
  <c r="H42" i="25"/>
  <c r="I42" i="25" s="1"/>
  <c r="K50" i="25"/>
  <c r="L50" i="25" s="1"/>
  <c r="H50" i="25"/>
  <c r="I50" i="25" s="1"/>
  <c r="K49" i="25"/>
  <c r="L49" i="25" s="1"/>
  <c r="B55" i="25"/>
  <c r="F49" i="25"/>
  <c r="K47" i="25"/>
  <c r="L47" i="25" s="1"/>
  <c r="K46" i="25"/>
  <c r="L46" i="25" s="1"/>
  <c r="H46" i="25"/>
  <c r="I46" i="25" s="1"/>
  <c r="F46" i="25"/>
  <c r="T25" i="20"/>
  <c r="T24" i="20" s="1"/>
  <c r="T13" i="20"/>
  <c r="V15" i="20"/>
  <c r="P30" i="20"/>
  <c r="P20" i="20"/>
  <c r="M20" i="20"/>
  <c r="M30" i="20"/>
  <c r="Q30" i="20"/>
  <c r="Q20" i="20"/>
  <c r="P21" i="20"/>
  <c r="T33" i="20"/>
  <c r="W33" i="20" s="1"/>
  <c r="N30" i="20"/>
  <c r="N20" i="20"/>
  <c r="L20" i="20"/>
  <c r="T31" i="20"/>
  <c r="L30" i="20"/>
  <c r="P22" i="20"/>
  <c r="M21" i="20"/>
  <c r="R20" i="20"/>
  <c r="M22" i="20"/>
  <c r="T38" i="20"/>
  <c r="W38" i="20" s="1"/>
  <c r="W21" i="20" s="1"/>
  <c r="L21" i="20"/>
  <c r="O30" i="20"/>
  <c r="O20" i="20"/>
  <c r="Q22" i="20"/>
  <c r="T39" i="20"/>
  <c r="W39" i="20" s="1"/>
  <c r="N21" i="20"/>
  <c r="R22" i="20"/>
  <c r="W35" i="20"/>
  <c r="W14" i="20" s="1"/>
  <c r="W13" i="20" s="1"/>
  <c r="T34" i="20"/>
  <c r="W34" i="20" s="1"/>
  <c r="O21" i="20"/>
  <c r="T37" i="20"/>
  <c r="W37" i="20" s="1"/>
  <c r="T24" i="19"/>
  <c r="V24" i="19" s="1"/>
  <c r="T36" i="19"/>
  <c r="W36" i="19" s="1"/>
  <c r="R17" i="19"/>
  <c r="T50" i="19"/>
  <c r="W50" i="19" s="1"/>
  <c r="T46" i="19"/>
  <c r="W46" i="19" s="1"/>
  <c r="T40" i="19"/>
  <c r="W40" i="19" s="1"/>
  <c r="T47" i="19"/>
  <c r="W47" i="19" s="1"/>
  <c r="L15" i="19"/>
  <c r="P15" i="19"/>
  <c r="T43" i="19"/>
  <c r="W43" i="19" s="1"/>
  <c r="Q15" i="19"/>
  <c r="T42" i="19"/>
  <c r="W42" i="19" s="1"/>
  <c r="T24" i="18"/>
  <c r="V24" i="18" s="1"/>
  <c r="T42" i="18"/>
  <c r="W42" i="18" s="1"/>
  <c r="V25" i="18"/>
  <c r="M20" i="17"/>
  <c r="M19" i="17" s="1"/>
  <c r="L20" i="17"/>
  <c r="R20" i="17"/>
  <c r="R19" i="17" s="1"/>
  <c r="O20" i="17"/>
  <c r="O19" i="17" s="1"/>
  <c r="T35" i="17"/>
  <c r="W35" i="17" s="1"/>
  <c r="L17" i="17"/>
  <c r="T24" i="17"/>
  <c r="V24" i="17" s="1"/>
  <c r="T32" i="17"/>
  <c r="W50" i="17"/>
  <c r="W49" i="17"/>
  <c r="W41" i="17"/>
  <c r="W43" i="17"/>
  <c r="R17" i="17"/>
  <c r="T24" i="16"/>
  <c r="V24" i="16" s="1"/>
  <c r="V25" i="16"/>
  <c r="Q17" i="16"/>
  <c r="N20" i="16"/>
  <c r="L20" i="16"/>
  <c r="P20" i="16"/>
  <c r="K13" i="3"/>
  <c r="K12" i="3"/>
  <c r="K11" i="3"/>
  <c r="K10" i="3"/>
  <c r="K9" i="3"/>
  <c r="K8" i="3"/>
  <c r="K7" i="3"/>
  <c r="K6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V14" i="20" l="1"/>
  <c r="F48" i="25"/>
  <c r="F39" i="25"/>
  <c r="F70" i="25"/>
  <c r="F62" i="25"/>
  <c r="F71" i="25"/>
  <c r="F68" i="25"/>
  <c r="F44" i="25"/>
  <c r="F42" i="25"/>
  <c r="F50" i="25"/>
  <c r="F52" i="25"/>
  <c r="F51" i="25"/>
  <c r="F47" i="25"/>
  <c r="F9" i="25"/>
  <c r="F15" i="25"/>
  <c r="F21" i="25"/>
  <c r="F16" i="25"/>
  <c r="F19" i="25"/>
  <c r="F22" i="25"/>
  <c r="F11" i="25"/>
  <c r="F20" i="25"/>
  <c r="F10" i="25"/>
  <c r="F17" i="25"/>
  <c r="R20" i="19"/>
  <c r="L14" i="18"/>
  <c r="M22" i="19"/>
  <c r="M22" i="21" s="1"/>
  <c r="O20" i="19"/>
  <c r="R20" i="16"/>
  <c r="R19" i="16" s="1"/>
  <c r="Q14" i="18"/>
  <c r="E25" i="22"/>
  <c r="M15" i="17"/>
  <c r="R30" i="16"/>
  <c r="N15" i="17"/>
  <c r="Q20" i="16"/>
  <c r="Q19" i="16" s="1"/>
  <c r="M20" i="16"/>
  <c r="M19" i="16" s="1"/>
  <c r="L30" i="16"/>
  <c r="O20" i="16"/>
  <c r="O19" i="16" s="1"/>
  <c r="N21" i="19"/>
  <c r="N21" i="21" s="1"/>
  <c r="O21" i="19"/>
  <c r="O21" i="21" s="1"/>
  <c r="O15" i="17"/>
  <c r="O13" i="17" s="1"/>
  <c r="O12" i="17" s="1"/>
  <c r="P21" i="19"/>
  <c r="P21" i="21" s="1"/>
  <c r="W42" i="17"/>
  <c r="W34" i="17"/>
  <c r="T36" i="17"/>
  <c r="W36" i="17" s="1"/>
  <c r="T25" i="21"/>
  <c r="L22" i="19"/>
  <c r="R22" i="19"/>
  <c r="R22" i="21" s="1"/>
  <c r="T32" i="18"/>
  <c r="O22" i="19"/>
  <c r="T38" i="19"/>
  <c r="W38" i="19" s="1"/>
  <c r="T37" i="19"/>
  <c r="W37" i="19" s="1"/>
  <c r="T39" i="19"/>
  <c r="W39" i="19" s="1"/>
  <c r="L21" i="19"/>
  <c r="M17" i="17"/>
  <c r="M21" i="19"/>
  <c r="M21" i="21" s="1"/>
  <c r="N22" i="19"/>
  <c r="P22" i="19"/>
  <c r="P22" i="21" s="1"/>
  <c r="T48" i="18"/>
  <c r="W48" i="18" s="1"/>
  <c r="Q22" i="19"/>
  <c r="Q22" i="21" s="1"/>
  <c r="P19" i="16"/>
  <c r="N19" i="16"/>
  <c r="M30" i="16"/>
  <c r="N30" i="16"/>
  <c r="L19" i="16"/>
  <c r="O30" i="16"/>
  <c r="P30" i="16"/>
  <c r="Q30" i="16"/>
  <c r="T17" i="16"/>
  <c r="D81" i="25"/>
  <c r="D29" i="25"/>
  <c r="I29" i="25"/>
  <c r="D55" i="25"/>
  <c r="K29" i="25"/>
  <c r="K30" i="25" s="1"/>
  <c r="H29" i="25"/>
  <c r="H30" i="25" s="1"/>
  <c r="P7" i="29" s="1"/>
  <c r="C29" i="25"/>
  <c r="L29" i="25"/>
  <c r="C55" i="25"/>
  <c r="C81" i="25"/>
  <c r="L81" i="25"/>
  <c r="I81" i="25"/>
  <c r="K81" i="25"/>
  <c r="K82" i="25" s="1"/>
  <c r="H81" i="25"/>
  <c r="H82" i="25" s="1"/>
  <c r="P9" i="29" s="1"/>
  <c r="L55" i="25"/>
  <c r="H55" i="25"/>
  <c r="H56" i="25" s="1"/>
  <c r="P8" i="29" s="1"/>
  <c r="K55" i="25"/>
  <c r="K56" i="25" s="1"/>
  <c r="I55" i="25"/>
  <c r="Q19" i="20"/>
  <c r="Q12" i="20" s="1"/>
  <c r="R30" i="20"/>
  <c r="T41" i="20"/>
  <c r="W41" i="20" s="1"/>
  <c r="W22" i="20" s="1"/>
  <c r="N22" i="20"/>
  <c r="N19" i="20" s="1"/>
  <c r="N12" i="20" s="1"/>
  <c r="T21" i="20"/>
  <c r="V21" i="20" s="1"/>
  <c r="W31" i="20"/>
  <c r="W25" i="20" s="1"/>
  <c r="W25" i="21" s="1"/>
  <c r="T20" i="20"/>
  <c r="M19" i="20"/>
  <c r="M12" i="20" s="1"/>
  <c r="O22" i="20"/>
  <c r="O19" i="20" s="1"/>
  <c r="O12" i="20" s="1"/>
  <c r="P19" i="20"/>
  <c r="P12" i="20" s="1"/>
  <c r="R19" i="20"/>
  <c r="R12" i="20" s="1"/>
  <c r="L22" i="20"/>
  <c r="O17" i="19"/>
  <c r="M30" i="19"/>
  <c r="M14" i="19"/>
  <c r="T48" i="19"/>
  <c r="W48" i="19" s="1"/>
  <c r="P17" i="19"/>
  <c r="N30" i="19"/>
  <c r="N14" i="19"/>
  <c r="T44" i="19"/>
  <c r="W44" i="19" s="1"/>
  <c r="M20" i="19"/>
  <c r="T34" i="19"/>
  <c r="W34" i="19" s="1"/>
  <c r="N17" i="19"/>
  <c r="O30" i="19"/>
  <c r="O14" i="19"/>
  <c r="N20" i="19"/>
  <c r="T31" i="19"/>
  <c r="L30" i="19"/>
  <c r="L14" i="19"/>
  <c r="P30" i="19"/>
  <c r="P14" i="19"/>
  <c r="P13" i="19" s="1"/>
  <c r="T45" i="19"/>
  <c r="W45" i="19" s="1"/>
  <c r="P20" i="19"/>
  <c r="O15" i="19"/>
  <c r="N15" i="19"/>
  <c r="T33" i="19"/>
  <c r="W33" i="19" s="1"/>
  <c r="L17" i="19"/>
  <c r="Q20" i="19"/>
  <c r="T49" i="19"/>
  <c r="W49" i="19" s="1"/>
  <c r="T51" i="19"/>
  <c r="W51" i="19" s="1"/>
  <c r="W15" i="19" s="1"/>
  <c r="T32" i="19"/>
  <c r="W32" i="19" s="1"/>
  <c r="Q14" i="19"/>
  <c r="Q13" i="19" s="1"/>
  <c r="Q30" i="19"/>
  <c r="M17" i="19"/>
  <c r="T41" i="19"/>
  <c r="W41" i="19" s="1"/>
  <c r="L20" i="19"/>
  <c r="R15" i="19"/>
  <c r="M15" i="19"/>
  <c r="R14" i="19"/>
  <c r="R30" i="19"/>
  <c r="O17" i="18"/>
  <c r="Q20" i="18"/>
  <c r="Q19" i="18" s="1"/>
  <c r="T34" i="18"/>
  <c r="W34" i="18" s="1"/>
  <c r="L17" i="18"/>
  <c r="M15" i="18"/>
  <c r="N14" i="18"/>
  <c r="M17" i="18"/>
  <c r="T35" i="18"/>
  <c r="W35" i="18" s="1"/>
  <c r="Q17" i="18"/>
  <c r="N15" i="18"/>
  <c r="L15" i="18"/>
  <c r="L20" i="18"/>
  <c r="R17" i="18"/>
  <c r="R17" i="21" s="1"/>
  <c r="O15" i="18"/>
  <c r="N20" i="18"/>
  <c r="N19" i="18" s="1"/>
  <c r="P20" i="18"/>
  <c r="P19" i="18" s="1"/>
  <c r="P17" i="18"/>
  <c r="M20" i="18"/>
  <c r="M19" i="18" s="1"/>
  <c r="O14" i="18"/>
  <c r="P15" i="18"/>
  <c r="T36" i="18"/>
  <c r="W36" i="18" s="1"/>
  <c r="P14" i="18"/>
  <c r="Q15" i="18"/>
  <c r="O20" i="18"/>
  <c r="O19" i="18" s="1"/>
  <c r="N17" i="18"/>
  <c r="M14" i="18"/>
  <c r="T37" i="17"/>
  <c r="W37" i="17" s="1"/>
  <c r="N20" i="17"/>
  <c r="N19" i="17" s="1"/>
  <c r="Q17" i="17"/>
  <c r="T33" i="17"/>
  <c r="W33" i="17" s="1"/>
  <c r="P15" i="17"/>
  <c r="P13" i="17" s="1"/>
  <c r="O30" i="17"/>
  <c r="P20" i="17"/>
  <c r="P19" i="17" s="1"/>
  <c r="W47" i="17"/>
  <c r="N14" i="17"/>
  <c r="R30" i="17"/>
  <c r="T40" i="17"/>
  <c r="L14" i="17"/>
  <c r="N30" i="17"/>
  <c r="M14" i="17"/>
  <c r="W48" i="17"/>
  <c r="W44" i="17"/>
  <c r="R14" i="17"/>
  <c r="Q30" i="17"/>
  <c r="Q20" i="17"/>
  <c r="Q19" i="17" s="1"/>
  <c r="Q14" i="17"/>
  <c r="M30" i="17"/>
  <c r="W51" i="17"/>
  <c r="R15" i="17"/>
  <c r="P30" i="17"/>
  <c r="Q15" i="17"/>
  <c r="L19" i="17"/>
  <c r="P15" i="16"/>
  <c r="R15" i="16"/>
  <c r="N15" i="16"/>
  <c r="O14" i="16"/>
  <c r="P14" i="16"/>
  <c r="O15" i="16"/>
  <c r="Q14" i="16"/>
  <c r="Q15" i="16"/>
  <c r="L14" i="16"/>
  <c r="R14" i="16"/>
  <c r="L15" i="16"/>
  <c r="M14" i="16"/>
  <c r="M15" i="16"/>
  <c r="N14" i="16"/>
  <c r="P13" i="29" l="1"/>
  <c r="W20" i="16"/>
  <c r="W19" i="16" s="1"/>
  <c r="L13" i="18"/>
  <c r="F55" i="25"/>
  <c r="F56" i="25" s="1"/>
  <c r="F81" i="25"/>
  <c r="F82" i="25" s="1"/>
  <c r="K17" i="22"/>
  <c r="S15" i="22"/>
  <c r="C17" i="22"/>
  <c r="Q13" i="18"/>
  <c r="Q12" i="18" s="1"/>
  <c r="U25" i="22"/>
  <c r="T17" i="17"/>
  <c r="V17" i="17" s="1"/>
  <c r="P14" i="21"/>
  <c r="F25" i="22"/>
  <c r="P15" i="21"/>
  <c r="N13" i="17"/>
  <c r="N12" i="17" s="1"/>
  <c r="M13" i="17"/>
  <c r="M12" i="17" s="1"/>
  <c r="L22" i="21"/>
  <c r="O19" i="19"/>
  <c r="W21" i="19"/>
  <c r="W21" i="21" s="1"/>
  <c r="T20" i="16"/>
  <c r="T19" i="16" s="1"/>
  <c r="O20" i="21"/>
  <c r="M15" i="21"/>
  <c r="M14" i="21"/>
  <c r="L17" i="21"/>
  <c r="L20" i="21"/>
  <c r="Q19" i="19"/>
  <c r="Q12" i="19" s="1"/>
  <c r="R19" i="19"/>
  <c r="N17" i="21"/>
  <c r="M19" i="19"/>
  <c r="P19" i="19"/>
  <c r="P12" i="19" s="1"/>
  <c r="M24" i="22"/>
  <c r="E24" i="22"/>
  <c r="T24" i="21"/>
  <c r="N15" i="21"/>
  <c r="M20" i="21"/>
  <c r="M19" i="21" s="1"/>
  <c r="Q20" i="21"/>
  <c r="Q19" i="21" s="1"/>
  <c r="O22" i="21"/>
  <c r="W22" i="19"/>
  <c r="N20" i="21"/>
  <c r="Q14" i="21"/>
  <c r="N19" i="19"/>
  <c r="Q17" i="21"/>
  <c r="O14" i="21"/>
  <c r="P17" i="21"/>
  <c r="L14" i="21"/>
  <c r="T22" i="19"/>
  <c r="N22" i="21"/>
  <c r="Q15" i="21"/>
  <c r="N14" i="21"/>
  <c r="O15" i="21"/>
  <c r="O17" i="21"/>
  <c r="P20" i="21"/>
  <c r="P19" i="21" s="1"/>
  <c r="M17" i="21"/>
  <c r="T21" i="19"/>
  <c r="L21" i="21"/>
  <c r="T21" i="21" s="1"/>
  <c r="E22" i="22" s="1"/>
  <c r="W24" i="21"/>
  <c r="O24" i="22"/>
  <c r="V25" i="21"/>
  <c r="F29" i="25"/>
  <c r="F30" i="25" s="1"/>
  <c r="C56" i="25"/>
  <c r="D30" i="25"/>
  <c r="D56" i="25"/>
  <c r="C82" i="25"/>
  <c r="D82" i="25"/>
  <c r="C30" i="25"/>
  <c r="B17" i="22"/>
  <c r="W24" i="20"/>
  <c r="V24" i="20" s="1"/>
  <c r="V25" i="20"/>
  <c r="T22" i="20"/>
  <c r="V22" i="20" s="1"/>
  <c r="L19" i="20"/>
  <c r="L12" i="20" s="1"/>
  <c r="T30" i="20"/>
  <c r="W20" i="20"/>
  <c r="W30" i="20"/>
  <c r="V13" i="20"/>
  <c r="R13" i="19"/>
  <c r="T15" i="19"/>
  <c r="V15" i="19" s="1"/>
  <c r="W20" i="17"/>
  <c r="W19" i="17" s="1"/>
  <c r="O13" i="19"/>
  <c r="M13" i="19"/>
  <c r="L19" i="19"/>
  <c r="T20" i="19"/>
  <c r="T14" i="19"/>
  <c r="L13" i="19"/>
  <c r="T17" i="19"/>
  <c r="V17" i="19" s="1"/>
  <c r="T30" i="19"/>
  <c r="W31" i="19"/>
  <c r="W20" i="19" s="1"/>
  <c r="N13" i="19"/>
  <c r="P13" i="18"/>
  <c r="P12" i="18" s="1"/>
  <c r="T17" i="18"/>
  <c r="V17" i="18" s="1"/>
  <c r="N13" i="18"/>
  <c r="N12" i="18" s="1"/>
  <c r="M13" i="18"/>
  <c r="M12" i="18" s="1"/>
  <c r="O13" i="18"/>
  <c r="O12" i="18" s="1"/>
  <c r="L19" i="18"/>
  <c r="R13" i="16"/>
  <c r="R12" i="16" s="1"/>
  <c r="O13" i="16"/>
  <c r="O12" i="16" s="1"/>
  <c r="N13" i="16"/>
  <c r="N12" i="16" s="1"/>
  <c r="T30" i="16"/>
  <c r="P12" i="17"/>
  <c r="R13" i="17"/>
  <c r="R12" i="17" s="1"/>
  <c r="T14" i="17"/>
  <c r="Q13" i="17"/>
  <c r="Q12" i="17" s="1"/>
  <c r="T20" i="17"/>
  <c r="T19" i="17" s="1"/>
  <c r="M13" i="16"/>
  <c r="M12" i="16" s="1"/>
  <c r="P13" i="16"/>
  <c r="P12" i="16" s="1"/>
  <c r="Q13" i="16"/>
  <c r="Q12" i="16" s="1"/>
  <c r="L13" i="16"/>
  <c r="L12" i="16" s="1"/>
  <c r="T14" i="16"/>
  <c r="T15" i="16"/>
  <c r="L12" i="18" l="1"/>
  <c r="P13" i="21"/>
  <c r="P12" i="21" s="1"/>
  <c r="O12" i="19"/>
  <c r="S17" i="22"/>
  <c r="V20" i="16"/>
  <c r="U24" i="22"/>
  <c r="M27" i="22"/>
  <c r="U22" i="22"/>
  <c r="Q24" i="22"/>
  <c r="Q27" i="22" s="1"/>
  <c r="O27" i="22"/>
  <c r="R12" i="19"/>
  <c r="M12" i="19"/>
  <c r="M13" i="21"/>
  <c r="M12" i="21" s="1"/>
  <c r="T22" i="21"/>
  <c r="E23" i="22" s="1"/>
  <c r="V21" i="19"/>
  <c r="N13" i="21"/>
  <c r="V19" i="16"/>
  <c r="N12" i="19"/>
  <c r="T17" i="21"/>
  <c r="E20" i="22" s="1"/>
  <c r="Q13" i="21"/>
  <c r="Q12" i="21" s="1"/>
  <c r="V22" i="19"/>
  <c r="O19" i="21"/>
  <c r="W22" i="21"/>
  <c r="G23" i="22" s="1"/>
  <c r="N19" i="21"/>
  <c r="T19" i="19"/>
  <c r="L19" i="21"/>
  <c r="O13" i="21"/>
  <c r="W19" i="19"/>
  <c r="G22" i="22"/>
  <c r="V21" i="21"/>
  <c r="N24" i="22"/>
  <c r="G24" i="22"/>
  <c r="V24" i="21"/>
  <c r="T19" i="20"/>
  <c r="T12" i="20" s="1"/>
  <c r="V20" i="20"/>
  <c r="W19" i="20"/>
  <c r="T13" i="19"/>
  <c r="L12" i="19"/>
  <c r="W30" i="19"/>
  <c r="W14" i="19"/>
  <c r="V20" i="19"/>
  <c r="V19" i="17"/>
  <c r="V20" i="17"/>
  <c r="T13" i="16"/>
  <c r="W17" i="16"/>
  <c r="W17" i="21" s="1"/>
  <c r="G20" i="22" s="1"/>
  <c r="U23" i="22" l="1"/>
  <c r="U20" i="22"/>
  <c r="W20" i="22"/>
  <c r="W24" i="22"/>
  <c r="W22" i="22"/>
  <c r="Y22" i="22" s="1"/>
  <c r="W23" i="22"/>
  <c r="Y23" i="22" s="1"/>
  <c r="I20" i="22"/>
  <c r="I24" i="22"/>
  <c r="I22" i="22"/>
  <c r="I23" i="22"/>
  <c r="V22" i="21"/>
  <c r="N12" i="21"/>
  <c r="O12" i="21"/>
  <c r="V19" i="19"/>
  <c r="T12" i="19"/>
  <c r="V14" i="19"/>
  <c r="W13" i="19"/>
  <c r="W12" i="19" s="1"/>
  <c r="V17" i="21"/>
  <c r="F23" i="22"/>
  <c r="F24" i="22"/>
  <c r="V19" i="20"/>
  <c r="W12" i="20"/>
  <c r="V12" i="20" s="1"/>
  <c r="F22" i="22"/>
  <c r="T12" i="16"/>
  <c r="F20" i="22"/>
  <c r="V17" i="16"/>
  <c r="Y20" i="22" l="1"/>
  <c r="Y24" i="22"/>
  <c r="V24" i="22"/>
  <c r="V13" i="19"/>
  <c r="V12" i="19"/>
  <c r="W34" i="16" l="1"/>
  <c r="W32" i="16"/>
  <c r="W40" i="17"/>
  <c r="W32" i="17"/>
  <c r="W32" i="18"/>
  <c r="W37" i="16"/>
  <c r="W31" i="16"/>
  <c r="W46" i="17"/>
  <c r="W15" i="16" l="1"/>
  <c r="V15" i="16" s="1"/>
  <c r="W14" i="17"/>
  <c r="W30" i="16"/>
  <c r="W14" i="16"/>
  <c r="AB14" i="16" s="1"/>
  <c r="W13" i="16" l="1"/>
  <c r="V14" i="16"/>
  <c r="V14" i="17"/>
  <c r="W12" i="16" l="1"/>
  <c r="V12" i="16" s="1"/>
  <c r="V13" i="16"/>
  <c r="T31" i="18" l="1"/>
  <c r="W31" i="18" s="1"/>
  <c r="R15" i="18"/>
  <c r="T51" i="18"/>
  <c r="W51" i="18" s="1"/>
  <c r="R14" i="18"/>
  <c r="M30" i="18"/>
  <c r="O30" i="18"/>
  <c r="L30" i="18"/>
  <c r="T41" i="18"/>
  <c r="W41" i="18" s="1"/>
  <c r="Q30" i="18"/>
  <c r="T39" i="18"/>
  <c r="W39" i="18" s="1"/>
  <c r="T43" i="18"/>
  <c r="W43" i="18" s="1"/>
  <c r="N30" i="18"/>
  <c r="T33" i="18"/>
  <c r="W33" i="18" s="1"/>
  <c r="P30" i="18"/>
  <c r="T40" i="18"/>
  <c r="W40" i="18" s="1"/>
  <c r="T50" i="18"/>
  <c r="W50" i="18" s="1"/>
  <c r="T45" i="18"/>
  <c r="W45" i="18" s="1"/>
  <c r="T49" i="18"/>
  <c r="W49" i="18" s="1"/>
  <c r="T46" i="18"/>
  <c r="W46" i="18" s="1"/>
  <c r="T44" i="18"/>
  <c r="W44" i="18" s="1"/>
  <c r="W20" i="18" l="1"/>
  <c r="R30" i="18"/>
  <c r="T14" i="18"/>
  <c r="R13" i="18"/>
  <c r="R14" i="21"/>
  <c r="R20" i="18"/>
  <c r="T47" i="18"/>
  <c r="W47" i="18" s="1"/>
  <c r="T37" i="18"/>
  <c r="W37" i="18" s="1"/>
  <c r="W14" i="18" s="1"/>
  <c r="R15" i="21"/>
  <c r="T15" i="18"/>
  <c r="T38" i="18"/>
  <c r="W38" i="18" s="1"/>
  <c r="W30" i="18" l="1"/>
  <c r="T13" i="18"/>
  <c r="V14" i="18"/>
  <c r="W14" i="21"/>
  <c r="O15" i="22" s="1"/>
  <c r="R19" i="18"/>
  <c r="R12" i="18" s="1"/>
  <c r="R20" i="21"/>
  <c r="T20" i="18"/>
  <c r="T19" i="18" s="1"/>
  <c r="W19" i="18"/>
  <c r="W20" i="21"/>
  <c r="R13" i="21"/>
  <c r="T14" i="21"/>
  <c r="M15" i="22" s="1"/>
  <c r="W15" i="18"/>
  <c r="T30" i="18"/>
  <c r="N15" i="22" l="1"/>
  <c r="Q15" i="22"/>
  <c r="Q17" i="22" s="1"/>
  <c r="Q29" i="22" s="1"/>
  <c r="Q30" i="22" s="1"/>
  <c r="V20" i="18"/>
  <c r="V19" i="18"/>
  <c r="V15" i="18"/>
  <c r="G21" i="22"/>
  <c r="W19" i="21"/>
  <c r="W13" i="18"/>
  <c r="T12" i="18"/>
  <c r="M17" i="22"/>
  <c r="M29" i="22" s="1"/>
  <c r="V14" i="21"/>
  <c r="O17" i="22"/>
  <c r="O29" i="22" s="1"/>
  <c r="R19" i="21"/>
  <c r="R12" i="21" s="1"/>
  <c r="T20" i="21"/>
  <c r="E21" i="22" l="1"/>
  <c r="F21" i="22" s="1"/>
  <c r="T19" i="21"/>
  <c r="W21" i="22"/>
  <c r="G27" i="22"/>
  <c r="I21" i="22"/>
  <c r="I27" i="22" s="1"/>
  <c r="V13" i="18"/>
  <c r="W12" i="18"/>
  <c r="V12" i="18" s="1"/>
  <c r="V20" i="21"/>
  <c r="V19" i="21" l="1"/>
  <c r="Y21" i="22"/>
  <c r="Y27" i="22" s="1"/>
  <c r="W27" i="22"/>
  <c r="E27" i="22"/>
  <c r="U21" i="22"/>
  <c r="U27" i="22" s="1"/>
  <c r="L15" i="17" l="1"/>
  <c r="T15" i="17" s="1"/>
  <c r="T31" i="17"/>
  <c r="T30" i="17" s="1"/>
  <c r="L30" i="17"/>
  <c r="T13" i="17" l="1"/>
  <c r="AB15" i="17"/>
  <c r="L13" i="17"/>
  <c r="L12" i="17" s="1"/>
  <c r="L15" i="21"/>
  <c r="T15" i="21" s="1"/>
  <c r="T13" i="21" s="1"/>
  <c r="W31" i="17"/>
  <c r="W15" i="17" s="1"/>
  <c r="T12" i="21" l="1"/>
  <c r="E15" i="22"/>
  <c r="U15" i="22" s="1"/>
  <c r="T12" i="17"/>
  <c r="L13" i="21"/>
  <c r="L12" i="21" s="1"/>
  <c r="W30" i="17"/>
  <c r="E17" i="22" l="1"/>
  <c r="E29" i="22" s="1"/>
  <c r="W13" i="17"/>
  <c r="W15" i="21"/>
  <c r="V15" i="17"/>
  <c r="U17" i="22"/>
  <c r="U29" i="22" l="1"/>
  <c r="V15" i="21"/>
  <c r="W13" i="21"/>
  <c r="W12" i="17"/>
  <c r="V12" i="17" s="1"/>
  <c r="V13" i="17"/>
  <c r="V13" i="21" l="1"/>
  <c r="W12" i="21"/>
  <c r="V12" i="21" l="1"/>
  <c r="W15" i="22" l="1"/>
  <c r="F15" i="22"/>
  <c r="I15" i="22"/>
  <c r="I17" i="22" s="1"/>
  <c r="I29" i="22" s="1"/>
  <c r="I30" i="22" s="1"/>
  <c r="G17" i="22"/>
  <c r="G29" i="22" s="1"/>
  <c r="Y15" i="22" l="1"/>
  <c r="V15" i="22"/>
  <c r="W17" i="22"/>
  <c r="W29" i="22" s="1"/>
  <c r="Y17" i="22" l="1"/>
  <c r="Y29" i="22" s="1"/>
  <c r="Y30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Rooke</author>
  </authors>
  <commentList>
    <comment ref="B15" authorId="0" shapeId="0" xr:uid="{B6C59152-1297-415D-80C2-7784C7EB1092}">
      <text>
        <r>
          <rPr>
            <b/>
            <sz val="9"/>
            <color indexed="81"/>
            <rFont val="Tahoma"/>
            <family val="2"/>
          </rPr>
          <t>Stephen Rooke:</t>
        </r>
        <r>
          <rPr>
            <sz val="9"/>
            <color indexed="81"/>
            <rFont val="Tahoma"/>
            <family val="2"/>
          </rPr>
          <t xml:space="preserve">
Need to enter average expected occupancy on AN-ACC Simple Page for this to be realistic
</t>
        </r>
      </text>
    </comment>
  </commentList>
</comments>
</file>

<file path=xl/sharedStrings.xml><?xml version="1.0" encoding="utf-8"?>
<sst xmlns="http://schemas.openxmlformats.org/spreadsheetml/2006/main" count="671" uniqueCount="195">
  <si>
    <t>Notes</t>
  </si>
  <si>
    <t>Primary Input data sheet</t>
  </si>
  <si>
    <t>Use this sheet to record the primary data and information used in this model. This includes all names referred to in subsequent worksheets</t>
  </si>
  <si>
    <t>Client name:</t>
  </si>
  <si>
    <t>Residential Aged Care Data Sheet</t>
  </si>
  <si>
    <t>Roster Code (in this model)</t>
  </si>
  <si>
    <t>Site(s)</t>
  </si>
  <si>
    <t>Wing</t>
  </si>
  <si>
    <t>Wing Type</t>
  </si>
  <si>
    <t>Maximum number of beds/licences</t>
  </si>
  <si>
    <t>Location</t>
  </si>
  <si>
    <t>Modified Monash Model (MMM) location Rating</t>
  </si>
  <si>
    <t>Target Occupany (Number)</t>
  </si>
  <si>
    <t>Target Occupany (%)</t>
  </si>
  <si>
    <t>Wage Data</t>
  </si>
  <si>
    <t>G4</t>
  </si>
  <si>
    <t>Roster Only</t>
  </si>
  <si>
    <t>G5</t>
  </si>
  <si>
    <t>MANAGEMENT</t>
  </si>
  <si>
    <t>Registered Nurses</t>
  </si>
  <si>
    <t>AN-ACC Minutes Comparison</t>
  </si>
  <si>
    <t>Ward</t>
  </si>
  <si>
    <t>Resident Count</t>
  </si>
  <si>
    <t>Weekly AN-ACC Target (Hrs)</t>
  </si>
  <si>
    <t>Weekly Roster</t>
  </si>
  <si>
    <t>Allocation to AN-ACC</t>
  </si>
  <si>
    <t>AN-ACC Hours</t>
  </si>
  <si>
    <t>Surplus/ Shortfall in Hours</t>
  </si>
  <si>
    <t>Weekly RN AN-ACC Target (Hrs)</t>
  </si>
  <si>
    <t>Roster Minutes</t>
  </si>
  <si>
    <t>CARE ROSTERS</t>
  </si>
  <si>
    <t>Total</t>
  </si>
  <si>
    <t>Office/Shared Hours</t>
  </si>
  <si>
    <t>LIFESTYLE</t>
  </si>
  <si>
    <t>KITCHEN</t>
  </si>
  <si>
    <t>LAUNDRY</t>
  </si>
  <si>
    <t>DRIVER</t>
  </si>
  <si>
    <t>CLINICAL MANAGEMENT</t>
  </si>
  <si>
    <t>NON-CLINICAL MANAGEMENT</t>
  </si>
  <si>
    <t>Total Office/Shared Hours</t>
  </si>
  <si>
    <t>Equivalent Surplus / Deficit Shifts (each at 8 hours)</t>
  </si>
  <si>
    <t>Hospitality Levy</t>
  </si>
  <si>
    <t>Current Roster Budget</t>
  </si>
  <si>
    <t>Roster Hours per Day</t>
  </si>
  <si>
    <t>Total Weekly Hours</t>
  </si>
  <si>
    <t>Loading per day (Higher of shift loading or penalty rate. 100% is Base Pay)</t>
  </si>
  <si>
    <t>Hourly Rate By Shift and Day</t>
  </si>
  <si>
    <t>Shift</t>
  </si>
  <si>
    <t>Role</t>
  </si>
  <si>
    <t>Headcount per shift</t>
  </si>
  <si>
    <t>Shift Start</t>
  </si>
  <si>
    <t>Shift End</t>
  </si>
  <si>
    <t>Shift Hours (Excl Break)</t>
  </si>
  <si>
    <t>Break</t>
  </si>
  <si>
    <t>Shift less breaks</t>
  </si>
  <si>
    <t>Total Hours</t>
  </si>
  <si>
    <t>Mon</t>
  </si>
  <si>
    <t>Tue</t>
  </si>
  <si>
    <t>Wed</t>
  </si>
  <si>
    <t>Thu</t>
  </si>
  <si>
    <t>Fri</t>
  </si>
  <si>
    <t>Sat</t>
  </si>
  <si>
    <t>Sun</t>
  </si>
  <si>
    <t>AN-ACC Allocation (%)</t>
  </si>
  <si>
    <t>An-ACC Hours</t>
  </si>
  <si>
    <t>Super Loading</t>
  </si>
  <si>
    <t>Annual Leave Loading</t>
  </si>
  <si>
    <t>Sick Leave Loading</t>
  </si>
  <si>
    <t>Long Service Leave Loading</t>
  </si>
  <si>
    <t>Workers Comp</t>
  </si>
  <si>
    <t>Total Loading</t>
  </si>
  <si>
    <t>Base Rate</t>
  </si>
  <si>
    <t>Shift Loading</t>
  </si>
  <si>
    <t>CARE ROSTER</t>
  </si>
  <si>
    <t>RN</t>
  </si>
  <si>
    <t>Carers and ENs</t>
  </si>
  <si>
    <t>CARER</t>
  </si>
  <si>
    <t>KITCHEN &amp; LAUNDRY</t>
  </si>
  <si>
    <t>Chef, Kitchen Hand and Servery</t>
  </si>
  <si>
    <t>Laundry Staff</t>
  </si>
  <si>
    <t>Drivers</t>
  </si>
  <si>
    <t>MANAGEMENT &amp; ADMIN</t>
  </si>
  <si>
    <t>Facility Manager</t>
  </si>
  <si>
    <t>Care Manager</t>
  </si>
  <si>
    <t>RN Hours</t>
  </si>
  <si>
    <t>ROLE</t>
  </si>
  <si>
    <t>SHIFT TIME</t>
  </si>
  <si>
    <t>AN-ACC ALLOCATION</t>
  </si>
  <si>
    <t>COUNT</t>
  </si>
  <si>
    <t>START</t>
  </si>
  <si>
    <t>END</t>
  </si>
  <si>
    <t>Raw Time</t>
  </si>
  <si>
    <t>Less break</t>
  </si>
  <si>
    <t>Paid time</t>
  </si>
  <si>
    <t>Total per head count</t>
  </si>
  <si>
    <t>AM</t>
  </si>
  <si>
    <t>PM</t>
  </si>
  <si>
    <t>NIGHT</t>
  </si>
  <si>
    <t>KITCHEN HAND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</si>
  <si>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</si>
  <si>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</si>
  <si>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</si>
  <si>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</si>
  <si>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</si>
  <si>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</si>
  <si>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</si>
  <si>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</si>
  <si>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</si>
  <si>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</si>
  <si>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</si>
  <si>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</si>
  <si>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099</t>
  </si>
  <si>
    <t>101</t>
  </si>
  <si>
    <t>102</t>
  </si>
  <si>
    <t>Client Name:</t>
  </si>
  <si>
    <t>AN-ACC Worksheet</t>
  </si>
  <si>
    <t>Current Funding</t>
  </si>
  <si>
    <t>AN-ACC Class</t>
  </si>
  <si>
    <t>Current Daily Revenue</t>
  </si>
  <si>
    <t>AN-ACC Basic Daily Subsidy</t>
  </si>
  <si>
    <t>Total Current Funding</t>
  </si>
  <si>
    <t>1 October 2023 Total Minutes</t>
  </si>
  <si>
    <t>1 Oct Carer Hours</t>
  </si>
  <si>
    <t>Current RN Minutes</t>
  </si>
  <si>
    <t>1 October 2023 RN Minutes</t>
  </si>
  <si>
    <t>1 Oct RN Hours</t>
  </si>
  <si>
    <t>001</t>
  </si>
  <si>
    <t>098</t>
  </si>
  <si>
    <t>100</t>
  </si>
  <si>
    <t>103</t>
  </si>
  <si>
    <t>Average</t>
  </si>
  <si>
    <t>Uplift</t>
  </si>
  <si>
    <t>AN-ACC Subsidy</t>
  </si>
  <si>
    <t>Source</t>
  </si>
  <si>
    <t>SALARY</t>
  </si>
  <si>
    <t>AN-ACC Lookup Tables</t>
  </si>
  <si>
    <t>AN-ACC Variable Income</t>
  </si>
  <si>
    <t>AN-ACC Daily Basic Subsidy</t>
  </si>
  <si>
    <t>Department Guide</t>
  </si>
  <si>
    <t>Department Announcement</t>
  </si>
  <si>
    <t>Class</t>
  </si>
  <si>
    <t>Current Dollars</t>
  </si>
  <si>
    <t>1 July 2023 Dollars</t>
  </si>
  <si>
    <t>Hotalling Supplement</t>
  </si>
  <si>
    <t>Permanent Care Entry</t>
  </si>
  <si>
    <t>Pre-30June 2023</t>
  </si>
  <si>
    <t>After 1 October 2023</t>
  </si>
  <si>
    <t>Difference</t>
  </si>
  <si>
    <t>Current Minutes</t>
  </si>
  <si>
    <t>MMM</t>
  </si>
  <si>
    <t>In this sheet, we compare the floor hours targets in the AN-ACC Funding mechanism against the master roster for each facility.</t>
  </si>
  <si>
    <t>Care minutes have been converted into hours to match the roster data</t>
  </si>
  <si>
    <t>AT CURRENT OCCUPANCY</t>
  </si>
  <si>
    <t>Administration</t>
  </si>
  <si>
    <t>Clinical Managers</t>
  </si>
  <si>
    <t>TOTAL (In Hours)</t>
  </si>
  <si>
    <t>RN HOURS ONLY (Excluding carer hours)</t>
  </si>
  <si>
    <t>CARER HOURS ONLY (Excluding RN hours)</t>
  </si>
  <si>
    <t>TOTAL CARE HOURS (Including RN and Carer Allocation)</t>
  </si>
  <si>
    <t>Type in Number</t>
  </si>
  <si>
    <t>G1</t>
  </si>
  <si>
    <t>BCAC EA</t>
  </si>
  <si>
    <t>G2</t>
  </si>
  <si>
    <t>G3</t>
  </si>
  <si>
    <t>Published Minutes Target</t>
  </si>
  <si>
    <t>Published RN Minutes Target</t>
  </si>
  <si>
    <t>Target Hours per Day</t>
  </si>
  <si>
    <t>Target Minutes per Day</t>
  </si>
  <si>
    <t>Target RN Minutes per Day</t>
  </si>
  <si>
    <t>Target RN Hours per Day</t>
  </si>
  <si>
    <t>Data from AN-ACC Worksheet</t>
  </si>
  <si>
    <t>Calculated Minutes</t>
  </si>
  <si>
    <t>Christadelphian Aged Care</t>
  </si>
  <si>
    <t>15 Gloucester Ave, North Parramatta, NSW, 2151</t>
  </si>
  <si>
    <t>Predicted Number of Empty Beds</t>
  </si>
  <si>
    <t>NIGHT In Charge</t>
  </si>
  <si>
    <t>Morning RN</t>
  </si>
  <si>
    <t>Infection Control</t>
  </si>
  <si>
    <t>Afternoon RN</t>
  </si>
  <si>
    <t>Deputy Manager</t>
  </si>
  <si>
    <t>Target</t>
  </si>
  <si>
    <t>Insert Role</t>
  </si>
  <si>
    <t>Variance</t>
  </si>
  <si>
    <t>Cert4 Meds Comp</t>
  </si>
  <si>
    <t>Carer - Stnd Shift</t>
  </si>
  <si>
    <t>Carer - Short Shift</t>
  </si>
  <si>
    <t>Combined Wards</t>
  </si>
  <si>
    <t>Used for RNs only</t>
  </si>
  <si>
    <t>Used for Carers Only</t>
  </si>
  <si>
    <t>Hidden</t>
  </si>
  <si>
    <t>N/A</t>
  </si>
  <si>
    <t>Wing/Ward</t>
  </si>
  <si>
    <t>Ashburn House</t>
  </si>
  <si>
    <t>Previous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</si>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</sst>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&quot;$&quot;#,##0.00_);[Red]\(&quot;$&quot;#,##0.00\);_(* &quot;-&quot;??_);_(@_)"/>
    <numFmt numFmtId="165" formatCode="0.0%"/>
    <numFmt numFmtId="166" formatCode="_(* #,##0.00_);[Red]\(#,##0.00\)"/>
    <numFmt numFmtId="167" formatCode="0.0"/>
    <numFmt numFmtId="168" formatCode="#,##0.0"/>
    <numFmt numFmtId="169" formatCode="_(* #,##0.00_);[Red]\(#,##0.00\);_(* &quot;-&quot;??_);_(@_)"/>
    <numFmt numFmtId="170" formatCode="0.00%_);[Red]\(0.00%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3F3F76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5" borderId="1" applyNumberFormat="0" applyAlignment="0" applyProtection="0"/>
    <xf numFmtId="43" fontId="1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/>
    <xf numFmtId="165" fontId="0" fillId="0" borderId="0" xfId="1" applyNumberFormat="1" applyFont="1"/>
    <xf numFmtId="9" fontId="0" fillId="0" borderId="0" xfId="0" applyNumberFormat="1"/>
    <xf numFmtId="0" fontId="2" fillId="2" borderId="1" xfId="2"/>
    <xf numFmtId="9" fontId="2" fillId="2" borderId="1" xfId="2" applyNumberFormat="1"/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top" wrapText="1"/>
    </xf>
    <xf numFmtId="0" fontId="0" fillId="0" borderId="0" xfId="0" quotePrefix="1"/>
    <xf numFmtId="166" fontId="0" fillId="0" borderId="0" xfId="0" applyNumberFormat="1"/>
    <xf numFmtId="166" fontId="3" fillId="4" borderId="2" xfId="0" applyNumberFormat="1" applyFont="1" applyFill="1" applyBorder="1"/>
    <xf numFmtId="0" fontId="3" fillId="0" borderId="0" xfId="0" applyFont="1" applyAlignment="1">
      <alignment vertical="top" wrapText="1"/>
    </xf>
    <xf numFmtId="166" fontId="3" fillId="3" borderId="2" xfId="0" applyNumberFormat="1" applyFont="1" applyFill="1" applyBorder="1"/>
    <xf numFmtId="166" fontId="3" fillId="3" borderId="3" xfId="0" applyNumberFormat="1" applyFont="1" applyFill="1" applyBorder="1"/>
    <xf numFmtId="166" fontId="3" fillId="4" borderId="3" xfId="0" applyNumberFormat="1" applyFont="1" applyFill="1" applyBorder="1"/>
    <xf numFmtId="166" fontId="3" fillId="0" borderId="2" xfId="0" applyNumberFormat="1" applyFont="1" applyBorder="1"/>
    <xf numFmtId="166" fontId="3" fillId="0" borderId="0" xfId="0" applyNumberFormat="1" applyFont="1"/>
    <xf numFmtId="2" fontId="2" fillId="2" borderId="1" xfId="2" applyNumberFormat="1"/>
    <xf numFmtId="0" fontId="0" fillId="7" borderId="0" xfId="0" applyFill="1"/>
    <xf numFmtId="0" fontId="3" fillId="7" borderId="0" xfId="0" applyFont="1" applyFill="1"/>
    <xf numFmtId="0" fontId="3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/>
    </xf>
    <xf numFmtId="9" fontId="3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168" fontId="3" fillId="0" borderId="0" xfId="0" applyNumberFormat="1" applyFont="1"/>
    <xf numFmtId="168" fontId="3" fillId="0" borderId="0" xfId="0" applyNumberFormat="1" applyFont="1" applyAlignment="1">
      <alignment horizontal="right" wrapText="1"/>
    </xf>
    <xf numFmtId="168" fontId="5" fillId="5" borderId="1" xfId="3" applyNumberFormat="1"/>
    <xf numFmtId="168" fontId="3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0" xfId="0" applyNumberFormat="1"/>
    <xf numFmtId="168" fontId="0" fillId="0" borderId="0" xfId="0" applyNumberFormat="1" applyAlignment="1">
      <alignment horizontal="right" wrapText="1"/>
    </xf>
    <xf numFmtId="0" fontId="2" fillId="2" borderId="0" xfId="2" applyBorder="1"/>
    <xf numFmtId="3" fontId="5" fillId="5" borderId="1" xfId="3" applyNumberForma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3" fillId="8" borderId="0" xfId="0" applyFont="1" applyFill="1"/>
    <xf numFmtId="0" fontId="0" fillId="8" borderId="0" xfId="0" applyFill="1"/>
    <xf numFmtId="164" fontId="3" fillId="0" borderId="0" xfId="0" applyNumberFormat="1" applyFont="1"/>
    <xf numFmtId="164" fontId="0" fillId="0" borderId="0" xfId="0" applyNumberFormat="1"/>
    <xf numFmtId="0" fontId="0" fillId="0" borderId="5" xfId="0" applyBorder="1"/>
    <xf numFmtId="4" fontId="0" fillId="0" borderId="5" xfId="0" applyNumberFormat="1" applyBorder="1"/>
    <xf numFmtId="4" fontId="0" fillId="0" borderId="5" xfId="0" applyNumberFormat="1" applyBorder="1" applyAlignment="1">
      <alignment horizontal="right" wrapText="1"/>
    </xf>
    <xf numFmtId="0" fontId="3" fillId="0" borderId="6" xfId="0" applyFont="1" applyBorder="1"/>
    <xf numFmtId="4" fontId="3" fillId="0" borderId="6" xfId="0" applyNumberFormat="1" applyFont="1" applyBorder="1"/>
    <xf numFmtId="4" fontId="3" fillId="0" borderId="6" xfId="0" applyNumberFormat="1" applyFont="1" applyBorder="1" applyAlignment="1">
      <alignment horizontal="right" wrapText="1"/>
    </xf>
    <xf numFmtId="0" fontId="0" fillId="0" borderId="6" xfId="0" applyBorder="1"/>
    <xf numFmtId="164" fontId="3" fillId="0" borderId="2" xfId="0" applyNumberFormat="1" applyFont="1" applyBorder="1"/>
    <xf numFmtId="169" fontId="0" fillId="0" borderId="0" xfId="0" applyNumberFormat="1"/>
    <xf numFmtId="169" fontId="3" fillId="0" borderId="2" xfId="0" applyNumberFormat="1" applyFont="1" applyBorder="1"/>
    <xf numFmtId="0" fontId="6" fillId="7" borderId="0" xfId="0" applyFont="1" applyFill="1"/>
    <xf numFmtId="0" fontId="7" fillId="7" borderId="0" xfId="0" applyFont="1" applyFill="1"/>
    <xf numFmtId="10" fontId="0" fillId="0" borderId="0" xfId="1" applyNumberFormat="1" applyFont="1"/>
    <xf numFmtId="170" fontId="0" fillId="0" borderId="0" xfId="1" applyNumberFormat="1" applyFont="1"/>
    <xf numFmtId="0" fontId="3" fillId="3" borderId="10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166" fontId="0" fillId="3" borderId="10" xfId="0" applyNumberFormat="1" applyFill="1" applyBorder="1"/>
    <xf numFmtId="0" fontId="0" fillId="3" borderId="0" xfId="0" applyFill="1"/>
    <xf numFmtId="166" fontId="0" fillId="3" borderId="0" xfId="0" applyNumberFormat="1" applyFill="1"/>
    <xf numFmtId="9" fontId="0" fillId="3" borderId="0" xfId="1" applyFont="1" applyFill="1" applyBorder="1"/>
    <xf numFmtId="166" fontId="0" fillId="3" borderId="11" xfId="0" applyNumberFormat="1" applyFill="1" applyBorder="1"/>
    <xf numFmtId="166" fontId="3" fillId="3" borderId="8" xfId="0" applyNumberFormat="1" applyFont="1" applyFill="1" applyBorder="1"/>
    <xf numFmtId="0" fontId="3" fillId="3" borderId="0" xfId="0" applyFont="1" applyFill="1"/>
    <xf numFmtId="166" fontId="3" fillId="3" borderId="9" xfId="0" applyNumberFormat="1" applyFont="1" applyFill="1" applyBorder="1"/>
    <xf numFmtId="9" fontId="1" fillId="3" borderId="0" xfId="1" applyFont="1" applyFill="1" applyBorder="1"/>
    <xf numFmtId="166" fontId="3" fillId="3" borderId="11" xfId="0" applyNumberFormat="1" applyFont="1" applyFill="1" applyBorder="1"/>
    <xf numFmtId="0" fontId="3" fillId="4" borderId="10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11" xfId="0" applyFont="1" applyFill="1" applyBorder="1" applyAlignment="1">
      <alignment vertical="top" wrapText="1"/>
    </xf>
    <xf numFmtId="166" fontId="0" fillId="4" borderId="10" xfId="0" applyNumberFormat="1" applyFill="1" applyBorder="1"/>
    <xf numFmtId="0" fontId="0" fillId="4" borderId="0" xfId="0" applyFill="1"/>
    <xf numFmtId="166" fontId="0" fillId="4" borderId="0" xfId="0" applyNumberFormat="1" applyFill="1"/>
    <xf numFmtId="9" fontId="0" fillId="4" borderId="0" xfId="1" applyFont="1" applyFill="1" applyBorder="1"/>
    <xf numFmtId="166" fontId="0" fillId="4" borderId="11" xfId="0" applyNumberFormat="1" applyFill="1" applyBorder="1"/>
    <xf numFmtId="166" fontId="3" fillId="4" borderId="8" xfId="0" applyNumberFormat="1" applyFont="1" applyFill="1" applyBorder="1"/>
    <xf numFmtId="0" fontId="3" fillId="4" borderId="0" xfId="0" applyFont="1" applyFill="1"/>
    <xf numFmtId="166" fontId="3" fillId="4" borderId="9" xfId="0" applyNumberFormat="1" applyFont="1" applyFill="1" applyBorder="1"/>
    <xf numFmtId="166" fontId="0" fillId="7" borderId="10" xfId="0" applyNumberFormat="1" applyFill="1" applyBorder="1"/>
    <xf numFmtId="166" fontId="0" fillId="7" borderId="0" xfId="0" applyNumberFormat="1" applyFill="1"/>
    <xf numFmtId="9" fontId="0" fillId="7" borderId="0" xfId="1" applyFont="1" applyFill="1" applyBorder="1"/>
    <xf numFmtId="166" fontId="0" fillId="7" borderId="11" xfId="0" applyNumberFormat="1" applyFill="1" applyBorder="1"/>
    <xf numFmtId="9" fontId="1" fillId="9" borderId="0" xfId="1" applyFont="1" applyFill="1" applyBorder="1"/>
    <xf numFmtId="0" fontId="3" fillId="3" borderId="8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1" xfId="0" applyFont="1" applyFill="1" applyBorder="1" applyAlignment="1">
      <alignment vertical="top" wrapText="1"/>
    </xf>
    <xf numFmtId="0" fontId="0" fillId="7" borderId="11" xfId="0" applyFill="1" applyBorder="1"/>
    <xf numFmtId="0" fontId="3" fillId="4" borderId="8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3" fillId="7" borderId="13" xfId="0" applyFont="1" applyFill="1" applyBorder="1"/>
    <xf numFmtId="0" fontId="0" fillId="7" borderId="13" xfId="0" applyFill="1" applyBorder="1"/>
    <xf numFmtId="0" fontId="9" fillId="7" borderId="0" xfId="0" applyFont="1" applyFill="1"/>
    <xf numFmtId="0" fontId="0" fillId="7" borderId="15" xfId="0" applyFill="1" applyBorder="1"/>
    <xf numFmtId="0" fontId="0" fillId="0" borderId="16" xfId="0" applyBorder="1"/>
    <xf numFmtId="0" fontId="0" fillId="7" borderId="16" xfId="0" applyFill="1" applyBorder="1"/>
    <xf numFmtId="0" fontId="3" fillId="7" borderId="17" xfId="0" applyFont="1" applyFill="1" applyBorder="1"/>
    <xf numFmtId="166" fontId="3" fillId="9" borderId="10" xfId="0" applyNumberFormat="1" applyFont="1" applyFill="1" applyBorder="1"/>
    <xf numFmtId="0" fontId="0" fillId="7" borderId="0" xfId="0" applyFill="1" applyAlignment="1">
      <alignment horizontal="center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166" fontId="3" fillId="6" borderId="14" xfId="0" applyNumberFormat="1" applyFont="1" applyFill="1" applyBorder="1" applyAlignment="1">
      <alignment wrapText="1"/>
    </xf>
    <xf numFmtId="0" fontId="0" fillId="7" borderId="0" xfId="0" applyFill="1" applyAlignment="1">
      <alignment wrapText="1"/>
    </xf>
    <xf numFmtId="0" fontId="0" fillId="4" borderId="12" xfId="0" applyFill="1" applyBorder="1" applyAlignment="1">
      <alignment wrapText="1"/>
    </xf>
    <xf numFmtId="0" fontId="0" fillId="4" borderId="13" xfId="0" applyFill="1" applyBorder="1" applyAlignment="1">
      <alignment wrapText="1"/>
    </xf>
    <xf numFmtId="166" fontId="3" fillId="4" borderId="14" xfId="0" applyNumberFormat="1" applyFont="1" applyFill="1" applyBorder="1" applyAlignment="1">
      <alignment wrapText="1"/>
    </xf>
    <xf numFmtId="0" fontId="3" fillId="10" borderId="8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0" borderId="9" xfId="0" applyFont="1" applyFill="1" applyBorder="1" applyAlignment="1">
      <alignment vertical="top" wrapText="1"/>
    </xf>
    <xf numFmtId="0" fontId="3" fillId="10" borderId="10" xfId="0" applyFont="1" applyFill="1" applyBorder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3" fillId="10" borderId="11" xfId="0" applyFont="1" applyFill="1" applyBorder="1" applyAlignment="1">
      <alignment vertical="top" wrapText="1"/>
    </xf>
    <xf numFmtId="166" fontId="0" fillId="10" borderId="10" xfId="0" applyNumberFormat="1" applyFill="1" applyBorder="1"/>
    <xf numFmtId="0" fontId="0" fillId="10" borderId="0" xfId="0" applyFill="1"/>
    <xf numFmtId="166" fontId="0" fillId="10" borderId="0" xfId="0" applyNumberFormat="1" applyFill="1"/>
    <xf numFmtId="9" fontId="0" fillId="10" borderId="0" xfId="1" applyFont="1" applyFill="1" applyBorder="1"/>
    <xf numFmtId="166" fontId="0" fillId="10" borderId="11" xfId="0" applyNumberFormat="1" applyFill="1" applyBorder="1"/>
    <xf numFmtId="166" fontId="3" fillId="10" borderId="8" xfId="0" applyNumberFormat="1" applyFont="1" applyFill="1" applyBorder="1"/>
    <xf numFmtId="0" fontId="3" fillId="10" borderId="0" xfId="0" applyFont="1" applyFill="1"/>
    <xf numFmtId="166" fontId="3" fillId="10" borderId="2" xfId="0" applyNumberFormat="1" applyFont="1" applyFill="1" applyBorder="1"/>
    <xf numFmtId="166" fontId="3" fillId="10" borderId="9" xfId="0" applyNumberFormat="1" applyFont="1" applyFill="1" applyBorder="1"/>
    <xf numFmtId="9" fontId="1" fillId="10" borderId="0" xfId="1" applyFont="1" applyFill="1" applyBorder="1"/>
    <xf numFmtId="166" fontId="3" fillId="10" borderId="10" xfId="0" applyNumberFormat="1" applyFont="1" applyFill="1" applyBorder="1"/>
    <xf numFmtId="166" fontId="3" fillId="10" borderId="3" xfId="0" applyNumberFormat="1" applyFont="1" applyFill="1" applyBorder="1"/>
    <xf numFmtId="0" fontId="0" fillId="10" borderId="12" xfId="0" applyFill="1" applyBorder="1" applyAlignment="1">
      <alignment wrapText="1"/>
    </xf>
    <xf numFmtId="0" fontId="0" fillId="10" borderId="13" xfId="0" applyFill="1" applyBorder="1" applyAlignment="1">
      <alignment wrapText="1"/>
    </xf>
    <xf numFmtId="166" fontId="3" fillId="10" borderId="14" xfId="0" applyNumberFormat="1" applyFont="1" applyFill="1" applyBorder="1" applyAlignment="1">
      <alignment wrapText="1"/>
    </xf>
    <xf numFmtId="166" fontId="3" fillId="10" borderId="11" xfId="0" applyNumberFormat="1" applyFont="1" applyFill="1" applyBorder="1"/>
    <xf numFmtId="0" fontId="3" fillId="7" borderId="2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top" wrapText="1"/>
    </xf>
    <xf numFmtId="0" fontId="2" fillId="2" borderId="1" xfId="2" applyAlignment="1">
      <alignment horizontal="left"/>
    </xf>
    <xf numFmtId="166" fontId="2" fillId="2" borderId="1" xfId="2" applyNumberFormat="1" applyProtection="1">
      <protection locked="0"/>
    </xf>
    <xf numFmtId="0" fontId="2" fillId="2" borderId="1" xfId="2" applyProtection="1">
      <protection locked="0"/>
    </xf>
    <xf numFmtId="169" fontId="2" fillId="2" borderId="1" xfId="2" applyNumberFormat="1" applyProtection="1">
      <protection locked="0"/>
    </xf>
    <xf numFmtId="43" fontId="0" fillId="0" borderId="0" xfId="4" applyFont="1"/>
    <xf numFmtId="0" fontId="12" fillId="0" borderId="0" xfId="0" applyFont="1" applyProtection="1">
      <protection locked="0"/>
    </xf>
    <xf numFmtId="0" fontId="2" fillId="11" borderId="0" xfId="0" applyFont="1" applyFill="1" applyProtection="1">
      <protection locked="0"/>
    </xf>
    <xf numFmtId="21" fontId="12" fillId="0" borderId="0" xfId="0" applyNumberFormat="1" applyFont="1" applyProtection="1">
      <protection locked="0"/>
    </xf>
    <xf numFmtId="0" fontId="2" fillId="11" borderId="4" xfId="0" applyFont="1" applyFill="1" applyBorder="1" applyProtection="1">
      <protection locked="0"/>
    </xf>
    <xf numFmtId="167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2" borderId="0" xfId="2" applyBorder="1" applyProtection="1">
      <protection locked="0"/>
    </xf>
    <xf numFmtId="21" fontId="0" fillId="0" borderId="0" xfId="0" applyNumberFormat="1" applyProtection="1">
      <protection locked="0"/>
    </xf>
    <xf numFmtId="0" fontId="0" fillId="0" borderId="5" xfId="0" applyBorder="1" applyProtection="1">
      <protection locked="0"/>
    </xf>
    <xf numFmtId="0" fontId="2" fillId="2" borderId="5" xfId="2" applyBorder="1" applyProtection="1">
      <protection locked="0"/>
    </xf>
    <xf numFmtId="21" fontId="0" fillId="0" borderId="5" xfId="0" applyNumberFormat="1" applyBorder="1" applyProtection="1">
      <protection locked="0"/>
    </xf>
    <xf numFmtId="167" fontId="0" fillId="0" borderId="5" xfId="0" applyNumberFormat="1" applyBorder="1" applyProtection="1">
      <protection locked="0"/>
    </xf>
    <xf numFmtId="167" fontId="2" fillId="2" borderId="4" xfId="2" applyNumberFormat="1" applyBorder="1" applyProtection="1">
      <protection locked="0"/>
    </xf>
    <xf numFmtId="20" fontId="0" fillId="0" borderId="0" xfId="0" applyNumberFormat="1" applyProtection="1">
      <protection locked="0"/>
    </xf>
    <xf numFmtId="0" fontId="0" fillId="0" borderId="0" xfId="0" applyAlignment="1">
      <alignment wrapText="1"/>
    </xf>
    <xf numFmtId="0" fontId="0" fillId="12" borderId="0" xfId="0" applyFill="1"/>
    <xf numFmtId="43" fontId="0" fillId="12" borderId="0" xfId="0" applyNumberFormat="1" applyFill="1"/>
    <xf numFmtId="0" fontId="0" fillId="7" borderId="0" xfId="0" applyFill="1" applyAlignment="1">
      <alignment horizontal="left" wrapText="1"/>
    </xf>
    <xf numFmtId="0" fontId="0" fillId="7" borderId="11" xfId="0" applyFill="1" applyBorder="1" applyAlignment="1">
      <alignment horizontal="left" wrapText="1"/>
    </xf>
    <xf numFmtId="0" fontId="3" fillId="10" borderId="8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8" fillId="2" borderId="18" xfId="2" applyFont="1" applyBorder="1" applyAlignment="1">
      <alignment horizontal="left"/>
    </xf>
    <xf numFmtId="0" fontId="8" fillId="2" borderId="7" xfId="2" applyFont="1" applyBorder="1" applyAlignment="1">
      <alignment horizontal="left"/>
    </xf>
    <xf numFmtId="0" fontId="8" fillId="2" borderId="19" xfId="2" applyFont="1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5">
    <cellStyle name="Calculation" xfId="3" builtinId="22"/>
    <cellStyle name="Comma" xfId="4" builtinId="3"/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99"/>
      <color rgb="FFBC8FDD"/>
      <color rgb="FFFA7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2FAA-CFA1-4599-B291-EA3C246D7976}">
  <sheetPr>
    <tabColor rgb="FFFFC000"/>
  </sheetPr>
  <dimension ref="A1:J13"/>
  <sheetViews>
    <sheetView zoomScale="90" zoomScaleNormal="90" workbookViewId="0">
      <selection activeCell="E10" sqref="E10"/>
    </sheetView>
  </sheetViews>
  <sheetFormatPr defaultRowHeight="15" x14ac:dyDescent="0.25"/>
  <cols>
    <col min="1" max="1" width="13.5703125" customWidth="1"/>
    <col min="2" max="2" width="12.140625" customWidth="1"/>
    <col min="3" max="3" width="27" customWidth="1"/>
    <col min="4" max="4" width="23.85546875" customWidth="1"/>
    <col min="6" max="6" width="43.85546875" customWidth="1"/>
    <col min="10" max="10" width="15" customWidth="1"/>
  </cols>
  <sheetData>
    <row r="1" spans="1:10" ht="23.25" x14ac:dyDescent="0.35">
      <c r="A1" s="37" t="s">
        <v>1</v>
      </c>
    </row>
    <row r="3" spans="1:10" x14ac:dyDescent="0.25">
      <c r="A3" t="s">
        <v>2</v>
      </c>
    </row>
    <row r="5" spans="1:10" ht="23.25" x14ac:dyDescent="0.35">
      <c r="A5" s="1" t="s">
        <v>3</v>
      </c>
      <c r="B5" s="178" t="s">
        <v>172</v>
      </c>
      <c r="C5" s="179"/>
      <c r="D5" s="179"/>
      <c r="E5" s="179"/>
      <c r="F5" s="179"/>
      <c r="G5" s="180"/>
    </row>
    <row r="7" spans="1:10" ht="21" x14ac:dyDescent="0.35">
      <c r="A7" s="38" t="s">
        <v>4</v>
      </c>
    </row>
    <row r="8" spans="1:10" x14ac:dyDescent="0.25">
      <c r="A8" t="s">
        <v>5</v>
      </c>
      <c r="B8" t="s">
        <v>6</v>
      </c>
      <c r="C8" t="s">
        <v>191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</row>
    <row r="9" spans="1:10" x14ac:dyDescent="0.25">
      <c r="A9" s="4" t="s">
        <v>160</v>
      </c>
      <c r="B9" s="35" t="s">
        <v>192</v>
      </c>
      <c r="C9" s="4" t="s">
        <v>187</v>
      </c>
      <c r="D9" s="4" t="s">
        <v>190</v>
      </c>
      <c r="E9" s="4">
        <v>99</v>
      </c>
      <c r="F9" s="4" t="s">
        <v>173</v>
      </c>
      <c r="G9" s="4">
        <v>1</v>
      </c>
      <c r="H9" s="36">
        <f>'AN-ACC Simple'!B7</f>
        <v>99</v>
      </c>
      <c r="I9" s="5">
        <f>H9/E9</f>
        <v>1</v>
      </c>
      <c r="J9" s="4" t="s">
        <v>161</v>
      </c>
    </row>
    <row r="10" spans="1:10" x14ac:dyDescent="0.25">
      <c r="A10" s="136" t="s">
        <v>162</v>
      </c>
      <c r="B10" s="35" t="s">
        <v>192</v>
      </c>
      <c r="C10" s="4" t="s">
        <v>188</v>
      </c>
      <c r="D10" s="4" t="s">
        <v>190</v>
      </c>
      <c r="E10" s="4">
        <v>0</v>
      </c>
      <c r="F10" s="4" t="s">
        <v>173</v>
      </c>
      <c r="G10" s="4">
        <v>1</v>
      </c>
      <c r="H10" s="36">
        <f>'AN-ACC Simple'!B8</f>
        <v>0</v>
      </c>
      <c r="I10" s="5" t="e">
        <f t="shared" ref="I10:I11" si="0">H10/E10</f>
        <v>#DIV/0!</v>
      </c>
      <c r="J10" s="4" t="s">
        <v>161</v>
      </c>
    </row>
    <row r="11" spans="1:10" x14ac:dyDescent="0.25">
      <c r="A11" s="136" t="s">
        <v>163</v>
      </c>
      <c r="B11" s="35" t="s">
        <v>192</v>
      </c>
      <c r="C11" s="4" t="s">
        <v>189</v>
      </c>
      <c r="D11" s="4" t="s">
        <v>190</v>
      </c>
      <c r="E11" s="4">
        <v>0</v>
      </c>
      <c r="F11" s="4" t="s">
        <v>173</v>
      </c>
      <c r="G11" s="4">
        <v>1</v>
      </c>
      <c r="H11" s="36">
        <f>'AN-ACC Simple'!B9</f>
        <v>0</v>
      </c>
      <c r="I11" s="5" t="e">
        <f t="shared" si="0"/>
        <v>#DIV/0!</v>
      </c>
      <c r="J11" s="4" t="s">
        <v>161</v>
      </c>
    </row>
    <row r="12" spans="1:10" x14ac:dyDescent="0.25">
      <c r="A12" s="4" t="s">
        <v>15</v>
      </c>
      <c r="B12" s="35" t="s">
        <v>192</v>
      </c>
      <c r="C12" s="4" t="s">
        <v>189</v>
      </c>
      <c r="D12" s="4" t="s">
        <v>16</v>
      </c>
      <c r="E12">
        <v>0</v>
      </c>
      <c r="F12" s="4" t="s">
        <v>173</v>
      </c>
      <c r="J12" s="4" t="s">
        <v>161</v>
      </c>
    </row>
    <row r="13" spans="1:10" x14ac:dyDescent="0.25">
      <c r="A13" s="4" t="s">
        <v>17</v>
      </c>
      <c r="B13" s="35" t="s">
        <v>192</v>
      </c>
      <c r="C13" s="4" t="s">
        <v>18</v>
      </c>
      <c r="D13" s="4" t="s">
        <v>16</v>
      </c>
      <c r="E13">
        <v>0</v>
      </c>
      <c r="F13" s="4" t="s">
        <v>173</v>
      </c>
      <c r="J13" s="4" t="s">
        <v>161</v>
      </c>
    </row>
  </sheetData>
  <mergeCells count="1">
    <mergeCell ref="B5:G5"/>
  </mergeCells>
  <phoneticPr fontId="4" type="noConversion"/>
  <dataValidations disablePrompts="1" count="1">
    <dataValidation type="list" allowBlank="1" showInputMessage="1" showErrorMessage="1" sqref="J9:J13" xr:uid="{6D1CFFE9-AF07-4522-B22F-CB2800E32AA5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B59E-93B3-4CA5-B536-406EF8570B86}">
  <sheetPr>
    <tabColor rgb="FFBC8FDD"/>
  </sheetPr>
  <dimension ref="A1:Y32"/>
  <sheetViews>
    <sheetView tabSelected="1" zoomScaleNormal="100" workbookViewId="0">
      <selection activeCell="Z37" sqref="Z37"/>
    </sheetView>
  </sheetViews>
  <sheetFormatPr defaultRowHeight="15" x14ac:dyDescent="0.25"/>
  <cols>
    <col min="1" max="1" width="22.85546875" customWidth="1"/>
    <col min="2" max="3" width="11.85546875" customWidth="1"/>
    <col min="4" max="4" width="1.85546875" customWidth="1"/>
    <col min="5" max="5" width="10.42578125" customWidth="1"/>
    <col min="6" max="7" width="10.140625" customWidth="1"/>
    <col min="8" max="8" width="1.85546875" customWidth="1"/>
    <col min="9" max="9" width="9.42578125" customWidth="1"/>
    <col min="10" max="10" width="1.85546875" customWidth="1"/>
    <col min="11" max="11" width="10.28515625" customWidth="1"/>
    <col min="12" max="12" width="1.85546875" customWidth="1"/>
    <col min="13" max="14" width="9.85546875" customWidth="1"/>
    <col min="15" max="15" width="10.140625" customWidth="1"/>
    <col min="16" max="16" width="1.85546875" customWidth="1"/>
    <col min="17" max="17" width="9.7109375" customWidth="1"/>
    <col min="18" max="18" width="1.85546875" customWidth="1"/>
    <col min="19" max="19" width="11.140625" customWidth="1"/>
    <col min="20" max="20" width="1.85546875" customWidth="1"/>
    <col min="21" max="21" width="9.85546875" customWidth="1"/>
    <col min="22" max="22" width="10.140625" customWidth="1"/>
    <col min="23" max="23" width="10.85546875" customWidth="1"/>
    <col min="24" max="24" width="1.85546875" customWidth="1"/>
    <col min="25" max="25" width="10.28515625" customWidth="1"/>
  </cols>
  <sheetData>
    <row r="1" spans="1:25" ht="23.25" x14ac:dyDescent="0.35">
      <c r="A1" s="54" t="str">
        <f>'Primary Inputs'!$B$5</f>
        <v>Christadelphian Aged Care</v>
      </c>
      <c r="B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3.25" x14ac:dyDescent="0.35">
      <c r="A2" s="54"/>
      <c r="B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21" x14ac:dyDescent="0.35">
      <c r="A3" s="55" t="s">
        <v>20</v>
      </c>
      <c r="B3" s="22"/>
      <c r="D3" s="21"/>
      <c r="E3" s="21"/>
      <c r="G3" s="21"/>
      <c r="H3" s="21"/>
      <c r="I3" s="21"/>
      <c r="J3" s="21"/>
      <c r="L3" s="21"/>
      <c r="M3" s="21"/>
      <c r="N3" s="21"/>
      <c r="O3" s="21"/>
      <c r="P3" s="21"/>
      <c r="Q3" s="21"/>
      <c r="R3" s="21"/>
      <c r="T3" s="21"/>
      <c r="U3" s="21"/>
      <c r="V3" s="21"/>
      <c r="W3" s="21"/>
      <c r="X3" s="21"/>
      <c r="Y3" s="21"/>
    </row>
    <row r="4" spans="1:25" ht="21" x14ac:dyDescent="0.35">
      <c r="A4" s="55"/>
      <c r="B4" s="22"/>
      <c r="D4" s="21"/>
      <c r="E4" s="21"/>
      <c r="G4" s="21"/>
      <c r="H4" s="21"/>
      <c r="I4" s="21"/>
      <c r="J4" s="21"/>
      <c r="L4" s="21"/>
      <c r="M4" s="21"/>
      <c r="N4" s="21"/>
      <c r="O4" s="21"/>
      <c r="P4" s="21"/>
      <c r="Q4" s="21"/>
      <c r="R4" s="21"/>
      <c r="T4" s="21"/>
      <c r="U4" s="21"/>
      <c r="V4" s="21"/>
      <c r="W4" s="21"/>
      <c r="X4" s="21"/>
      <c r="Y4" s="21"/>
    </row>
    <row r="5" spans="1:25" ht="21" x14ac:dyDescent="0.35">
      <c r="A5" s="98" t="s">
        <v>150</v>
      </c>
      <c r="B5" s="22"/>
      <c r="D5" s="21"/>
      <c r="E5" s="21"/>
      <c r="G5" s="21"/>
      <c r="H5" s="21"/>
      <c r="I5" s="21"/>
      <c r="J5" s="21"/>
      <c r="L5" s="21"/>
      <c r="M5" s="21"/>
      <c r="N5" s="21"/>
      <c r="O5" s="21"/>
      <c r="P5" s="21"/>
      <c r="Q5" s="21"/>
      <c r="R5" s="21"/>
      <c r="T5" s="21"/>
      <c r="U5" s="21"/>
      <c r="V5" s="21"/>
      <c r="W5" s="21"/>
      <c r="X5" s="21"/>
      <c r="Y5" s="21"/>
    </row>
    <row r="6" spans="1:25" ht="21" x14ac:dyDescent="0.35">
      <c r="A6" s="98" t="s">
        <v>151</v>
      </c>
      <c r="B6" s="22"/>
      <c r="D6" s="21"/>
      <c r="E6" s="21"/>
      <c r="G6" s="21"/>
      <c r="H6" s="21"/>
      <c r="I6" s="21"/>
      <c r="J6" s="21"/>
      <c r="L6" s="21"/>
      <c r="M6" s="21"/>
      <c r="N6" s="21"/>
      <c r="O6" s="21"/>
      <c r="P6" s="21"/>
      <c r="Q6" s="21"/>
      <c r="R6" s="21"/>
      <c r="T6" s="21"/>
      <c r="U6" s="21"/>
      <c r="V6" s="21"/>
      <c r="W6" s="21"/>
      <c r="X6" s="21"/>
      <c r="Y6" s="21"/>
    </row>
    <row r="7" spans="1:25" ht="21" x14ac:dyDescent="0.35">
      <c r="A7" s="55"/>
      <c r="B7" s="22"/>
      <c r="D7" s="21"/>
      <c r="E7" s="21"/>
      <c r="G7" s="21"/>
      <c r="H7" s="21"/>
      <c r="I7" s="21"/>
      <c r="J7" s="21"/>
      <c r="L7" s="21"/>
      <c r="M7" s="21"/>
      <c r="N7" s="21"/>
      <c r="O7" s="21"/>
      <c r="P7" s="21"/>
      <c r="Q7" s="21"/>
      <c r="R7" s="21"/>
      <c r="T7" s="21"/>
      <c r="U7" s="21"/>
      <c r="V7" s="21"/>
      <c r="W7" s="21"/>
      <c r="X7" s="21"/>
      <c r="Y7" s="21"/>
    </row>
    <row r="8" spans="1:25" ht="23.25" x14ac:dyDescent="0.35">
      <c r="A8" s="54" t="str">
        <f>'Primary Inputs'!B9</f>
        <v>Ashburn House</v>
      </c>
      <c r="B8" s="22"/>
      <c r="D8" s="21"/>
      <c r="E8" s="21"/>
      <c r="G8" s="21"/>
      <c r="H8" s="21"/>
      <c r="I8" s="21"/>
      <c r="J8" s="21"/>
      <c r="L8" s="21"/>
      <c r="M8" s="21"/>
      <c r="N8" s="21"/>
      <c r="O8" s="21"/>
      <c r="P8" s="21"/>
      <c r="Q8" s="21"/>
      <c r="R8" s="21"/>
      <c r="T8" s="21"/>
      <c r="U8" s="21"/>
      <c r="V8" s="21"/>
      <c r="W8" s="21"/>
      <c r="X8" s="21"/>
      <c r="Y8" s="21"/>
    </row>
    <row r="9" spans="1:25" ht="21" x14ac:dyDescent="0.35">
      <c r="A9" s="55"/>
      <c r="B9" s="22"/>
      <c r="D9" s="21"/>
      <c r="E9" s="21"/>
      <c r="G9" s="21"/>
      <c r="H9" s="21"/>
      <c r="I9" s="21"/>
      <c r="J9" s="21"/>
      <c r="L9" s="21"/>
      <c r="M9" s="21"/>
      <c r="N9" s="21"/>
      <c r="O9" s="21"/>
      <c r="P9" s="21"/>
      <c r="Q9" s="21"/>
      <c r="R9" s="21"/>
      <c r="T9" s="21"/>
      <c r="U9" s="21"/>
      <c r="V9" s="21"/>
      <c r="W9" s="21"/>
      <c r="X9" s="21"/>
      <c r="Y9" s="21"/>
    </row>
    <row r="10" spans="1:25" ht="21" x14ac:dyDescent="0.35">
      <c r="A10" s="55" t="s">
        <v>152</v>
      </c>
      <c r="B10" s="22"/>
      <c r="C10" s="166" t="s">
        <v>158</v>
      </c>
      <c r="D10" s="167"/>
      <c r="E10" s="167"/>
      <c r="F10" s="167"/>
      <c r="G10" s="167"/>
      <c r="H10" s="167"/>
      <c r="I10" s="168"/>
      <c r="J10" s="21"/>
      <c r="K10" s="172" t="s">
        <v>156</v>
      </c>
      <c r="L10" s="173"/>
      <c r="M10" s="173"/>
      <c r="N10" s="173"/>
      <c r="O10" s="173"/>
      <c r="P10" s="173"/>
      <c r="Q10" s="174"/>
      <c r="R10" s="21"/>
      <c r="S10" s="160" t="s">
        <v>157</v>
      </c>
      <c r="T10" s="161"/>
      <c r="U10" s="161"/>
      <c r="V10" s="161"/>
      <c r="W10" s="161"/>
      <c r="X10" s="161"/>
      <c r="Y10" s="162"/>
    </row>
    <row r="11" spans="1:25" x14ac:dyDescent="0.25">
      <c r="A11" s="21"/>
      <c r="B11" s="21"/>
      <c r="C11" s="169"/>
      <c r="D11" s="170"/>
      <c r="E11" s="170"/>
      <c r="F11" s="170"/>
      <c r="G11" s="170"/>
      <c r="H11" s="170"/>
      <c r="I11" s="171"/>
      <c r="J11" s="21"/>
      <c r="K11" s="175"/>
      <c r="L11" s="176"/>
      <c r="M11" s="176"/>
      <c r="N11" s="176"/>
      <c r="O11" s="176"/>
      <c r="P11" s="176"/>
      <c r="Q11" s="177"/>
      <c r="R11" s="21"/>
      <c r="S11" s="163"/>
      <c r="T11" s="164"/>
      <c r="U11" s="164"/>
      <c r="V11" s="164"/>
      <c r="W11" s="164"/>
      <c r="X11" s="164"/>
      <c r="Y11" s="165"/>
    </row>
    <row r="12" spans="1:25" x14ac:dyDescent="0.25">
      <c r="A12" s="21"/>
      <c r="B12" s="21"/>
      <c r="C12" s="96"/>
      <c r="D12" s="96"/>
      <c r="E12" s="96"/>
      <c r="F12" s="96"/>
      <c r="G12" s="96"/>
      <c r="H12" s="96"/>
      <c r="I12" s="96"/>
      <c r="J12" s="97"/>
      <c r="K12" s="96"/>
      <c r="L12" s="96"/>
      <c r="M12" s="96"/>
      <c r="N12" s="96"/>
      <c r="O12" s="96"/>
      <c r="P12" s="96"/>
      <c r="Q12" s="96"/>
      <c r="R12" s="21"/>
      <c r="S12" s="96"/>
      <c r="T12" s="96"/>
      <c r="U12" s="96"/>
      <c r="V12" s="96"/>
      <c r="W12" s="96"/>
      <c r="X12" s="96"/>
      <c r="Y12" s="96"/>
    </row>
    <row r="13" spans="1:25" ht="75" x14ac:dyDescent="0.25">
      <c r="A13" s="23" t="s">
        <v>21</v>
      </c>
      <c r="B13" s="135" t="s">
        <v>22</v>
      </c>
      <c r="C13" s="87" t="s">
        <v>23</v>
      </c>
      <c r="D13" s="88"/>
      <c r="E13" s="88" t="s">
        <v>24</v>
      </c>
      <c r="F13" s="88" t="s">
        <v>25</v>
      </c>
      <c r="G13" s="88" t="s">
        <v>26</v>
      </c>
      <c r="H13" s="88"/>
      <c r="I13" s="89" t="s">
        <v>27</v>
      </c>
      <c r="J13" s="90"/>
      <c r="K13" s="93" t="s">
        <v>28</v>
      </c>
      <c r="L13" s="94"/>
      <c r="M13" s="94" t="s">
        <v>29</v>
      </c>
      <c r="N13" s="94" t="s">
        <v>25</v>
      </c>
      <c r="O13" s="94" t="s">
        <v>26</v>
      </c>
      <c r="P13" s="94"/>
      <c r="Q13" s="95" t="s">
        <v>27</v>
      </c>
      <c r="R13" s="21"/>
      <c r="S13" s="112" t="s">
        <v>28</v>
      </c>
      <c r="T13" s="113"/>
      <c r="U13" s="113" t="s">
        <v>29</v>
      </c>
      <c r="V13" s="113" t="s">
        <v>25</v>
      </c>
      <c r="W13" s="113" t="s">
        <v>26</v>
      </c>
      <c r="X13" s="113"/>
      <c r="Y13" s="114" t="s">
        <v>27</v>
      </c>
    </row>
    <row r="14" spans="1:25" x14ac:dyDescent="0.25">
      <c r="A14" s="24" t="s">
        <v>30</v>
      </c>
      <c r="B14" s="24"/>
      <c r="C14" s="58"/>
      <c r="D14" s="59"/>
      <c r="E14" s="59"/>
      <c r="F14" s="59"/>
      <c r="G14" s="59"/>
      <c r="H14" s="59"/>
      <c r="I14" s="60"/>
      <c r="J14" s="91"/>
      <c r="K14" s="71"/>
      <c r="L14" s="72"/>
      <c r="M14" s="72"/>
      <c r="N14" s="72"/>
      <c r="O14" s="72"/>
      <c r="P14" s="72"/>
      <c r="Q14" s="73"/>
      <c r="R14" s="21"/>
      <c r="S14" s="115"/>
      <c r="T14" s="116"/>
      <c r="U14" s="116"/>
      <c r="V14" s="116"/>
      <c r="W14" s="116"/>
      <c r="X14" s="116"/>
      <c r="Y14" s="117"/>
    </row>
    <row r="15" spans="1:25" x14ac:dyDescent="0.25">
      <c r="A15" s="21" t="s">
        <v>186</v>
      </c>
      <c r="B15" s="104">
        <f>'AN-ACC Simple'!B7</f>
        <v>99</v>
      </c>
      <c r="C15" s="61">
        <f>'AN-ACC Simple'!E7*7</f>
        <v>2511.201</v>
      </c>
      <c r="D15" s="62"/>
      <c r="E15" s="63">
        <f>'Summary Roster'!T13</f>
        <v>2671</v>
      </c>
      <c r="F15" s="64">
        <f t="shared" ref="F15" si="0">IFERROR(G15/E15,0)</f>
        <v>90.268813178584793</v>
      </c>
      <c r="G15" s="63">
        <v>241108</v>
      </c>
      <c r="H15" s="62"/>
      <c r="I15" s="65">
        <f>G15-C15</f>
        <v>238596.799</v>
      </c>
      <c r="J15" s="92"/>
      <c r="K15" s="74">
        <f>'AN-ACC Simple'!I7*7</f>
        <v>512.81999999999994</v>
      </c>
      <c r="L15" s="75"/>
      <c r="M15" s="76">
        <f>'Summary Roster'!T14</f>
        <v>494</v>
      </c>
      <c r="N15" s="77">
        <f t="shared" ref="N15" si="1">IFERROR(O15/M15,0)</f>
        <v>1</v>
      </c>
      <c r="O15" s="76">
        <f>'Summary Roster'!W14</f>
        <v>494</v>
      </c>
      <c r="P15" s="75"/>
      <c r="Q15" s="78">
        <f>O15-K15</f>
        <v>-18.819999999999936</v>
      </c>
      <c r="R15" s="21"/>
      <c r="S15" s="118">
        <f>C15-K15</f>
        <v>1998.3810000000001</v>
      </c>
      <c r="T15" s="119"/>
      <c r="U15" s="120">
        <f>E15-M15</f>
        <v>2177</v>
      </c>
      <c r="V15" s="121">
        <f t="shared" ref="V15" si="2">IFERROR(W15/U15,0)</f>
        <v>110.5254937988057</v>
      </c>
      <c r="W15" s="120">
        <f>G15-O15</f>
        <v>240614</v>
      </c>
      <c r="X15" s="119"/>
      <c r="Y15" s="122">
        <f>W15-S15</f>
        <v>238615.61900000001</v>
      </c>
    </row>
    <row r="16" spans="1:25" x14ac:dyDescent="0.25">
      <c r="A16" s="21"/>
      <c r="B16" s="104"/>
      <c r="C16" s="61"/>
      <c r="D16" s="62"/>
      <c r="E16" s="63"/>
      <c r="F16" s="62"/>
      <c r="G16" s="63"/>
      <c r="H16" s="62"/>
      <c r="I16" s="65"/>
      <c r="J16" s="92"/>
      <c r="K16" s="74"/>
      <c r="L16" s="75"/>
      <c r="M16" s="76"/>
      <c r="N16" s="75"/>
      <c r="O16" s="76"/>
      <c r="P16" s="75"/>
      <c r="Q16" s="78"/>
      <c r="R16" s="21"/>
      <c r="S16" s="118"/>
      <c r="T16" s="119"/>
      <c r="U16" s="120"/>
      <c r="V16" s="119"/>
      <c r="W16" s="120"/>
      <c r="X16" s="119"/>
      <c r="Y16" s="122"/>
    </row>
    <row r="17" spans="1:25" x14ac:dyDescent="0.25">
      <c r="A17" s="22" t="s">
        <v>31</v>
      </c>
      <c r="B17" s="134">
        <f>SUM(B15:B16)</f>
        <v>99</v>
      </c>
      <c r="C17" s="66">
        <f>SUBTOTAL(9,C15:C16)</f>
        <v>2511.201</v>
      </c>
      <c r="D17" s="67"/>
      <c r="E17" s="15">
        <f>SUBTOTAL(9,E15:E16)</f>
        <v>2671</v>
      </c>
      <c r="F17" s="67"/>
      <c r="G17" s="15">
        <f>SUBTOTAL(9,G15:G16)</f>
        <v>241108</v>
      </c>
      <c r="H17" s="67"/>
      <c r="I17" s="68">
        <f>SUBTOTAL(9,I15:I16)</f>
        <v>238596.799</v>
      </c>
      <c r="J17" s="92"/>
      <c r="K17" s="79">
        <f>SUBTOTAL(9,K15:K16)</f>
        <v>512.81999999999994</v>
      </c>
      <c r="L17" s="80"/>
      <c r="M17" s="13">
        <f>SUBTOTAL(9,M15:M16)</f>
        <v>494</v>
      </c>
      <c r="N17" s="80"/>
      <c r="O17" s="13">
        <f>SUBTOTAL(9,O15:O16)</f>
        <v>494</v>
      </c>
      <c r="P17" s="80"/>
      <c r="Q17" s="81">
        <f>SUBTOTAL(9,Q15:Q16)</f>
        <v>-18.819999999999936</v>
      </c>
      <c r="R17" s="21"/>
      <c r="S17" s="123">
        <f>SUBTOTAL(9,S15:S16)</f>
        <v>1998.3810000000001</v>
      </c>
      <c r="T17" s="124"/>
      <c r="U17" s="125">
        <f>SUBTOTAL(9,U15:U16)</f>
        <v>2177</v>
      </c>
      <c r="V17" s="124"/>
      <c r="W17" s="125">
        <f>SUBTOTAL(9,W15:W16)</f>
        <v>240614</v>
      </c>
      <c r="X17" s="124"/>
      <c r="Y17" s="126">
        <f>SUBTOTAL(9,Y15:Y16)</f>
        <v>238615.61900000001</v>
      </c>
    </row>
    <row r="18" spans="1:25" x14ac:dyDescent="0.25">
      <c r="A18" s="21"/>
      <c r="B18" s="21"/>
      <c r="C18" s="61"/>
      <c r="D18" s="62"/>
      <c r="E18" s="63"/>
      <c r="F18" s="62"/>
      <c r="G18" s="63"/>
      <c r="H18" s="62"/>
      <c r="I18" s="65"/>
      <c r="J18" s="92"/>
      <c r="K18" s="82"/>
      <c r="L18" s="21"/>
      <c r="M18" s="83"/>
      <c r="N18" s="21"/>
      <c r="O18" s="83"/>
      <c r="P18" s="21"/>
      <c r="Q18" s="85"/>
      <c r="R18" s="21"/>
      <c r="S18" s="118"/>
      <c r="T18" s="119"/>
      <c r="U18" s="120"/>
      <c r="V18" s="119"/>
      <c r="W18" s="120"/>
      <c r="X18" s="119"/>
      <c r="Y18" s="122"/>
    </row>
    <row r="19" spans="1:25" x14ac:dyDescent="0.25">
      <c r="A19" s="22" t="s">
        <v>32</v>
      </c>
      <c r="B19" s="21"/>
      <c r="C19" s="61"/>
      <c r="D19" s="62"/>
      <c r="E19" s="63"/>
      <c r="F19" s="62"/>
      <c r="G19" s="63"/>
      <c r="H19" s="62"/>
      <c r="I19" s="65"/>
      <c r="J19" s="92"/>
      <c r="K19" s="82"/>
      <c r="L19" s="21"/>
      <c r="M19" s="83"/>
      <c r="N19" s="21"/>
      <c r="O19" s="83"/>
      <c r="P19" s="21"/>
      <c r="Q19" s="85"/>
      <c r="R19" s="21"/>
      <c r="S19" s="118"/>
      <c r="T19" s="119"/>
      <c r="U19" s="120"/>
      <c r="V19" s="119"/>
      <c r="W19" s="120"/>
      <c r="X19" s="119"/>
      <c r="Y19" s="122"/>
    </row>
    <row r="20" spans="1:25" x14ac:dyDescent="0.25">
      <c r="A20" s="21" t="s">
        <v>33</v>
      </c>
      <c r="B20" s="21"/>
      <c r="C20" s="61"/>
      <c r="D20" s="62"/>
      <c r="E20" s="63">
        <f>'Summary Roster'!T17</f>
        <v>0</v>
      </c>
      <c r="F20" s="69">
        <f>IFERROR(G20/E20,0)</f>
        <v>0</v>
      </c>
      <c r="G20" s="63">
        <f>'Summary Roster'!W17</f>
        <v>0</v>
      </c>
      <c r="H20" s="67"/>
      <c r="I20" s="70">
        <f>G20-C20</f>
        <v>0</v>
      </c>
      <c r="J20" s="92"/>
      <c r="K20" s="82"/>
      <c r="L20" s="21"/>
      <c r="M20" s="83"/>
      <c r="N20" s="84"/>
      <c r="O20" s="83"/>
      <c r="P20" s="21"/>
      <c r="Q20" s="85"/>
      <c r="R20" s="21"/>
      <c r="S20" s="118"/>
      <c r="T20" s="119"/>
      <c r="U20" s="120">
        <f>E20-M20</f>
        <v>0</v>
      </c>
      <c r="V20" s="121"/>
      <c r="W20" s="120">
        <f>G20-O20</f>
        <v>0</v>
      </c>
      <c r="X20" s="119"/>
      <c r="Y20" s="133">
        <f>W20-S20</f>
        <v>0</v>
      </c>
    </row>
    <row r="21" spans="1:25" x14ac:dyDescent="0.25">
      <c r="A21" s="21" t="s">
        <v>34</v>
      </c>
      <c r="B21" s="21"/>
      <c r="C21" s="61"/>
      <c r="D21" s="62"/>
      <c r="E21" s="63">
        <f>'Summary Roster'!T20</f>
        <v>0</v>
      </c>
      <c r="F21" s="69">
        <f t="shared" ref="F21:F25" si="3">IFERROR(G21/E21,0)</f>
        <v>0</v>
      </c>
      <c r="G21" s="63">
        <f>'Summary Roster'!W20</f>
        <v>0</v>
      </c>
      <c r="H21" s="67"/>
      <c r="I21" s="70">
        <f t="shared" ref="I21:I25" si="4">G21-C21</f>
        <v>0</v>
      </c>
      <c r="J21" s="92"/>
      <c r="K21" s="82"/>
      <c r="L21" s="21"/>
      <c r="M21" s="83"/>
      <c r="N21" s="84"/>
      <c r="O21" s="83"/>
      <c r="P21" s="21"/>
      <c r="Q21" s="85"/>
      <c r="R21" s="21"/>
      <c r="S21" s="118"/>
      <c r="T21" s="119"/>
      <c r="U21" s="120">
        <f t="shared" ref="U21:W25" si="5">E21-M21</f>
        <v>0</v>
      </c>
      <c r="V21" s="121"/>
      <c r="W21" s="120">
        <f t="shared" si="5"/>
        <v>0</v>
      </c>
      <c r="X21" s="119"/>
      <c r="Y21" s="133">
        <f t="shared" ref="Y21:Y25" si="6">W21-S21</f>
        <v>0</v>
      </c>
    </row>
    <row r="22" spans="1:25" x14ac:dyDescent="0.25">
      <c r="A22" s="21" t="s">
        <v>35</v>
      </c>
      <c r="B22" s="21"/>
      <c r="C22" s="61"/>
      <c r="D22" s="62"/>
      <c r="E22" s="63">
        <f>'Summary Roster'!T21</f>
        <v>0</v>
      </c>
      <c r="F22" s="69">
        <f t="shared" si="3"/>
        <v>0</v>
      </c>
      <c r="G22" s="63">
        <f>'Summary Roster'!W21</f>
        <v>0</v>
      </c>
      <c r="H22" s="67"/>
      <c r="I22" s="70">
        <f t="shared" si="4"/>
        <v>0</v>
      </c>
      <c r="J22" s="92"/>
      <c r="K22" s="82"/>
      <c r="L22" s="21"/>
      <c r="M22" s="83"/>
      <c r="N22" s="84"/>
      <c r="O22" s="83"/>
      <c r="P22" s="21"/>
      <c r="Q22" s="85"/>
      <c r="R22" s="21"/>
      <c r="S22" s="118"/>
      <c r="T22" s="119"/>
      <c r="U22" s="120">
        <f t="shared" si="5"/>
        <v>0</v>
      </c>
      <c r="V22" s="121"/>
      <c r="W22" s="120">
        <f t="shared" si="5"/>
        <v>0</v>
      </c>
      <c r="X22" s="119"/>
      <c r="Y22" s="133">
        <f t="shared" si="6"/>
        <v>0</v>
      </c>
    </row>
    <row r="23" spans="1:25" x14ac:dyDescent="0.25">
      <c r="A23" s="21" t="s">
        <v>36</v>
      </c>
      <c r="B23" s="21"/>
      <c r="C23" s="61"/>
      <c r="D23" s="62"/>
      <c r="E23" s="63">
        <f>'Summary Roster'!T22</f>
        <v>0</v>
      </c>
      <c r="F23" s="69">
        <f t="shared" si="3"/>
        <v>0</v>
      </c>
      <c r="G23" s="63">
        <f>'Summary Roster'!W22</f>
        <v>0</v>
      </c>
      <c r="H23" s="67"/>
      <c r="I23" s="70">
        <f t="shared" si="4"/>
        <v>0</v>
      </c>
      <c r="J23" s="92"/>
      <c r="K23" s="82"/>
      <c r="L23" s="21"/>
      <c r="M23" s="83"/>
      <c r="N23" s="84"/>
      <c r="O23" s="83"/>
      <c r="P23" s="21"/>
      <c r="Q23" s="85"/>
      <c r="R23" s="21"/>
      <c r="S23" s="118"/>
      <c r="T23" s="119"/>
      <c r="U23" s="120">
        <f t="shared" si="5"/>
        <v>0</v>
      </c>
      <c r="V23" s="121"/>
      <c r="W23" s="120">
        <f t="shared" si="5"/>
        <v>0</v>
      </c>
      <c r="X23" s="119"/>
      <c r="Y23" s="133">
        <f t="shared" si="6"/>
        <v>0</v>
      </c>
    </row>
    <row r="24" spans="1:25" x14ac:dyDescent="0.25">
      <c r="A24" s="21" t="s">
        <v>37</v>
      </c>
      <c r="B24" s="21"/>
      <c r="C24" s="61"/>
      <c r="D24" s="62"/>
      <c r="E24" s="63">
        <f>'Summary Roster'!T25</f>
        <v>80</v>
      </c>
      <c r="F24" s="69">
        <f t="shared" si="3"/>
        <v>0.6</v>
      </c>
      <c r="G24" s="63">
        <f>'Summary Roster'!W24</f>
        <v>48</v>
      </c>
      <c r="H24" s="67"/>
      <c r="I24" s="70">
        <f t="shared" si="4"/>
        <v>48</v>
      </c>
      <c r="J24" s="92"/>
      <c r="K24" s="74"/>
      <c r="L24" s="76"/>
      <c r="M24" s="76">
        <f>'Summary Roster'!T25</f>
        <v>80</v>
      </c>
      <c r="N24" s="86">
        <f t="shared" ref="N24" si="7">IFERROR(O24/M24,0)</f>
        <v>0.6</v>
      </c>
      <c r="O24" s="76">
        <f>'Summary Roster'!W25</f>
        <v>48</v>
      </c>
      <c r="P24" s="76"/>
      <c r="Q24" s="78">
        <f t="shared" ref="Q24" si="8">O24-K24</f>
        <v>48</v>
      </c>
      <c r="R24" s="21"/>
      <c r="S24" s="118"/>
      <c r="T24" s="120"/>
      <c r="U24" s="120">
        <f t="shared" si="5"/>
        <v>0</v>
      </c>
      <c r="V24" s="127">
        <f t="shared" ref="V24" si="9">IFERROR(W24/U24,0)</f>
        <v>0</v>
      </c>
      <c r="W24" s="120">
        <f t="shared" si="5"/>
        <v>0</v>
      </c>
      <c r="X24" s="120"/>
      <c r="Y24" s="133">
        <f t="shared" si="6"/>
        <v>0</v>
      </c>
    </row>
    <row r="25" spans="1:25" x14ac:dyDescent="0.25">
      <c r="A25" s="21" t="s">
        <v>38</v>
      </c>
      <c r="B25" s="21"/>
      <c r="C25" s="61"/>
      <c r="D25" s="62"/>
      <c r="E25" s="63">
        <f>'Summary Roster'!T26</f>
        <v>0</v>
      </c>
      <c r="F25" s="69">
        <f t="shared" si="3"/>
        <v>0</v>
      </c>
      <c r="G25" s="63">
        <f>'Summary Roster'!W26</f>
        <v>0</v>
      </c>
      <c r="H25" s="67"/>
      <c r="I25" s="70">
        <f t="shared" si="4"/>
        <v>0</v>
      </c>
      <c r="J25" s="92"/>
      <c r="K25" s="82"/>
      <c r="L25" s="21"/>
      <c r="M25" s="83"/>
      <c r="N25" s="84"/>
      <c r="O25" s="83"/>
      <c r="P25" s="21"/>
      <c r="Q25" s="85"/>
      <c r="R25" s="21"/>
      <c r="S25" s="118"/>
      <c r="T25" s="119"/>
      <c r="U25" s="120">
        <f t="shared" si="5"/>
        <v>0</v>
      </c>
      <c r="V25" s="121"/>
      <c r="W25" s="120">
        <f t="shared" si="5"/>
        <v>0</v>
      </c>
      <c r="X25" s="119"/>
      <c r="Y25" s="133">
        <f t="shared" si="6"/>
        <v>0</v>
      </c>
    </row>
    <row r="26" spans="1:25" x14ac:dyDescent="0.25">
      <c r="A26" s="21"/>
      <c r="B26" s="21"/>
      <c r="C26" s="61"/>
      <c r="D26" s="62"/>
      <c r="E26" s="63"/>
      <c r="F26" s="62"/>
      <c r="G26" s="63"/>
      <c r="H26" s="62"/>
      <c r="I26" s="65"/>
      <c r="J26" s="92"/>
      <c r="K26" s="82"/>
      <c r="L26" s="21"/>
      <c r="M26" s="83"/>
      <c r="N26" s="21"/>
      <c r="O26" s="83"/>
      <c r="P26" s="21"/>
      <c r="Q26" s="85"/>
      <c r="R26" s="21"/>
      <c r="S26" s="118"/>
      <c r="T26" s="119"/>
      <c r="U26" s="120"/>
      <c r="V26" s="119"/>
      <c r="W26" s="120"/>
      <c r="X26" s="119"/>
      <c r="Y26" s="133"/>
    </row>
    <row r="27" spans="1:25" x14ac:dyDescent="0.25">
      <c r="A27" s="22" t="s">
        <v>39</v>
      </c>
      <c r="B27" s="21"/>
      <c r="C27" s="61"/>
      <c r="D27" s="62"/>
      <c r="E27" s="15">
        <f>SUBTOTAL(9,E19:E26)</f>
        <v>80</v>
      </c>
      <c r="F27" s="67"/>
      <c r="G27" s="15">
        <f>SUBTOTAL(9,G19:G26)</f>
        <v>48</v>
      </c>
      <c r="H27" s="67"/>
      <c r="I27" s="15">
        <f>SUBTOTAL(9,I19:I26)</f>
        <v>48</v>
      </c>
      <c r="J27" s="102"/>
      <c r="K27" s="103"/>
      <c r="L27" s="75"/>
      <c r="M27" s="13">
        <f>SUBTOTAL(9,M19:M26)</f>
        <v>80</v>
      </c>
      <c r="N27" s="75"/>
      <c r="O27" s="13">
        <f>SUBTOTAL(9,O19:O26)</f>
        <v>48</v>
      </c>
      <c r="P27" s="75"/>
      <c r="Q27" s="81">
        <f>SUBTOTAL(9,Q19:Q26)</f>
        <v>48</v>
      </c>
      <c r="R27" s="21"/>
      <c r="S27" s="128"/>
      <c r="T27" s="119"/>
      <c r="U27" s="125">
        <f>SUBTOTAL(9,U19:U26)</f>
        <v>0</v>
      </c>
      <c r="V27" s="119"/>
      <c r="W27" s="125">
        <f>SUBTOTAL(9,W19:W26)</f>
        <v>0</v>
      </c>
      <c r="X27" s="119"/>
      <c r="Y27" s="126">
        <f>SUBTOTAL(9,Y19:Y26)</f>
        <v>0</v>
      </c>
    </row>
    <row r="28" spans="1:25" ht="15.75" thickBot="1" x14ac:dyDescent="0.3">
      <c r="A28" s="21"/>
      <c r="B28" s="21"/>
      <c r="C28" s="61"/>
      <c r="D28" s="62"/>
      <c r="E28" s="63"/>
      <c r="F28" s="62"/>
      <c r="G28" s="63"/>
      <c r="H28" s="62"/>
      <c r="I28" s="65"/>
      <c r="J28" s="21"/>
      <c r="K28" s="74"/>
      <c r="L28" s="75"/>
      <c r="M28" s="76"/>
      <c r="N28" s="75"/>
      <c r="O28" s="76"/>
      <c r="P28" s="75"/>
      <c r="Q28" s="78"/>
      <c r="R28" s="21"/>
      <c r="S28" s="118"/>
      <c r="T28" s="119"/>
      <c r="U28" s="120"/>
      <c r="V28" s="119"/>
      <c r="W28" s="120"/>
      <c r="X28" s="119"/>
      <c r="Y28" s="122"/>
    </row>
    <row r="29" spans="1:25" ht="15.75" thickBot="1" x14ac:dyDescent="0.3">
      <c r="A29" s="22" t="s">
        <v>155</v>
      </c>
      <c r="B29" s="21"/>
      <c r="C29" s="61"/>
      <c r="D29" s="62"/>
      <c r="E29" s="15">
        <f>SUBTOTAL(9,E15:E28)</f>
        <v>2751</v>
      </c>
      <c r="F29" s="62"/>
      <c r="G29" s="15">
        <f>SUBTOTAL(9,G15:G28)</f>
        <v>241156</v>
      </c>
      <c r="H29" s="62"/>
      <c r="I29" s="16">
        <f>SUBTOTAL(9,I15:I28)</f>
        <v>238644.799</v>
      </c>
      <c r="J29" s="21"/>
      <c r="K29" s="74"/>
      <c r="L29" s="75"/>
      <c r="M29" s="13">
        <f>SUBTOTAL(9,M15:M28)</f>
        <v>574</v>
      </c>
      <c r="N29" s="75"/>
      <c r="O29" s="76">
        <f>SUBTOTAL(9,O15:O28)</f>
        <v>542</v>
      </c>
      <c r="P29" s="75"/>
      <c r="Q29" s="17">
        <f>SUBTOTAL(9,Q15:Q28)</f>
        <v>29.180000000000064</v>
      </c>
      <c r="R29" s="21"/>
      <c r="S29" s="118"/>
      <c r="T29" s="119"/>
      <c r="U29" s="125">
        <f>SUBTOTAL(9,U15:U28)</f>
        <v>2177</v>
      </c>
      <c r="V29" s="119"/>
      <c r="W29" s="120">
        <f>SUBTOTAL(9,W15:W28)</f>
        <v>240614</v>
      </c>
      <c r="X29" s="119"/>
      <c r="Y29" s="129">
        <f>SUBTOTAL(9,Y15:Y28)</f>
        <v>238615.61900000001</v>
      </c>
    </row>
    <row r="30" spans="1:25" ht="30.75" customHeight="1" x14ac:dyDescent="0.25">
      <c r="A30" s="158" t="s">
        <v>40</v>
      </c>
      <c r="B30" s="159"/>
      <c r="C30" s="105"/>
      <c r="D30" s="106"/>
      <c r="E30" s="106"/>
      <c r="F30" s="106"/>
      <c r="G30" s="106"/>
      <c r="H30" s="106"/>
      <c r="I30" s="107">
        <f>I29/8</f>
        <v>29830.599875</v>
      </c>
      <c r="J30" s="108"/>
      <c r="K30" s="109"/>
      <c r="L30" s="110"/>
      <c r="M30" s="110"/>
      <c r="N30" s="110"/>
      <c r="O30" s="110"/>
      <c r="P30" s="110"/>
      <c r="Q30" s="111">
        <f>Q29/8</f>
        <v>3.647500000000008</v>
      </c>
      <c r="R30" s="21"/>
      <c r="S30" s="130"/>
      <c r="T30" s="131"/>
      <c r="U30" s="131"/>
      <c r="V30" s="131"/>
      <c r="W30" s="131"/>
      <c r="X30" s="131"/>
      <c r="Y30" s="132">
        <f>Y29/8</f>
        <v>29826.952375000001</v>
      </c>
    </row>
    <row r="31" spans="1:25" ht="15.75" thickBot="1" x14ac:dyDescent="0.3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spans="1:25" x14ac:dyDescent="0.25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</sheetData>
  <mergeCells count="4">
    <mergeCell ref="A30:B30"/>
    <mergeCell ref="S10:Y11"/>
    <mergeCell ref="C10:I11"/>
    <mergeCell ref="K10:Q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F1ED-6052-43E2-AE4C-E1100C2F4761}">
  <sheetPr>
    <tabColor theme="5" tint="-0.249977111117893"/>
  </sheetPr>
  <dimension ref="A1:P20"/>
  <sheetViews>
    <sheetView zoomScale="130" zoomScaleNormal="130" workbookViewId="0">
      <selection activeCell="K17" sqref="K17"/>
    </sheetView>
  </sheetViews>
  <sheetFormatPr defaultRowHeight="15" x14ac:dyDescent="0.25"/>
  <cols>
    <col min="1" max="1" width="9.140625" customWidth="1"/>
    <col min="2" max="2" width="9.140625" bestFit="1" customWidth="1"/>
    <col min="3" max="3" width="11.5703125" customWidth="1"/>
    <col min="4" max="4" width="10.85546875" bestFit="1" customWidth="1"/>
    <col min="5" max="5" width="10" customWidth="1"/>
    <col min="6" max="6" width="9.85546875" bestFit="1" customWidth="1"/>
    <col min="7" max="7" width="9.85546875" customWidth="1"/>
    <col min="8" max="8" width="11.140625" customWidth="1"/>
    <col min="9" max="10" width="9.85546875" bestFit="1" customWidth="1"/>
    <col min="11" max="11" width="9.140625" bestFit="1" customWidth="1"/>
    <col min="12" max="12" width="9.85546875" bestFit="1" customWidth="1"/>
    <col min="13" max="13" width="10.140625" customWidth="1"/>
  </cols>
  <sheetData>
    <row r="1" spans="1:16" ht="21" x14ac:dyDescent="0.35">
      <c r="A1" t="s">
        <v>114</v>
      </c>
      <c r="C1" s="38" t="str">
        <f>'Primary Inputs'!$B$5</f>
        <v>Christadelphian Aged Care</v>
      </c>
    </row>
    <row r="2" spans="1:16" ht="15" customHeight="1" x14ac:dyDescent="0.25">
      <c r="M2" s="155"/>
    </row>
    <row r="3" spans="1:16" x14ac:dyDescent="0.25">
      <c r="A3" t="s">
        <v>115</v>
      </c>
      <c r="M3" s="155"/>
    </row>
    <row r="4" spans="1:16" x14ac:dyDescent="0.25">
      <c r="M4" s="155"/>
      <c r="P4" t="s">
        <v>170</v>
      </c>
    </row>
    <row r="5" spans="1:16" x14ac:dyDescent="0.25">
      <c r="M5" s="155"/>
    </row>
    <row r="6" spans="1:16" ht="60" x14ac:dyDescent="0.25">
      <c r="A6" s="14" t="s">
        <v>21</v>
      </c>
      <c r="B6" s="14" t="s">
        <v>159</v>
      </c>
      <c r="C6" s="14" t="s">
        <v>164</v>
      </c>
      <c r="D6" s="14" t="s">
        <v>167</v>
      </c>
      <c r="E6" s="14" t="s">
        <v>166</v>
      </c>
      <c r="F6" s="14"/>
      <c r="G6" s="14" t="s">
        <v>165</v>
      </c>
      <c r="H6" s="14" t="s">
        <v>168</v>
      </c>
      <c r="I6" s="14" t="s">
        <v>169</v>
      </c>
      <c r="M6" s="26" t="s">
        <v>174</v>
      </c>
      <c r="P6" s="1" t="s">
        <v>171</v>
      </c>
    </row>
    <row r="7" spans="1:16" x14ac:dyDescent="0.25">
      <c r="A7" s="11" t="str">
        <f>'Primary Inputs'!C9</f>
        <v>Used for RNs only</v>
      </c>
      <c r="B7">
        <v>99</v>
      </c>
      <c r="C7" s="137">
        <v>217.42</v>
      </c>
      <c r="D7" s="52">
        <f>B7*C7</f>
        <v>21524.579999999998</v>
      </c>
      <c r="E7" s="52">
        <f>D7/60</f>
        <v>358.74299999999999</v>
      </c>
      <c r="F7" s="157">
        <f>E7*7</f>
        <v>2511.201</v>
      </c>
      <c r="G7" s="137">
        <v>44.4</v>
      </c>
      <c r="H7" s="52">
        <f>B7*G7</f>
        <v>4395.5999999999995</v>
      </c>
      <c r="I7" s="52">
        <f>H7/60</f>
        <v>73.259999999999991</v>
      </c>
      <c r="J7" s="157">
        <f>I7*7</f>
        <v>512.81999999999994</v>
      </c>
      <c r="M7" s="138">
        <v>0</v>
      </c>
      <c r="P7" s="140">
        <f>'AN-ACC Worksheet'!H30</f>
        <v>207.56565656565655</v>
      </c>
    </row>
    <row r="8" spans="1:16" x14ac:dyDescent="0.25">
      <c r="A8" s="11" t="str">
        <f>'Primary Inputs'!C10</f>
        <v>Used for Carers Only</v>
      </c>
      <c r="B8">
        <f>'Primary Inputs'!E10-M8</f>
        <v>0</v>
      </c>
      <c r="C8" s="12">
        <f>$C$7</f>
        <v>217.42</v>
      </c>
      <c r="D8" s="52">
        <f t="shared" ref="D8:D9" si="0">B8*C8</f>
        <v>0</v>
      </c>
      <c r="E8" s="52">
        <f t="shared" ref="E8:E9" si="1">D8/60</f>
        <v>0</v>
      </c>
      <c r="F8" s="12"/>
      <c r="G8" s="12">
        <f>$G$7</f>
        <v>44.4</v>
      </c>
      <c r="H8" s="52">
        <f t="shared" ref="H8:H9" si="2">B8*G8</f>
        <v>0</v>
      </c>
      <c r="I8" s="52">
        <f t="shared" ref="I8:I9" si="3">H8/60</f>
        <v>0</v>
      </c>
      <c r="M8" s="138">
        <v>0</v>
      </c>
      <c r="P8" s="140" t="e">
        <f>'AN-ACC Worksheet'!H56</f>
        <v>#DIV/0!</v>
      </c>
    </row>
    <row r="9" spans="1:16" x14ac:dyDescent="0.25">
      <c r="A9" s="11" t="str">
        <f>'Primary Inputs'!C11</f>
        <v>Hidden</v>
      </c>
      <c r="B9">
        <f>'Primary Inputs'!E11-M9</f>
        <v>0</v>
      </c>
      <c r="C9" s="12">
        <f>$C$7</f>
        <v>217.42</v>
      </c>
      <c r="D9" s="52">
        <f t="shared" si="0"/>
        <v>0</v>
      </c>
      <c r="E9" s="52">
        <f t="shared" si="1"/>
        <v>0</v>
      </c>
      <c r="F9" s="12"/>
      <c r="G9" s="12">
        <f>$G$7</f>
        <v>44.4</v>
      </c>
      <c r="H9" s="52">
        <f t="shared" si="2"/>
        <v>0</v>
      </c>
      <c r="I9" s="52">
        <f t="shared" si="3"/>
        <v>0</v>
      </c>
      <c r="M9" s="138">
        <v>0</v>
      </c>
      <c r="P9" s="140" t="e">
        <f>'AN-ACC Worksheet'!H82</f>
        <v>#DIV/0!</v>
      </c>
    </row>
    <row r="10" spans="1:16" x14ac:dyDescent="0.25">
      <c r="A10" s="11"/>
      <c r="C10" s="12"/>
      <c r="D10" s="52"/>
      <c r="E10" s="52"/>
      <c r="F10" s="12"/>
      <c r="G10" s="12"/>
      <c r="H10" s="52"/>
      <c r="I10" s="52"/>
    </row>
    <row r="11" spans="1:16" x14ac:dyDescent="0.25">
      <c r="A11" s="11"/>
      <c r="C11" s="12"/>
      <c r="D11" s="52"/>
      <c r="E11" s="52"/>
      <c r="F11" s="12"/>
      <c r="G11" s="12"/>
      <c r="H11" s="52"/>
      <c r="I11" s="52"/>
    </row>
    <row r="12" spans="1:16" x14ac:dyDescent="0.25">
      <c r="B12" s="52"/>
      <c r="C12" s="12"/>
      <c r="D12" s="52"/>
      <c r="E12" s="52"/>
      <c r="F12" s="12"/>
      <c r="G12" s="12"/>
      <c r="H12" s="52"/>
      <c r="I12" s="52"/>
    </row>
    <row r="13" spans="1:16" x14ac:dyDescent="0.25">
      <c r="A13" s="1" t="s">
        <v>31</v>
      </c>
      <c r="B13" s="18">
        <f>SUM(B7:B12)</f>
        <v>99</v>
      </c>
      <c r="C13" s="19"/>
      <c r="D13" s="18">
        <f>SUM(D7:D12)</f>
        <v>21524.579999999998</v>
      </c>
      <c r="E13" s="18">
        <f>SUM(E7:E12)</f>
        <v>358.74299999999999</v>
      </c>
      <c r="F13" s="19"/>
      <c r="G13" s="19"/>
      <c r="H13" s="18">
        <f>SUM(H7:H12)</f>
        <v>4395.5999999999995</v>
      </c>
      <c r="I13" s="18">
        <f>SUM(I7:I12)</f>
        <v>73.259999999999991</v>
      </c>
      <c r="P13" t="e">
        <f>AVERAGE(P7:P9)</f>
        <v>#DIV/0!</v>
      </c>
    </row>
    <row r="14" spans="1:16" x14ac:dyDescent="0.25">
      <c r="A14" s="1" t="s">
        <v>130</v>
      </c>
      <c r="D14" s="19">
        <f>D13/$B13</f>
        <v>217.42</v>
      </c>
      <c r="H14" s="19">
        <f>H13/$B13</f>
        <v>44.399999999999991</v>
      </c>
    </row>
    <row r="18" spans="2:7" x14ac:dyDescent="0.25">
      <c r="B18" s="156"/>
      <c r="C18" s="156" t="s">
        <v>193</v>
      </c>
      <c r="D18" s="156"/>
      <c r="E18" s="156"/>
      <c r="F18" s="156"/>
      <c r="G18" s="156" t="s">
        <v>193</v>
      </c>
    </row>
    <row r="19" spans="2:7" x14ac:dyDescent="0.25">
      <c r="B19" s="156"/>
      <c r="C19" s="156">
        <v>205.14</v>
      </c>
      <c r="D19" s="156"/>
      <c r="E19" s="156"/>
      <c r="F19" s="156"/>
      <c r="G19" s="156">
        <v>40.71</v>
      </c>
    </row>
    <row r="20" spans="2:7" x14ac:dyDescent="0.25">
      <c r="B20" s="156" t="s">
        <v>194</v>
      </c>
      <c r="C20" s="157">
        <f>C7/C19</f>
        <v>1.0598615579604174</v>
      </c>
      <c r="D20" s="156"/>
      <c r="E20" s="156"/>
      <c r="F20" s="156" t="s">
        <v>194</v>
      </c>
      <c r="G20" s="157">
        <f>G7/G19</f>
        <v>1.0906411201179071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B25F-3475-421F-82E1-3FEEC6E0E7CA}">
  <sheetPr>
    <tabColor rgb="FF002060"/>
    <outlinePr showOutlineSymbols="0"/>
  </sheetPr>
  <dimension ref="A1:AW30"/>
  <sheetViews>
    <sheetView showOutlineSymbols="0" zoomScale="85" zoomScaleNormal="85" workbookViewId="0">
      <selection activeCell="W37" sqref="W37"/>
    </sheetView>
  </sheetViews>
  <sheetFormatPr defaultRowHeight="15" outlineLevelRow="3" outlineLevelCol="2" x14ac:dyDescent="0.25"/>
  <cols>
    <col min="1" max="1" width="13.85546875" customWidth="1"/>
    <col min="2" max="2" width="11.140625" customWidth="1"/>
    <col min="3" max="3" width="13.140625" customWidth="1"/>
    <col min="4" max="4" width="0" hidden="1" customWidth="1"/>
    <col min="5" max="10" width="9.140625" hidden="1" customWidth="1" outlineLevel="1"/>
    <col min="11" max="11" width="10.140625" hidden="1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  <col min="25" max="29" width="9" hidden="1" customWidth="1" outlineLevel="2"/>
    <col min="30" max="30" width="0" hidden="1" customWidth="1"/>
    <col min="31" max="31" width="1.5703125" hidden="1" customWidth="1"/>
    <col min="32" max="40" width="9" hidden="1" customWidth="1" outlineLevel="1"/>
    <col min="41" max="41" width="1.5703125" hidden="1" customWidth="1" outlineLevel="1"/>
    <col min="42" max="48" width="9" hidden="1" customWidth="1" outlineLevel="1"/>
    <col min="49" max="49" width="9.140625" collapsed="1"/>
  </cols>
  <sheetData>
    <row r="1" spans="1:48" ht="23.25" x14ac:dyDescent="0.35">
      <c r="A1" s="37" t="str">
        <f>'Primary Inputs'!$B$5</f>
        <v>Christadelphian Aged Care</v>
      </c>
    </row>
    <row r="3" spans="1:48" x14ac:dyDescent="0.25">
      <c r="A3" s="1" t="s">
        <v>42</v>
      </c>
    </row>
    <row r="4" spans="1:48" x14ac:dyDescent="0.25">
      <c r="A4" s="1"/>
    </row>
    <row r="5" spans="1:4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48" x14ac:dyDescent="0.25">
      <c r="A6" s="1" t="str">
        <f>'Primary Inputs'!A9</f>
        <v>G1</v>
      </c>
      <c r="B6" t="str">
        <f>VLOOKUP($A6,'Primary Inputs'!$A$9:$J$13,2,FALSE)</f>
        <v>Ashburn House</v>
      </c>
      <c r="C6" t="str">
        <f>VLOOKUP($A6,'Primary Inputs'!$A$9:$J$13,3,FALSE)</f>
        <v>Used for RNs only</v>
      </c>
      <c r="D6" t="str">
        <f>VLOOKUP($A6,'Primary Inputs'!$A$9:$J$13,4,FALSE)</f>
        <v>N/A</v>
      </c>
      <c r="E6">
        <f>VLOOKUP($A6,'Primary Inputs'!$A$9:$J$13,5,FALSE)</f>
        <v>99</v>
      </c>
    </row>
    <row r="7" spans="1:48" x14ac:dyDescent="0.25">
      <c r="A7" s="1"/>
    </row>
    <row r="8" spans="1:48" ht="15" customHeight="1" x14ac:dyDescent="0.25">
      <c r="X8" s="6"/>
      <c r="Y8" s="1"/>
      <c r="Z8" s="1"/>
      <c r="AA8" s="1"/>
      <c r="AB8" s="1"/>
      <c r="AC8" s="1"/>
      <c r="AD8" s="1"/>
      <c r="AE8" s="26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  <c r="Y9" s="1"/>
      <c r="Z9" s="1"/>
      <c r="AA9" s="1"/>
      <c r="AB9" s="1"/>
      <c r="AC9" s="1"/>
      <c r="AD9" s="1"/>
      <c r="AE9" s="26"/>
      <c r="AF9" s="1"/>
      <c r="AG9" s="1"/>
      <c r="AH9" s="1" t="s">
        <v>45</v>
      </c>
      <c r="AI9" s="1"/>
      <c r="AJ9" s="1"/>
      <c r="AK9" s="1"/>
      <c r="AL9" s="1"/>
      <c r="AM9" s="1"/>
      <c r="AN9" s="1"/>
      <c r="AO9" s="1"/>
      <c r="AP9" s="1" t="s">
        <v>46</v>
      </c>
      <c r="AQ9" s="1"/>
      <c r="AR9" s="1"/>
      <c r="AS9" s="1"/>
      <c r="AT9" s="1"/>
      <c r="AU9" s="1"/>
      <c r="AV9" s="1"/>
    </row>
    <row r="10" spans="1:48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  <c r="Y10" s="27" t="s">
        <v>65</v>
      </c>
      <c r="Z10" s="27" t="s">
        <v>66</v>
      </c>
      <c r="AA10" s="27" t="s">
        <v>67</v>
      </c>
      <c r="AB10" s="27" t="s">
        <v>68</v>
      </c>
      <c r="AC10" s="27" t="s">
        <v>69</v>
      </c>
      <c r="AD10" s="27" t="s">
        <v>70</v>
      </c>
      <c r="AE10" s="27"/>
      <c r="AF10" s="27" t="s">
        <v>71</v>
      </c>
      <c r="AG10" s="27" t="s">
        <v>72</v>
      </c>
      <c r="AH10" s="27" t="s">
        <v>56</v>
      </c>
      <c r="AI10" s="27" t="s">
        <v>57</v>
      </c>
      <c r="AJ10" s="27" t="s">
        <v>58</v>
      </c>
      <c r="AK10" s="27" t="s">
        <v>59</v>
      </c>
      <c r="AL10" s="27" t="s">
        <v>60</v>
      </c>
      <c r="AM10" s="27" t="s">
        <v>61</v>
      </c>
      <c r="AN10" s="27" t="s">
        <v>62</v>
      </c>
      <c r="AO10" s="27"/>
      <c r="AP10" s="27" t="s">
        <v>56</v>
      </c>
      <c r="AQ10" s="27" t="s">
        <v>57</v>
      </c>
      <c r="AR10" s="27" t="s">
        <v>58</v>
      </c>
      <c r="AS10" s="27" t="s">
        <v>59</v>
      </c>
      <c r="AT10" s="27" t="s">
        <v>60</v>
      </c>
      <c r="AU10" s="27" t="s">
        <v>61</v>
      </c>
      <c r="AV10" s="27" t="s">
        <v>62</v>
      </c>
    </row>
    <row r="11" spans="1:48" x14ac:dyDescent="0.25">
      <c r="T11" s="6"/>
      <c r="U11" s="6"/>
    </row>
    <row r="12" spans="1:48" x14ac:dyDescent="0.25">
      <c r="A12" s="1" t="str">
        <f>"TOTAL "&amp;$C$6&amp;" ROSTER"</f>
        <v>TOTAL Used for RNs only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396.5</v>
      </c>
      <c r="M12" s="28">
        <f t="shared" ref="M12:T12" si="0">SUBTOTAL(9,M13:M28)</f>
        <v>404</v>
      </c>
      <c r="N12" s="28">
        <f t="shared" si="0"/>
        <v>396.5</v>
      </c>
      <c r="O12" s="28">
        <f t="shared" si="0"/>
        <v>396.5</v>
      </c>
      <c r="P12" s="28">
        <f t="shared" si="0"/>
        <v>396.5</v>
      </c>
      <c r="Q12" s="28">
        <f t="shared" si="0"/>
        <v>380.5</v>
      </c>
      <c r="R12" s="28">
        <f t="shared" si="0"/>
        <v>380.5</v>
      </c>
      <c r="S12" s="28"/>
      <c r="T12" s="28">
        <f t="shared" si="0"/>
        <v>2751</v>
      </c>
      <c r="U12" s="29"/>
      <c r="V12" s="25">
        <f>IFERROR(W12/T12,0)</f>
        <v>0.98836786623046169</v>
      </c>
      <c r="W12" s="28">
        <f t="shared" ref="W12" si="1">SUBTOTAL(9,W13:W28)</f>
        <v>2719</v>
      </c>
      <c r="X12" s="2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380.5</v>
      </c>
      <c r="M13" s="28">
        <f t="shared" ref="M13:T13" si="2">SUBTOTAL(9,M14:M15)</f>
        <v>388</v>
      </c>
      <c r="N13" s="28">
        <f t="shared" si="2"/>
        <v>380.5</v>
      </c>
      <c r="O13" s="28">
        <f t="shared" si="2"/>
        <v>380.5</v>
      </c>
      <c r="P13" s="28">
        <f t="shared" si="2"/>
        <v>380.5</v>
      </c>
      <c r="Q13" s="28">
        <f t="shared" si="2"/>
        <v>380.5</v>
      </c>
      <c r="R13" s="28">
        <f t="shared" si="2"/>
        <v>380.5</v>
      </c>
      <c r="S13" s="28"/>
      <c r="T13" s="28">
        <f t="shared" si="2"/>
        <v>2671</v>
      </c>
      <c r="U13" s="29"/>
      <c r="V13" s="25">
        <f>IFERROR(W13/T13,0)</f>
        <v>1</v>
      </c>
      <c r="W13" s="28">
        <f t="shared" ref="W13" si="3">SUBTOTAL(9,W14:W15)</f>
        <v>2671</v>
      </c>
      <c r="X13" s="28"/>
    </row>
    <row r="14" spans="1:48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>'Roster - G1 - RN'!L14+'Roster - G2 - Carer'!L14+'Roster - G3 - Ward 3'!L14+'Roster - G4 - Services'!L14+'Roster - G5 - Mgmt'!L14</f>
        <v>69.5</v>
      </c>
      <c r="M14" s="30">
        <f>'Roster - G1 - RN'!M14+'Roster - G2 - Carer'!M14+'Roster - G3 - Ward 3'!M14+'Roster - G4 - Services'!M14+'Roster - G5 - Mgmt'!M14</f>
        <v>77</v>
      </c>
      <c r="N14" s="30">
        <f>'Roster - G1 - RN'!N14+'Roster - G2 - Carer'!N14+'Roster - G3 - Ward 3'!N14+'Roster - G4 - Services'!N14+'Roster - G5 - Mgmt'!N14</f>
        <v>69.5</v>
      </c>
      <c r="O14" s="30">
        <f>'Roster - G1 - RN'!O14+'Roster - G2 - Carer'!O14+'Roster - G3 - Ward 3'!O14+'Roster - G4 - Services'!O14+'Roster - G5 - Mgmt'!O14</f>
        <v>69.5</v>
      </c>
      <c r="P14" s="30">
        <f>'Roster - G1 - RN'!P14+'Roster - G2 - Carer'!P14+'Roster - G3 - Ward 3'!P14+'Roster - G4 - Services'!P14+'Roster - G5 - Mgmt'!P14</f>
        <v>69.5</v>
      </c>
      <c r="Q14" s="30">
        <f>'Roster - G1 - RN'!Q14+'Roster - G2 - Carer'!Q14+'Roster - G3 - Ward 3'!Q14+'Roster - G4 - Services'!Q14+'Roster - G5 - Mgmt'!Q14</f>
        <v>69.5</v>
      </c>
      <c r="R14" s="30">
        <f>'Roster - G1 - RN'!R14+'Roster - G2 - Carer'!R14+'Roster - G3 - Ward 3'!R14+'Roster - G4 - Services'!R14+'Roster - G5 - Mgmt'!R14</f>
        <v>69.5</v>
      </c>
      <c r="S14" s="28"/>
      <c r="T14" s="32">
        <f>SUM(L14:R14)</f>
        <v>494</v>
      </c>
      <c r="U14" s="32"/>
      <c r="V14" s="3">
        <f t="shared" ref="V14:V15" si="4">IFERROR(W14/T14,0)</f>
        <v>1</v>
      </c>
      <c r="W14" s="32">
        <f>'Roster - G1 - RN'!W14+'Roster - G2 - Carer'!W14+'Roster - G3 - Ward 3'!W14+'Roster - G4 - Services'!W14+'Roster - G5 - Mgmt'!W14</f>
        <v>494</v>
      </c>
      <c r="X14" s="32"/>
    </row>
    <row r="15" spans="1:48" outlineLevel="3" x14ac:dyDescent="0.25">
      <c r="A15" s="39" t="s">
        <v>75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>'Roster - G1 - RN'!L15+'Roster - G2 - Carer'!L15+'Roster - G3 - Ward 3'!L15+'Roster - G4 - Services'!L15+'Roster - G5 - Mgmt'!L15</f>
        <v>311</v>
      </c>
      <c r="M15" s="30">
        <f>'Roster - G1 - RN'!M15+'Roster - G2 - Carer'!M15+'Roster - G3 - Ward 3'!M15+'Roster - G4 - Services'!M15+'Roster - G5 - Mgmt'!M15</f>
        <v>311</v>
      </c>
      <c r="N15" s="30">
        <f>'Roster - G1 - RN'!N15+'Roster - G2 - Carer'!N15+'Roster - G3 - Ward 3'!N15+'Roster - G4 - Services'!N15+'Roster - G5 - Mgmt'!N15</f>
        <v>311</v>
      </c>
      <c r="O15" s="30">
        <f>'Roster - G1 - RN'!O15+'Roster - G2 - Carer'!O15+'Roster - G3 - Ward 3'!O15+'Roster - G4 - Services'!O15+'Roster - G5 - Mgmt'!O15</f>
        <v>311</v>
      </c>
      <c r="P15" s="30">
        <f>'Roster - G1 - RN'!P15+'Roster - G2 - Carer'!P15+'Roster - G3 - Ward 3'!P15+'Roster - G4 - Services'!P15+'Roster - G5 - Mgmt'!P15</f>
        <v>311</v>
      </c>
      <c r="Q15" s="30">
        <f>'Roster - G1 - RN'!Q15+'Roster - G2 - Carer'!Q15+'Roster - G3 - Ward 3'!Q15+'Roster - G4 - Services'!Q15+'Roster - G5 - Mgmt'!Q15</f>
        <v>311</v>
      </c>
      <c r="R15" s="30">
        <f>'Roster - G1 - RN'!R15+'Roster - G2 - Carer'!R15+'Roster - G3 - Ward 3'!R15+'Roster - G4 - Services'!R15+'Roster - G5 - Mgmt'!R15</f>
        <v>311</v>
      </c>
      <c r="S15" s="33"/>
      <c r="T15" s="32">
        <f>SUM(L15:R15)</f>
        <v>2177</v>
      </c>
      <c r="U15" s="34"/>
      <c r="V15" s="3">
        <f t="shared" si="4"/>
        <v>1</v>
      </c>
      <c r="W15" s="32">
        <f>'Roster - G1 - RN'!W15+'Roster - G2 - Carer'!W15+'Roster - G3 - Ward 3'!W15+'Roster - G4 - Services'!W15+'Roster - G5 - Mgmt'!W15</f>
        <v>2177</v>
      </c>
      <c r="X15" s="32"/>
    </row>
    <row r="16" spans="1:48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48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>'Roster - G1 - RN'!L17+'Roster - G2 - Carer'!L17+'Roster - G3 - Ward 3'!L17+'Roster - G4 - Services'!L17+'Roster - G5 - Mgmt'!L17</f>
        <v>0</v>
      </c>
      <c r="M17" s="30">
        <f>'Roster - G1 - RN'!M17+'Roster - G2 - Carer'!M17+'Roster - G3 - Ward 3'!M17+'Roster - G4 - Services'!M17+'Roster - G5 - Mgmt'!M17</f>
        <v>0</v>
      </c>
      <c r="N17" s="30">
        <f>'Roster - G1 - RN'!N17+'Roster - G2 - Carer'!N17+'Roster - G3 - Ward 3'!N17+'Roster - G4 - Services'!N17+'Roster - G5 - Mgmt'!N17</f>
        <v>0</v>
      </c>
      <c r="O17" s="30">
        <f>'Roster - G1 - RN'!O17+'Roster - G2 - Carer'!O17+'Roster - G3 - Ward 3'!O17+'Roster - G4 - Services'!O17+'Roster - G5 - Mgmt'!O17</f>
        <v>0</v>
      </c>
      <c r="P17" s="30">
        <f>'Roster - G1 - RN'!P17+'Roster - G2 - Carer'!P17+'Roster - G3 - Ward 3'!P17+'Roster - G4 - Services'!P17+'Roster - G5 - Mgmt'!P17</f>
        <v>0</v>
      </c>
      <c r="Q17" s="30">
        <f>'Roster - G1 - RN'!Q17+'Roster - G2 - Carer'!Q17+'Roster - G3 - Ward 3'!Q17+'Roster - G4 - Services'!Q17+'Roster - G5 - Mgmt'!Q17</f>
        <v>0</v>
      </c>
      <c r="R17" s="30">
        <f>'Roster - G1 - RN'!R17+'Roster - G2 - Carer'!R17+'Roster - G3 - Ward 3'!R17+'Roster - G4 - Services'!R17+'Roster - G5 - Mgmt'!R17</f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'Roster - G1 - RN'!W17+'Roster - G2 - Carer'!W17+'Roster - G3 - Ward 3'!W17+'Roster - G4 - Services'!W17+'Roster - G5 - Mgmt'!W17</f>
        <v>0</v>
      </c>
      <c r="X17" s="31"/>
    </row>
    <row r="18" spans="1:48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48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5">SUBTOTAL(9,M20:M23)</f>
        <v>0</v>
      </c>
      <c r="N19" s="28">
        <f t="shared" si="5"/>
        <v>0</v>
      </c>
      <c r="O19" s="28">
        <f t="shared" si="5"/>
        <v>0</v>
      </c>
      <c r="P19" s="28">
        <f t="shared" si="5"/>
        <v>0</v>
      </c>
      <c r="Q19" s="28">
        <f t="shared" si="5"/>
        <v>0</v>
      </c>
      <c r="R19" s="28">
        <f t="shared" si="5"/>
        <v>0</v>
      </c>
      <c r="S19" s="28"/>
      <c r="T19" s="28">
        <f t="shared" si="5"/>
        <v>0</v>
      </c>
      <c r="U19" s="7"/>
      <c r="V19" s="25">
        <f>IFERROR(W19/T19,0)</f>
        <v>0</v>
      </c>
      <c r="W19" s="28">
        <f t="shared" ref="W19" si="6">SUBTOTAL(9,W20:W23)</f>
        <v>0</v>
      </c>
      <c r="X19" s="28"/>
    </row>
    <row r="20" spans="1:48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>'Roster - G1 - RN'!L20+'Roster - G2 - Carer'!L20+'Roster - G3 - Ward 3'!L20+'Roster - G4 - Services'!L20+'Roster - G5 - Mgmt'!L20</f>
        <v>0</v>
      </c>
      <c r="M20" s="30">
        <f>'Roster - G1 - RN'!M20+'Roster - G2 - Carer'!M20+'Roster - G3 - Ward 3'!M20+'Roster - G4 - Services'!M20+'Roster - G5 - Mgmt'!M20</f>
        <v>0</v>
      </c>
      <c r="N20" s="30">
        <f>'Roster - G1 - RN'!N20+'Roster - G2 - Carer'!N20+'Roster - G3 - Ward 3'!N20+'Roster - G4 - Services'!N20+'Roster - G5 - Mgmt'!N20</f>
        <v>0</v>
      </c>
      <c r="O20" s="30">
        <f>'Roster - G1 - RN'!O20+'Roster - G2 - Carer'!O20+'Roster - G3 - Ward 3'!O20+'Roster - G4 - Services'!O20+'Roster - G5 - Mgmt'!O20</f>
        <v>0</v>
      </c>
      <c r="P20" s="30">
        <f>'Roster - G1 - RN'!P20+'Roster - G2 - Carer'!P20+'Roster - G3 - Ward 3'!P20+'Roster - G4 - Services'!P20+'Roster - G5 - Mgmt'!P20</f>
        <v>0</v>
      </c>
      <c r="Q20" s="30">
        <f>'Roster - G1 - RN'!Q20+'Roster - G2 - Carer'!Q20+'Roster - G3 - Ward 3'!Q20+'Roster - G4 - Services'!Q20+'Roster - G5 - Mgmt'!Q20</f>
        <v>0</v>
      </c>
      <c r="R20" s="30">
        <f>'Roster - G1 - RN'!R20+'Roster - G2 - Carer'!R20+'Roster - G3 - Ward 3'!R20+'Roster - G4 - Services'!R20+'Roster - G5 - Mgmt'!R20</f>
        <v>0</v>
      </c>
      <c r="S20" s="8"/>
      <c r="T20" s="32">
        <f t="shared" ref="T20:T22" si="7">SUM(L20:R20)</f>
        <v>0</v>
      </c>
      <c r="U20" s="7"/>
      <c r="V20" s="3">
        <f t="shared" ref="V20:V26" si="8">IFERROR(W20/T20,0)</f>
        <v>0</v>
      </c>
      <c r="W20" s="32">
        <f>'Roster - G1 - RN'!W20+'Roster - G2 - Carer'!W20+'Roster - G3 - Ward 3'!W20+'Roster - G4 - Services'!W20+'Roster - G5 - Mgmt'!W20</f>
        <v>0</v>
      </c>
      <c r="X20" s="32"/>
    </row>
    <row r="21" spans="1:48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>'Roster - G1 - RN'!L21+'Roster - G2 - Carer'!L21+'Roster - G3 - Ward 3'!L21+'Roster - G4 - Services'!L21+'Roster - G5 - Mgmt'!L21</f>
        <v>0</v>
      </c>
      <c r="M21" s="30">
        <f>'Roster - G1 - RN'!M21+'Roster - G2 - Carer'!M21+'Roster - G3 - Ward 3'!M21+'Roster - G4 - Services'!M21+'Roster - G5 - Mgmt'!M21</f>
        <v>0</v>
      </c>
      <c r="N21" s="30">
        <f>'Roster - G1 - RN'!N21+'Roster - G2 - Carer'!N21+'Roster - G3 - Ward 3'!N21+'Roster - G4 - Services'!N21+'Roster - G5 - Mgmt'!N21</f>
        <v>0</v>
      </c>
      <c r="O21" s="30">
        <f>'Roster - G1 - RN'!O21+'Roster - G2 - Carer'!O21+'Roster - G3 - Ward 3'!O21+'Roster - G4 - Services'!O21+'Roster - G5 - Mgmt'!O21</f>
        <v>0</v>
      </c>
      <c r="P21" s="30">
        <f>'Roster - G1 - RN'!P21+'Roster - G2 - Carer'!P21+'Roster - G3 - Ward 3'!P21+'Roster - G4 - Services'!P21+'Roster - G5 - Mgmt'!P21</f>
        <v>0</v>
      </c>
      <c r="Q21" s="30">
        <f>'Roster - G1 - RN'!Q21+'Roster - G2 - Carer'!Q21+'Roster - G3 - Ward 3'!Q21+'Roster - G4 - Services'!Q21+'Roster - G5 - Mgmt'!Q21</f>
        <v>0</v>
      </c>
      <c r="R21" s="30">
        <f>'Roster - G1 - RN'!R21+'Roster - G2 - Carer'!R21+'Roster - G3 - Ward 3'!R21+'Roster - G4 - Services'!R21+'Roster - G5 - Mgmt'!R21</f>
        <v>0</v>
      </c>
      <c r="S21" s="8"/>
      <c r="T21" s="32">
        <f t="shared" si="7"/>
        <v>0</v>
      </c>
      <c r="U21" s="7"/>
      <c r="V21" s="3">
        <f t="shared" si="8"/>
        <v>0</v>
      </c>
      <c r="W21" s="32">
        <f>'Roster - G1 - RN'!W21+'Roster - G2 - Carer'!W21+'Roster - G3 - Ward 3'!W21+'Roster - G4 - Services'!W21+'Roster - G5 - Mgmt'!W21</f>
        <v>0</v>
      </c>
      <c r="X21" s="32"/>
    </row>
    <row r="22" spans="1:48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>'Roster - G1 - RN'!L22+'Roster - G2 - Carer'!L22+'Roster - G3 - Ward 3'!L22+'Roster - G4 - Services'!L22+'Roster - G5 - Mgmt'!L22</f>
        <v>0</v>
      </c>
      <c r="M22" s="30">
        <f>'Roster - G1 - RN'!M22+'Roster - G2 - Carer'!M22+'Roster - G3 - Ward 3'!M22+'Roster - G4 - Services'!M22+'Roster - G5 - Mgmt'!M22</f>
        <v>0</v>
      </c>
      <c r="N22" s="30">
        <f>'Roster - G1 - RN'!N22+'Roster - G2 - Carer'!N22+'Roster - G3 - Ward 3'!N22+'Roster - G4 - Services'!N22+'Roster - G5 - Mgmt'!N22</f>
        <v>0</v>
      </c>
      <c r="O22" s="30">
        <f>'Roster - G1 - RN'!O22+'Roster - G2 - Carer'!O22+'Roster - G3 - Ward 3'!O22+'Roster - G4 - Services'!O22+'Roster - G5 - Mgmt'!O22</f>
        <v>0</v>
      </c>
      <c r="P22" s="30">
        <f>'Roster - G1 - RN'!P22+'Roster - G2 - Carer'!P22+'Roster - G3 - Ward 3'!P22+'Roster - G4 - Services'!P22+'Roster - G5 - Mgmt'!P22</f>
        <v>0</v>
      </c>
      <c r="Q22" s="30">
        <f>'Roster - G1 - RN'!Q22+'Roster - G2 - Carer'!Q22+'Roster - G3 - Ward 3'!Q22+'Roster - G4 - Services'!Q22+'Roster - G5 - Mgmt'!Q22</f>
        <v>0</v>
      </c>
      <c r="R22" s="30">
        <f>'Roster - G1 - RN'!R22+'Roster - G2 - Carer'!R22+'Roster - G3 - Ward 3'!R22+'Roster - G4 - Services'!R22+'Roster - G5 - Mgmt'!R22</f>
        <v>0</v>
      </c>
      <c r="S22" s="8"/>
      <c r="T22" s="32">
        <f t="shared" si="7"/>
        <v>0</v>
      </c>
      <c r="U22" s="7"/>
      <c r="V22" s="3">
        <f t="shared" si="8"/>
        <v>0</v>
      </c>
      <c r="W22" s="32">
        <f>'Roster - G1 - RN'!W22+'Roster - G2 - Carer'!W22+'Roster - G3 - Ward 3'!W22+'Roster - G4 - Services'!W22+'Roster - G5 - Mgmt'!W22</f>
        <v>0</v>
      </c>
      <c r="X22" s="32"/>
    </row>
    <row r="23" spans="1:48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48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16</v>
      </c>
      <c r="M24" s="28">
        <f t="shared" ref="M24:W24" si="9">SUBTOTAL(9,M25:M27)</f>
        <v>16</v>
      </c>
      <c r="N24" s="28">
        <f t="shared" si="9"/>
        <v>16</v>
      </c>
      <c r="O24" s="28">
        <f t="shared" si="9"/>
        <v>16</v>
      </c>
      <c r="P24" s="28">
        <f t="shared" si="9"/>
        <v>16</v>
      </c>
      <c r="Q24" s="28">
        <f t="shared" si="9"/>
        <v>0</v>
      </c>
      <c r="R24" s="28">
        <f t="shared" si="9"/>
        <v>0</v>
      </c>
      <c r="S24" s="28"/>
      <c r="T24" s="28">
        <f t="shared" si="9"/>
        <v>80</v>
      </c>
      <c r="U24" s="7"/>
      <c r="V24" s="25">
        <f t="shared" si="8"/>
        <v>0.6</v>
      </c>
      <c r="W24" s="28">
        <f t="shared" si="9"/>
        <v>48</v>
      </c>
      <c r="X24" s="28"/>
    </row>
    <row r="25" spans="1:48" outlineLevel="2" x14ac:dyDescent="0.25">
      <c r="A25" s="39" t="s">
        <v>154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>'Roster - G1 - RN'!L25+'Roster - G2 - Carer'!L25+'Roster - G3 - Ward 3'!L25+'Roster - G4 - Services'!L25+'Roster - G5 - Mgmt'!L25</f>
        <v>16</v>
      </c>
      <c r="M25" s="30">
        <f>'Roster - G1 - RN'!M25+'Roster - G2 - Carer'!M25+'Roster - G3 - Ward 3'!M25+'Roster - G4 - Services'!M25+'Roster - G5 - Mgmt'!M25</f>
        <v>16</v>
      </c>
      <c r="N25" s="30">
        <f>'Roster - G1 - RN'!N25+'Roster - G2 - Carer'!N25+'Roster - G3 - Ward 3'!N25+'Roster - G4 - Services'!N25+'Roster - G5 - Mgmt'!N25</f>
        <v>16</v>
      </c>
      <c r="O25" s="30">
        <f>'Roster - G1 - RN'!O25+'Roster - G2 - Carer'!O25+'Roster - G3 - Ward 3'!O25+'Roster - G4 - Services'!O25+'Roster - G5 - Mgmt'!O25</f>
        <v>16</v>
      </c>
      <c r="P25" s="30">
        <f>'Roster - G1 - RN'!P25+'Roster - G2 - Carer'!P25+'Roster - G3 - Ward 3'!P25+'Roster - G4 - Services'!P25+'Roster - G5 - Mgmt'!P25</f>
        <v>16</v>
      </c>
      <c r="Q25" s="30">
        <f>'Roster - G1 - RN'!Q25+'Roster - G2 - Carer'!Q25+'Roster - G3 - Ward 3'!Q25+'Roster - G4 - Services'!Q25+'Roster - G5 - Mgmt'!Q25</f>
        <v>0</v>
      </c>
      <c r="R25" s="30">
        <f>'Roster - G1 - RN'!R25+'Roster - G2 - Carer'!R25+'Roster - G3 - Ward 3'!R25+'Roster - G4 - Services'!R25+'Roster - G5 - Mgmt'!R25</f>
        <v>0</v>
      </c>
      <c r="S25" s="8"/>
      <c r="T25" s="32">
        <f t="shared" ref="T25:T26" si="10">SUM(L25:R25)</f>
        <v>80</v>
      </c>
      <c r="U25" s="7"/>
      <c r="V25" s="3">
        <f t="shared" si="8"/>
        <v>0.6</v>
      </c>
      <c r="W25" s="32">
        <f>'Roster - G1 - RN'!W25+'Roster - G2 - Carer'!W25+'Roster - G3 - Ward 3'!W25+'Roster - G4 - Services'!W25+'Roster - G5 - Mgmt'!W25</f>
        <v>48</v>
      </c>
      <c r="X25" s="32"/>
    </row>
    <row r="26" spans="1:48" outlineLevel="2" x14ac:dyDescent="0.25">
      <c r="A26" s="39" t="s">
        <v>153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>'Roster - G1 - RN'!L26+'Roster - G2 - Carer'!L26+'Roster - G3 - Ward 3'!L26+'Roster - G4 - Services'!L26+'Roster - G5 - Mgmt'!L26</f>
        <v>0</v>
      </c>
      <c r="M26" s="30">
        <f>'Roster - G1 - RN'!M26+'Roster - G2 - Carer'!M26+'Roster - G3 - Ward 3'!M26+'Roster - G4 - Services'!M26+'Roster - G5 - Mgmt'!M26</f>
        <v>0</v>
      </c>
      <c r="N26" s="30">
        <f>'Roster - G1 - RN'!N26+'Roster - G2 - Carer'!N26+'Roster - G3 - Ward 3'!N26+'Roster - G4 - Services'!N26+'Roster - G5 - Mgmt'!N26</f>
        <v>0</v>
      </c>
      <c r="O26" s="30">
        <f>'Roster - G1 - RN'!O26+'Roster - G2 - Carer'!O26+'Roster - G3 - Ward 3'!O26+'Roster - G4 - Services'!O26+'Roster - G5 - Mgmt'!O26</f>
        <v>0</v>
      </c>
      <c r="P26" s="30">
        <f>'Roster - G1 - RN'!P26+'Roster - G2 - Carer'!P26+'Roster - G3 - Ward 3'!P26+'Roster - G4 - Services'!P26+'Roster - G5 - Mgmt'!P26</f>
        <v>0</v>
      </c>
      <c r="Q26" s="30">
        <f>'Roster - G1 - RN'!Q26+'Roster - G2 - Carer'!Q26+'Roster - G3 - Ward 3'!Q26+'Roster - G4 - Services'!Q26+'Roster - G5 - Mgmt'!Q26</f>
        <v>0</v>
      </c>
      <c r="R26" s="30">
        <f>'Roster - G1 - RN'!R26+'Roster - G2 - Carer'!R26+'Roster - G3 - Ward 3'!R26+'Roster - G4 - Services'!R26+'Roster - G5 - Mgmt'!R26</f>
        <v>0</v>
      </c>
      <c r="S26" s="8"/>
      <c r="T26" s="32">
        <f t="shared" si="10"/>
        <v>0</v>
      </c>
      <c r="U26" s="7"/>
      <c r="V26" s="3">
        <f t="shared" si="8"/>
        <v>0</v>
      </c>
      <c r="W26" s="32">
        <f>'Roster - G1 - RN'!W26+'Roster - G2 - Carer'!W26+'Roster - G3 - Ward 3'!W26+'Roster - G4 - Services'!W26+'Roster - G5 - Mgmt'!W26</f>
        <v>0</v>
      </c>
      <c r="X26" s="32"/>
    </row>
    <row r="27" spans="1:48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48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48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</row>
    <row r="30" spans="1:48" ht="15.75" thickTop="1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</row>
  </sheetData>
  <mergeCells count="1">
    <mergeCell ref="T9:T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E88E-85A6-474F-9CD5-56068D2A94C9}">
  <sheetPr>
    <tabColor rgb="FF0070C0"/>
    <outlinePr showOutlineSymbols="0"/>
  </sheetPr>
  <dimension ref="A1:AB58"/>
  <sheetViews>
    <sheetView showOutlineSymbols="0" topLeftCell="A8" zoomScale="85" zoomScaleNormal="85" workbookViewId="0">
      <pane xSplit="3" ySplit="4" topLeftCell="D12" activePane="bottomRight" state="frozen"/>
      <selection activeCell="F57" sqref="F57"/>
      <selection pane="topRight" activeCell="F57" sqref="F57"/>
      <selection pane="bottomLeft" activeCell="F57" sqref="F57"/>
      <selection pane="bottomRight" activeCell="I51" sqref="I51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8" ht="23.25" x14ac:dyDescent="0.35">
      <c r="A1" s="37" t="str">
        <f>'Primary Inputs'!$B$5</f>
        <v>Christadelphian Aged Care</v>
      </c>
    </row>
    <row r="3" spans="1:28" x14ac:dyDescent="0.25">
      <c r="A3" s="1" t="s">
        <v>42</v>
      </c>
    </row>
    <row r="4" spans="1:28" x14ac:dyDescent="0.25">
      <c r="A4" s="1"/>
    </row>
    <row r="5" spans="1:2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8" x14ac:dyDescent="0.25">
      <c r="A6" s="1" t="str">
        <f>'Primary Inputs'!A9</f>
        <v>G1</v>
      </c>
      <c r="B6" t="str">
        <f>VLOOKUP($A6,'Primary Inputs'!$A$9:$J$13,2,FALSE)</f>
        <v>Ashburn House</v>
      </c>
      <c r="C6" t="str">
        <f>VLOOKUP($A6,'Primary Inputs'!$A$9:$J$13,3,FALSE)</f>
        <v>Used for RNs only</v>
      </c>
      <c r="D6" t="str">
        <f>VLOOKUP($A6,'Primary Inputs'!$A$9:$J$13,4,FALSE)</f>
        <v>N/A</v>
      </c>
      <c r="E6">
        <f>VLOOKUP($A6,'Primary Inputs'!$A$9:$J$13,5,FALSE)</f>
        <v>99</v>
      </c>
    </row>
    <row r="7" spans="1:28" x14ac:dyDescent="0.25">
      <c r="A7" s="1"/>
    </row>
    <row r="8" spans="1:28" ht="15" customHeight="1" x14ac:dyDescent="0.25">
      <c r="X8" s="6"/>
    </row>
    <row r="9" spans="1:28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8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  <c r="Z10" s="10" t="s">
        <v>180</v>
      </c>
      <c r="AB10" s="10" t="s">
        <v>182</v>
      </c>
    </row>
    <row r="11" spans="1:28" x14ac:dyDescent="0.25">
      <c r="T11" s="6"/>
      <c r="U11" s="6"/>
    </row>
    <row r="12" spans="1:28" x14ac:dyDescent="0.25">
      <c r="A12" s="1" t="str">
        <f>"TOTAL "&amp;$C$6&amp;" ROSTER"</f>
        <v>TOTAL Used for RNs only ROSTER</v>
      </c>
      <c r="B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69.5</v>
      </c>
      <c r="M12" s="28">
        <f t="shared" ref="M12:T12" si="0">SUBTOTAL(9,M13:M28)</f>
        <v>77</v>
      </c>
      <c r="N12" s="28">
        <f t="shared" si="0"/>
        <v>69.5</v>
      </c>
      <c r="O12" s="28">
        <f t="shared" si="0"/>
        <v>69.5</v>
      </c>
      <c r="P12" s="28">
        <f t="shared" si="0"/>
        <v>69.5</v>
      </c>
      <c r="Q12" s="28">
        <f t="shared" si="0"/>
        <v>69.5</v>
      </c>
      <c r="R12" s="28">
        <f t="shared" si="0"/>
        <v>69.5</v>
      </c>
      <c r="S12" s="28"/>
      <c r="T12" s="28">
        <f t="shared" si="0"/>
        <v>494</v>
      </c>
      <c r="U12" s="29"/>
      <c r="V12" s="25">
        <f>IFERROR(W12/T12,0)</f>
        <v>1</v>
      </c>
      <c r="W12" s="28">
        <f t="shared" ref="W12" si="1">SUBTOTAL(9,W13:W28)</f>
        <v>494</v>
      </c>
      <c r="X12" s="28"/>
    </row>
    <row r="13" spans="1:28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69.5</v>
      </c>
      <c r="M13" s="28">
        <f t="shared" ref="M13:T13" si="2">SUBTOTAL(9,M14:M15)</f>
        <v>77</v>
      </c>
      <c r="N13" s="28">
        <f t="shared" si="2"/>
        <v>69.5</v>
      </c>
      <c r="O13" s="28">
        <f t="shared" si="2"/>
        <v>69.5</v>
      </c>
      <c r="P13" s="28">
        <f t="shared" si="2"/>
        <v>69.5</v>
      </c>
      <c r="Q13" s="28">
        <f t="shared" si="2"/>
        <v>69.5</v>
      </c>
      <c r="R13" s="28">
        <f t="shared" si="2"/>
        <v>69.5</v>
      </c>
      <c r="S13" s="28"/>
      <c r="T13" s="28">
        <f t="shared" si="2"/>
        <v>494</v>
      </c>
      <c r="U13" s="29"/>
      <c r="V13" s="25">
        <f>IFERROR(W13/T13,0)</f>
        <v>1</v>
      </c>
      <c r="W13" s="28">
        <f t="shared" ref="W13" si="3">SUBTOTAL(9,W14:W15)</f>
        <v>494</v>
      </c>
      <c r="X13" s="28"/>
    </row>
    <row r="14" spans="1:28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SUMIF($C$30:$C$57,$C14,L$30:L$57)</f>
        <v>69.5</v>
      </c>
      <c r="M14" s="30">
        <f t="shared" si="4"/>
        <v>77</v>
      </c>
      <c r="N14" s="30">
        <f t="shared" si="4"/>
        <v>69.5</v>
      </c>
      <c r="O14" s="30">
        <f t="shared" si="4"/>
        <v>69.5</v>
      </c>
      <c r="P14" s="30">
        <f t="shared" si="4"/>
        <v>69.5</v>
      </c>
      <c r="Q14" s="30">
        <f t="shared" si="4"/>
        <v>69.5</v>
      </c>
      <c r="R14" s="30">
        <f t="shared" si="4"/>
        <v>69.5</v>
      </c>
      <c r="S14" s="28"/>
      <c r="T14" s="32">
        <f>SUM(L14:R14)</f>
        <v>494</v>
      </c>
      <c r="U14" s="32"/>
      <c r="V14" s="3">
        <f t="shared" ref="V14:V15" si="5">IFERROR(W14/T14,0)</f>
        <v>1</v>
      </c>
      <c r="W14" s="32">
        <f>SUMIFS(W$31:W$57,$C$31:$C$57,$C14)</f>
        <v>494</v>
      </c>
      <c r="X14" s="32"/>
      <c r="Z14">
        <f>'AN-ACC Simple'!I7*7</f>
        <v>512.81999999999994</v>
      </c>
      <c r="AB14" s="33">
        <f>W14-Z14</f>
        <v>-18.819999999999936</v>
      </c>
    </row>
    <row r="15" spans="1:28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SUMIFS(W$31:W$57,$C$31:$C$57,$C15)</f>
        <v>0</v>
      </c>
      <c r="X15" s="32"/>
    </row>
    <row r="16" spans="1:28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SUMIF($C$30:$C$57,$C17,L$30:L$57)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SUMIFS(W$31:W$57,$A$31:$A$57,$A17)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SUMIF($C$30:$C$57,$C20,L$30:L$57)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>SUMIFS(W$31:W$57,$C$31:$C$57,$C20)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>SUMIFS(W$31:W$57,$C$31:$C$57,$C21)</f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>SUMIFS(W$31:W$57,$C$31:$C$57,$C22)</f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2">SUBTOTAL(9,M25:M27)</f>
        <v>0</v>
      </c>
      <c r="N24" s="28">
        <f t="shared" si="12"/>
        <v>0</v>
      </c>
      <c r="O24" s="28">
        <f t="shared" si="12"/>
        <v>0</v>
      </c>
      <c r="P24" s="28">
        <f t="shared" si="12"/>
        <v>0</v>
      </c>
      <c r="Q24" s="28">
        <f t="shared" si="12"/>
        <v>0</v>
      </c>
      <c r="R24" s="28">
        <f t="shared" si="12"/>
        <v>0</v>
      </c>
      <c r="S24" s="28"/>
      <c r="T24" s="28">
        <f t="shared" si="12"/>
        <v>0</v>
      </c>
      <c r="U24" s="7"/>
      <c r="V24" s="25">
        <f t="shared" si="11"/>
        <v>0</v>
      </c>
      <c r="W24" s="28">
        <f t="shared" si="12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3">SUMIF($C$30:$C$57,$C25,L$30:L$57)</f>
        <v>0</v>
      </c>
      <c r="M25" s="30">
        <f t="shared" si="13"/>
        <v>0</v>
      </c>
      <c r="N25" s="30">
        <f t="shared" si="13"/>
        <v>0</v>
      </c>
      <c r="O25" s="30">
        <f t="shared" si="13"/>
        <v>0</v>
      </c>
      <c r="P25" s="30">
        <f t="shared" si="13"/>
        <v>0</v>
      </c>
      <c r="Q25" s="30">
        <f t="shared" si="13"/>
        <v>0</v>
      </c>
      <c r="R25" s="30">
        <f t="shared" si="13"/>
        <v>0</v>
      </c>
      <c r="S25" s="8"/>
      <c r="T25" s="32">
        <f t="shared" ref="T25:T26" si="14">SUM(L25:R25)</f>
        <v>0</v>
      </c>
      <c r="U25" s="7"/>
      <c r="V25" s="3">
        <f t="shared" si="11"/>
        <v>0</v>
      </c>
      <c r="W25" s="32">
        <f>SUMIFS(W$31:W$57,$C$31:$C$57,$C25)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3"/>
        <v>0</v>
      </c>
      <c r="M26" s="30">
        <f t="shared" si="13"/>
        <v>0</v>
      </c>
      <c r="N26" s="30">
        <f t="shared" si="13"/>
        <v>0</v>
      </c>
      <c r="O26" s="30">
        <f t="shared" si="13"/>
        <v>0</v>
      </c>
      <c r="P26" s="30">
        <f t="shared" si="13"/>
        <v>0</v>
      </c>
      <c r="Q26" s="30">
        <f t="shared" si="13"/>
        <v>0</v>
      </c>
      <c r="R26" s="30">
        <f t="shared" si="13"/>
        <v>0</v>
      </c>
      <c r="S26" s="8"/>
      <c r="T26" s="32">
        <f t="shared" si="14"/>
        <v>0</v>
      </c>
      <c r="U26" s="7"/>
      <c r="V26" s="3">
        <f t="shared" si="11"/>
        <v>0</v>
      </c>
      <c r="W26" s="32">
        <f>SUMIFS(W$31:W$57,$C$31:$C$57,$C26)</f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 t="shared" ref="L30:R30" si="15">SUBTOTAL(9,L31:L57)</f>
        <v>69.5</v>
      </c>
      <c r="M30" s="48">
        <f t="shared" si="15"/>
        <v>77</v>
      </c>
      <c r="N30" s="48">
        <f t="shared" si="15"/>
        <v>69.5</v>
      </c>
      <c r="O30" s="48">
        <f t="shared" si="15"/>
        <v>69.5</v>
      </c>
      <c r="P30" s="48">
        <f t="shared" si="15"/>
        <v>69.5</v>
      </c>
      <c r="Q30" s="48">
        <f t="shared" si="15"/>
        <v>69.5</v>
      </c>
      <c r="R30" s="48">
        <f t="shared" si="15"/>
        <v>69.5</v>
      </c>
      <c r="S30" s="48"/>
      <c r="T30" s="48">
        <f>SUBTOTAL(9,T31:T57)</f>
        <v>494</v>
      </c>
      <c r="U30" s="49"/>
      <c r="V30" s="47"/>
      <c r="W30" s="48">
        <f>SUBTOTAL(9,W31:W57)</f>
        <v>494</v>
      </c>
      <c r="X30" s="50"/>
    </row>
    <row r="31" spans="1:24" outlineLevel="3" x14ac:dyDescent="0.25">
      <c r="A31" s="141" t="s">
        <v>176</v>
      </c>
      <c r="B31" s="142" t="s">
        <v>95</v>
      </c>
      <c r="C31" s="141" t="s">
        <v>74</v>
      </c>
      <c r="D31" s="141">
        <v>5</v>
      </c>
      <c r="E31" s="141"/>
      <c r="F31" s="143">
        <v>0.29166666666666669</v>
      </c>
      <c r="G31" s="143">
        <v>0.625</v>
      </c>
      <c r="H31" s="141">
        <f t="shared" ref="H31" si="16">IF((G31-F31)&lt;0,(G31+(1-F31))*24,(G31-F31)*24)</f>
        <v>8</v>
      </c>
      <c r="I31" s="146">
        <f t="shared" ref="I31:I32" si="17">IF(H31&gt;5,-0.5,0)</f>
        <v>-0.5</v>
      </c>
      <c r="J31" s="141">
        <f>SUM(H31:I31)</f>
        <v>7.5</v>
      </c>
      <c r="K31" s="141">
        <f>D31*J31</f>
        <v>37.5</v>
      </c>
      <c r="L31" s="144">
        <f t="shared" ref="L31:R32" si="18">$K31</f>
        <v>37.5</v>
      </c>
      <c r="M31" s="144">
        <f t="shared" si="18"/>
        <v>37.5</v>
      </c>
      <c r="N31" s="144">
        <f t="shared" si="18"/>
        <v>37.5</v>
      </c>
      <c r="O31" s="144">
        <f t="shared" si="18"/>
        <v>37.5</v>
      </c>
      <c r="P31" s="144">
        <f t="shared" si="18"/>
        <v>37.5</v>
      </c>
      <c r="Q31" s="144">
        <f t="shared" si="18"/>
        <v>37.5</v>
      </c>
      <c r="R31" s="144">
        <f t="shared" si="18"/>
        <v>37.5</v>
      </c>
      <c r="S31" s="145"/>
      <c r="T31" s="145">
        <f>SUM(L31:S31)</f>
        <v>262.5</v>
      </c>
      <c r="V31" s="3">
        <v>1</v>
      </c>
      <c r="W31">
        <f>T31*V31</f>
        <v>262.5</v>
      </c>
    </row>
    <row r="32" spans="1:24" outlineLevel="3" x14ac:dyDescent="0.25">
      <c r="A32" s="141" t="s">
        <v>177</v>
      </c>
      <c r="B32" s="142" t="s">
        <v>95</v>
      </c>
      <c r="C32" s="141" t="s">
        <v>74</v>
      </c>
      <c r="D32" s="141">
        <v>1</v>
      </c>
      <c r="E32" s="141"/>
      <c r="F32" s="143">
        <v>0.33333333333333331</v>
      </c>
      <c r="G32" s="143">
        <v>0.66666666666666663</v>
      </c>
      <c r="H32" s="141">
        <f t="shared" ref="H32" si="19">IF((G32-F32)&lt;0,(G32+(1-F32))*24,(G32-F32)*24)</f>
        <v>8</v>
      </c>
      <c r="I32" s="146">
        <f t="shared" si="17"/>
        <v>-0.5</v>
      </c>
      <c r="J32" s="141">
        <f t="shared" ref="J32" si="20">SUM(H32:I32)</f>
        <v>7.5</v>
      </c>
      <c r="K32" s="141">
        <f t="shared" ref="K32" si="21">D32*J32</f>
        <v>7.5</v>
      </c>
      <c r="L32" s="141"/>
      <c r="M32" s="144">
        <f t="shared" si="18"/>
        <v>7.5</v>
      </c>
      <c r="N32" s="141"/>
      <c r="O32" s="141"/>
      <c r="P32" s="141"/>
      <c r="Q32" s="141"/>
      <c r="R32" s="141"/>
      <c r="S32" s="145"/>
      <c r="T32" s="145">
        <f t="shared" ref="T32:T33" si="22">SUM(L32:S32)</f>
        <v>7.5</v>
      </c>
      <c r="V32" s="3">
        <v>1</v>
      </c>
      <c r="W32">
        <f t="shared" ref="W32:W57" si="23">T32*V32</f>
        <v>7.5</v>
      </c>
    </row>
    <row r="33" spans="1:23" outlineLevel="3" x14ac:dyDescent="0.25">
      <c r="A33" s="141"/>
      <c r="B33" s="142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5"/>
      <c r="T33" s="145">
        <f t="shared" si="22"/>
        <v>0</v>
      </c>
      <c r="V33" s="3">
        <v>1</v>
      </c>
      <c r="W33">
        <f t="shared" si="23"/>
        <v>0</v>
      </c>
    </row>
    <row r="34" spans="1:23" outlineLevel="3" x14ac:dyDescent="0.25">
      <c r="A34" s="141" t="s">
        <v>178</v>
      </c>
      <c r="B34" s="142" t="s">
        <v>96</v>
      </c>
      <c r="C34" s="141" t="s">
        <v>74</v>
      </c>
      <c r="D34" s="141">
        <v>3</v>
      </c>
      <c r="E34" s="141"/>
      <c r="F34" s="143">
        <v>0.60416666666666663</v>
      </c>
      <c r="G34" s="143">
        <v>0.95833333333333337</v>
      </c>
      <c r="H34" s="141">
        <f t="shared" ref="H34" si="24">IF((G34-F34)&lt;0,(G34+(1-F34))*24,(G34-F34)*24)</f>
        <v>8.5000000000000018</v>
      </c>
      <c r="I34" s="146">
        <f t="shared" ref="I34" si="25">IF(H34&gt;5,-0.5,0)</f>
        <v>-0.5</v>
      </c>
      <c r="J34" s="141">
        <f t="shared" ref="J34" si="26">SUM(H34:I34)</f>
        <v>8.0000000000000018</v>
      </c>
      <c r="K34" s="141">
        <f t="shared" ref="K34" si="27">D34*J34</f>
        <v>24.000000000000007</v>
      </c>
      <c r="L34" s="144">
        <f t="shared" ref="L34:R34" si="28">$K34</f>
        <v>24.000000000000007</v>
      </c>
      <c r="M34" s="144">
        <f t="shared" si="28"/>
        <v>24.000000000000007</v>
      </c>
      <c r="N34" s="144">
        <f t="shared" si="28"/>
        <v>24.000000000000007</v>
      </c>
      <c r="O34" s="144">
        <f t="shared" si="28"/>
        <v>24.000000000000007</v>
      </c>
      <c r="P34" s="144">
        <f t="shared" si="28"/>
        <v>24.000000000000007</v>
      </c>
      <c r="Q34" s="144">
        <f t="shared" si="28"/>
        <v>24.000000000000007</v>
      </c>
      <c r="R34" s="144">
        <f t="shared" si="28"/>
        <v>24.000000000000007</v>
      </c>
      <c r="S34" s="145"/>
      <c r="T34" s="145">
        <f t="shared" ref="T34:T36" si="29">SUM(L34:S34)</f>
        <v>168.00000000000003</v>
      </c>
      <c r="V34" s="3">
        <v>1</v>
      </c>
      <c r="W34">
        <f t="shared" si="23"/>
        <v>168.00000000000003</v>
      </c>
    </row>
    <row r="35" spans="1:23" outlineLevel="3" x14ac:dyDescent="0.25">
      <c r="A35" s="141"/>
      <c r="B35" s="142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5"/>
      <c r="T35" s="145">
        <f t="shared" si="29"/>
        <v>0</v>
      </c>
      <c r="V35" s="3">
        <v>1</v>
      </c>
      <c r="W35">
        <f t="shared" si="23"/>
        <v>0</v>
      </c>
    </row>
    <row r="36" spans="1:23" outlineLevel="3" x14ac:dyDescent="0.25">
      <c r="A36" s="141"/>
      <c r="B36" s="142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5"/>
      <c r="T36" s="145">
        <f t="shared" si="29"/>
        <v>0</v>
      </c>
      <c r="V36" s="3">
        <v>1</v>
      </c>
      <c r="W36">
        <f t="shared" si="23"/>
        <v>0</v>
      </c>
    </row>
    <row r="37" spans="1:23" outlineLevel="3" x14ac:dyDescent="0.25">
      <c r="A37" s="141" t="s">
        <v>175</v>
      </c>
      <c r="B37" s="142" t="s">
        <v>97</v>
      </c>
      <c r="C37" s="141" t="s">
        <v>74</v>
      </c>
      <c r="D37" s="141">
        <v>1</v>
      </c>
      <c r="E37" s="141"/>
      <c r="F37" s="143">
        <v>0.94791666666666663</v>
      </c>
      <c r="G37" s="143">
        <v>0.30208333333333331</v>
      </c>
      <c r="H37" s="141">
        <f t="shared" ref="H37" si="30">IF((G37-F37)&lt;0,(G37+(1-F37))*24,(G37-F37)*24)</f>
        <v>8.5</v>
      </c>
      <c r="I37" s="146">
        <f t="shared" ref="I37" si="31">IF(H37&gt;5,-0.5,0)</f>
        <v>-0.5</v>
      </c>
      <c r="J37" s="141">
        <f t="shared" ref="J37" si="32">SUM(H37:I37)</f>
        <v>8</v>
      </c>
      <c r="K37" s="141">
        <f t="shared" ref="K37" si="33">D37*J37</f>
        <v>8</v>
      </c>
      <c r="L37" s="144">
        <f>$K37</f>
        <v>8</v>
      </c>
      <c r="M37" s="144">
        <f t="shared" ref="M37:R37" si="34">$K37</f>
        <v>8</v>
      </c>
      <c r="N37" s="144">
        <f t="shared" si="34"/>
        <v>8</v>
      </c>
      <c r="O37" s="144">
        <f t="shared" si="34"/>
        <v>8</v>
      </c>
      <c r="P37" s="144">
        <f t="shared" si="34"/>
        <v>8</v>
      </c>
      <c r="Q37" s="144">
        <f t="shared" si="34"/>
        <v>8</v>
      </c>
      <c r="R37" s="144">
        <f t="shared" si="34"/>
        <v>8</v>
      </c>
      <c r="S37" s="145"/>
      <c r="T37" s="145">
        <f t="shared" ref="T37" si="35">SUM(L37:S37)</f>
        <v>56</v>
      </c>
      <c r="V37" s="3">
        <v>1</v>
      </c>
      <c r="W37">
        <f t="shared" si="23"/>
        <v>56</v>
      </c>
    </row>
    <row r="38" spans="1:23" outlineLevel="3" x14ac:dyDescent="0.25">
      <c r="A38" s="146"/>
      <c r="B38" s="147"/>
      <c r="C38" s="146"/>
      <c r="D38" s="146"/>
      <c r="E38" s="146"/>
      <c r="F38" s="148"/>
      <c r="G38" s="148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/>
      <c r="V38" s="3">
        <v>1</v>
      </c>
      <c r="W38">
        <f t="shared" si="23"/>
        <v>0</v>
      </c>
    </row>
    <row r="39" spans="1:23" outlineLevel="3" x14ac:dyDescent="0.25">
      <c r="A39" s="146"/>
      <c r="B39" s="147"/>
      <c r="C39" s="146"/>
      <c r="D39" s="146"/>
      <c r="E39" s="146"/>
      <c r="F39" s="148"/>
      <c r="G39" s="14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/>
      <c r="V39" s="3">
        <v>1</v>
      </c>
      <c r="W39">
        <f t="shared" si="23"/>
        <v>0</v>
      </c>
    </row>
    <row r="40" spans="1:23" outlineLevel="3" x14ac:dyDescent="0.25">
      <c r="A40" s="146"/>
      <c r="B40" s="147"/>
      <c r="C40" s="146"/>
      <c r="D40" s="146"/>
      <c r="E40" s="146"/>
      <c r="F40" s="148"/>
      <c r="G40" s="148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/>
      <c r="V40" s="3">
        <v>1</v>
      </c>
      <c r="W40">
        <f t="shared" si="23"/>
        <v>0</v>
      </c>
    </row>
    <row r="41" spans="1:23" outlineLevel="3" x14ac:dyDescent="0.25">
      <c r="A41" s="146"/>
      <c r="B41" s="147"/>
      <c r="C41" s="146"/>
      <c r="D41" s="146"/>
      <c r="E41" s="146"/>
      <c r="F41" s="148"/>
      <c r="G41" s="14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/>
      <c r="V41" s="3">
        <f>IFERROR(VLOOKUP(A41,#REF!,4,FALSE),0)</f>
        <v>0</v>
      </c>
      <c r="W41">
        <f t="shared" si="23"/>
        <v>0</v>
      </c>
    </row>
    <row r="42" spans="1:23" outlineLevel="3" x14ac:dyDescent="0.25">
      <c r="A42" s="146"/>
      <c r="B42" s="147"/>
      <c r="C42" s="146"/>
      <c r="D42" s="146"/>
      <c r="E42" s="146"/>
      <c r="F42" s="148"/>
      <c r="G42" s="148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/>
      <c r="V42" s="3">
        <f>IFERROR(VLOOKUP(A42,#REF!,4,FALSE),0)</f>
        <v>0</v>
      </c>
      <c r="W42">
        <f t="shared" si="23"/>
        <v>0</v>
      </c>
    </row>
    <row r="43" spans="1:23" outlineLevel="3" x14ac:dyDescent="0.25">
      <c r="A43" s="146"/>
      <c r="B43" s="147"/>
      <c r="C43" s="146"/>
      <c r="D43" s="146"/>
      <c r="E43" s="146"/>
      <c r="F43" s="148"/>
      <c r="G43" s="14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/>
      <c r="V43" s="3">
        <f>IFERROR(VLOOKUP(A43,#REF!,4,FALSE),0)</f>
        <v>0</v>
      </c>
      <c r="W43">
        <f t="shared" si="23"/>
        <v>0</v>
      </c>
    </row>
    <row r="44" spans="1:23" outlineLevel="3" x14ac:dyDescent="0.25">
      <c r="A44" s="146"/>
      <c r="B44" s="147"/>
      <c r="C44" s="146"/>
      <c r="D44" s="146"/>
      <c r="E44" s="146"/>
      <c r="F44" s="148"/>
      <c r="G44" s="148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/>
      <c r="V44" s="3">
        <f>IFERROR(VLOOKUP(A44,#REF!,4,FALSE),0)</f>
        <v>0</v>
      </c>
      <c r="W44">
        <f t="shared" si="23"/>
        <v>0</v>
      </c>
    </row>
    <row r="45" spans="1:23" outlineLevel="3" x14ac:dyDescent="0.25">
      <c r="A45" s="146"/>
      <c r="B45" s="147"/>
      <c r="C45" s="146"/>
      <c r="D45" s="146"/>
      <c r="E45" s="146"/>
      <c r="F45" s="148"/>
      <c r="G45" s="148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/>
      <c r="V45" s="3">
        <f>IFERROR(VLOOKUP(A45,#REF!,4,FALSE),0)</f>
        <v>0</v>
      </c>
      <c r="W45">
        <f t="shared" si="23"/>
        <v>0</v>
      </c>
    </row>
    <row r="46" spans="1:23" outlineLevel="3" x14ac:dyDescent="0.25">
      <c r="A46" s="146"/>
      <c r="B46" s="147"/>
      <c r="C46" s="146"/>
      <c r="D46" s="146"/>
      <c r="E46" s="146"/>
      <c r="F46" s="148"/>
      <c r="G46" s="148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/>
      <c r="V46" s="3">
        <f>IFERROR(VLOOKUP(A46,#REF!,4,FALSE),0)</f>
        <v>0</v>
      </c>
      <c r="W46">
        <f t="shared" si="23"/>
        <v>0</v>
      </c>
    </row>
    <row r="47" spans="1:23" outlineLevel="3" x14ac:dyDescent="0.25">
      <c r="A47" s="146"/>
      <c r="B47" s="147"/>
      <c r="C47" s="146"/>
      <c r="D47" s="146"/>
      <c r="E47" s="146"/>
      <c r="F47" s="148"/>
      <c r="G47" s="148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/>
      <c r="V47" s="3">
        <f>IFERROR(VLOOKUP(A47,#REF!,4,FALSE),0)</f>
        <v>0</v>
      </c>
      <c r="W47">
        <f t="shared" si="23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/>
      <c r="V48" s="3">
        <f>IFERROR(VLOOKUP(A48,#REF!,4,FALSE),0)</f>
        <v>0</v>
      </c>
      <c r="W48">
        <f t="shared" si="23"/>
        <v>0</v>
      </c>
    </row>
    <row r="49" spans="1:24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/>
      <c r="V49" s="3">
        <f>IFERROR(VLOOKUP(A49,#REF!,4,FALSE),0)</f>
        <v>0</v>
      </c>
      <c r="W49">
        <f t="shared" si="23"/>
        <v>0</v>
      </c>
    </row>
    <row r="50" spans="1:24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/>
      <c r="V50" s="3">
        <f>IFERROR(VLOOKUP(A50,#REF!,4,FALSE),0)</f>
        <v>0</v>
      </c>
      <c r="W50">
        <f t="shared" si="23"/>
        <v>0</v>
      </c>
    </row>
    <row r="51" spans="1:24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/>
      <c r="V51" s="3">
        <f>IFERROR(VLOOKUP(A51,#REF!,4,FALSE),0)</f>
        <v>0</v>
      </c>
      <c r="W51">
        <f t="shared" si="23"/>
        <v>0</v>
      </c>
    </row>
    <row r="52" spans="1:24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3"/>
        <v>0</v>
      </c>
    </row>
    <row r="53" spans="1:24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3"/>
        <v>0</v>
      </c>
    </row>
    <row r="54" spans="1:24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3"/>
        <v>0</v>
      </c>
    </row>
    <row r="55" spans="1:24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3"/>
        <v>0</v>
      </c>
    </row>
    <row r="56" spans="1:24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3"/>
        <v>0</v>
      </c>
    </row>
    <row r="57" spans="1:24" ht="15.75" outlineLevel="3" thickBot="1" x14ac:dyDescent="0.3">
      <c r="A57" s="149"/>
      <c r="B57" s="150"/>
      <c r="C57" s="149"/>
      <c r="D57" s="149"/>
      <c r="E57" s="149"/>
      <c r="F57" s="151"/>
      <c r="G57" s="151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52"/>
      <c r="T57" s="152"/>
      <c r="U57" s="44"/>
      <c r="V57" s="3">
        <f>IFERROR(VLOOKUP(A57,#REF!,4,FALSE),0)</f>
        <v>0</v>
      </c>
      <c r="W57" s="44">
        <f t="shared" si="23"/>
        <v>0</v>
      </c>
      <c r="X57" s="44"/>
    </row>
    <row r="58" spans="1:24" ht="15.75" thickTop="1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</row>
  </sheetData>
  <mergeCells count="1">
    <mergeCell ref="T9:T10"/>
  </mergeCells>
  <dataValidations count="1">
    <dataValidation type="list" allowBlank="1" showInputMessage="1" showErrorMessage="1" sqref="A38:B57" xr:uid="{A9B07C9A-20CF-4866-8EA0-202B63D92E0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6627-91D7-4A63-925F-5EE0265A9D0C}">
  <sheetPr>
    <tabColor rgb="FF0070C0"/>
    <outlinePr showOutlineSymbols="0"/>
  </sheetPr>
  <dimension ref="A1:AB72"/>
  <sheetViews>
    <sheetView showOutlineSymbols="0" zoomScale="90" zoomScaleNormal="90" workbookViewId="0">
      <selection activeCell="I39" sqref="I39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8" ht="23.25" x14ac:dyDescent="0.35">
      <c r="A1" s="37" t="str">
        <f>'Primary Inputs'!$B$5</f>
        <v>Christadelphian Aged Care</v>
      </c>
    </row>
    <row r="3" spans="1:28" x14ac:dyDescent="0.25">
      <c r="A3" s="1" t="s">
        <v>42</v>
      </c>
    </row>
    <row r="4" spans="1:28" x14ac:dyDescent="0.25">
      <c r="A4" s="1"/>
    </row>
    <row r="5" spans="1:2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8" x14ac:dyDescent="0.25">
      <c r="A6" s="1" t="str">
        <f>'Primary Inputs'!A10</f>
        <v>G2</v>
      </c>
      <c r="B6" t="str">
        <f>VLOOKUP($A6,'Primary Inputs'!$A$9:$J$13,2,FALSE)</f>
        <v>Ashburn House</v>
      </c>
      <c r="C6" t="str">
        <f>VLOOKUP($A6,'Primary Inputs'!$A$9:$J$13,3,FALSE)</f>
        <v>Used for Carers Only</v>
      </c>
      <c r="D6" t="str">
        <f>VLOOKUP($A6,'Primary Inputs'!$A$9:$J$13,4,FALSE)</f>
        <v>N/A</v>
      </c>
      <c r="E6">
        <f>VLOOKUP($A6,'Primary Inputs'!$A$9:$J$13,5,FALSE)</f>
        <v>0</v>
      </c>
    </row>
    <row r="7" spans="1:28" x14ac:dyDescent="0.25">
      <c r="A7" s="1"/>
    </row>
    <row r="8" spans="1:28" ht="15" customHeight="1" x14ac:dyDescent="0.25">
      <c r="X8" s="6"/>
    </row>
    <row r="9" spans="1:28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8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  <c r="Z10" s="10" t="s">
        <v>180</v>
      </c>
      <c r="AB10" s="10" t="s">
        <v>182</v>
      </c>
    </row>
    <row r="11" spans="1:28" x14ac:dyDescent="0.25">
      <c r="T11" s="6"/>
      <c r="U11" s="6"/>
    </row>
    <row r="12" spans="1:28" x14ac:dyDescent="0.25">
      <c r="A12" s="1" t="str">
        <f>"TOTAL "&amp;$C$6&amp;" ROSTER"</f>
        <v>TOTAL Used for Carers Only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311</v>
      </c>
      <c r="M12" s="28">
        <f t="shared" ref="M12:T12" si="0">SUBTOTAL(9,M13:M28)</f>
        <v>311</v>
      </c>
      <c r="N12" s="28">
        <f t="shared" si="0"/>
        <v>311</v>
      </c>
      <c r="O12" s="28">
        <f t="shared" si="0"/>
        <v>311</v>
      </c>
      <c r="P12" s="28">
        <f t="shared" si="0"/>
        <v>311</v>
      </c>
      <c r="Q12" s="28">
        <f t="shared" si="0"/>
        <v>311</v>
      </c>
      <c r="R12" s="28">
        <f t="shared" si="0"/>
        <v>311</v>
      </c>
      <c r="S12" s="28"/>
      <c r="T12" s="28">
        <f t="shared" si="0"/>
        <v>2177</v>
      </c>
      <c r="U12" s="29"/>
      <c r="V12" s="25">
        <f>IFERROR(W12/T12,0)</f>
        <v>1</v>
      </c>
      <c r="W12" s="28">
        <f t="shared" ref="W12" si="1">SUBTOTAL(9,W13:W28)</f>
        <v>2177</v>
      </c>
      <c r="X12" s="28"/>
    </row>
    <row r="13" spans="1:28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311</v>
      </c>
      <c r="M13" s="28">
        <f t="shared" ref="M13:T13" si="2">SUBTOTAL(9,M14:M15)</f>
        <v>311</v>
      </c>
      <c r="N13" s="28">
        <f t="shared" si="2"/>
        <v>311</v>
      </c>
      <c r="O13" s="28">
        <f t="shared" si="2"/>
        <v>311</v>
      </c>
      <c r="P13" s="28">
        <f t="shared" si="2"/>
        <v>311</v>
      </c>
      <c r="Q13" s="28">
        <f t="shared" si="2"/>
        <v>311</v>
      </c>
      <c r="R13" s="28">
        <f t="shared" si="2"/>
        <v>311</v>
      </c>
      <c r="S13" s="28"/>
      <c r="T13" s="28">
        <f t="shared" si="2"/>
        <v>2177</v>
      </c>
      <c r="U13" s="29"/>
      <c r="V13" s="25">
        <f>IFERROR(W13/T13,0)</f>
        <v>1</v>
      </c>
      <c r="W13" s="28">
        <f t="shared" ref="W13" si="3">SUBTOTAL(9,W14:W15)</f>
        <v>2177</v>
      </c>
      <c r="X13" s="28"/>
    </row>
    <row r="14" spans="1:28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8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311</v>
      </c>
      <c r="M15" s="30">
        <f t="shared" si="4"/>
        <v>311</v>
      </c>
      <c r="N15" s="30">
        <f t="shared" si="4"/>
        <v>311</v>
      </c>
      <c r="O15" s="30">
        <f t="shared" si="4"/>
        <v>311</v>
      </c>
      <c r="P15" s="30">
        <f t="shared" si="4"/>
        <v>311</v>
      </c>
      <c r="Q15" s="30">
        <f t="shared" si="4"/>
        <v>311</v>
      </c>
      <c r="R15" s="30">
        <f t="shared" si="4"/>
        <v>311</v>
      </c>
      <c r="S15" s="33"/>
      <c r="T15" s="32">
        <f>SUM(L15:R15)</f>
        <v>2177</v>
      </c>
      <c r="U15" s="34"/>
      <c r="V15" s="3">
        <f t="shared" si="5"/>
        <v>1</v>
      </c>
      <c r="W15" s="32">
        <f>SUMIFS(W$31:W$71,$C$31:$C$71,$C15)</f>
        <v>2177</v>
      </c>
      <c r="X15" s="32"/>
      <c r="Z15">
        <f>('AN-ACC Simple'!E7-'AN-ACC Simple'!I7)*7</f>
        <v>1998.3810000000001</v>
      </c>
      <c r="AB15" s="33">
        <f>T15-Z15</f>
        <v>178.61899999999991</v>
      </c>
    </row>
    <row r="16" spans="1:28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3">SUBTOTAL(9,M25:M27)</f>
        <v>0</v>
      </c>
      <c r="N24" s="28">
        <f t="shared" si="13"/>
        <v>0</v>
      </c>
      <c r="O24" s="28">
        <f t="shared" si="13"/>
        <v>0</v>
      </c>
      <c r="P24" s="28">
        <f t="shared" si="13"/>
        <v>0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0</v>
      </c>
      <c r="U24" s="7"/>
      <c r="V24" s="25">
        <f t="shared" si="11"/>
        <v>0</v>
      </c>
      <c r="W24" s="28">
        <f t="shared" si="13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0</v>
      </c>
      <c r="M25" s="30">
        <f t="shared" si="14"/>
        <v>0</v>
      </c>
      <c r="N25" s="30">
        <f t="shared" si="14"/>
        <v>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0</v>
      </c>
      <c r="U25" s="7"/>
      <c r="V25" s="3">
        <f t="shared" si="11"/>
        <v>0</v>
      </c>
      <c r="W25" s="32">
        <f t="shared" ref="W25:W26" si="16">SUMIFS(W$31:W$71,$C$31:$C$71,$C25)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311</v>
      </c>
      <c r="M30" s="48">
        <f t="shared" ref="M30:T30" si="17">SUBTOTAL(9,M31:M71)</f>
        <v>311</v>
      </c>
      <c r="N30" s="48">
        <f t="shared" si="17"/>
        <v>311</v>
      </c>
      <c r="O30" s="48">
        <f t="shared" si="17"/>
        <v>311</v>
      </c>
      <c r="P30" s="48">
        <f t="shared" si="17"/>
        <v>311</v>
      </c>
      <c r="Q30" s="48">
        <f t="shared" si="17"/>
        <v>311</v>
      </c>
      <c r="R30" s="48">
        <f t="shared" si="17"/>
        <v>311</v>
      </c>
      <c r="S30" s="48"/>
      <c r="T30" s="48">
        <f t="shared" si="17"/>
        <v>2177</v>
      </c>
      <c r="U30" s="49"/>
      <c r="V30" s="47"/>
      <c r="W30" s="48">
        <f t="shared" ref="W30" si="18">SUBTOTAL(9,W31:W71)</f>
        <v>2177</v>
      </c>
      <c r="X30" s="50"/>
    </row>
    <row r="31" spans="1:24" outlineLevel="3" x14ac:dyDescent="0.25">
      <c r="A31" s="141" t="s">
        <v>183</v>
      </c>
      <c r="B31" s="142" t="s">
        <v>95</v>
      </c>
      <c r="C31" t="s">
        <v>76</v>
      </c>
      <c r="D31" s="141">
        <v>3</v>
      </c>
      <c r="E31" s="141"/>
      <c r="F31" s="143">
        <v>0.29166666666666669</v>
      </c>
      <c r="G31" s="143">
        <v>0.625</v>
      </c>
      <c r="H31" s="146">
        <f t="shared" ref="H31" si="19">IF((G31-F31)&lt;0,(G31+(1-F31))*24,(G31-F31)*24)</f>
        <v>8</v>
      </c>
      <c r="I31" s="146">
        <f>IF(H31&gt;5,-0.5,0)</f>
        <v>-0.5</v>
      </c>
      <c r="J31" s="146">
        <f t="shared" ref="J31" si="20">SUM(H31:I31)</f>
        <v>7.5</v>
      </c>
      <c r="K31" s="146">
        <f t="shared" ref="K31" si="21">D31*J31</f>
        <v>22.5</v>
      </c>
      <c r="L31" s="144">
        <f>$K31</f>
        <v>22.5</v>
      </c>
      <c r="M31" s="144">
        <f t="shared" ref="M31:R33" si="22">$K31</f>
        <v>22.5</v>
      </c>
      <c r="N31" s="144">
        <f t="shared" si="22"/>
        <v>22.5</v>
      </c>
      <c r="O31" s="144">
        <f t="shared" si="22"/>
        <v>22.5</v>
      </c>
      <c r="P31" s="144">
        <f t="shared" si="22"/>
        <v>22.5</v>
      </c>
      <c r="Q31" s="144">
        <f t="shared" si="22"/>
        <v>22.5</v>
      </c>
      <c r="R31" s="144">
        <f t="shared" si="22"/>
        <v>22.5</v>
      </c>
      <c r="S31" s="145"/>
      <c r="T31" s="145">
        <f>SUM(L31:S31)</f>
        <v>157.5</v>
      </c>
      <c r="V31" s="3">
        <v>1</v>
      </c>
      <c r="W31">
        <f>T31*V31</f>
        <v>157.5</v>
      </c>
    </row>
    <row r="32" spans="1:24" outlineLevel="3" x14ac:dyDescent="0.25">
      <c r="A32" s="141" t="s">
        <v>184</v>
      </c>
      <c r="B32" s="142" t="s">
        <v>95</v>
      </c>
      <c r="C32" t="s">
        <v>76</v>
      </c>
      <c r="D32" s="141">
        <v>17</v>
      </c>
      <c r="E32" s="141"/>
      <c r="F32" s="143">
        <v>0.29166666666666669</v>
      </c>
      <c r="G32" s="143">
        <v>0.625</v>
      </c>
      <c r="H32" s="146">
        <f t="shared" ref="H32" si="23">IF((G32-F32)&lt;0,(G32+(1-F32))*24,(G32-F32)*24)</f>
        <v>8</v>
      </c>
      <c r="I32" s="146">
        <f>IF(H32&gt;5,-0.5,0)</f>
        <v>-0.5</v>
      </c>
      <c r="J32" s="146">
        <f t="shared" ref="J32" si="24">SUM(H32:I32)</f>
        <v>7.5</v>
      </c>
      <c r="K32" s="146">
        <f t="shared" ref="K32" si="25">D32*J32</f>
        <v>127.5</v>
      </c>
      <c r="L32" s="144">
        <f t="shared" ref="L32:R40" si="26">$K32</f>
        <v>127.5</v>
      </c>
      <c r="M32" s="144">
        <f t="shared" si="22"/>
        <v>127.5</v>
      </c>
      <c r="N32" s="144">
        <f t="shared" si="22"/>
        <v>127.5</v>
      </c>
      <c r="O32" s="144">
        <f t="shared" si="22"/>
        <v>127.5</v>
      </c>
      <c r="P32" s="144">
        <f t="shared" si="22"/>
        <v>127.5</v>
      </c>
      <c r="Q32" s="144">
        <f t="shared" si="22"/>
        <v>127.5</v>
      </c>
      <c r="R32" s="144">
        <f t="shared" si="22"/>
        <v>127.5</v>
      </c>
      <c r="S32" s="145"/>
      <c r="T32" s="145">
        <f t="shared" ref="T32:T37" si="27">SUM(L32:S32)</f>
        <v>892.5</v>
      </c>
      <c r="V32" s="3">
        <v>1</v>
      </c>
      <c r="W32">
        <f t="shared" ref="W32:W71" si="28">T32*V32</f>
        <v>892.5</v>
      </c>
    </row>
    <row r="33" spans="1:23" outlineLevel="3" x14ac:dyDescent="0.25">
      <c r="A33" s="141" t="s">
        <v>185</v>
      </c>
      <c r="B33" s="142" t="s">
        <v>95</v>
      </c>
      <c r="C33" t="s">
        <v>76</v>
      </c>
      <c r="D33" s="141">
        <v>2</v>
      </c>
      <c r="E33" s="141"/>
      <c r="F33" s="143">
        <v>0.29166666666666669</v>
      </c>
      <c r="G33" s="143">
        <v>0.47916666666666669</v>
      </c>
      <c r="H33" s="146">
        <f t="shared" ref="H33" si="29">IF((G33-F33)&lt;0,(G33+(1-F33))*24,(G33-F33)*24)</f>
        <v>4.5</v>
      </c>
      <c r="I33" s="146">
        <f>IF(H33&gt;5,-0.5,0)</f>
        <v>0</v>
      </c>
      <c r="J33" s="146">
        <f t="shared" ref="J33" si="30">SUM(H33:I33)</f>
        <v>4.5</v>
      </c>
      <c r="K33" s="146">
        <f t="shared" ref="K33" si="31">D33*J33</f>
        <v>9</v>
      </c>
      <c r="L33" s="144">
        <f t="shared" si="26"/>
        <v>9</v>
      </c>
      <c r="M33" s="144">
        <f t="shared" si="22"/>
        <v>9</v>
      </c>
      <c r="N33" s="144">
        <f t="shared" si="22"/>
        <v>9</v>
      </c>
      <c r="O33" s="144">
        <f t="shared" si="22"/>
        <v>9</v>
      </c>
      <c r="P33" s="144">
        <f t="shared" si="22"/>
        <v>9</v>
      </c>
      <c r="Q33" s="144">
        <f t="shared" si="22"/>
        <v>9</v>
      </c>
      <c r="R33" s="144">
        <f t="shared" si="22"/>
        <v>9</v>
      </c>
      <c r="S33" s="145"/>
      <c r="T33" s="145">
        <f t="shared" si="27"/>
        <v>63</v>
      </c>
      <c r="V33" s="3">
        <v>1</v>
      </c>
      <c r="W33">
        <f t="shared" si="28"/>
        <v>63</v>
      </c>
    </row>
    <row r="34" spans="1:23" outlineLevel="3" x14ac:dyDescent="0.25">
      <c r="A34" s="141"/>
      <c r="B34" s="142"/>
      <c r="C34" s="141"/>
      <c r="D34" s="141"/>
      <c r="E34" s="141"/>
      <c r="F34" s="143"/>
      <c r="G34" s="143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/>
      <c r="V34" s="3"/>
      <c r="W34">
        <f t="shared" si="28"/>
        <v>0</v>
      </c>
    </row>
    <row r="35" spans="1:23" outlineLevel="3" x14ac:dyDescent="0.25">
      <c r="A35" s="141" t="s">
        <v>183</v>
      </c>
      <c r="B35" s="142" t="s">
        <v>96</v>
      </c>
      <c r="C35" t="s">
        <v>76</v>
      </c>
      <c r="D35" s="141">
        <v>3</v>
      </c>
      <c r="E35" s="141"/>
      <c r="F35" s="143">
        <v>0.60416666666666663</v>
      </c>
      <c r="G35" s="143">
        <v>0.95833333333333337</v>
      </c>
      <c r="H35" s="146">
        <f t="shared" ref="H35:H36" si="32">IF((G35-F35)&lt;0,(G35+(1-F35))*24,(G35-F35)*24)</f>
        <v>8.5000000000000018</v>
      </c>
      <c r="I35" s="146">
        <f t="shared" ref="I35:I40" si="33">IF(H35&gt;5,-0.5,0)</f>
        <v>-0.5</v>
      </c>
      <c r="J35" s="146">
        <f t="shared" ref="J35:J36" si="34">SUM(H35:I35)</f>
        <v>8.0000000000000018</v>
      </c>
      <c r="K35" s="146">
        <f t="shared" ref="K35:K36" si="35">D35*J35</f>
        <v>24.000000000000007</v>
      </c>
      <c r="L35" s="144">
        <f t="shared" si="26"/>
        <v>24.000000000000007</v>
      </c>
      <c r="M35" s="144">
        <f t="shared" si="26"/>
        <v>24.000000000000007</v>
      </c>
      <c r="N35" s="144">
        <f t="shared" si="26"/>
        <v>24.000000000000007</v>
      </c>
      <c r="O35" s="144">
        <f t="shared" si="26"/>
        <v>24.000000000000007</v>
      </c>
      <c r="P35" s="144">
        <f t="shared" si="26"/>
        <v>24.000000000000007</v>
      </c>
      <c r="Q35" s="144">
        <f t="shared" si="26"/>
        <v>24.000000000000007</v>
      </c>
      <c r="R35" s="144">
        <f t="shared" si="26"/>
        <v>24.000000000000007</v>
      </c>
      <c r="S35" s="145"/>
      <c r="T35" s="145">
        <f t="shared" si="27"/>
        <v>168.00000000000003</v>
      </c>
      <c r="V35" s="3">
        <v>1</v>
      </c>
      <c r="W35">
        <f t="shared" si="28"/>
        <v>168.00000000000003</v>
      </c>
    </row>
    <row r="36" spans="1:23" outlineLevel="3" x14ac:dyDescent="0.25">
      <c r="A36" s="141" t="s">
        <v>184</v>
      </c>
      <c r="B36" s="142" t="s">
        <v>96</v>
      </c>
      <c r="C36" t="s">
        <v>76</v>
      </c>
      <c r="D36" s="141">
        <v>9</v>
      </c>
      <c r="E36" s="141"/>
      <c r="F36" s="143">
        <v>0.60416666666666663</v>
      </c>
      <c r="G36" s="143">
        <v>0.875</v>
      </c>
      <c r="H36" s="146">
        <f t="shared" si="32"/>
        <v>6.5000000000000009</v>
      </c>
      <c r="I36" s="146">
        <f t="shared" si="33"/>
        <v>-0.5</v>
      </c>
      <c r="J36" s="146">
        <f t="shared" si="34"/>
        <v>6.0000000000000009</v>
      </c>
      <c r="K36" s="146">
        <f t="shared" si="35"/>
        <v>54.000000000000007</v>
      </c>
      <c r="L36" s="144">
        <f t="shared" si="26"/>
        <v>54.000000000000007</v>
      </c>
      <c r="M36" s="144">
        <f t="shared" si="26"/>
        <v>54.000000000000007</v>
      </c>
      <c r="N36" s="144">
        <f t="shared" si="26"/>
        <v>54.000000000000007</v>
      </c>
      <c r="O36" s="144">
        <f t="shared" si="26"/>
        <v>54.000000000000007</v>
      </c>
      <c r="P36" s="144">
        <f t="shared" si="26"/>
        <v>54.000000000000007</v>
      </c>
      <c r="Q36" s="144">
        <f t="shared" si="26"/>
        <v>54.000000000000007</v>
      </c>
      <c r="R36" s="144">
        <f t="shared" si="26"/>
        <v>54.000000000000007</v>
      </c>
      <c r="S36" s="145"/>
      <c r="T36" s="145">
        <f t="shared" si="27"/>
        <v>378.00000000000006</v>
      </c>
      <c r="V36" s="3">
        <v>1</v>
      </c>
      <c r="W36">
        <f t="shared" si="28"/>
        <v>378.00000000000006</v>
      </c>
    </row>
    <row r="37" spans="1:23" outlineLevel="3" x14ac:dyDescent="0.25">
      <c r="A37" s="141" t="s">
        <v>185</v>
      </c>
      <c r="B37" s="142" t="s">
        <v>96</v>
      </c>
      <c r="C37" t="s">
        <v>76</v>
      </c>
      <c r="D37" s="141">
        <v>2</v>
      </c>
      <c r="E37" s="141"/>
      <c r="F37" s="143">
        <v>0.60416666666666663</v>
      </c>
      <c r="G37" s="143">
        <v>0.8125</v>
      </c>
      <c r="H37" s="146">
        <f t="shared" ref="H37" si="36">IF((G37-F37)&lt;0,(G37+(1-F37))*24,(G37-F37)*24)</f>
        <v>5.0000000000000009</v>
      </c>
      <c r="I37" s="146">
        <f t="shared" si="33"/>
        <v>0</v>
      </c>
      <c r="J37" s="146">
        <f t="shared" ref="J37" si="37">SUM(H37:I37)</f>
        <v>5.0000000000000009</v>
      </c>
      <c r="K37" s="146">
        <f t="shared" ref="K37" si="38">D37*J37</f>
        <v>10.000000000000002</v>
      </c>
      <c r="L37" s="144">
        <f t="shared" si="26"/>
        <v>10.000000000000002</v>
      </c>
      <c r="M37" s="144">
        <f t="shared" si="26"/>
        <v>10.000000000000002</v>
      </c>
      <c r="N37" s="144">
        <f t="shared" si="26"/>
        <v>10.000000000000002</v>
      </c>
      <c r="O37" s="144">
        <f t="shared" si="26"/>
        <v>10.000000000000002</v>
      </c>
      <c r="P37" s="144">
        <f t="shared" si="26"/>
        <v>10.000000000000002</v>
      </c>
      <c r="Q37" s="144">
        <f t="shared" si="26"/>
        <v>10.000000000000002</v>
      </c>
      <c r="R37" s="144">
        <f t="shared" si="26"/>
        <v>10.000000000000002</v>
      </c>
      <c r="S37" s="145"/>
      <c r="T37" s="145">
        <f t="shared" si="27"/>
        <v>70.000000000000014</v>
      </c>
      <c r="V37" s="3">
        <v>1</v>
      </c>
      <c r="W37">
        <f t="shared" si="28"/>
        <v>70.000000000000014</v>
      </c>
    </row>
    <row r="38" spans="1:23" outlineLevel="3" x14ac:dyDescent="0.25">
      <c r="A38" s="141"/>
      <c r="B38" s="142"/>
      <c r="C38" s="141"/>
      <c r="D38" s="141"/>
      <c r="E38" s="141"/>
      <c r="F38" s="141"/>
      <c r="G38" s="141"/>
      <c r="H38" s="141"/>
      <c r="I38" s="141"/>
      <c r="J38" s="141"/>
      <c r="K38" s="141"/>
      <c r="L38" s="146"/>
      <c r="M38" s="146"/>
      <c r="N38" s="146"/>
      <c r="O38" s="146"/>
      <c r="P38" s="146"/>
      <c r="Q38" s="146"/>
      <c r="R38" s="146"/>
      <c r="S38" s="145"/>
      <c r="T38" s="145"/>
      <c r="V38" s="3"/>
      <c r="W38">
        <f t="shared" si="28"/>
        <v>0</v>
      </c>
    </row>
    <row r="39" spans="1:23" outlineLevel="3" x14ac:dyDescent="0.25">
      <c r="A39" s="141" t="s">
        <v>183</v>
      </c>
      <c r="B39" s="142" t="s">
        <v>97</v>
      </c>
      <c r="C39" t="s">
        <v>76</v>
      </c>
      <c r="D39" s="141">
        <v>2</v>
      </c>
      <c r="E39" s="141"/>
      <c r="F39" s="143">
        <v>0.94791666666666663</v>
      </c>
      <c r="G39" s="143">
        <v>0.30208333333333331</v>
      </c>
      <c r="H39" s="146">
        <f t="shared" ref="H39" si="39">IF((G39-F39)&lt;0,(G39+(1-F39))*24,(G39-F39)*24)</f>
        <v>8.5</v>
      </c>
      <c r="I39" s="146">
        <f t="shared" si="33"/>
        <v>-0.5</v>
      </c>
      <c r="J39" s="146">
        <f t="shared" ref="J39" si="40">SUM(H39:I39)</f>
        <v>8</v>
      </c>
      <c r="K39" s="146">
        <f t="shared" ref="K39" si="41">D39*J39</f>
        <v>16</v>
      </c>
      <c r="L39" s="144">
        <f t="shared" si="26"/>
        <v>16</v>
      </c>
      <c r="M39" s="144">
        <f t="shared" si="26"/>
        <v>16</v>
      </c>
      <c r="N39" s="144">
        <f t="shared" si="26"/>
        <v>16</v>
      </c>
      <c r="O39" s="144">
        <f t="shared" si="26"/>
        <v>16</v>
      </c>
      <c r="P39" s="144">
        <f t="shared" si="26"/>
        <v>16</v>
      </c>
      <c r="Q39" s="144">
        <f t="shared" si="26"/>
        <v>16</v>
      </c>
      <c r="R39" s="144">
        <f t="shared" si="26"/>
        <v>16</v>
      </c>
      <c r="S39" s="145"/>
      <c r="T39" s="145">
        <f t="shared" ref="T39:T40" si="42">SUM(L39:S39)</f>
        <v>112</v>
      </c>
      <c r="V39" s="3">
        <v>1</v>
      </c>
      <c r="W39">
        <f t="shared" si="28"/>
        <v>112</v>
      </c>
    </row>
    <row r="40" spans="1:23" outlineLevel="3" x14ac:dyDescent="0.25">
      <c r="A40" s="141" t="s">
        <v>184</v>
      </c>
      <c r="B40" s="142" t="s">
        <v>97</v>
      </c>
      <c r="C40" t="s">
        <v>76</v>
      </c>
      <c r="D40" s="141">
        <v>6</v>
      </c>
      <c r="E40" s="141"/>
      <c r="F40" s="143">
        <v>0.94791666666666663</v>
      </c>
      <c r="G40" s="143">
        <v>0.30208333333333331</v>
      </c>
      <c r="H40" s="146">
        <f t="shared" ref="H40" si="43">IF((G40-F40)&lt;0,(G40+(1-F40))*24,(G40-F40)*24)</f>
        <v>8.5</v>
      </c>
      <c r="I40" s="146">
        <f t="shared" si="33"/>
        <v>-0.5</v>
      </c>
      <c r="J40" s="146">
        <f t="shared" ref="J40" si="44">SUM(H40:I40)</f>
        <v>8</v>
      </c>
      <c r="K40" s="146">
        <f t="shared" ref="K40" si="45">D40*J40</f>
        <v>48</v>
      </c>
      <c r="L40" s="144">
        <f t="shared" si="26"/>
        <v>48</v>
      </c>
      <c r="M40" s="144">
        <f t="shared" si="26"/>
        <v>48</v>
      </c>
      <c r="N40" s="144">
        <f t="shared" si="26"/>
        <v>48</v>
      </c>
      <c r="O40" s="144">
        <f t="shared" si="26"/>
        <v>48</v>
      </c>
      <c r="P40" s="144">
        <f t="shared" si="26"/>
        <v>48</v>
      </c>
      <c r="Q40" s="144">
        <f t="shared" si="26"/>
        <v>48</v>
      </c>
      <c r="R40" s="144">
        <f t="shared" si="26"/>
        <v>48</v>
      </c>
      <c r="S40" s="145"/>
      <c r="T40" s="145">
        <f t="shared" si="42"/>
        <v>336</v>
      </c>
      <c r="V40" s="3">
        <v>1</v>
      </c>
      <c r="W40">
        <f t="shared" si="28"/>
        <v>336</v>
      </c>
    </row>
    <row r="41" spans="1:23" outlineLevel="3" x14ac:dyDescent="0.25">
      <c r="A41" s="141"/>
      <c r="B41" s="142"/>
      <c r="C41" s="141"/>
      <c r="D41" s="141"/>
      <c r="E41" s="141"/>
      <c r="F41" s="143"/>
      <c r="G41" s="143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/>
      <c r="V41" s="3"/>
      <c r="W41">
        <f t="shared" si="28"/>
        <v>0</v>
      </c>
    </row>
    <row r="42" spans="1:23" outlineLevel="3" x14ac:dyDescent="0.25">
      <c r="A42" s="141"/>
      <c r="B42" s="142"/>
      <c r="C42" s="141"/>
      <c r="D42" s="141"/>
      <c r="E42" s="141"/>
      <c r="F42" s="143"/>
      <c r="G42" s="143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/>
      <c r="V42" s="3"/>
      <c r="W42">
        <f t="shared" si="28"/>
        <v>0</v>
      </c>
    </row>
    <row r="43" spans="1:23" outlineLevel="3" x14ac:dyDescent="0.25">
      <c r="A43" s="141"/>
      <c r="B43" s="142"/>
      <c r="C43" s="141"/>
      <c r="D43" s="141"/>
      <c r="E43" s="141"/>
      <c r="F43" s="143"/>
      <c r="G43" s="143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/>
      <c r="V43" s="3"/>
      <c r="W43">
        <f t="shared" si="28"/>
        <v>0</v>
      </c>
    </row>
    <row r="44" spans="1:23" outlineLevel="3" x14ac:dyDescent="0.25">
      <c r="A44" s="141"/>
      <c r="B44" s="142"/>
      <c r="C44" s="141"/>
      <c r="D44" s="141"/>
      <c r="E44" s="141"/>
      <c r="F44" s="141"/>
      <c r="G44" s="141"/>
      <c r="H44" s="141"/>
      <c r="I44" s="141"/>
      <c r="J44" s="141"/>
      <c r="K44" s="141"/>
      <c r="L44" s="146"/>
      <c r="M44" s="146"/>
      <c r="N44" s="146"/>
      <c r="O44" s="146"/>
      <c r="P44" s="146"/>
      <c r="Q44" s="146"/>
      <c r="R44" s="146"/>
      <c r="S44" s="145"/>
      <c r="T44" s="145"/>
      <c r="V44" s="3"/>
      <c r="W44">
        <f t="shared" si="28"/>
        <v>0</v>
      </c>
    </row>
    <row r="45" spans="1:23" outlineLevel="3" x14ac:dyDescent="0.25">
      <c r="A45" s="141"/>
      <c r="B45" s="142"/>
      <c r="C45" s="141"/>
      <c r="D45" s="141"/>
      <c r="E45" s="141"/>
      <c r="F45" s="141"/>
      <c r="G45" s="141"/>
      <c r="H45" s="141"/>
      <c r="I45" s="141"/>
      <c r="J45" s="141"/>
      <c r="K45" s="141"/>
      <c r="L45" s="146"/>
      <c r="M45" s="146"/>
      <c r="N45" s="146"/>
      <c r="O45" s="146"/>
      <c r="P45" s="146"/>
      <c r="Q45" s="146"/>
      <c r="R45" s="146"/>
      <c r="S45" s="145"/>
      <c r="T45" s="145"/>
      <c r="V45" s="3"/>
      <c r="W45">
        <f t="shared" si="28"/>
        <v>0</v>
      </c>
    </row>
    <row r="46" spans="1:23" outlineLevel="3" x14ac:dyDescent="0.25">
      <c r="A46" s="141"/>
      <c r="B46" s="142"/>
      <c r="C46" s="141"/>
      <c r="D46" s="141"/>
      <c r="E46" s="141"/>
      <c r="F46" s="141"/>
      <c r="G46" s="141"/>
      <c r="H46" s="141"/>
      <c r="I46" s="141"/>
      <c r="J46" s="141"/>
      <c r="K46" s="141"/>
      <c r="L46" s="146"/>
      <c r="M46" s="146"/>
      <c r="N46" s="146"/>
      <c r="O46" s="146"/>
      <c r="P46" s="146"/>
      <c r="Q46" s="146"/>
      <c r="R46" s="146"/>
      <c r="S46" s="145"/>
      <c r="T46" s="145"/>
      <c r="V46" s="3"/>
      <c r="W46">
        <f t="shared" si="28"/>
        <v>0</v>
      </c>
    </row>
    <row r="47" spans="1:23" outlineLevel="3" x14ac:dyDescent="0.25">
      <c r="A47" s="141"/>
      <c r="B47" s="142"/>
      <c r="C47" s="141"/>
      <c r="D47" s="141"/>
      <c r="E47" s="141"/>
      <c r="F47" s="143"/>
      <c r="G47" s="143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/>
      <c r="V47" s="3"/>
      <c r="W47">
        <f t="shared" si="28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/>
      <c r="V48" s="3"/>
      <c r="W48">
        <f t="shared" si="28"/>
        <v>0</v>
      </c>
    </row>
    <row r="49" spans="1:23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/>
      <c r="V49" s="3"/>
      <c r="W49">
        <f t="shared" si="28"/>
        <v>0</v>
      </c>
    </row>
    <row r="50" spans="1:23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/>
      <c r="V50" s="3"/>
      <c r="W50">
        <f t="shared" si="28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/>
      <c r="V51" s="3"/>
      <c r="W51">
        <f t="shared" si="28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/>
      <c r="W52">
        <f t="shared" si="28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/>
      <c r="W53">
        <f t="shared" si="28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/>
      <c r="W54">
        <f t="shared" si="28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/>
      <c r="W55">
        <f t="shared" si="28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/>
      <c r="W56">
        <f t="shared" si="28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/>
      <c r="W57">
        <f t="shared" si="28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/>
      <c r="W58">
        <f t="shared" si="28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/>
      <c r="W59">
        <f t="shared" si="28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/>
      <c r="W60">
        <f t="shared" si="28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/>
      <c r="W61">
        <f t="shared" si="28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/>
      <c r="W62">
        <f t="shared" si="28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/>
      <c r="W63">
        <f t="shared" si="28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/>
      <c r="W64">
        <f t="shared" si="28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/>
      <c r="W65">
        <f t="shared" si="28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/>
      <c r="W66">
        <f t="shared" si="28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/>
      <c r="W67">
        <f t="shared" si="28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/>
      <c r="W68">
        <f t="shared" si="28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/>
      <c r="W69">
        <f t="shared" si="28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/>
      <c r="W70">
        <f t="shared" si="28"/>
        <v>0</v>
      </c>
    </row>
    <row r="71" spans="1:24" ht="15.75" outlineLevel="3" thickBot="1" x14ac:dyDescent="0.3">
      <c r="A71" s="149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/>
      <c r="W71" s="44">
        <f t="shared" si="28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disablePrompts="1" count="1">
    <dataValidation type="list" allowBlank="1" showInputMessage="1" showErrorMessage="1" sqref="A48:B71" xr:uid="{61EF124E-17B5-4912-B472-2612F0D91FF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E126-3F82-4D66-A092-6B63257591DC}">
  <sheetPr>
    <tabColor rgb="FF0070C0"/>
    <outlinePr showOutlineSymbols="0"/>
  </sheetPr>
  <dimension ref="A1:X72"/>
  <sheetViews>
    <sheetView showOutlineSymbols="0" topLeftCell="A25" workbookViewId="0">
      <selection activeCell="I31" sqref="I31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4" ht="23.25" x14ac:dyDescent="0.35">
      <c r="A1" s="37" t="str">
        <f>'Primary Inputs'!$B$5</f>
        <v>Christadelphian Aged Care</v>
      </c>
    </row>
    <row r="3" spans="1:24" x14ac:dyDescent="0.25">
      <c r="A3" s="1" t="s">
        <v>42</v>
      </c>
    </row>
    <row r="4" spans="1:24" x14ac:dyDescent="0.25">
      <c r="A4" s="1"/>
    </row>
    <row r="5" spans="1:24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4" x14ac:dyDescent="0.25">
      <c r="A6" s="1" t="str">
        <f>'Primary Inputs'!A11</f>
        <v>G3</v>
      </c>
      <c r="B6" t="str">
        <f>VLOOKUP($A6,'Primary Inputs'!$A$9:$J$13,2,FALSE)</f>
        <v>Ashburn House</v>
      </c>
      <c r="C6" t="str">
        <f>VLOOKUP($A6,'Primary Inputs'!$A$9:$J$13,3,FALSE)</f>
        <v>Hidden</v>
      </c>
      <c r="D6" t="str">
        <f>VLOOKUP($A6,'Primary Inputs'!$A$9:$J$13,4,FALSE)</f>
        <v>N/A</v>
      </c>
      <c r="E6">
        <f>VLOOKUP($A6,'Primary Inputs'!$A$9:$J$13,5,FALSE)</f>
        <v>0</v>
      </c>
    </row>
    <row r="7" spans="1:24" x14ac:dyDescent="0.25">
      <c r="A7" s="1"/>
    </row>
    <row r="8" spans="1:24" ht="15" customHeight="1" x14ac:dyDescent="0.25">
      <c r="X8" s="6"/>
    </row>
    <row r="9" spans="1:24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4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</row>
    <row r="11" spans="1:24" x14ac:dyDescent="0.25">
      <c r="T11" s="6"/>
      <c r="U11" s="6"/>
    </row>
    <row r="12" spans="1:24" x14ac:dyDescent="0.25">
      <c r="A12" s="1" t="str">
        <f>"TOTAL "&amp;$C$6&amp;" ROSTER"</f>
        <v>TOTAL Hidden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0</v>
      </c>
      <c r="M12" s="28">
        <f t="shared" ref="M12:T12" si="0">SUBTOTAL(9,M13:M28)</f>
        <v>0</v>
      </c>
      <c r="N12" s="28">
        <f t="shared" si="0"/>
        <v>0</v>
      </c>
      <c r="O12" s="28">
        <f t="shared" si="0"/>
        <v>0</v>
      </c>
      <c r="P12" s="28">
        <f t="shared" si="0"/>
        <v>0</v>
      </c>
      <c r="Q12" s="28">
        <f t="shared" si="0"/>
        <v>0</v>
      </c>
      <c r="R12" s="28">
        <f t="shared" si="0"/>
        <v>0</v>
      </c>
      <c r="S12" s="28"/>
      <c r="T12" s="28">
        <f t="shared" si="0"/>
        <v>0</v>
      </c>
      <c r="U12" s="29"/>
      <c r="V12" s="25">
        <f>IFERROR(W12/T12,0)</f>
        <v>0</v>
      </c>
      <c r="W12" s="28">
        <f t="shared" ref="W12" si="1">SUBTOTAL(9,W13:W28)</f>
        <v>0</v>
      </c>
      <c r="X12" s="28"/>
    </row>
    <row r="13" spans="1:24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0</v>
      </c>
      <c r="M13" s="28">
        <f t="shared" ref="M13:T13" si="2">SUBTOTAL(9,M14:M15)</f>
        <v>0</v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28">
        <f t="shared" si="2"/>
        <v>0</v>
      </c>
      <c r="S13" s="28"/>
      <c r="T13" s="28">
        <f t="shared" si="2"/>
        <v>0</v>
      </c>
      <c r="U13" s="29"/>
      <c r="V13" s="25">
        <f>IFERROR(W13/T13,0)</f>
        <v>0</v>
      </c>
      <c r="W13" s="28">
        <f t="shared" ref="W13" si="3">SUBTOTAL(9,W14:W15)</f>
        <v>0</v>
      </c>
      <c r="X13" s="28"/>
    </row>
    <row r="14" spans="1:24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4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SUMIFS(W$31:W$71,$C$31:$C$71,$C15)</f>
        <v>0</v>
      </c>
      <c r="X15" s="32"/>
    </row>
    <row r="16" spans="1:24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3">SUBTOTAL(9,M25:M27)</f>
        <v>0</v>
      </c>
      <c r="N24" s="28">
        <f t="shared" si="13"/>
        <v>0</v>
      </c>
      <c r="O24" s="28">
        <f t="shared" si="13"/>
        <v>0</v>
      </c>
      <c r="P24" s="28">
        <f t="shared" si="13"/>
        <v>0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0</v>
      </c>
      <c r="U24" s="7"/>
      <c r="V24" s="25">
        <f t="shared" si="11"/>
        <v>0</v>
      </c>
      <c r="W24" s="28">
        <f t="shared" si="13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0</v>
      </c>
      <c r="M25" s="30">
        <f t="shared" si="14"/>
        <v>0</v>
      </c>
      <c r="N25" s="30">
        <f t="shared" si="14"/>
        <v>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0</v>
      </c>
      <c r="U25" s="7"/>
      <c r="V25" s="3">
        <f t="shared" si="11"/>
        <v>0</v>
      </c>
      <c r="W25" s="32">
        <f t="shared" ref="W25:W26" si="16">SUMIFS(W$31:W$71,$C$31:$C$71,$C25)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0</v>
      </c>
      <c r="M30" s="48">
        <f t="shared" ref="M30:T30" si="17">SUBTOTAL(9,M31:M71)</f>
        <v>0</v>
      </c>
      <c r="N30" s="48">
        <f t="shared" si="17"/>
        <v>0</v>
      </c>
      <c r="O30" s="48">
        <f t="shared" si="17"/>
        <v>0</v>
      </c>
      <c r="P30" s="48">
        <f t="shared" si="17"/>
        <v>0</v>
      </c>
      <c r="Q30" s="48">
        <f t="shared" si="17"/>
        <v>0</v>
      </c>
      <c r="R30" s="48">
        <f t="shared" si="17"/>
        <v>0</v>
      </c>
      <c r="S30" s="48"/>
      <c r="T30" s="48">
        <f t="shared" si="17"/>
        <v>0</v>
      </c>
      <c r="U30" s="49"/>
      <c r="V30" s="47"/>
      <c r="W30" s="48">
        <f t="shared" ref="W30" si="18">SUBTOTAL(9,W31:W71)</f>
        <v>0</v>
      </c>
      <c r="X30" s="50"/>
    </row>
    <row r="31" spans="1:24" outlineLevel="3" x14ac:dyDescent="0.25">
      <c r="A31" s="141" t="s">
        <v>181</v>
      </c>
      <c r="B31" s="142" t="s">
        <v>95</v>
      </c>
      <c r="C31" s="141" t="s">
        <v>74</v>
      </c>
      <c r="D31" s="141">
        <v>1</v>
      </c>
      <c r="E31" s="141"/>
      <c r="F31" s="143">
        <v>0.27083333333333331</v>
      </c>
      <c r="G31" s="143">
        <v>0.60416666666666663</v>
      </c>
      <c r="H31" s="146">
        <f t="shared" ref="H31" si="19">IF((G31-F31)&lt;0,(G31+(1-F31))*24,(G31-F31)*24)</f>
        <v>8</v>
      </c>
      <c r="I31" s="146">
        <f t="shared" ref="I31" si="20">IF(H31&gt;5,-0.5,0)</f>
        <v>-0.5</v>
      </c>
      <c r="J31" s="146">
        <f t="shared" ref="J31" si="21">SUM(H31:I31)</f>
        <v>7.5</v>
      </c>
      <c r="K31" s="146">
        <f t="shared" ref="K31" si="22">D31*J31</f>
        <v>7.5</v>
      </c>
      <c r="L31" s="146"/>
      <c r="M31" s="146"/>
      <c r="N31" s="146"/>
      <c r="O31" s="146"/>
      <c r="P31" s="146"/>
      <c r="Q31" s="146"/>
      <c r="R31" s="146"/>
      <c r="S31" s="145"/>
      <c r="T31" s="145">
        <f>SUM(L31:S31)</f>
        <v>0</v>
      </c>
      <c r="V31" s="3">
        <f>IFERROR(VLOOKUP(A31,#REF!,4,FALSE),0)</f>
        <v>0</v>
      </c>
      <c r="W31">
        <f>T31*V31</f>
        <v>0</v>
      </c>
    </row>
    <row r="32" spans="1:24" outlineLevel="3" x14ac:dyDescent="0.25">
      <c r="A32" s="141"/>
      <c r="B32" s="142"/>
      <c r="C32" s="141"/>
      <c r="D32" s="141"/>
      <c r="E32" s="141"/>
      <c r="F32" s="143"/>
      <c r="G32" s="143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5"/>
      <c r="T32" s="145">
        <f t="shared" ref="T32:T51" si="23">SUM(L32:S32)</f>
        <v>0</v>
      </c>
      <c r="V32" s="3">
        <f>IFERROR(VLOOKUP(A32,#REF!,4,FALSE),0)</f>
        <v>0</v>
      </c>
      <c r="W32">
        <f t="shared" ref="W32:W71" si="24">T32*V32</f>
        <v>0</v>
      </c>
    </row>
    <row r="33" spans="1:23" outlineLevel="3" x14ac:dyDescent="0.25">
      <c r="A33" s="141"/>
      <c r="B33" s="142"/>
      <c r="C33" s="141"/>
      <c r="D33" s="141"/>
      <c r="E33" s="141"/>
      <c r="F33" s="143"/>
      <c r="G33" s="143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5"/>
      <c r="T33" s="145">
        <f t="shared" si="23"/>
        <v>0</v>
      </c>
      <c r="V33" s="3">
        <f>IFERROR(VLOOKUP(A33,#REF!,4,FALSE),0)</f>
        <v>0</v>
      </c>
      <c r="W33">
        <f t="shared" si="24"/>
        <v>0</v>
      </c>
    </row>
    <row r="34" spans="1:23" outlineLevel="3" x14ac:dyDescent="0.25">
      <c r="A34" s="141"/>
      <c r="B34" s="142"/>
      <c r="C34" s="141"/>
      <c r="D34" s="141"/>
      <c r="E34" s="141"/>
      <c r="F34" s="143"/>
      <c r="G34" s="143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>
        <f t="shared" si="23"/>
        <v>0</v>
      </c>
      <c r="V34" s="3">
        <f>IFERROR(VLOOKUP(A34,#REF!,4,FALSE),0)</f>
        <v>0</v>
      </c>
      <c r="W34">
        <f t="shared" si="24"/>
        <v>0</v>
      </c>
    </row>
    <row r="35" spans="1:23" outlineLevel="3" x14ac:dyDescent="0.25">
      <c r="A35" s="141"/>
      <c r="B35" s="142"/>
      <c r="C35" s="141"/>
      <c r="D35" s="141"/>
      <c r="E35" s="141"/>
      <c r="F35" s="143"/>
      <c r="G35" s="143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5"/>
      <c r="T35" s="145">
        <f t="shared" si="23"/>
        <v>0</v>
      </c>
      <c r="V35" s="3">
        <f>IFERROR(VLOOKUP(A35,#REF!,4,FALSE),0)</f>
        <v>0</v>
      </c>
      <c r="W35">
        <f t="shared" si="24"/>
        <v>0</v>
      </c>
    </row>
    <row r="36" spans="1:23" outlineLevel="3" x14ac:dyDescent="0.25">
      <c r="A36" s="141"/>
      <c r="B36" s="142"/>
      <c r="C36" s="141"/>
      <c r="D36" s="141"/>
      <c r="E36" s="141"/>
      <c r="F36" s="143"/>
      <c r="G36" s="143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5"/>
      <c r="T36" s="145">
        <f t="shared" si="23"/>
        <v>0</v>
      </c>
      <c r="V36" s="3">
        <f>IFERROR(VLOOKUP(A36,#REF!,4,FALSE),0)</f>
        <v>0</v>
      </c>
      <c r="W36">
        <f t="shared" si="24"/>
        <v>0</v>
      </c>
    </row>
    <row r="37" spans="1:23" outlineLevel="3" x14ac:dyDescent="0.25">
      <c r="A37" s="141"/>
      <c r="B37" s="142"/>
      <c r="C37" s="141"/>
      <c r="D37" s="141"/>
      <c r="E37" s="141"/>
      <c r="F37" s="143"/>
      <c r="G37" s="143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5"/>
      <c r="T37" s="145">
        <f t="shared" si="23"/>
        <v>0</v>
      </c>
      <c r="V37" s="3">
        <f>IFERROR(VLOOKUP(A37,#REF!,4,FALSE),0)</f>
        <v>0</v>
      </c>
      <c r="W37">
        <f t="shared" si="24"/>
        <v>0</v>
      </c>
    </row>
    <row r="38" spans="1:23" outlineLevel="3" x14ac:dyDescent="0.25">
      <c r="A38" s="141"/>
      <c r="B38" s="142"/>
      <c r="C38" s="141"/>
      <c r="D38" s="141"/>
      <c r="E38" s="141"/>
      <c r="F38" s="143"/>
      <c r="G38" s="143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>
        <f t="shared" si="23"/>
        <v>0</v>
      </c>
      <c r="V38" s="3">
        <f>IFERROR(VLOOKUP(A38,#REF!,4,FALSE),0)</f>
        <v>0</v>
      </c>
      <c r="W38">
        <f t="shared" si="24"/>
        <v>0</v>
      </c>
    </row>
    <row r="39" spans="1:23" outlineLevel="3" x14ac:dyDescent="0.25">
      <c r="A39" s="141"/>
      <c r="B39" s="142"/>
      <c r="C39" s="141"/>
      <c r="D39" s="141"/>
      <c r="E39" s="141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>
        <f t="shared" si="23"/>
        <v>0</v>
      </c>
      <c r="V39" s="3">
        <f>IFERROR(VLOOKUP(A39,#REF!,4,FALSE),0)</f>
        <v>0</v>
      </c>
      <c r="W39">
        <f t="shared" si="24"/>
        <v>0</v>
      </c>
    </row>
    <row r="40" spans="1:23" outlineLevel="3" x14ac:dyDescent="0.25">
      <c r="A40" s="141"/>
      <c r="B40" s="142"/>
      <c r="C40" s="141"/>
      <c r="D40" s="141"/>
      <c r="E40" s="141"/>
      <c r="F40" s="143"/>
      <c r="G40" s="143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>
        <f t="shared" si="23"/>
        <v>0</v>
      </c>
      <c r="V40" s="3">
        <f>IFERROR(VLOOKUP(A40,#REF!,4,FALSE),0)</f>
        <v>0</v>
      </c>
      <c r="W40">
        <f t="shared" si="24"/>
        <v>0</v>
      </c>
    </row>
    <row r="41" spans="1:23" outlineLevel="3" x14ac:dyDescent="0.25">
      <c r="A41" s="141"/>
      <c r="B41" s="142"/>
      <c r="C41" s="141"/>
      <c r="D41" s="141"/>
      <c r="E41" s="141"/>
      <c r="F41" s="143"/>
      <c r="G41" s="143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>
        <f t="shared" si="23"/>
        <v>0</v>
      </c>
      <c r="V41" s="3">
        <f>IFERROR(VLOOKUP(A41,#REF!,4,FALSE),0)</f>
        <v>0</v>
      </c>
      <c r="W41">
        <f t="shared" si="24"/>
        <v>0</v>
      </c>
    </row>
    <row r="42" spans="1:23" outlineLevel="3" x14ac:dyDescent="0.25">
      <c r="A42" s="141"/>
      <c r="B42" s="142"/>
      <c r="C42" s="141"/>
      <c r="D42" s="141"/>
      <c r="E42" s="141"/>
      <c r="F42" s="143"/>
      <c r="G42" s="143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>
        <f t="shared" si="23"/>
        <v>0</v>
      </c>
      <c r="V42" s="3">
        <f>IFERROR(VLOOKUP(A42,#REF!,4,FALSE),0)</f>
        <v>0</v>
      </c>
      <c r="W42">
        <f t="shared" si="24"/>
        <v>0</v>
      </c>
    </row>
    <row r="43" spans="1:23" outlineLevel="3" x14ac:dyDescent="0.25">
      <c r="A43" s="141"/>
      <c r="B43" s="142"/>
      <c r="C43" s="141"/>
      <c r="D43" s="141"/>
      <c r="E43" s="141"/>
      <c r="F43" s="143"/>
      <c r="G43" s="143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>
        <f t="shared" si="23"/>
        <v>0</v>
      </c>
      <c r="V43" s="3">
        <f>IFERROR(VLOOKUP(A43,#REF!,4,FALSE),0)</f>
        <v>0</v>
      </c>
      <c r="W43">
        <f t="shared" si="24"/>
        <v>0</v>
      </c>
    </row>
    <row r="44" spans="1:23" outlineLevel="3" x14ac:dyDescent="0.25">
      <c r="A44" s="141"/>
      <c r="B44" s="142"/>
      <c r="C44" s="141"/>
      <c r="D44" s="141"/>
      <c r="E44" s="141"/>
      <c r="F44" s="143"/>
      <c r="G44" s="143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>
        <f t="shared" si="23"/>
        <v>0</v>
      </c>
      <c r="V44" s="3">
        <f>IFERROR(VLOOKUP(A44,#REF!,4,FALSE),0)</f>
        <v>0</v>
      </c>
      <c r="W44">
        <f t="shared" si="24"/>
        <v>0</v>
      </c>
    </row>
    <row r="45" spans="1:23" outlineLevel="3" x14ac:dyDescent="0.25">
      <c r="A45" s="141"/>
      <c r="B45" s="142"/>
      <c r="C45" s="141"/>
      <c r="D45" s="141"/>
      <c r="E45" s="141"/>
      <c r="F45" s="143"/>
      <c r="G45" s="143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>
        <f t="shared" si="23"/>
        <v>0</v>
      </c>
      <c r="V45" s="3">
        <f>IFERROR(VLOOKUP(A45,#REF!,4,FALSE),0)</f>
        <v>0</v>
      </c>
      <c r="W45">
        <f t="shared" si="24"/>
        <v>0</v>
      </c>
    </row>
    <row r="46" spans="1:23" outlineLevel="3" x14ac:dyDescent="0.25">
      <c r="A46" s="141"/>
      <c r="B46" s="142"/>
      <c r="C46" s="141"/>
      <c r="D46" s="141"/>
      <c r="E46" s="141"/>
      <c r="F46" s="143"/>
      <c r="G46" s="143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>
        <f t="shared" si="23"/>
        <v>0</v>
      </c>
      <c r="V46" s="3">
        <f>IFERROR(VLOOKUP(A46,#REF!,4,FALSE),0)</f>
        <v>0</v>
      </c>
      <c r="W46">
        <f t="shared" si="24"/>
        <v>0</v>
      </c>
    </row>
    <row r="47" spans="1:23" outlineLevel="3" x14ac:dyDescent="0.25">
      <c r="A47" s="141"/>
      <c r="B47" s="142"/>
      <c r="C47" s="141"/>
      <c r="D47" s="141"/>
      <c r="E47" s="141"/>
      <c r="F47" s="143"/>
      <c r="G47" s="143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>
        <f t="shared" si="23"/>
        <v>0</v>
      </c>
      <c r="V47" s="3">
        <f>IFERROR(VLOOKUP(A47,#REF!,4,FALSE),0)</f>
        <v>0</v>
      </c>
      <c r="W47">
        <f t="shared" si="24"/>
        <v>0</v>
      </c>
    </row>
    <row r="48" spans="1:23" outlineLevel="3" x14ac:dyDescent="0.25">
      <c r="A48" s="141"/>
      <c r="B48" s="142"/>
      <c r="C48" s="141"/>
      <c r="D48" s="141"/>
      <c r="E48" s="141"/>
      <c r="F48" s="143"/>
      <c r="G48" s="143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>
        <f t="shared" si="23"/>
        <v>0</v>
      </c>
      <c r="V48" s="3">
        <f>IFERROR(VLOOKUP(A48,#REF!,4,FALSE),0)</f>
        <v>0</v>
      </c>
      <c r="W48">
        <f t="shared" si="24"/>
        <v>0</v>
      </c>
    </row>
    <row r="49" spans="1:23" outlineLevel="3" x14ac:dyDescent="0.25">
      <c r="A49" s="141"/>
      <c r="B49" s="142"/>
      <c r="C49" s="141"/>
      <c r="D49" s="141"/>
      <c r="E49" s="141"/>
      <c r="F49" s="143"/>
      <c r="G49" s="143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>
        <f t="shared" si="23"/>
        <v>0</v>
      </c>
      <c r="V49" s="3">
        <f>IFERROR(VLOOKUP(A49,#REF!,4,FALSE),0)</f>
        <v>0</v>
      </c>
      <c r="W49">
        <f t="shared" si="24"/>
        <v>0</v>
      </c>
    </row>
    <row r="50" spans="1:23" outlineLevel="3" x14ac:dyDescent="0.25">
      <c r="A50" s="141"/>
      <c r="B50" s="142"/>
      <c r="C50" s="141"/>
      <c r="D50" s="141"/>
      <c r="E50" s="141"/>
      <c r="F50" s="143"/>
      <c r="G50" s="143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>
        <f t="shared" si="23"/>
        <v>0</v>
      </c>
      <c r="V50" s="3">
        <f>IFERROR(VLOOKUP(A50,#REF!,4,FALSE),0)</f>
        <v>0</v>
      </c>
      <c r="W50">
        <f t="shared" si="24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>
        <f t="shared" si="23"/>
        <v>0</v>
      </c>
      <c r="V51" s="3">
        <f>IFERROR(VLOOKUP(A51,#REF!,4,FALSE),0)</f>
        <v>0</v>
      </c>
      <c r="W51">
        <f t="shared" si="24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4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4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4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4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4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>
        <f>IFERROR(VLOOKUP(A57,#REF!,4,FALSE),0)</f>
        <v>0</v>
      </c>
      <c r="W57">
        <f t="shared" si="24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>
        <f>IFERROR(VLOOKUP(A58,#REF!,4,FALSE),0)</f>
        <v>0</v>
      </c>
      <c r="W58">
        <f t="shared" si="24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>
        <f>IFERROR(VLOOKUP(A59,#REF!,4,FALSE),0)</f>
        <v>0</v>
      </c>
      <c r="W59">
        <f t="shared" si="24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>
        <f>IFERROR(VLOOKUP(A60,#REF!,4,FALSE),0)</f>
        <v>0</v>
      </c>
      <c r="W60">
        <f t="shared" si="24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>
        <f>IFERROR(VLOOKUP(A61,#REF!,4,FALSE),0)</f>
        <v>0</v>
      </c>
      <c r="W61">
        <f t="shared" si="24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>
        <f>IFERROR(VLOOKUP(A62,#REF!,4,FALSE),0)</f>
        <v>0</v>
      </c>
      <c r="W62">
        <f t="shared" si="24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>
        <f>IFERROR(VLOOKUP(A63,#REF!,4,FALSE),0)</f>
        <v>0</v>
      </c>
      <c r="W63">
        <f t="shared" si="24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>
        <f>IFERROR(VLOOKUP(A64,#REF!,4,FALSE),0)</f>
        <v>0</v>
      </c>
      <c r="W64">
        <f t="shared" si="24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>
        <f>IFERROR(VLOOKUP(A65,#REF!,4,FALSE),0)</f>
        <v>0</v>
      </c>
      <c r="W65">
        <f t="shared" si="24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>
        <f>IFERROR(VLOOKUP(A66,#REF!,4,FALSE),0)</f>
        <v>0</v>
      </c>
      <c r="W66">
        <f t="shared" si="24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>
        <f>IFERROR(VLOOKUP(A67,#REF!,4,FALSE),0)</f>
        <v>0</v>
      </c>
      <c r="W67">
        <f t="shared" si="24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>
        <f>IFERROR(VLOOKUP(A68,#REF!,4,FALSE),0)</f>
        <v>0</v>
      </c>
      <c r="W68">
        <f t="shared" si="24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>
        <f>IFERROR(VLOOKUP(A69,#REF!,4,FALSE),0)</f>
        <v>0</v>
      </c>
      <c r="W69">
        <f t="shared" si="24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>
        <f>IFERROR(VLOOKUP(A70,#REF!,4,FALSE),0)</f>
        <v>0</v>
      </c>
      <c r="W70">
        <f t="shared" si="24"/>
        <v>0</v>
      </c>
    </row>
    <row r="71" spans="1:24" ht="15.75" outlineLevel="3" thickBot="1" x14ac:dyDescent="0.3">
      <c r="A71" s="149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>
        <f>IFERROR(VLOOKUP(A71,#REF!,4,FALSE),0)</f>
        <v>0</v>
      </c>
      <c r="W71" s="44">
        <f t="shared" si="24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count="1">
    <dataValidation type="list" allowBlank="1" showInputMessage="1" showErrorMessage="1" sqref="A51:B71" xr:uid="{2373DE6F-A634-4F73-8A82-DC1A8D3E54E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BC3F-9AEF-43ED-8E62-6C41E00BB12A}">
  <sheetPr>
    <tabColor rgb="FF0070C0"/>
    <outlinePr showOutlineSymbols="0"/>
  </sheetPr>
  <dimension ref="A1:X72"/>
  <sheetViews>
    <sheetView showOutlineSymbols="0" topLeftCell="A13" workbookViewId="0">
      <selection activeCell="I31" sqref="I31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4" ht="23.25" x14ac:dyDescent="0.35">
      <c r="A1" s="37" t="str">
        <f>'Primary Inputs'!$B$5</f>
        <v>Christadelphian Aged Care</v>
      </c>
    </row>
    <row r="3" spans="1:24" x14ac:dyDescent="0.25">
      <c r="A3" s="1" t="s">
        <v>42</v>
      </c>
    </row>
    <row r="4" spans="1:24" x14ac:dyDescent="0.25">
      <c r="A4" s="1"/>
    </row>
    <row r="5" spans="1:24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4" x14ac:dyDescent="0.25">
      <c r="A6" s="1" t="str">
        <f>'Primary Inputs'!A12</f>
        <v>G4</v>
      </c>
      <c r="B6" t="str">
        <f>VLOOKUP($A6,'Primary Inputs'!$A$9:$J$13,2,FALSE)</f>
        <v>Ashburn House</v>
      </c>
      <c r="C6" t="str">
        <f>VLOOKUP($A6,'Primary Inputs'!$A$9:$J$13,3,FALSE)</f>
        <v>Hidden</v>
      </c>
      <c r="D6" t="str">
        <f>VLOOKUP($A6,'Primary Inputs'!$A$9:$J$13,4,FALSE)</f>
        <v>Roster Only</v>
      </c>
      <c r="E6">
        <f>VLOOKUP($A6,'Primary Inputs'!$A$9:$J$13,5,FALSE)</f>
        <v>0</v>
      </c>
    </row>
    <row r="7" spans="1:24" x14ac:dyDescent="0.25">
      <c r="A7" s="1"/>
    </row>
    <row r="8" spans="1:24" ht="15" customHeight="1" x14ac:dyDescent="0.25">
      <c r="X8" s="6"/>
    </row>
    <row r="9" spans="1:24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4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</row>
    <row r="11" spans="1:24" x14ac:dyDescent="0.25">
      <c r="T11" s="6"/>
      <c r="U11" s="6"/>
    </row>
    <row r="12" spans="1:24" x14ac:dyDescent="0.25">
      <c r="A12" s="1" t="str">
        <f>"TOTAL "&amp;$C$6&amp;" ROSTER"</f>
        <v>TOTAL Hidden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0</v>
      </c>
      <c r="M12" s="28">
        <f t="shared" ref="M12:T12" si="0">SUBTOTAL(9,M13:M28)</f>
        <v>0</v>
      </c>
      <c r="N12" s="28">
        <f t="shared" si="0"/>
        <v>0</v>
      </c>
      <c r="O12" s="28">
        <f t="shared" si="0"/>
        <v>0</v>
      </c>
      <c r="P12" s="28">
        <f t="shared" si="0"/>
        <v>0</v>
      </c>
      <c r="Q12" s="28">
        <f t="shared" si="0"/>
        <v>0</v>
      </c>
      <c r="R12" s="28">
        <f t="shared" si="0"/>
        <v>0</v>
      </c>
      <c r="S12" s="28"/>
      <c r="T12" s="28">
        <f t="shared" si="0"/>
        <v>0</v>
      </c>
      <c r="U12" s="29"/>
      <c r="V12" s="25">
        <f>IFERROR(W12/T12,0)</f>
        <v>0</v>
      </c>
      <c r="W12" s="28">
        <f t="shared" ref="W12" si="1">SUBTOTAL(9,W13:W28)</f>
        <v>0</v>
      </c>
      <c r="X12" s="28"/>
    </row>
    <row r="13" spans="1:24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0</v>
      </c>
      <c r="M13" s="28">
        <f t="shared" ref="M13:T13" si="2">SUBTOTAL(9,M14:M15)</f>
        <v>0</v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28">
        <f t="shared" si="2"/>
        <v>0</v>
      </c>
      <c r="S13" s="28"/>
      <c r="T13" s="28">
        <f t="shared" si="2"/>
        <v>0</v>
      </c>
      <c r="U13" s="29"/>
      <c r="V13" s="25">
        <f>IFERROR(W13/T13,0)</f>
        <v>0</v>
      </c>
      <c r="W13" s="28">
        <f t="shared" ref="W13" si="3">SUBTOTAL(9,W14:W15)</f>
        <v>0</v>
      </c>
      <c r="X13" s="28"/>
    </row>
    <row r="14" spans="1:24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4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SUMIFS(W$31:W$71,$C$31:$C$71,$C15)</f>
        <v>0</v>
      </c>
      <c r="X15" s="32"/>
    </row>
    <row r="16" spans="1:24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0</v>
      </c>
      <c r="M24" s="28">
        <f t="shared" ref="M24:W24" si="13">SUBTOTAL(9,M25:M27)</f>
        <v>0</v>
      </c>
      <c r="N24" s="28">
        <f t="shared" si="13"/>
        <v>0</v>
      </c>
      <c r="O24" s="28">
        <f t="shared" si="13"/>
        <v>0</v>
      </c>
      <c r="P24" s="28">
        <f t="shared" si="13"/>
        <v>0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0</v>
      </c>
      <c r="U24" s="7"/>
      <c r="V24" s="25">
        <f t="shared" si="11"/>
        <v>0</v>
      </c>
      <c r="W24" s="28">
        <f t="shared" si="13"/>
        <v>0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0</v>
      </c>
      <c r="M25" s="30">
        <f t="shared" si="14"/>
        <v>0</v>
      </c>
      <c r="N25" s="30">
        <f t="shared" si="14"/>
        <v>0</v>
      </c>
      <c r="O25" s="30">
        <f t="shared" si="14"/>
        <v>0</v>
      </c>
      <c r="P25" s="30">
        <f t="shared" si="14"/>
        <v>0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0</v>
      </c>
      <c r="U25" s="7"/>
      <c r="V25" s="3">
        <f t="shared" si="11"/>
        <v>0</v>
      </c>
      <c r="W25" s="32">
        <f t="shared" ref="W25:W26" si="16">SUMIFS(W$31:W$71,$C$31:$C$71,$C25)</f>
        <v>0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0</v>
      </c>
      <c r="M30" s="48">
        <f t="shared" ref="M30:T30" si="17">SUBTOTAL(9,M31:M71)</f>
        <v>0</v>
      </c>
      <c r="N30" s="48">
        <f t="shared" si="17"/>
        <v>0</v>
      </c>
      <c r="O30" s="48">
        <f t="shared" si="17"/>
        <v>0</v>
      </c>
      <c r="P30" s="48">
        <f t="shared" si="17"/>
        <v>0</v>
      </c>
      <c r="Q30" s="48">
        <f t="shared" si="17"/>
        <v>0</v>
      </c>
      <c r="R30" s="48">
        <f t="shared" si="17"/>
        <v>0</v>
      </c>
      <c r="S30" s="48"/>
      <c r="T30" s="48">
        <f t="shared" si="17"/>
        <v>0</v>
      </c>
      <c r="U30" s="49"/>
      <c r="V30" s="47"/>
      <c r="W30" s="48">
        <f t="shared" ref="W30" si="18">SUBTOTAL(9,W31:W71)</f>
        <v>0</v>
      </c>
      <c r="X30" s="50"/>
    </row>
    <row r="31" spans="1:24" outlineLevel="3" x14ac:dyDescent="0.25">
      <c r="A31" s="146" t="s">
        <v>98</v>
      </c>
      <c r="B31" s="147" t="s">
        <v>95</v>
      </c>
      <c r="C31" s="146" t="s">
        <v>34</v>
      </c>
      <c r="D31" s="146">
        <v>1</v>
      </c>
      <c r="E31" s="146"/>
      <c r="F31" s="148">
        <v>0.25</v>
      </c>
      <c r="G31" s="148">
        <v>0.58333333333333337</v>
      </c>
      <c r="H31" s="146">
        <f t="shared" ref="H31" si="19">IF((G31-F31)&lt;0,(G31+(1-F31))*24,(G31-F31)*24)</f>
        <v>8</v>
      </c>
      <c r="I31" s="146">
        <f t="shared" ref="I31" si="20">IF(H31&gt;5,-0.5,0)</f>
        <v>-0.5</v>
      </c>
      <c r="J31" s="146">
        <f t="shared" ref="J31" si="21">SUM(H31:I31)</f>
        <v>7.5</v>
      </c>
      <c r="K31" s="146">
        <f t="shared" ref="K31" si="22">D31*J31</f>
        <v>7.5</v>
      </c>
      <c r="L31" s="146"/>
      <c r="M31" s="146"/>
      <c r="N31" s="146"/>
      <c r="O31" s="146"/>
      <c r="P31" s="146"/>
      <c r="Q31" s="146"/>
      <c r="R31" s="146"/>
      <c r="S31" s="145"/>
      <c r="T31" s="145">
        <f>SUM(L31:S31)</f>
        <v>0</v>
      </c>
      <c r="V31" s="3">
        <f>IFERROR(VLOOKUP(A31,#REF!,4,FALSE),0)</f>
        <v>0</v>
      </c>
      <c r="W31">
        <f>T31*V31</f>
        <v>0</v>
      </c>
    </row>
    <row r="32" spans="1:24" outlineLevel="3" x14ac:dyDescent="0.25">
      <c r="A32" s="146"/>
      <c r="B32" s="147"/>
      <c r="C32" s="146"/>
      <c r="D32" s="146"/>
      <c r="E32" s="146"/>
      <c r="F32" s="148"/>
      <c r="G32" s="148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5"/>
      <c r="T32" s="145">
        <f t="shared" ref="T32:T51" si="23">SUM(L32:S32)</f>
        <v>0</v>
      </c>
      <c r="V32" s="3">
        <f>IFERROR(VLOOKUP(A32,#REF!,4,FALSE),0)</f>
        <v>0</v>
      </c>
      <c r="W32">
        <f t="shared" ref="W32:W71" si="24">T32*V32</f>
        <v>0</v>
      </c>
    </row>
    <row r="33" spans="1:23" outlineLevel="3" x14ac:dyDescent="0.25">
      <c r="A33" s="146"/>
      <c r="B33" s="147"/>
      <c r="C33" s="146"/>
      <c r="D33" s="146"/>
      <c r="E33" s="146"/>
      <c r="F33" s="148"/>
      <c r="G33" s="148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5"/>
      <c r="T33" s="145">
        <f t="shared" si="23"/>
        <v>0</v>
      </c>
      <c r="V33" s="3">
        <f>IFERROR(VLOOKUP(A33,#REF!,4,FALSE),0)</f>
        <v>0</v>
      </c>
      <c r="W33">
        <f t="shared" si="24"/>
        <v>0</v>
      </c>
    </row>
    <row r="34" spans="1:23" outlineLevel="3" x14ac:dyDescent="0.25">
      <c r="A34" s="146"/>
      <c r="B34" s="147"/>
      <c r="C34" s="146"/>
      <c r="D34" s="146"/>
      <c r="E34" s="146"/>
      <c r="F34" s="148"/>
      <c r="G34" s="148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>
        <f t="shared" si="23"/>
        <v>0</v>
      </c>
      <c r="V34" s="3">
        <f>IFERROR(VLOOKUP(A34,#REF!,4,FALSE),0)</f>
        <v>0</v>
      </c>
      <c r="W34">
        <f t="shared" si="24"/>
        <v>0</v>
      </c>
    </row>
    <row r="35" spans="1:23" outlineLevel="3" x14ac:dyDescent="0.25">
      <c r="A35" s="146"/>
      <c r="B35" s="147"/>
      <c r="C35" s="146"/>
      <c r="D35" s="146"/>
      <c r="E35" s="146"/>
      <c r="F35" s="148"/>
      <c r="G35" s="148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5"/>
      <c r="T35" s="145">
        <f t="shared" si="23"/>
        <v>0</v>
      </c>
      <c r="V35" s="3">
        <f>IFERROR(VLOOKUP(A35,#REF!,4,FALSE),0)</f>
        <v>0</v>
      </c>
      <c r="W35">
        <f t="shared" si="24"/>
        <v>0</v>
      </c>
    </row>
    <row r="36" spans="1:23" outlineLevel="3" x14ac:dyDescent="0.25">
      <c r="A36" s="146"/>
      <c r="B36" s="147"/>
      <c r="C36" s="146"/>
      <c r="D36" s="146"/>
      <c r="E36" s="146"/>
      <c r="F36" s="148"/>
      <c r="G36" s="148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5"/>
      <c r="T36" s="145">
        <f t="shared" si="23"/>
        <v>0</v>
      </c>
      <c r="V36" s="3">
        <f>IFERROR(VLOOKUP(A36,#REF!,4,FALSE),0)</f>
        <v>0</v>
      </c>
      <c r="W36">
        <f t="shared" si="24"/>
        <v>0</v>
      </c>
    </row>
    <row r="37" spans="1:23" outlineLevel="3" x14ac:dyDescent="0.25">
      <c r="A37" s="146"/>
      <c r="B37" s="147"/>
      <c r="C37" s="154"/>
      <c r="D37" s="146"/>
      <c r="E37" s="146"/>
      <c r="F37" s="148"/>
      <c r="G37" s="148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5"/>
      <c r="T37" s="145">
        <f t="shared" si="23"/>
        <v>0</v>
      </c>
      <c r="V37" s="3">
        <f>IFERROR(VLOOKUP(A37,#REF!,4,FALSE),0)</f>
        <v>0</v>
      </c>
      <c r="W37">
        <f t="shared" si="24"/>
        <v>0</v>
      </c>
    </row>
    <row r="38" spans="1:23" outlineLevel="3" x14ac:dyDescent="0.25">
      <c r="A38" s="146"/>
      <c r="B38" s="147"/>
      <c r="C38" s="146"/>
      <c r="D38" s="146"/>
      <c r="E38" s="146"/>
      <c r="F38" s="148"/>
      <c r="G38" s="148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>
        <f t="shared" si="23"/>
        <v>0</v>
      </c>
      <c r="V38" s="3">
        <f>IFERROR(VLOOKUP(A38,#REF!,4,FALSE),0)</f>
        <v>0</v>
      </c>
      <c r="W38">
        <f t="shared" si="24"/>
        <v>0</v>
      </c>
    </row>
    <row r="39" spans="1:23" outlineLevel="3" x14ac:dyDescent="0.25">
      <c r="A39" s="146"/>
      <c r="B39" s="147"/>
      <c r="C39" s="146"/>
      <c r="D39" s="146"/>
      <c r="E39" s="146"/>
      <c r="F39" s="148"/>
      <c r="G39" s="14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>
        <f t="shared" si="23"/>
        <v>0</v>
      </c>
      <c r="V39" s="3">
        <f>IFERROR(VLOOKUP(A39,#REF!,4,FALSE),0)</f>
        <v>0</v>
      </c>
      <c r="W39">
        <f t="shared" si="24"/>
        <v>0</v>
      </c>
    </row>
    <row r="40" spans="1:23" outlineLevel="3" x14ac:dyDescent="0.25">
      <c r="A40" s="146"/>
      <c r="B40" s="147"/>
      <c r="C40" s="146"/>
      <c r="D40" s="146"/>
      <c r="E40" s="146"/>
      <c r="F40" s="148"/>
      <c r="G40" s="148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>
        <f t="shared" si="23"/>
        <v>0</v>
      </c>
      <c r="V40" s="3">
        <f>IFERROR(VLOOKUP(A40,#REF!,4,FALSE),0)</f>
        <v>0</v>
      </c>
      <c r="W40">
        <f t="shared" si="24"/>
        <v>0</v>
      </c>
    </row>
    <row r="41" spans="1:23" outlineLevel="3" x14ac:dyDescent="0.25">
      <c r="A41" s="146"/>
      <c r="B41" s="147"/>
      <c r="C41" s="146"/>
      <c r="D41" s="146"/>
      <c r="E41" s="146"/>
      <c r="F41" s="148"/>
      <c r="G41" s="14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>
        <f t="shared" si="23"/>
        <v>0</v>
      </c>
      <c r="V41" s="3">
        <f>IFERROR(VLOOKUP(A41,#REF!,4,FALSE),0)</f>
        <v>0</v>
      </c>
      <c r="W41">
        <f t="shared" si="24"/>
        <v>0</v>
      </c>
    </row>
    <row r="42" spans="1:23" outlineLevel="3" x14ac:dyDescent="0.25">
      <c r="A42" s="146"/>
      <c r="B42" s="147"/>
      <c r="C42" s="146"/>
      <c r="D42" s="146"/>
      <c r="E42" s="146"/>
      <c r="F42" s="148"/>
      <c r="G42" s="148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>
        <f t="shared" si="23"/>
        <v>0</v>
      </c>
      <c r="V42" s="3">
        <f>IFERROR(VLOOKUP(A42,#REF!,4,FALSE),0)</f>
        <v>0</v>
      </c>
      <c r="W42">
        <f t="shared" si="24"/>
        <v>0</v>
      </c>
    </row>
    <row r="43" spans="1:23" outlineLevel="3" x14ac:dyDescent="0.25">
      <c r="A43" s="146"/>
      <c r="B43" s="147"/>
      <c r="C43" s="146"/>
      <c r="D43" s="146"/>
      <c r="E43" s="146"/>
      <c r="F43" s="148"/>
      <c r="G43" s="14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>
        <f t="shared" si="23"/>
        <v>0</v>
      </c>
      <c r="V43" s="3">
        <f>IFERROR(VLOOKUP(A43,#REF!,4,FALSE),0)</f>
        <v>0</v>
      </c>
      <c r="W43">
        <f t="shared" si="24"/>
        <v>0</v>
      </c>
    </row>
    <row r="44" spans="1:23" outlineLevel="3" x14ac:dyDescent="0.25">
      <c r="A44" s="146"/>
      <c r="B44" s="147"/>
      <c r="C44" s="146"/>
      <c r="D44" s="146"/>
      <c r="E44" s="146"/>
      <c r="F44" s="148"/>
      <c r="G44" s="148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>
        <f t="shared" si="23"/>
        <v>0</v>
      </c>
      <c r="V44" s="3">
        <f>IFERROR(VLOOKUP(A44,#REF!,4,FALSE),0)</f>
        <v>0</v>
      </c>
      <c r="W44">
        <f t="shared" si="24"/>
        <v>0</v>
      </c>
    </row>
    <row r="45" spans="1:23" outlineLevel="3" x14ac:dyDescent="0.25">
      <c r="A45" s="146"/>
      <c r="B45" s="147"/>
      <c r="C45" s="146"/>
      <c r="D45" s="146"/>
      <c r="E45" s="146"/>
      <c r="F45" s="148"/>
      <c r="G45" s="148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>
        <f t="shared" si="23"/>
        <v>0</v>
      </c>
      <c r="V45" s="3">
        <f>IFERROR(VLOOKUP(A45,#REF!,4,FALSE),0)</f>
        <v>0</v>
      </c>
      <c r="W45">
        <f t="shared" si="24"/>
        <v>0</v>
      </c>
    </row>
    <row r="46" spans="1:23" outlineLevel="3" x14ac:dyDescent="0.25">
      <c r="A46" s="146"/>
      <c r="B46" s="147"/>
      <c r="C46" s="146"/>
      <c r="D46" s="146"/>
      <c r="E46" s="146"/>
      <c r="F46" s="148"/>
      <c r="G46" s="148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>
        <f t="shared" si="23"/>
        <v>0</v>
      </c>
      <c r="V46" s="3">
        <f>IFERROR(VLOOKUP(A46,#REF!,4,FALSE),0)</f>
        <v>0</v>
      </c>
      <c r="W46">
        <f t="shared" si="24"/>
        <v>0</v>
      </c>
    </row>
    <row r="47" spans="1:23" outlineLevel="3" x14ac:dyDescent="0.25">
      <c r="A47" s="146"/>
      <c r="B47" s="147"/>
      <c r="C47" s="146"/>
      <c r="D47" s="146"/>
      <c r="E47" s="146"/>
      <c r="F47" s="148"/>
      <c r="G47" s="148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>
        <f t="shared" si="23"/>
        <v>0</v>
      </c>
      <c r="V47" s="3">
        <f>IFERROR(VLOOKUP(A47,#REF!,4,FALSE),0)</f>
        <v>0</v>
      </c>
      <c r="W47">
        <f t="shared" si="24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>
        <f t="shared" si="23"/>
        <v>0</v>
      </c>
      <c r="V48" s="3">
        <f>IFERROR(VLOOKUP(A48,#REF!,4,FALSE),0)</f>
        <v>0</v>
      </c>
      <c r="W48">
        <f t="shared" si="24"/>
        <v>0</v>
      </c>
    </row>
    <row r="49" spans="1:23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>
        <f t="shared" si="23"/>
        <v>0</v>
      </c>
      <c r="V49" s="3">
        <f>IFERROR(VLOOKUP(A49,#REF!,4,FALSE),0)</f>
        <v>0</v>
      </c>
      <c r="W49">
        <f t="shared" si="24"/>
        <v>0</v>
      </c>
    </row>
    <row r="50" spans="1:23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>
        <f t="shared" si="23"/>
        <v>0</v>
      </c>
      <c r="V50" s="3">
        <f>IFERROR(VLOOKUP(A50,#REF!,4,FALSE),0)</f>
        <v>0</v>
      </c>
      <c r="W50">
        <f t="shared" si="24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>
        <f t="shared" si="23"/>
        <v>0</v>
      </c>
      <c r="V51" s="3">
        <f>IFERROR(VLOOKUP(A51,#REF!,4,FALSE),0)</f>
        <v>0</v>
      </c>
      <c r="W51">
        <f t="shared" si="24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4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4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4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4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4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>
        <f>IFERROR(VLOOKUP(A57,#REF!,4,FALSE),0)</f>
        <v>0</v>
      </c>
      <c r="W57">
        <f t="shared" si="24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>
        <f>IFERROR(VLOOKUP(A58,#REF!,4,FALSE),0)</f>
        <v>0</v>
      </c>
      <c r="W58">
        <f t="shared" si="24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>
        <f>IFERROR(VLOOKUP(A59,#REF!,4,FALSE),0)</f>
        <v>0</v>
      </c>
      <c r="W59">
        <f t="shared" si="24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>
        <f>IFERROR(VLOOKUP(A60,#REF!,4,FALSE),0)</f>
        <v>0</v>
      </c>
      <c r="W60">
        <f t="shared" si="24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>
        <f>IFERROR(VLOOKUP(A61,#REF!,4,FALSE),0)</f>
        <v>0</v>
      </c>
      <c r="W61">
        <f t="shared" si="24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>
        <f>IFERROR(VLOOKUP(A62,#REF!,4,FALSE),0)</f>
        <v>0</v>
      </c>
      <c r="W62">
        <f t="shared" si="24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>
        <f>IFERROR(VLOOKUP(A63,#REF!,4,FALSE),0)</f>
        <v>0</v>
      </c>
      <c r="W63">
        <f t="shared" si="24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>
        <f>IFERROR(VLOOKUP(A64,#REF!,4,FALSE),0)</f>
        <v>0</v>
      </c>
      <c r="W64">
        <f t="shared" si="24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>
        <f>IFERROR(VLOOKUP(A65,#REF!,4,FALSE),0)</f>
        <v>0</v>
      </c>
      <c r="W65">
        <f t="shared" si="24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>
        <f>IFERROR(VLOOKUP(A66,#REF!,4,FALSE),0)</f>
        <v>0</v>
      </c>
      <c r="W66">
        <f t="shared" si="24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>
        <f>IFERROR(VLOOKUP(A67,#REF!,4,FALSE),0)</f>
        <v>0</v>
      </c>
      <c r="W67">
        <f t="shared" si="24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>
        <f>IFERROR(VLOOKUP(A68,#REF!,4,FALSE),0)</f>
        <v>0</v>
      </c>
      <c r="W68">
        <f t="shared" si="24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>
        <f>IFERROR(VLOOKUP(A69,#REF!,4,FALSE),0)</f>
        <v>0</v>
      </c>
      <c r="W69">
        <f t="shared" si="24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>
        <f>IFERROR(VLOOKUP(A70,#REF!,4,FALSE),0)</f>
        <v>0</v>
      </c>
      <c r="W70">
        <f t="shared" si="24"/>
        <v>0</v>
      </c>
    </row>
    <row r="71" spans="1:24" ht="15.75" outlineLevel="3" thickBot="1" x14ac:dyDescent="0.3">
      <c r="A71" s="149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>
        <f>IFERROR(VLOOKUP(A71,#REF!,4,FALSE),0)</f>
        <v>0</v>
      </c>
      <c r="W71" s="44">
        <f t="shared" si="24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count="1">
    <dataValidation type="list" allowBlank="1" showInputMessage="1" showErrorMessage="1" sqref="A31:B71" xr:uid="{F4644399-00C8-4F29-B3FC-699F0E7E69E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6C7D-3433-426D-BF53-376B67E58B5D}">
  <sheetPr>
    <tabColor rgb="FF0070C0"/>
    <outlinePr showOutlineSymbols="0"/>
  </sheetPr>
  <dimension ref="A1:X72"/>
  <sheetViews>
    <sheetView showOutlineSymbols="0" topLeftCell="D1" zoomScaleNormal="100" workbookViewId="0">
      <selection activeCell="I32" sqref="I32"/>
    </sheetView>
  </sheetViews>
  <sheetFormatPr defaultRowHeight="15" outlineLevelRow="3" outlineLevelCol="1" x14ac:dyDescent="0.25"/>
  <cols>
    <col min="1" max="1" width="13.85546875" customWidth="1"/>
    <col min="2" max="2" width="11.140625" customWidth="1"/>
    <col min="3" max="3" width="13.140625" customWidth="1"/>
    <col min="5" max="10" width="9.140625" customWidth="1" outlineLevel="1"/>
    <col min="11" max="11" width="10.140625" customWidth="1"/>
    <col min="12" max="18" width="9" customWidth="1" outlineLevel="1"/>
    <col min="19" max="19" width="1.5703125" customWidth="1" outlineLevel="1"/>
    <col min="20" max="20" width="11.5703125" bestFit="1" customWidth="1"/>
    <col min="21" max="21" width="1.85546875" customWidth="1"/>
    <col min="24" max="24" width="1.5703125" customWidth="1"/>
  </cols>
  <sheetData>
    <row r="1" spans="1:24" ht="23.25" x14ac:dyDescent="0.35">
      <c r="A1" s="37" t="str">
        <f>'Primary Inputs'!$B$5</f>
        <v>Christadelphian Aged Care</v>
      </c>
    </row>
    <row r="3" spans="1:24" x14ac:dyDescent="0.25">
      <c r="A3" s="1" t="s">
        <v>42</v>
      </c>
    </row>
    <row r="4" spans="1:24" x14ac:dyDescent="0.25">
      <c r="A4" s="1"/>
    </row>
    <row r="5" spans="1:24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24" x14ac:dyDescent="0.25">
      <c r="A6" s="1" t="str">
        <f>'Primary Inputs'!A13</f>
        <v>G5</v>
      </c>
      <c r="B6" t="str">
        <f>VLOOKUP($A6,'Primary Inputs'!$A$9:$J$13,2,FALSE)</f>
        <v>Ashburn House</v>
      </c>
      <c r="C6" t="str">
        <f>VLOOKUP($A6,'Primary Inputs'!$A$9:$J$13,3,FALSE)</f>
        <v>MANAGEMENT</v>
      </c>
      <c r="D6" t="str">
        <f>VLOOKUP($A6,'Primary Inputs'!$A$9:$J$13,4,FALSE)</f>
        <v>Roster Only</v>
      </c>
      <c r="E6">
        <f>VLOOKUP($A6,'Primary Inputs'!$A$9:$J$13,5,FALSE)</f>
        <v>0</v>
      </c>
    </row>
    <row r="7" spans="1:24" x14ac:dyDescent="0.25">
      <c r="A7" s="1"/>
    </row>
    <row r="8" spans="1:24" ht="15" customHeight="1" x14ac:dyDescent="0.25">
      <c r="X8" s="6"/>
    </row>
    <row r="9" spans="1:24" ht="30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43</v>
      </c>
      <c r="M9" s="1"/>
      <c r="N9" s="1"/>
      <c r="O9" s="1"/>
      <c r="P9" s="1"/>
      <c r="Q9" s="1"/>
      <c r="R9" s="1"/>
      <c r="S9" s="1"/>
      <c r="T9" s="181" t="s">
        <v>44</v>
      </c>
      <c r="U9" s="26"/>
      <c r="V9" s="1"/>
      <c r="W9" s="1"/>
      <c r="X9" s="6"/>
    </row>
    <row r="10" spans="1:24" s="10" customFormat="1" ht="60" x14ac:dyDescent="0.25">
      <c r="A10" s="27" t="s">
        <v>10</v>
      </c>
      <c r="B10" s="27" t="s">
        <v>47</v>
      </c>
      <c r="C10" s="27" t="s">
        <v>48</v>
      </c>
      <c r="D10" s="27" t="s">
        <v>49</v>
      </c>
      <c r="E10" s="27" t="s">
        <v>0</v>
      </c>
      <c r="F10" s="27" t="s">
        <v>50</v>
      </c>
      <c r="G10" s="27" t="s">
        <v>51</v>
      </c>
      <c r="H10" s="27" t="s">
        <v>52</v>
      </c>
      <c r="I10" s="27" t="s">
        <v>53</v>
      </c>
      <c r="J10" s="27" t="s">
        <v>54</v>
      </c>
      <c r="K10" s="27" t="s">
        <v>55</v>
      </c>
      <c r="L10" s="27" t="s">
        <v>56</v>
      </c>
      <c r="M10" s="27" t="s">
        <v>57</v>
      </c>
      <c r="N10" s="27" t="s">
        <v>58</v>
      </c>
      <c r="O10" s="27" t="s">
        <v>59</v>
      </c>
      <c r="P10" s="27" t="s">
        <v>60</v>
      </c>
      <c r="Q10" s="27" t="s">
        <v>61</v>
      </c>
      <c r="R10" s="27" t="s">
        <v>62</v>
      </c>
      <c r="S10" s="27"/>
      <c r="T10" s="181"/>
      <c r="U10" s="26"/>
      <c r="V10" s="27" t="s">
        <v>63</v>
      </c>
      <c r="W10" s="27" t="s">
        <v>64</v>
      </c>
    </row>
    <row r="11" spans="1:24" x14ac:dyDescent="0.25">
      <c r="T11" s="6"/>
      <c r="U11" s="6"/>
    </row>
    <row r="12" spans="1:24" x14ac:dyDescent="0.25">
      <c r="A12" s="1" t="str">
        <f>"TOTAL "&amp;$C$6&amp;" ROSTER"</f>
        <v>TOTAL MANAGEMENT ROSTER</v>
      </c>
      <c r="B12" s="1"/>
      <c r="C12" s="1"/>
      <c r="D12" s="40"/>
      <c r="E12" s="40"/>
      <c r="F12" s="40"/>
      <c r="G12" s="40"/>
      <c r="H12" s="40"/>
      <c r="I12" s="40"/>
      <c r="J12" s="40"/>
      <c r="K12" s="40"/>
      <c r="L12" s="28">
        <f>SUBTOTAL(9,L13:L28)</f>
        <v>16</v>
      </c>
      <c r="M12" s="28">
        <f t="shared" ref="M12:T12" si="0">SUBTOTAL(9,M13:M28)</f>
        <v>16</v>
      </c>
      <c r="N12" s="28">
        <f t="shared" si="0"/>
        <v>16</v>
      </c>
      <c r="O12" s="28">
        <f t="shared" si="0"/>
        <v>16</v>
      </c>
      <c r="P12" s="28">
        <f t="shared" si="0"/>
        <v>16</v>
      </c>
      <c r="Q12" s="28">
        <f t="shared" si="0"/>
        <v>0</v>
      </c>
      <c r="R12" s="28">
        <f t="shared" si="0"/>
        <v>0</v>
      </c>
      <c r="S12" s="28"/>
      <c r="T12" s="28">
        <f t="shared" si="0"/>
        <v>80</v>
      </c>
      <c r="U12" s="29"/>
      <c r="V12" s="25">
        <f>IFERROR(W12/T12,0)</f>
        <v>0.6</v>
      </c>
      <c r="W12" s="28">
        <f t="shared" ref="W12" si="1">SUBTOTAL(9,W13:W28)</f>
        <v>48</v>
      </c>
      <c r="X12" s="28"/>
    </row>
    <row r="13" spans="1:24" outlineLevel="1" x14ac:dyDescent="0.25">
      <c r="A13" s="1" t="s">
        <v>73</v>
      </c>
      <c r="D13" s="41"/>
      <c r="E13" s="41"/>
      <c r="F13" s="41"/>
      <c r="G13" s="41"/>
      <c r="H13" s="41"/>
      <c r="I13" s="41"/>
      <c r="J13" s="41"/>
      <c r="K13" s="41"/>
      <c r="L13" s="28">
        <f>SUBTOTAL(9,L14:L15)</f>
        <v>0</v>
      </c>
      <c r="M13" s="28">
        <f t="shared" ref="M13:T13" si="2">SUBTOTAL(9,M14:M15)</f>
        <v>0</v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28">
        <f t="shared" si="2"/>
        <v>0</v>
      </c>
      <c r="S13" s="28"/>
      <c r="T13" s="28">
        <f t="shared" si="2"/>
        <v>0</v>
      </c>
      <c r="U13" s="29"/>
      <c r="V13" s="25">
        <f>IFERROR(W13/T13,0)</f>
        <v>0</v>
      </c>
      <c r="W13" s="28">
        <f t="shared" ref="W13" si="3">SUBTOTAL(9,W14:W15)</f>
        <v>0</v>
      </c>
      <c r="X13" s="28"/>
    </row>
    <row r="14" spans="1:24" outlineLevel="2" x14ac:dyDescent="0.25">
      <c r="A14" s="39" t="s">
        <v>19</v>
      </c>
      <c r="B14" s="1"/>
      <c r="C14" t="s">
        <v>74</v>
      </c>
      <c r="D14" s="40"/>
      <c r="E14" s="40"/>
      <c r="F14" s="40"/>
      <c r="G14" s="40"/>
      <c r="H14" s="40"/>
      <c r="I14" s="40"/>
      <c r="J14" s="40"/>
      <c r="K14" s="40"/>
      <c r="L14" s="30">
        <f t="shared" ref="L14:R15" si="4">SUMIF($C$30:$C$71,$C14,L$30:L$71)</f>
        <v>0</v>
      </c>
      <c r="M14" s="30">
        <f t="shared" si="4"/>
        <v>0</v>
      </c>
      <c r="N14" s="30">
        <f t="shared" si="4"/>
        <v>0</v>
      </c>
      <c r="O14" s="30">
        <f t="shared" si="4"/>
        <v>0</v>
      </c>
      <c r="P14" s="30">
        <f t="shared" si="4"/>
        <v>0</v>
      </c>
      <c r="Q14" s="30">
        <f t="shared" si="4"/>
        <v>0</v>
      </c>
      <c r="R14" s="30">
        <f t="shared" si="4"/>
        <v>0</v>
      </c>
      <c r="S14" s="28"/>
      <c r="T14" s="32">
        <f>SUM(L14:R14)</f>
        <v>0</v>
      </c>
      <c r="U14" s="32"/>
      <c r="V14" s="3">
        <f t="shared" ref="V14:V15" si="5">IFERROR(W14/T14,0)</f>
        <v>0</v>
      </c>
      <c r="W14" s="32">
        <f>SUMIFS(W$31:W$71,$C$31:$C$71,$C14)</f>
        <v>0</v>
      </c>
      <c r="X14" s="32"/>
    </row>
    <row r="15" spans="1:24" outlineLevel="3" x14ac:dyDescent="0.25">
      <c r="A15" s="39" t="s">
        <v>75</v>
      </c>
      <c r="B15" t="s">
        <v>84</v>
      </c>
      <c r="C15" t="s">
        <v>76</v>
      </c>
      <c r="D15" s="41"/>
      <c r="E15" s="41"/>
      <c r="F15" s="41"/>
      <c r="G15" s="41"/>
      <c r="H15" s="41"/>
      <c r="I15" s="41"/>
      <c r="J15" s="41"/>
      <c r="K15" s="41"/>
      <c r="L15" s="30">
        <f t="shared" si="4"/>
        <v>0</v>
      </c>
      <c r="M15" s="30">
        <f t="shared" si="4"/>
        <v>0</v>
      </c>
      <c r="N15" s="30">
        <f t="shared" si="4"/>
        <v>0</v>
      </c>
      <c r="O15" s="30">
        <f t="shared" si="4"/>
        <v>0</v>
      </c>
      <c r="P15" s="30">
        <f t="shared" si="4"/>
        <v>0</v>
      </c>
      <c r="Q15" s="30">
        <f t="shared" si="4"/>
        <v>0</v>
      </c>
      <c r="R15" s="30">
        <f t="shared" si="4"/>
        <v>0</v>
      </c>
      <c r="S15" s="33"/>
      <c r="T15" s="32">
        <f>SUM(L15:R15)</f>
        <v>0</v>
      </c>
      <c r="U15" s="34"/>
      <c r="V15" s="3">
        <f t="shared" si="5"/>
        <v>0</v>
      </c>
      <c r="W15" s="32">
        <f>SUMIFS(W$31:W$71,$C$31:$C$71,$C15)</f>
        <v>0</v>
      </c>
      <c r="X15" s="32"/>
    </row>
    <row r="16" spans="1:24" outlineLevel="2" x14ac:dyDescent="0.25">
      <c r="A16" s="9"/>
      <c r="D16" s="41"/>
      <c r="E16" s="41"/>
      <c r="F16" s="41"/>
      <c r="G16" s="41"/>
      <c r="H16" s="41"/>
      <c r="I16" s="41"/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4"/>
      <c r="U16" s="34"/>
      <c r="W16" s="34"/>
      <c r="X16" s="34"/>
    </row>
    <row r="17" spans="1:24" outlineLevel="1" x14ac:dyDescent="0.25">
      <c r="A17" s="1" t="s">
        <v>33</v>
      </c>
      <c r="B17" s="1"/>
      <c r="C17" t="s">
        <v>33</v>
      </c>
      <c r="D17" s="41"/>
      <c r="E17" s="41"/>
      <c r="F17" s="41"/>
      <c r="G17" s="41"/>
      <c r="H17" s="41"/>
      <c r="I17" s="41"/>
      <c r="J17" s="41"/>
      <c r="K17" s="41"/>
      <c r="L17" s="30">
        <f t="shared" ref="L17:R17" si="6">SUMIF($C$30:$C$71,$C17,L$30:L$71)</f>
        <v>0</v>
      </c>
      <c r="M17" s="30">
        <f t="shared" si="6"/>
        <v>0</v>
      </c>
      <c r="N17" s="30">
        <f t="shared" si="6"/>
        <v>0</v>
      </c>
      <c r="O17" s="30">
        <f t="shared" si="6"/>
        <v>0</v>
      </c>
      <c r="P17" s="30">
        <f t="shared" si="6"/>
        <v>0</v>
      </c>
      <c r="Q17" s="30">
        <f t="shared" si="6"/>
        <v>0</v>
      </c>
      <c r="R17" s="30">
        <f t="shared" si="6"/>
        <v>0</v>
      </c>
      <c r="S17" s="28"/>
      <c r="T17" s="31">
        <f>SUM(L17:R17)</f>
        <v>0</v>
      </c>
      <c r="U17" s="32"/>
      <c r="V17" s="25">
        <f>IFERROR(W17/T17,0)</f>
        <v>0</v>
      </c>
      <c r="W17" s="31">
        <f>SUMIFS(W$31:W$71,$A$31:$A$71,$A17)</f>
        <v>0</v>
      </c>
      <c r="X17" s="31"/>
    </row>
    <row r="18" spans="1:24" outlineLevel="2" x14ac:dyDescent="0.25">
      <c r="A18" s="39"/>
      <c r="D18" s="41"/>
      <c r="E18" s="41"/>
      <c r="F18" s="41"/>
      <c r="G18" s="41"/>
      <c r="H18" s="41"/>
      <c r="I18" s="41"/>
      <c r="J18" s="41"/>
      <c r="K18" s="41"/>
      <c r="S18" s="8"/>
      <c r="T18" s="7"/>
      <c r="U18" s="7"/>
      <c r="V18" s="3"/>
      <c r="W18" s="7"/>
      <c r="X18" s="7"/>
    </row>
    <row r="19" spans="1:24" outlineLevel="2" x14ac:dyDescent="0.25">
      <c r="A19" s="39" t="s">
        <v>77</v>
      </c>
      <c r="D19" s="41"/>
      <c r="E19" s="41"/>
      <c r="F19" s="41"/>
      <c r="G19" s="41"/>
      <c r="H19" s="41"/>
      <c r="I19" s="41"/>
      <c r="J19" s="41"/>
      <c r="K19" s="41"/>
      <c r="L19" s="28">
        <f>SUBTOTAL(9,L20:L23)</f>
        <v>0</v>
      </c>
      <c r="M19" s="28">
        <f t="shared" ref="M19:T19" si="7">SUBTOTAL(9,M20:M23)</f>
        <v>0</v>
      </c>
      <c r="N19" s="28">
        <f t="shared" si="7"/>
        <v>0</v>
      </c>
      <c r="O19" s="28">
        <f t="shared" si="7"/>
        <v>0</v>
      </c>
      <c r="P19" s="28">
        <f t="shared" si="7"/>
        <v>0</v>
      </c>
      <c r="Q19" s="28">
        <f t="shared" si="7"/>
        <v>0</v>
      </c>
      <c r="R19" s="28">
        <f t="shared" si="7"/>
        <v>0</v>
      </c>
      <c r="S19" s="28"/>
      <c r="T19" s="28">
        <f t="shared" si="7"/>
        <v>0</v>
      </c>
      <c r="U19" s="7"/>
      <c r="V19" s="25">
        <f>IFERROR(W19/T19,0)</f>
        <v>0</v>
      </c>
      <c r="W19" s="28">
        <f t="shared" ref="W19" si="8">SUBTOTAL(9,W20:W23)</f>
        <v>0</v>
      </c>
      <c r="X19" s="28"/>
    </row>
    <row r="20" spans="1:24" outlineLevel="2" x14ac:dyDescent="0.25">
      <c r="A20" s="39" t="s">
        <v>78</v>
      </c>
      <c r="C20" t="s">
        <v>34</v>
      </c>
      <c r="D20" s="41"/>
      <c r="E20" s="41"/>
      <c r="F20" s="41"/>
      <c r="G20" s="41"/>
      <c r="H20" s="41"/>
      <c r="I20" s="41"/>
      <c r="J20" s="41"/>
      <c r="K20" s="41"/>
      <c r="L20" s="30">
        <f t="shared" ref="L20:R22" si="9">SUMIF($C$30:$C$71,$C20,L$30:L$71)</f>
        <v>0</v>
      </c>
      <c r="M20" s="30">
        <f t="shared" si="9"/>
        <v>0</v>
      </c>
      <c r="N20" s="30">
        <f t="shared" si="9"/>
        <v>0</v>
      </c>
      <c r="O20" s="30">
        <f t="shared" si="9"/>
        <v>0</v>
      </c>
      <c r="P20" s="30">
        <f t="shared" si="9"/>
        <v>0</v>
      </c>
      <c r="Q20" s="30">
        <f t="shared" si="9"/>
        <v>0</v>
      </c>
      <c r="R20" s="30">
        <f t="shared" si="9"/>
        <v>0</v>
      </c>
      <c r="S20" s="8"/>
      <c r="T20" s="32">
        <f t="shared" ref="T20:T22" si="10">SUM(L20:R20)</f>
        <v>0</v>
      </c>
      <c r="U20" s="7"/>
      <c r="V20" s="3">
        <f t="shared" ref="V20:V26" si="11">IFERROR(W20/T20,0)</f>
        <v>0</v>
      </c>
      <c r="W20" s="32">
        <f t="shared" ref="W20:W22" si="12">SUMIFS(W$31:W$71,$C$31:$C$71,$C20)</f>
        <v>0</v>
      </c>
      <c r="X20" s="32"/>
    </row>
    <row r="21" spans="1:24" outlineLevel="2" x14ac:dyDescent="0.25">
      <c r="A21" s="39" t="s">
        <v>79</v>
      </c>
      <c r="C21" t="s">
        <v>35</v>
      </c>
      <c r="D21" s="41"/>
      <c r="E21" s="41"/>
      <c r="F21" s="41"/>
      <c r="G21" s="41"/>
      <c r="H21" s="41"/>
      <c r="I21" s="41"/>
      <c r="J21" s="41"/>
      <c r="K21" s="41"/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0">
        <f t="shared" si="9"/>
        <v>0</v>
      </c>
      <c r="Q21" s="30">
        <f t="shared" si="9"/>
        <v>0</v>
      </c>
      <c r="R21" s="30">
        <f t="shared" si="9"/>
        <v>0</v>
      </c>
      <c r="S21" s="8"/>
      <c r="T21" s="32">
        <f t="shared" si="10"/>
        <v>0</v>
      </c>
      <c r="U21" s="7"/>
      <c r="V21" s="3">
        <f t="shared" si="11"/>
        <v>0</v>
      </c>
      <c r="W21" s="32">
        <f t="shared" si="12"/>
        <v>0</v>
      </c>
      <c r="X21" s="32"/>
    </row>
    <row r="22" spans="1:24" outlineLevel="2" x14ac:dyDescent="0.25">
      <c r="A22" s="39" t="s">
        <v>80</v>
      </c>
      <c r="C22" t="s">
        <v>36</v>
      </c>
      <c r="D22" s="41"/>
      <c r="E22" s="41"/>
      <c r="F22" s="41"/>
      <c r="G22" s="41"/>
      <c r="H22" s="41"/>
      <c r="I22" s="41"/>
      <c r="J22" s="41"/>
      <c r="K22" s="41"/>
      <c r="L22" s="30">
        <f t="shared" si="9"/>
        <v>0</v>
      </c>
      <c r="M22" s="30">
        <f t="shared" si="9"/>
        <v>0</v>
      </c>
      <c r="N22" s="30">
        <f t="shared" si="9"/>
        <v>0</v>
      </c>
      <c r="O22" s="30">
        <f t="shared" si="9"/>
        <v>0</v>
      </c>
      <c r="P22" s="30">
        <f t="shared" si="9"/>
        <v>0</v>
      </c>
      <c r="Q22" s="30">
        <f t="shared" si="9"/>
        <v>0</v>
      </c>
      <c r="R22" s="30">
        <f t="shared" si="9"/>
        <v>0</v>
      </c>
      <c r="S22" s="8"/>
      <c r="T22" s="32">
        <f t="shared" si="10"/>
        <v>0</v>
      </c>
      <c r="U22" s="7"/>
      <c r="V22" s="3">
        <f t="shared" si="11"/>
        <v>0</v>
      </c>
      <c r="W22" s="32">
        <f t="shared" si="12"/>
        <v>0</v>
      </c>
      <c r="X22" s="32"/>
    </row>
    <row r="23" spans="1:24" outlineLevel="2" x14ac:dyDescent="0.25">
      <c r="A23" s="39"/>
      <c r="D23" s="41"/>
      <c r="E23" s="41"/>
      <c r="F23" s="41"/>
      <c r="G23" s="41"/>
      <c r="H23" s="41"/>
      <c r="I23" s="41"/>
      <c r="J23" s="41"/>
      <c r="K23" s="41"/>
      <c r="S23" s="8"/>
      <c r="T23" s="7"/>
      <c r="U23" s="7"/>
      <c r="V23" s="3"/>
      <c r="W23" s="7"/>
      <c r="X23" s="7"/>
    </row>
    <row r="24" spans="1:24" outlineLevel="2" x14ac:dyDescent="0.25">
      <c r="A24" s="39" t="s">
        <v>81</v>
      </c>
      <c r="D24" s="41"/>
      <c r="E24" s="41"/>
      <c r="F24" s="41"/>
      <c r="G24" s="41"/>
      <c r="H24" s="41"/>
      <c r="I24" s="41"/>
      <c r="J24" s="41"/>
      <c r="K24" s="41"/>
      <c r="L24" s="28">
        <f>SUBTOTAL(9,L25:L27)</f>
        <v>16</v>
      </c>
      <c r="M24" s="28">
        <f t="shared" ref="M24:W24" si="13">SUBTOTAL(9,M25:M27)</f>
        <v>16</v>
      </c>
      <c r="N24" s="28">
        <f t="shared" si="13"/>
        <v>16</v>
      </c>
      <c r="O24" s="28">
        <f t="shared" si="13"/>
        <v>16</v>
      </c>
      <c r="P24" s="28">
        <f t="shared" si="13"/>
        <v>16</v>
      </c>
      <c r="Q24" s="28">
        <f t="shared" si="13"/>
        <v>0</v>
      </c>
      <c r="R24" s="28">
        <f t="shared" si="13"/>
        <v>0</v>
      </c>
      <c r="S24" s="28"/>
      <c r="T24" s="28">
        <f t="shared" si="13"/>
        <v>80</v>
      </c>
      <c r="U24" s="7"/>
      <c r="V24" s="25">
        <f t="shared" si="11"/>
        <v>0.6</v>
      </c>
      <c r="W24" s="28">
        <f t="shared" si="13"/>
        <v>48</v>
      </c>
      <c r="X24" s="28"/>
    </row>
    <row r="25" spans="1:24" outlineLevel="2" x14ac:dyDescent="0.25">
      <c r="A25" s="39" t="s">
        <v>82</v>
      </c>
      <c r="C25" t="s">
        <v>37</v>
      </c>
      <c r="D25" s="41"/>
      <c r="E25" s="41"/>
      <c r="F25" s="41"/>
      <c r="G25" s="41"/>
      <c r="H25" s="41"/>
      <c r="I25" s="41"/>
      <c r="J25" s="41"/>
      <c r="K25" s="41"/>
      <c r="L25" s="30">
        <f t="shared" ref="L25:R26" si="14">SUMIF($C$30:$C$71,$C25,L$30:L$71)</f>
        <v>16</v>
      </c>
      <c r="M25" s="30">
        <f t="shared" si="14"/>
        <v>16</v>
      </c>
      <c r="N25" s="30">
        <f t="shared" si="14"/>
        <v>16</v>
      </c>
      <c r="O25" s="30">
        <f t="shared" si="14"/>
        <v>16</v>
      </c>
      <c r="P25" s="30">
        <f t="shared" si="14"/>
        <v>16</v>
      </c>
      <c r="Q25" s="30">
        <f t="shared" si="14"/>
        <v>0</v>
      </c>
      <c r="R25" s="30">
        <f t="shared" si="14"/>
        <v>0</v>
      </c>
      <c r="S25" s="8"/>
      <c r="T25" s="32">
        <f t="shared" ref="T25:T26" si="15">SUM(L25:R25)</f>
        <v>80</v>
      </c>
      <c r="U25" s="7"/>
      <c r="V25" s="3">
        <f t="shared" si="11"/>
        <v>0.6</v>
      </c>
      <c r="W25" s="32">
        <f t="shared" ref="W25:W26" si="16">SUMIFS(W$31:W$71,$C$31:$C$71,$C25)</f>
        <v>48</v>
      </c>
      <c r="X25" s="32"/>
    </row>
    <row r="26" spans="1:24" outlineLevel="2" x14ac:dyDescent="0.25">
      <c r="A26" s="39" t="s">
        <v>83</v>
      </c>
      <c r="C26" t="s">
        <v>38</v>
      </c>
      <c r="D26" s="41"/>
      <c r="E26" s="41"/>
      <c r="F26" s="41"/>
      <c r="G26" s="41"/>
      <c r="H26" s="41"/>
      <c r="I26" s="41"/>
      <c r="J26" s="41"/>
      <c r="K26" s="41"/>
      <c r="L26" s="30">
        <f t="shared" si="14"/>
        <v>0</v>
      </c>
      <c r="M26" s="30">
        <f t="shared" si="14"/>
        <v>0</v>
      </c>
      <c r="N26" s="30">
        <f t="shared" si="14"/>
        <v>0</v>
      </c>
      <c r="O26" s="30">
        <f t="shared" si="14"/>
        <v>0</v>
      </c>
      <c r="P26" s="30">
        <f t="shared" si="14"/>
        <v>0</v>
      </c>
      <c r="Q26" s="30">
        <f t="shared" si="14"/>
        <v>0</v>
      </c>
      <c r="R26" s="30">
        <f t="shared" si="14"/>
        <v>0</v>
      </c>
      <c r="S26" s="8"/>
      <c r="T26" s="32">
        <f t="shared" si="15"/>
        <v>0</v>
      </c>
      <c r="U26" s="7"/>
      <c r="V26" s="3">
        <f t="shared" si="11"/>
        <v>0</v>
      </c>
      <c r="W26" s="32">
        <f t="shared" si="16"/>
        <v>0</v>
      </c>
      <c r="X26" s="32"/>
    </row>
    <row r="27" spans="1:24" outlineLevel="2" x14ac:dyDescent="0.25">
      <c r="A27" s="39"/>
      <c r="D27" s="41"/>
      <c r="E27" s="41"/>
      <c r="F27" s="41"/>
      <c r="G27" s="41"/>
      <c r="H27" s="41"/>
      <c r="I27" s="41"/>
      <c r="J27" s="41"/>
      <c r="K27" s="41"/>
      <c r="S27" s="8"/>
      <c r="T27" s="7"/>
      <c r="U27" s="7"/>
      <c r="V27" s="3"/>
    </row>
    <row r="28" spans="1:24" outlineLevel="2" x14ac:dyDescent="0.25">
      <c r="A28" s="39"/>
      <c r="D28" s="41"/>
      <c r="E28" s="41"/>
      <c r="F28" s="41"/>
      <c r="G28" s="41"/>
      <c r="H28" s="41"/>
      <c r="I28" s="41"/>
      <c r="J28" s="41"/>
      <c r="K28" s="41"/>
      <c r="S28" s="8"/>
      <c r="T28" s="7"/>
      <c r="U28" s="7"/>
      <c r="V28" s="3"/>
    </row>
    <row r="29" spans="1:24" ht="15.75" outlineLevel="1" thickBot="1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6"/>
      <c r="U29" s="46"/>
      <c r="V29" s="44"/>
      <c r="W29" s="44"/>
      <c r="X29" s="44"/>
    </row>
    <row r="30" spans="1:24" ht="15.75" thickTop="1" x14ac:dyDescent="0.25">
      <c r="A30" s="47" t="s">
        <v>85</v>
      </c>
      <c r="B30" s="47" t="s">
        <v>86</v>
      </c>
      <c r="C30" s="47" t="s">
        <v>87</v>
      </c>
      <c r="D30" s="47" t="s">
        <v>88</v>
      </c>
      <c r="E30" s="47"/>
      <c r="F30" s="47" t="s">
        <v>89</v>
      </c>
      <c r="G30" s="47" t="s">
        <v>90</v>
      </c>
      <c r="H30" s="47" t="s">
        <v>91</v>
      </c>
      <c r="I30" s="47" t="s">
        <v>92</v>
      </c>
      <c r="J30" s="47" t="s">
        <v>93</v>
      </c>
      <c r="K30" s="47" t="s">
        <v>94</v>
      </c>
      <c r="L30" s="48">
        <f>SUBTOTAL(9,L31:L71)</f>
        <v>16</v>
      </c>
      <c r="M30" s="48">
        <f t="shared" ref="M30:T30" si="17">SUBTOTAL(9,M31:M71)</f>
        <v>16</v>
      </c>
      <c r="N30" s="48">
        <f t="shared" si="17"/>
        <v>16</v>
      </c>
      <c r="O30" s="48">
        <f t="shared" si="17"/>
        <v>16</v>
      </c>
      <c r="P30" s="48">
        <f t="shared" si="17"/>
        <v>16</v>
      </c>
      <c r="Q30" s="48">
        <f t="shared" si="17"/>
        <v>0</v>
      </c>
      <c r="R30" s="48">
        <f t="shared" si="17"/>
        <v>0</v>
      </c>
      <c r="S30" s="48"/>
      <c r="T30" s="48">
        <f t="shared" si="17"/>
        <v>80</v>
      </c>
      <c r="U30" s="49"/>
      <c r="V30" s="47"/>
      <c r="W30" s="48">
        <f t="shared" ref="W30" si="18">SUBTOTAL(9,W31:W71)</f>
        <v>48</v>
      </c>
      <c r="X30" s="50"/>
    </row>
    <row r="31" spans="1:24" outlineLevel="3" x14ac:dyDescent="0.25">
      <c r="A31" s="146" t="s">
        <v>82</v>
      </c>
      <c r="B31" s="147" t="s">
        <v>134</v>
      </c>
      <c r="C31" s="146" t="s">
        <v>37</v>
      </c>
      <c r="D31" s="146">
        <v>1</v>
      </c>
      <c r="E31" s="146"/>
      <c r="F31" s="148">
        <v>0.35416666666666669</v>
      </c>
      <c r="G31" s="148">
        <v>0.70833333333333337</v>
      </c>
      <c r="H31" s="146">
        <f t="shared" ref="H31" si="19">IF((G31-F31)&lt;0,(G31+(1-F31))*24,(G31-F31)*24)</f>
        <v>8.5</v>
      </c>
      <c r="I31" s="146">
        <f t="shared" ref="I31:I32" si="20">IF(H31&gt;5,-0.5,0)</f>
        <v>-0.5</v>
      </c>
      <c r="J31" s="146">
        <f t="shared" ref="J31" si="21">SUM(H31:I31)</f>
        <v>8</v>
      </c>
      <c r="K31" s="146">
        <f t="shared" ref="K31" si="22">D31*J31</f>
        <v>8</v>
      </c>
      <c r="L31" s="153">
        <f>$K31</f>
        <v>8</v>
      </c>
      <c r="M31" s="153">
        <f t="shared" ref="L31:P32" si="23">$K31</f>
        <v>8</v>
      </c>
      <c r="N31" s="153">
        <f t="shared" si="23"/>
        <v>8</v>
      </c>
      <c r="O31" s="153">
        <f t="shared" si="23"/>
        <v>8</v>
      </c>
      <c r="P31" s="153">
        <f t="shared" si="23"/>
        <v>8</v>
      </c>
      <c r="Q31" s="146">
        <v>0</v>
      </c>
      <c r="R31" s="146">
        <v>0</v>
      </c>
      <c r="S31" s="145"/>
      <c r="T31" s="145">
        <f>SUM(L31:S31)</f>
        <v>40</v>
      </c>
      <c r="V31" s="3">
        <v>0.4</v>
      </c>
      <c r="W31">
        <f>T31*V31</f>
        <v>16</v>
      </c>
    </row>
    <row r="32" spans="1:24" outlineLevel="3" x14ac:dyDescent="0.25">
      <c r="A32" s="146" t="s">
        <v>179</v>
      </c>
      <c r="B32" s="147" t="s">
        <v>134</v>
      </c>
      <c r="C32" s="146" t="s">
        <v>37</v>
      </c>
      <c r="D32" s="146">
        <v>1</v>
      </c>
      <c r="E32" s="146"/>
      <c r="F32" s="148">
        <v>0.35416666666666669</v>
      </c>
      <c r="G32" s="148">
        <v>0.70833333333333337</v>
      </c>
      <c r="H32" s="146">
        <f t="shared" ref="H32" si="24">IF((G32-F32)&lt;0,(G32+(1-F32))*24,(G32-F32)*24)</f>
        <v>8.5</v>
      </c>
      <c r="I32" s="146">
        <f t="shared" si="20"/>
        <v>-0.5</v>
      </c>
      <c r="J32" s="146">
        <f t="shared" ref="J32" si="25">SUM(H32:I32)</f>
        <v>8</v>
      </c>
      <c r="K32" s="146">
        <f t="shared" ref="K32" si="26">D32*J32</f>
        <v>8</v>
      </c>
      <c r="L32" s="153">
        <f t="shared" si="23"/>
        <v>8</v>
      </c>
      <c r="M32" s="153">
        <f t="shared" si="23"/>
        <v>8</v>
      </c>
      <c r="N32" s="153">
        <f t="shared" si="23"/>
        <v>8</v>
      </c>
      <c r="O32" s="153">
        <f t="shared" si="23"/>
        <v>8</v>
      </c>
      <c r="P32" s="153">
        <f t="shared" si="23"/>
        <v>8</v>
      </c>
      <c r="Q32" s="146">
        <v>0</v>
      </c>
      <c r="R32" s="146">
        <v>0</v>
      </c>
      <c r="S32" s="145"/>
      <c r="T32" s="145">
        <f t="shared" ref="T32:T51" si="27">SUM(L32:S32)</f>
        <v>40</v>
      </c>
      <c r="V32" s="3">
        <v>0.8</v>
      </c>
      <c r="W32">
        <f t="shared" ref="W32:W71" si="28">T32*V32</f>
        <v>32</v>
      </c>
    </row>
    <row r="33" spans="1:23" outlineLevel="3" x14ac:dyDescent="0.25">
      <c r="A33" s="146"/>
      <c r="B33" s="147"/>
      <c r="C33" s="146"/>
      <c r="D33" s="146"/>
      <c r="E33" s="146"/>
      <c r="F33" s="148"/>
      <c r="G33" s="148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5"/>
      <c r="T33" s="145">
        <f t="shared" si="27"/>
        <v>0</v>
      </c>
      <c r="V33" s="3">
        <f>IFERROR(VLOOKUP(A33,#REF!,4,FALSE),0)</f>
        <v>0</v>
      </c>
      <c r="W33">
        <f t="shared" si="28"/>
        <v>0</v>
      </c>
    </row>
    <row r="34" spans="1:23" outlineLevel="3" x14ac:dyDescent="0.25">
      <c r="A34" s="146"/>
      <c r="B34" s="147"/>
      <c r="C34" s="146"/>
      <c r="D34" s="146"/>
      <c r="E34" s="146"/>
      <c r="F34" s="148"/>
      <c r="G34" s="148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5"/>
      <c r="T34" s="145">
        <f t="shared" si="27"/>
        <v>0</v>
      </c>
      <c r="V34" s="3">
        <f>IFERROR(VLOOKUP(A34,#REF!,4,FALSE),0)</f>
        <v>0</v>
      </c>
      <c r="W34">
        <f t="shared" si="28"/>
        <v>0</v>
      </c>
    </row>
    <row r="35" spans="1:23" outlineLevel="3" x14ac:dyDescent="0.25">
      <c r="A35" s="146"/>
      <c r="B35" s="147"/>
      <c r="C35" s="146"/>
      <c r="D35" s="146"/>
      <c r="E35" s="146"/>
      <c r="F35" s="148"/>
      <c r="G35" s="148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5"/>
      <c r="T35" s="145">
        <f t="shared" si="27"/>
        <v>0</v>
      </c>
      <c r="V35" s="3">
        <f>IFERROR(VLOOKUP(A35,#REF!,4,FALSE),0)</f>
        <v>0</v>
      </c>
      <c r="W35">
        <f t="shared" si="28"/>
        <v>0</v>
      </c>
    </row>
    <row r="36" spans="1:23" outlineLevel="3" x14ac:dyDescent="0.25">
      <c r="A36" s="146"/>
      <c r="B36" s="147"/>
      <c r="C36" s="146"/>
      <c r="D36" s="146"/>
      <c r="E36" s="146"/>
      <c r="F36" s="148"/>
      <c r="G36" s="148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5"/>
      <c r="T36" s="145">
        <f t="shared" si="27"/>
        <v>0</v>
      </c>
      <c r="V36" s="3">
        <f>IFERROR(VLOOKUP(A36,#REF!,4,FALSE),0)</f>
        <v>0</v>
      </c>
      <c r="W36">
        <f t="shared" si="28"/>
        <v>0</v>
      </c>
    </row>
    <row r="37" spans="1:23" outlineLevel="3" x14ac:dyDescent="0.25">
      <c r="A37" s="146"/>
      <c r="B37" s="147"/>
      <c r="C37" s="154"/>
      <c r="D37" s="146"/>
      <c r="E37" s="146"/>
      <c r="F37" s="148"/>
      <c r="G37" s="148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5"/>
      <c r="T37" s="145">
        <f t="shared" si="27"/>
        <v>0</v>
      </c>
      <c r="V37" s="3">
        <f>IFERROR(VLOOKUP(A37,#REF!,4,FALSE),0)</f>
        <v>0</v>
      </c>
      <c r="W37">
        <f t="shared" si="28"/>
        <v>0</v>
      </c>
    </row>
    <row r="38" spans="1:23" outlineLevel="3" x14ac:dyDescent="0.25">
      <c r="A38" s="146"/>
      <c r="B38" s="147"/>
      <c r="C38" s="146"/>
      <c r="D38" s="146"/>
      <c r="E38" s="146"/>
      <c r="F38" s="148"/>
      <c r="G38" s="148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5"/>
      <c r="T38" s="145">
        <f t="shared" si="27"/>
        <v>0</v>
      </c>
      <c r="V38" s="3">
        <f>IFERROR(VLOOKUP(A38,#REF!,4,FALSE),0)</f>
        <v>0</v>
      </c>
      <c r="W38">
        <f t="shared" si="28"/>
        <v>0</v>
      </c>
    </row>
    <row r="39" spans="1:23" outlineLevel="3" x14ac:dyDescent="0.25">
      <c r="A39" s="146"/>
      <c r="B39" s="147"/>
      <c r="C39" s="146"/>
      <c r="D39" s="146"/>
      <c r="E39" s="146"/>
      <c r="F39" s="148"/>
      <c r="G39" s="14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5"/>
      <c r="T39" s="145">
        <f t="shared" si="27"/>
        <v>0</v>
      </c>
      <c r="V39" s="3">
        <f>IFERROR(VLOOKUP(A39,#REF!,4,FALSE),0)</f>
        <v>0</v>
      </c>
      <c r="W39">
        <f t="shared" si="28"/>
        <v>0</v>
      </c>
    </row>
    <row r="40" spans="1:23" outlineLevel="3" x14ac:dyDescent="0.25">
      <c r="A40" s="146"/>
      <c r="B40" s="147"/>
      <c r="C40" s="146"/>
      <c r="D40" s="146"/>
      <c r="E40" s="146"/>
      <c r="F40" s="148"/>
      <c r="G40" s="148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5"/>
      <c r="T40" s="145">
        <f t="shared" si="27"/>
        <v>0</v>
      </c>
      <c r="V40" s="3">
        <f>IFERROR(VLOOKUP(A40,#REF!,4,FALSE),0)</f>
        <v>0</v>
      </c>
      <c r="W40">
        <f t="shared" si="28"/>
        <v>0</v>
      </c>
    </row>
    <row r="41" spans="1:23" outlineLevel="3" x14ac:dyDescent="0.25">
      <c r="A41" s="146"/>
      <c r="B41" s="147"/>
      <c r="C41" s="146"/>
      <c r="D41" s="146"/>
      <c r="E41" s="146"/>
      <c r="F41" s="148"/>
      <c r="G41" s="14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5"/>
      <c r="T41" s="145">
        <f t="shared" si="27"/>
        <v>0</v>
      </c>
      <c r="V41" s="3">
        <f>IFERROR(VLOOKUP(A41,#REF!,4,FALSE),0)</f>
        <v>0</v>
      </c>
      <c r="W41">
        <f t="shared" si="28"/>
        <v>0</v>
      </c>
    </row>
    <row r="42" spans="1:23" outlineLevel="3" x14ac:dyDescent="0.25">
      <c r="A42" s="146"/>
      <c r="B42" s="147"/>
      <c r="C42" s="146"/>
      <c r="D42" s="146"/>
      <c r="E42" s="146"/>
      <c r="F42" s="148"/>
      <c r="G42" s="148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5"/>
      <c r="T42" s="145">
        <f t="shared" si="27"/>
        <v>0</v>
      </c>
      <c r="V42" s="3">
        <f>IFERROR(VLOOKUP(A42,#REF!,4,FALSE),0)</f>
        <v>0</v>
      </c>
      <c r="W42">
        <f t="shared" si="28"/>
        <v>0</v>
      </c>
    </row>
    <row r="43" spans="1:23" outlineLevel="3" x14ac:dyDescent="0.25">
      <c r="A43" s="146"/>
      <c r="B43" s="147"/>
      <c r="C43" s="146"/>
      <c r="D43" s="146"/>
      <c r="E43" s="146"/>
      <c r="F43" s="148"/>
      <c r="G43" s="14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5"/>
      <c r="T43" s="145">
        <f t="shared" si="27"/>
        <v>0</v>
      </c>
      <c r="V43" s="3">
        <f>IFERROR(VLOOKUP(A43,#REF!,4,FALSE),0)</f>
        <v>0</v>
      </c>
      <c r="W43">
        <f t="shared" si="28"/>
        <v>0</v>
      </c>
    </row>
    <row r="44" spans="1:23" outlineLevel="3" x14ac:dyDescent="0.25">
      <c r="A44" s="146"/>
      <c r="B44" s="147"/>
      <c r="C44" s="146"/>
      <c r="D44" s="146"/>
      <c r="E44" s="146"/>
      <c r="F44" s="148"/>
      <c r="G44" s="148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5"/>
      <c r="T44" s="145">
        <f t="shared" si="27"/>
        <v>0</v>
      </c>
      <c r="V44" s="3">
        <f>IFERROR(VLOOKUP(A44,#REF!,4,FALSE),0)</f>
        <v>0</v>
      </c>
      <c r="W44">
        <f t="shared" si="28"/>
        <v>0</v>
      </c>
    </row>
    <row r="45" spans="1:23" outlineLevel="3" x14ac:dyDescent="0.25">
      <c r="A45" s="146"/>
      <c r="B45" s="147"/>
      <c r="C45" s="146"/>
      <c r="D45" s="146"/>
      <c r="E45" s="146"/>
      <c r="F45" s="148"/>
      <c r="G45" s="148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5"/>
      <c r="T45" s="145">
        <f t="shared" si="27"/>
        <v>0</v>
      </c>
      <c r="V45" s="3">
        <f>IFERROR(VLOOKUP(A45,#REF!,4,FALSE),0)</f>
        <v>0</v>
      </c>
      <c r="W45">
        <f t="shared" si="28"/>
        <v>0</v>
      </c>
    </row>
    <row r="46" spans="1:23" outlineLevel="3" x14ac:dyDescent="0.25">
      <c r="A46" s="146"/>
      <c r="B46" s="147"/>
      <c r="C46" s="146"/>
      <c r="D46" s="146"/>
      <c r="E46" s="146"/>
      <c r="F46" s="148"/>
      <c r="G46" s="148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5"/>
      <c r="T46" s="145">
        <f t="shared" si="27"/>
        <v>0</v>
      </c>
      <c r="V46" s="3">
        <f>IFERROR(VLOOKUP(A46,#REF!,4,FALSE),0)</f>
        <v>0</v>
      </c>
      <c r="W46">
        <f t="shared" si="28"/>
        <v>0</v>
      </c>
    </row>
    <row r="47" spans="1:23" outlineLevel="3" x14ac:dyDescent="0.25">
      <c r="A47" s="146"/>
      <c r="B47" s="147"/>
      <c r="C47" s="146"/>
      <c r="D47" s="146"/>
      <c r="E47" s="146"/>
      <c r="F47" s="148"/>
      <c r="G47" s="148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5"/>
      <c r="T47" s="145">
        <f t="shared" si="27"/>
        <v>0</v>
      </c>
      <c r="V47" s="3">
        <f>IFERROR(VLOOKUP(A47,#REF!,4,FALSE),0)</f>
        <v>0</v>
      </c>
      <c r="W47">
        <f t="shared" si="28"/>
        <v>0</v>
      </c>
    </row>
    <row r="48" spans="1:23" outlineLevel="3" x14ac:dyDescent="0.25">
      <c r="A48" s="146"/>
      <c r="B48" s="147"/>
      <c r="C48" s="146"/>
      <c r="D48" s="146"/>
      <c r="E48" s="146"/>
      <c r="F48" s="148"/>
      <c r="G48" s="148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5"/>
      <c r="T48" s="145">
        <f t="shared" si="27"/>
        <v>0</v>
      </c>
      <c r="V48" s="3">
        <f>IFERROR(VLOOKUP(A48,#REF!,4,FALSE),0)</f>
        <v>0</v>
      </c>
      <c r="W48">
        <f t="shared" si="28"/>
        <v>0</v>
      </c>
    </row>
    <row r="49" spans="1:23" outlineLevel="3" x14ac:dyDescent="0.25">
      <c r="A49" s="146"/>
      <c r="B49" s="147"/>
      <c r="C49" s="146"/>
      <c r="D49" s="146"/>
      <c r="E49" s="146"/>
      <c r="F49" s="148"/>
      <c r="G49" s="14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5"/>
      <c r="T49" s="145">
        <f t="shared" si="27"/>
        <v>0</v>
      </c>
      <c r="V49" s="3">
        <f>IFERROR(VLOOKUP(A49,#REF!,4,FALSE),0)</f>
        <v>0</v>
      </c>
      <c r="W49">
        <f t="shared" si="28"/>
        <v>0</v>
      </c>
    </row>
    <row r="50" spans="1:23" outlineLevel="3" x14ac:dyDescent="0.25">
      <c r="A50" s="146"/>
      <c r="B50" s="147"/>
      <c r="C50" s="146"/>
      <c r="D50" s="146"/>
      <c r="E50" s="146"/>
      <c r="F50" s="148"/>
      <c r="G50" s="148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5"/>
      <c r="T50" s="145">
        <f t="shared" si="27"/>
        <v>0</v>
      </c>
      <c r="V50" s="3">
        <f>IFERROR(VLOOKUP(A50,#REF!,4,FALSE),0)</f>
        <v>0</v>
      </c>
      <c r="W50">
        <f t="shared" si="28"/>
        <v>0</v>
      </c>
    </row>
    <row r="51" spans="1:23" outlineLevel="3" x14ac:dyDescent="0.25">
      <c r="A51" s="146"/>
      <c r="B51" s="147"/>
      <c r="C51" s="146"/>
      <c r="D51" s="146"/>
      <c r="E51" s="146"/>
      <c r="F51" s="148"/>
      <c r="G51" s="148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5"/>
      <c r="T51" s="145">
        <f t="shared" si="27"/>
        <v>0</v>
      </c>
      <c r="V51" s="3">
        <f>IFERROR(VLOOKUP(A51,#REF!,4,FALSE),0)</f>
        <v>0</v>
      </c>
      <c r="W51">
        <f t="shared" si="28"/>
        <v>0</v>
      </c>
    </row>
    <row r="52" spans="1:23" outlineLevel="3" x14ac:dyDescent="0.25">
      <c r="A52" s="146"/>
      <c r="B52" s="147"/>
      <c r="C52" s="146"/>
      <c r="D52" s="146"/>
      <c r="E52" s="146"/>
      <c r="F52" s="148"/>
      <c r="G52" s="148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5"/>
      <c r="T52" s="145"/>
      <c r="V52" s="3">
        <f>IFERROR(VLOOKUP(A52,#REF!,4,FALSE),0)</f>
        <v>0</v>
      </c>
      <c r="W52">
        <f t="shared" si="28"/>
        <v>0</v>
      </c>
    </row>
    <row r="53" spans="1:23" outlineLevel="3" x14ac:dyDescent="0.25">
      <c r="A53" s="146"/>
      <c r="B53" s="147"/>
      <c r="C53" s="146"/>
      <c r="D53" s="146"/>
      <c r="E53" s="146"/>
      <c r="F53" s="148"/>
      <c r="G53" s="148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5"/>
      <c r="T53" s="145"/>
      <c r="V53" s="3">
        <f>IFERROR(VLOOKUP(A53,#REF!,4,FALSE),0)</f>
        <v>0</v>
      </c>
      <c r="W53">
        <f t="shared" si="28"/>
        <v>0</v>
      </c>
    </row>
    <row r="54" spans="1:23" outlineLevel="3" x14ac:dyDescent="0.25">
      <c r="A54" s="146"/>
      <c r="B54" s="147"/>
      <c r="C54" s="146"/>
      <c r="D54" s="146"/>
      <c r="E54" s="146"/>
      <c r="F54" s="148"/>
      <c r="G54" s="148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5"/>
      <c r="T54" s="145"/>
      <c r="V54" s="3">
        <f>IFERROR(VLOOKUP(A54,#REF!,4,FALSE),0)</f>
        <v>0</v>
      </c>
      <c r="W54">
        <f t="shared" si="28"/>
        <v>0</v>
      </c>
    </row>
    <row r="55" spans="1:23" outlineLevel="3" x14ac:dyDescent="0.25">
      <c r="A55" s="146"/>
      <c r="B55" s="147"/>
      <c r="C55" s="146"/>
      <c r="D55" s="146"/>
      <c r="E55" s="146"/>
      <c r="F55" s="148"/>
      <c r="G55" s="14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5"/>
      <c r="T55" s="145"/>
      <c r="V55" s="3">
        <f>IFERROR(VLOOKUP(A55,#REF!,4,FALSE),0)</f>
        <v>0</v>
      </c>
      <c r="W55">
        <f t="shared" si="28"/>
        <v>0</v>
      </c>
    </row>
    <row r="56" spans="1:23" outlineLevel="3" x14ac:dyDescent="0.25">
      <c r="A56" s="146"/>
      <c r="B56" s="147"/>
      <c r="C56" s="146"/>
      <c r="D56" s="146"/>
      <c r="E56" s="146"/>
      <c r="F56" s="148"/>
      <c r="G56" s="148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5"/>
      <c r="T56" s="145"/>
      <c r="V56" s="3">
        <f>IFERROR(VLOOKUP(A56,#REF!,4,FALSE),0)</f>
        <v>0</v>
      </c>
      <c r="W56">
        <f t="shared" si="28"/>
        <v>0</v>
      </c>
    </row>
    <row r="57" spans="1:23" outlineLevel="3" x14ac:dyDescent="0.25">
      <c r="A57" s="146"/>
      <c r="B57" s="147"/>
      <c r="C57" s="146"/>
      <c r="D57" s="146"/>
      <c r="E57" s="146"/>
      <c r="F57" s="148"/>
      <c r="G57" s="14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5"/>
      <c r="T57" s="145"/>
      <c r="V57" s="3">
        <f>IFERROR(VLOOKUP(A57,#REF!,4,FALSE),0)</f>
        <v>0</v>
      </c>
      <c r="W57">
        <f t="shared" si="28"/>
        <v>0</v>
      </c>
    </row>
    <row r="58" spans="1:23" outlineLevel="3" x14ac:dyDescent="0.25">
      <c r="A58" s="146"/>
      <c r="B58" s="147"/>
      <c r="C58" s="146"/>
      <c r="D58" s="146"/>
      <c r="E58" s="146"/>
      <c r="F58" s="148"/>
      <c r="G58" s="148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5"/>
      <c r="T58" s="145"/>
      <c r="V58" s="3">
        <f>IFERROR(VLOOKUP(A58,#REF!,4,FALSE),0)</f>
        <v>0</v>
      </c>
      <c r="W58">
        <f t="shared" si="28"/>
        <v>0</v>
      </c>
    </row>
    <row r="59" spans="1:23" outlineLevel="3" x14ac:dyDescent="0.25">
      <c r="A59" s="146"/>
      <c r="B59" s="147"/>
      <c r="C59" s="146"/>
      <c r="D59" s="146"/>
      <c r="E59" s="146"/>
      <c r="F59" s="148"/>
      <c r="G59" s="14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5"/>
      <c r="T59" s="145"/>
      <c r="V59" s="3">
        <f>IFERROR(VLOOKUP(A59,#REF!,4,FALSE),0)</f>
        <v>0</v>
      </c>
      <c r="W59">
        <f t="shared" si="28"/>
        <v>0</v>
      </c>
    </row>
    <row r="60" spans="1:23" outlineLevel="3" x14ac:dyDescent="0.25">
      <c r="A60" s="146"/>
      <c r="B60" s="147"/>
      <c r="C60" s="146"/>
      <c r="D60" s="146"/>
      <c r="E60" s="146"/>
      <c r="F60" s="148"/>
      <c r="G60" s="148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5"/>
      <c r="T60" s="145"/>
      <c r="V60" s="3">
        <f>IFERROR(VLOOKUP(A60,#REF!,4,FALSE),0)</f>
        <v>0</v>
      </c>
      <c r="W60">
        <f t="shared" si="28"/>
        <v>0</v>
      </c>
    </row>
    <row r="61" spans="1:23" outlineLevel="3" x14ac:dyDescent="0.25">
      <c r="A61" s="146"/>
      <c r="B61" s="147"/>
      <c r="C61" s="146"/>
      <c r="D61" s="146"/>
      <c r="E61" s="146"/>
      <c r="F61" s="148"/>
      <c r="G61" s="14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5"/>
      <c r="T61" s="145"/>
      <c r="V61" s="3">
        <f>IFERROR(VLOOKUP(A61,#REF!,4,FALSE),0)</f>
        <v>0</v>
      </c>
      <c r="W61">
        <f t="shared" si="28"/>
        <v>0</v>
      </c>
    </row>
    <row r="62" spans="1:23" outlineLevel="3" x14ac:dyDescent="0.25">
      <c r="A62" s="146"/>
      <c r="B62" s="147"/>
      <c r="C62" s="146"/>
      <c r="D62" s="146"/>
      <c r="E62" s="146"/>
      <c r="F62" s="148"/>
      <c r="G62" s="148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5"/>
      <c r="T62" s="145"/>
      <c r="V62" s="3">
        <f>IFERROR(VLOOKUP(A62,#REF!,4,FALSE),0)</f>
        <v>0</v>
      </c>
      <c r="W62">
        <f t="shared" si="28"/>
        <v>0</v>
      </c>
    </row>
    <row r="63" spans="1:23" outlineLevel="3" x14ac:dyDescent="0.25">
      <c r="A63" s="146"/>
      <c r="B63" s="147"/>
      <c r="C63" s="146"/>
      <c r="D63" s="146"/>
      <c r="E63" s="146"/>
      <c r="F63" s="148"/>
      <c r="G63" s="148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5"/>
      <c r="T63" s="145"/>
      <c r="V63" s="3">
        <f>IFERROR(VLOOKUP(A63,#REF!,4,FALSE),0)</f>
        <v>0</v>
      </c>
      <c r="W63">
        <f t="shared" si="28"/>
        <v>0</v>
      </c>
    </row>
    <row r="64" spans="1:23" outlineLevel="3" x14ac:dyDescent="0.25">
      <c r="A64" s="146"/>
      <c r="B64" s="147"/>
      <c r="C64" s="146"/>
      <c r="D64" s="146"/>
      <c r="E64" s="146"/>
      <c r="F64" s="148"/>
      <c r="G64" s="148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5"/>
      <c r="T64" s="145"/>
      <c r="V64" s="3">
        <f>IFERROR(VLOOKUP(A64,#REF!,4,FALSE),0)</f>
        <v>0</v>
      </c>
      <c r="W64">
        <f t="shared" si="28"/>
        <v>0</v>
      </c>
    </row>
    <row r="65" spans="1:24" outlineLevel="3" x14ac:dyDescent="0.25">
      <c r="A65" s="146"/>
      <c r="B65" s="147"/>
      <c r="C65" s="146"/>
      <c r="D65" s="146"/>
      <c r="E65" s="146"/>
      <c r="F65" s="148"/>
      <c r="G65" s="14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5"/>
      <c r="T65" s="145"/>
      <c r="V65" s="3">
        <f>IFERROR(VLOOKUP(A65,#REF!,4,FALSE),0)</f>
        <v>0</v>
      </c>
      <c r="W65">
        <f t="shared" si="28"/>
        <v>0</v>
      </c>
    </row>
    <row r="66" spans="1:24" outlineLevel="3" x14ac:dyDescent="0.25">
      <c r="A66" s="146"/>
      <c r="B66" s="147"/>
      <c r="C66" s="146"/>
      <c r="D66" s="146"/>
      <c r="E66" s="146"/>
      <c r="F66" s="148"/>
      <c r="G66" s="148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5"/>
      <c r="T66" s="145"/>
      <c r="V66" s="3">
        <f>IFERROR(VLOOKUP(A66,#REF!,4,FALSE),0)</f>
        <v>0</v>
      </c>
      <c r="W66">
        <f t="shared" si="28"/>
        <v>0</v>
      </c>
    </row>
    <row r="67" spans="1:24" outlineLevel="3" x14ac:dyDescent="0.25">
      <c r="A67" s="146"/>
      <c r="B67" s="147"/>
      <c r="C67" s="146"/>
      <c r="D67" s="146"/>
      <c r="E67" s="146"/>
      <c r="F67" s="148"/>
      <c r="G67" s="14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5"/>
      <c r="T67" s="145"/>
      <c r="V67" s="3">
        <f>IFERROR(VLOOKUP(A67,#REF!,4,FALSE),0)</f>
        <v>0</v>
      </c>
      <c r="W67">
        <f t="shared" si="28"/>
        <v>0</v>
      </c>
    </row>
    <row r="68" spans="1:24" outlineLevel="3" x14ac:dyDescent="0.25">
      <c r="A68" s="146"/>
      <c r="B68" s="147"/>
      <c r="C68" s="146"/>
      <c r="D68" s="146"/>
      <c r="E68" s="146"/>
      <c r="F68" s="148"/>
      <c r="G68" s="148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5"/>
      <c r="T68" s="145"/>
      <c r="V68" s="3">
        <f>IFERROR(VLOOKUP(A68,#REF!,4,FALSE),0)</f>
        <v>0</v>
      </c>
      <c r="W68">
        <f t="shared" si="28"/>
        <v>0</v>
      </c>
    </row>
    <row r="69" spans="1:24" outlineLevel="3" x14ac:dyDescent="0.25">
      <c r="A69" s="146"/>
      <c r="B69" s="147"/>
      <c r="C69" s="146"/>
      <c r="D69" s="146"/>
      <c r="E69" s="146"/>
      <c r="F69" s="148"/>
      <c r="G69" s="14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5"/>
      <c r="T69" s="145"/>
      <c r="V69" s="3">
        <f>IFERROR(VLOOKUP(A69,#REF!,4,FALSE),0)</f>
        <v>0</v>
      </c>
      <c r="W69">
        <f t="shared" si="28"/>
        <v>0</v>
      </c>
    </row>
    <row r="70" spans="1:24" outlineLevel="3" x14ac:dyDescent="0.25">
      <c r="A70" s="146"/>
      <c r="B70" s="147"/>
      <c r="C70" s="146"/>
      <c r="D70" s="146"/>
      <c r="E70" s="146"/>
      <c r="F70" s="148"/>
      <c r="G70" s="148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5"/>
      <c r="T70" s="145"/>
      <c r="V70" s="3">
        <f>IFERROR(VLOOKUP(A70,#REF!,4,FALSE),0)</f>
        <v>0</v>
      </c>
      <c r="W70">
        <f t="shared" si="28"/>
        <v>0</v>
      </c>
    </row>
    <row r="71" spans="1:24" ht="15.75" outlineLevel="3" thickBot="1" x14ac:dyDescent="0.3">
      <c r="A71" s="146"/>
      <c r="B71" s="150"/>
      <c r="C71" s="149"/>
      <c r="D71" s="149"/>
      <c r="E71" s="149"/>
      <c r="F71" s="151"/>
      <c r="G71" s="151"/>
      <c r="H71" s="149"/>
      <c r="I71" s="149"/>
      <c r="J71" s="149"/>
      <c r="K71" s="149"/>
      <c r="L71" s="146"/>
      <c r="M71" s="146"/>
      <c r="N71" s="146"/>
      <c r="O71" s="146"/>
      <c r="P71" s="146"/>
      <c r="Q71" s="146"/>
      <c r="R71" s="146"/>
      <c r="S71" s="152"/>
      <c r="T71" s="152"/>
      <c r="U71" s="44"/>
      <c r="V71" s="3">
        <f>IFERROR(VLOOKUP(A71,#REF!,4,FALSE),0)</f>
        <v>0</v>
      </c>
      <c r="W71" s="44">
        <f t="shared" si="28"/>
        <v>0</v>
      </c>
      <c r="X71" s="44"/>
    </row>
    <row r="72" spans="1:24" ht="15.75" thickTop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</sheetData>
  <mergeCells count="1">
    <mergeCell ref="T9:T10"/>
  </mergeCells>
  <dataValidations count="1">
    <dataValidation type="list" allowBlank="1" showInputMessage="1" showErrorMessage="1" sqref="B31:B71" xr:uid="{1E186269-FE28-49B3-8BD7-1EC4D255124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CB9B-3200-4323-9A92-7D32BA544FDC}">
  <sheetPr>
    <tabColor theme="5" tint="-0.249977111117893"/>
  </sheetPr>
  <dimension ref="A1:L83"/>
  <sheetViews>
    <sheetView topLeftCell="A31" zoomScale="85" zoomScaleNormal="85" workbookViewId="0">
      <selection activeCell="F40" sqref="F40"/>
    </sheetView>
  </sheetViews>
  <sheetFormatPr defaultRowHeight="15" x14ac:dyDescent="0.25"/>
  <cols>
    <col min="2" max="2" width="9.140625" bestFit="1" customWidth="1"/>
    <col min="3" max="3" width="11.5703125" customWidth="1"/>
    <col min="4" max="4" width="10.85546875" bestFit="1" customWidth="1"/>
    <col min="5" max="5" width="10" customWidth="1"/>
    <col min="6" max="6" width="11.85546875" bestFit="1" customWidth="1"/>
    <col min="8" max="8" width="9.85546875" bestFit="1" customWidth="1"/>
    <col min="9" max="9" width="9.140625" bestFit="1" customWidth="1"/>
    <col min="11" max="11" width="9.85546875" bestFit="1" customWidth="1"/>
    <col min="12" max="12" width="9.140625" bestFit="1" customWidth="1"/>
  </cols>
  <sheetData>
    <row r="1" spans="1:12" ht="21" x14ac:dyDescent="0.35">
      <c r="A1" t="s">
        <v>114</v>
      </c>
      <c r="C1" s="38" t="str">
        <f>'Primary Inputs'!$B$5</f>
        <v>Christadelphian Aged Care</v>
      </c>
    </row>
    <row r="3" spans="1:12" x14ac:dyDescent="0.25">
      <c r="A3" t="s">
        <v>115</v>
      </c>
    </row>
    <row r="6" spans="1:12" x14ac:dyDescent="0.25">
      <c r="A6" s="1" t="s">
        <v>21</v>
      </c>
      <c r="B6" s="1" t="str">
        <f>'Primary Inputs'!C9</f>
        <v>Used for RNs only</v>
      </c>
    </row>
    <row r="7" spans="1:12" x14ac:dyDescent="0.25">
      <c r="C7" s="182" t="s">
        <v>116</v>
      </c>
      <c r="D7" s="182"/>
      <c r="E7" s="182"/>
      <c r="F7" s="182"/>
    </row>
    <row r="8" spans="1:12" ht="45" x14ac:dyDescent="0.25">
      <c r="A8" s="14" t="s">
        <v>117</v>
      </c>
      <c r="B8" s="14" t="s">
        <v>159</v>
      </c>
      <c r="C8" s="14" t="s">
        <v>118</v>
      </c>
      <c r="D8" s="14" t="s">
        <v>119</v>
      </c>
      <c r="E8" s="14" t="s">
        <v>41</v>
      </c>
      <c r="F8" s="14" t="s">
        <v>120</v>
      </c>
      <c r="G8" s="14"/>
      <c r="H8" s="14" t="s">
        <v>121</v>
      </c>
      <c r="I8" s="14" t="s">
        <v>122</v>
      </c>
      <c r="J8" s="14"/>
      <c r="K8" s="14" t="s">
        <v>124</v>
      </c>
      <c r="L8" s="14" t="s">
        <v>125</v>
      </c>
    </row>
    <row r="9" spans="1:12" x14ac:dyDescent="0.25">
      <c r="A9" s="11" t="s">
        <v>126</v>
      </c>
      <c r="B9" s="139">
        <v>0</v>
      </c>
      <c r="C9" s="43">
        <f>VLOOKUP($A9,'AN-ACC Lookup Tables'!$A$6:$C$24,3)*'AN-ACC Worksheet'!$B9</f>
        <v>0</v>
      </c>
      <c r="D9" s="43">
        <f>B9*'AN-ACC Lookup Tables'!$I$6</f>
        <v>0</v>
      </c>
      <c r="E9" s="43">
        <f>$B9*'AN-ACC Lookup Tables'!$I$15</f>
        <v>0</v>
      </c>
      <c r="F9" s="43">
        <f>SUM(C9:E9)</f>
        <v>0</v>
      </c>
      <c r="G9" s="12"/>
      <c r="H9" s="52">
        <f>VLOOKUP($A9,'AN-ACC Lookup Tables'!$A$28:$F$43,5)*'AN-ACC Worksheet'!$B9</f>
        <v>0</v>
      </c>
      <c r="I9" s="52">
        <f>H9/60</f>
        <v>0</v>
      </c>
      <c r="J9" s="12"/>
      <c r="K9" s="52">
        <f>VLOOKUP($A9,'AN-ACC Lookup Tables'!$A$28:$F$43,6)*'AN-ACC Worksheet'!$B9</f>
        <v>0</v>
      </c>
      <c r="L9" s="52">
        <f>K9/60</f>
        <v>0</v>
      </c>
    </row>
    <row r="10" spans="1:12" x14ac:dyDescent="0.25">
      <c r="A10" s="11" t="s">
        <v>99</v>
      </c>
      <c r="B10" s="139">
        <v>0</v>
      </c>
      <c r="C10" s="43">
        <f>VLOOKUP($A10,'AN-ACC Lookup Tables'!$A$6:$C$24,3)*'AN-ACC Worksheet'!$B10</f>
        <v>0</v>
      </c>
      <c r="D10" s="43">
        <f>B10*'AN-ACC Lookup Tables'!$I$6</f>
        <v>0</v>
      </c>
      <c r="E10" s="43">
        <f>$B10*'AN-ACC Lookup Tables'!$I$15</f>
        <v>0</v>
      </c>
      <c r="F10" s="43">
        <f t="shared" ref="F10:F27" si="0">SUM(C10:E10)</f>
        <v>0</v>
      </c>
      <c r="G10" s="12"/>
      <c r="H10" s="52">
        <f>VLOOKUP($A10,'AN-ACC Lookup Tables'!$A$28:$F$43,5)*'AN-ACC Worksheet'!$B10</f>
        <v>0</v>
      </c>
      <c r="I10" s="52">
        <f t="shared" ref="I10:I27" si="1">H10/60</f>
        <v>0</v>
      </c>
      <c r="J10" s="12"/>
      <c r="K10" s="52">
        <f>VLOOKUP($A10,'AN-ACC Lookup Tables'!$A$28:$F$43,6)*'AN-ACC Worksheet'!$B10</f>
        <v>0</v>
      </c>
      <c r="L10" s="52">
        <f t="shared" ref="L10:L27" si="2">K10/60</f>
        <v>0</v>
      </c>
    </row>
    <row r="11" spans="1:12" x14ac:dyDescent="0.25">
      <c r="A11" s="11" t="s">
        <v>100</v>
      </c>
      <c r="B11" s="139">
        <v>0</v>
      </c>
      <c r="C11" s="43">
        <f>VLOOKUP($A11,'AN-ACC Lookup Tables'!$A$6:$C$24,3)*'AN-ACC Worksheet'!$B11</f>
        <v>0</v>
      </c>
      <c r="D11" s="43">
        <f>B11*'AN-ACC Lookup Tables'!$I$6</f>
        <v>0</v>
      </c>
      <c r="E11" s="43">
        <f>$B11*'AN-ACC Lookup Tables'!$I$15</f>
        <v>0</v>
      </c>
      <c r="F11" s="43">
        <f t="shared" si="0"/>
        <v>0</v>
      </c>
      <c r="G11" s="12"/>
      <c r="H11" s="52">
        <f>VLOOKUP($A11,'AN-ACC Lookup Tables'!$A$28:$F$43,5)*'AN-ACC Worksheet'!$B11</f>
        <v>0</v>
      </c>
      <c r="I11" s="52">
        <f t="shared" si="1"/>
        <v>0</v>
      </c>
      <c r="J11" s="12"/>
      <c r="K11" s="52">
        <f>VLOOKUP($A11,'AN-ACC Lookup Tables'!$A$28:$F$43,6)*'AN-ACC Worksheet'!$B11</f>
        <v>0</v>
      </c>
      <c r="L11" s="52">
        <f t="shared" si="2"/>
        <v>0</v>
      </c>
    </row>
    <row r="12" spans="1:12" x14ac:dyDescent="0.25">
      <c r="A12" s="11" t="s">
        <v>101</v>
      </c>
      <c r="B12" s="139">
        <v>0</v>
      </c>
      <c r="C12" s="43">
        <f>VLOOKUP($A12,'AN-ACC Lookup Tables'!$A$6:$C$24,3)*'AN-ACC Worksheet'!$B12</f>
        <v>0</v>
      </c>
      <c r="D12" s="43">
        <f>B12*'AN-ACC Lookup Tables'!$I$6</f>
        <v>0</v>
      </c>
      <c r="E12" s="43">
        <f>$B12*'AN-ACC Lookup Tables'!$I$15</f>
        <v>0</v>
      </c>
      <c r="F12" s="43">
        <f t="shared" si="0"/>
        <v>0</v>
      </c>
      <c r="G12" s="12"/>
      <c r="H12" s="52">
        <f>VLOOKUP($A12,'AN-ACC Lookup Tables'!$A$28:$F$43,5)*'AN-ACC Worksheet'!$B12</f>
        <v>0</v>
      </c>
      <c r="I12" s="52">
        <f t="shared" si="1"/>
        <v>0</v>
      </c>
      <c r="J12" s="12"/>
      <c r="K12" s="52">
        <f>VLOOKUP($A12,'AN-ACC Lookup Tables'!$A$28:$F$43,6)*'AN-ACC Worksheet'!$B12</f>
        <v>0</v>
      </c>
      <c r="L12" s="52">
        <f t="shared" si="2"/>
        <v>0</v>
      </c>
    </row>
    <row r="13" spans="1:12" x14ac:dyDescent="0.25">
      <c r="A13" s="11" t="s">
        <v>102</v>
      </c>
      <c r="B13" s="139">
        <v>0</v>
      </c>
      <c r="C13" s="43">
        <f>VLOOKUP($A13,'AN-ACC Lookup Tables'!$A$6:$C$24,3)*'AN-ACC Worksheet'!$B13</f>
        <v>0</v>
      </c>
      <c r="D13" s="43">
        <f>B13*'AN-ACC Lookup Tables'!$I$6</f>
        <v>0</v>
      </c>
      <c r="E13" s="43">
        <f>$B13*'AN-ACC Lookup Tables'!$I$15</f>
        <v>0</v>
      </c>
      <c r="F13" s="43">
        <f t="shared" si="0"/>
        <v>0</v>
      </c>
      <c r="G13" s="12"/>
      <c r="H13" s="52">
        <f>VLOOKUP($A13,'AN-ACC Lookup Tables'!$A$28:$F$43,5)*'AN-ACC Worksheet'!$B13</f>
        <v>0</v>
      </c>
      <c r="I13" s="52">
        <f t="shared" si="1"/>
        <v>0</v>
      </c>
      <c r="J13" s="12"/>
      <c r="K13" s="52">
        <f>VLOOKUP($A13,'AN-ACC Lookup Tables'!$A$28:$F$43,6)*'AN-ACC Worksheet'!$B13</f>
        <v>0</v>
      </c>
      <c r="L13" s="52">
        <f t="shared" si="2"/>
        <v>0</v>
      </c>
    </row>
    <row r="14" spans="1:12" x14ac:dyDescent="0.25">
      <c r="A14" s="11" t="s">
        <v>103</v>
      </c>
      <c r="B14" s="139">
        <v>0</v>
      </c>
      <c r="C14" s="43">
        <f>VLOOKUP($A14,'AN-ACC Lookup Tables'!$A$6:$C$24,3)*'AN-ACC Worksheet'!$B14</f>
        <v>0</v>
      </c>
      <c r="D14" s="43">
        <f>B14*'AN-ACC Lookup Tables'!$I$6</f>
        <v>0</v>
      </c>
      <c r="E14" s="43">
        <f>$B14*'AN-ACC Lookup Tables'!$I$15</f>
        <v>0</v>
      </c>
      <c r="F14" s="43">
        <f t="shared" si="0"/>
        <v>0</v>
      </c>
      <c r="G14" s="12"/>
      <c r="H14" s="52">
        <f>VLOOKUP($A14,'AN-ACC Lookup Tables'!$A$28:$F$43,5)*'AN-ACC Worksheet'!$B14</f>
        <v>0</v>
      </c>
      <c r="I14" s="52">
        <f t="shared" si="1"/>
        <v>0</v>
      </c>
      <c r="J14" s="12"/>
      <c r="K14" s="52">
        <f>VLOOKUP($A14,'AN-ACC Lookup Tables'!$A$28:$F$43,6)*'AN-ACC Worksheet'!$B14</f>
        <v>0</v>
      </c>
      <c r="L14" s="52">
        <f t="shared" si="2"/>
        <v>0</v>
      </c>
    </row>
    <row r="15" spans="1:12" x14ac:dyDescent="0.25">
      <c r="A15" s="11" t="s">
        <v>104</v>
      </c>
      <c r="B15" s="139">
        <v>0</v>
      </c>
      <c r="C15" s="43">
        <f>VLOOKUP($A15,'AN-ACC Lookup Tables'!$A$6:$C$24,3)*'AN-ACC Worksheet'!$B15</f>
        <v>0</v>
      </c>
      <c r="D15" s="43">
        <f>B15*'AN-ACC Lookup Tables'!$I$6</f>
        <v>0</v>
      </c>
      <c r="E15" s="43">
        <f>$B15*'AN-ACC Lookup Tables'!$I$15</f>
        <v>0</v>
      </c>
      <c r="F15" s="43">
        <f t="shared" si="0"/>
        <v>0</v>
      </c>
      <c r="G15" s="12"/>
      <c r="H15" s="52">
        <f>VLOOKUP($A15,'AN-ACC Lookup Tables'!$A$28:$F$43,5)*'AN-ACC Worksheet'!$B15</f>
        <v>0</v>
      </c>
      <c r="I15" s="52">
        <f t="shared" si="1"/>
        <v>0</v>
      </c>
      <c r="J15" s="12"/>
      <c r="K15" s="52">
        <f>VLOOKUP($A15,'AN-ACC Lookup Tables'!$A$28:$F$43,6)*'AN-ACC Worksheet'!$B15</f>
        <v>0</v>
      </c>
      <c r="L15" s="52">
        <f t="shared" si="2"/>
        <v>0</v>
      </c>
    </row>
    <row r="16" spans="1:12" x14ac:dyDescent="0.25">
      <c r="A16" s="11" t="s">
        <v>105</v>
      </c>
      <c r="B16" s="139">
        <v>0</v>
      </c>
      <c r="C16" s="43">
        <f>VLOOKUP($A16,'AN-ACC Lookup Tables'!$A$6:$C$24,3)*'AN-ACC Worksheet'!$B16</f>
        <v>0</v>
      </c>
      <c r="D16" s="43">
        <f>B16*'AN-ACC Lookup Tables'!$I$6</f>
        <v>0</v>
      </c>
      <c r="E16" s="43">
        <f>$B16*'AN-ACC Lookup Tables'!$I$15</f>
        <v>0</v>
      </c>
      <c r="F16" s="43">
        <f t="shared" si="0"/>
        <v>0</v>
      </c>
      <c r="G16" s="12"/>
      <c r="H16" s="52">
        <f>VLOOKUP($A16,'AN-ACC Lookup Tables'!$A$28:$F$43,5)*'AN-ACC Worksheet'!$B16</f>
        <v>0</v>
      </c>
      <c r="I16" s="52">
        <f t="shared" si="1"/>
        <v>0</v>
      </c>
      <c r="J16" s="12"/>
      <c r="K16" s="52">
        <f>VLOOKUP($A16,'AN-ACC Lookup Tables'!$A$28:$F$43,6)*'AN-ACC Worksheet'!$B16</f>
        <v>0</v>
      </c>
      <c r="L16" s="52">
        <f t="shared" si="2"/>
        <v>0</v>
      </c>
    </row>
    <row r="17" spans="1:12" x14ac:dyDescent="0.25">
      <c r="A17" s="11" t="s">
        <v>106</v>
      </c>
      <c r="B17" s="139">
        <f>'AN-ACC Simple'!B7-SUM('AN-ACC Worksheet'!B9:B16,'AN-ACC Worksheet'!B18:B27)</f>
        <v>93</v>
      </c>
      <c r="C17" s="43">
        <f>VLOOKUP($A17,'AN-ACC Lookup Tables'!$A$6:$C$24,3)*'AN-ACC Worksheet'!$B17</f>
        <v>12208.11</v>
      </c>
      <c r="D17" s="43">
        <f>B17*'AN-ACC Lookup Tables'!$I$6</f>
        <v>11078.16</v>
      </c>
      <c r="E17" s="43">
        <f>$B17*'AN-ACC Lookup Tables'!$I$15</f>
        <v>1004.4000000000001</v>
      </c>
      <c r="F17" s="43">
        <f t="shared" si="0"/>
        <v>24290.670000000002</v>
      </c>
      <c r="G17" s="12"/>
      <c r="H17" s="52">
        <f>VLOOKUP($A17,'AN-ACC Lookup Tables'!$A$28:$F$43,5)*'AN-ACC Worksheet'!$B17</f>
        <v>18786</v>
      </c>
      <c r="I17" s="52">
        <f t="shared" si="1"/>
        <v>313.10000000000002</v>
      </c>
      <c r="J17" s="12"/>
      <c r="K17" s="52">
        <f>VLOOKUP($A17,'AN-ACC Lookup Tables'!$A$28:$F$43,6)*'AN-ACC Worksheet'!$B17</f>
        <v>4278</v>
      </c>
      <c r="L17" s="52">
        <f t="shared" si="2"/>
        <v>71.3</v>
      </c>
    </row>
    <row r="18" spans="1:12" x14ac:dyDescent="0.25">
      <c r="A18" s="11" t="s">
        <v>107</v>
      </c>
      <c r="B18" s="139">
        <v>0</v>
      </c>
      <c r="C18" s="43">
        <f>VLOOKUP($A18,'AN-ACC Lookup Tables'!$A$6:$C$24,3)*'AN-ACC Worksheet'!$B18</f>
        <v>0</v>
      </c>
      <c r="D18" s="43">
        <f>B18*'AN-ACC Lookup Tables'!$I$6</f>
        <v>0</v>
      </c>
      <c r="E18" s="43">
        <f>$B18*'AN-ACC Lookup Tables'!$I$15</f>
        <v>0</v>
      </c>
      <c r="F18" s="43">
        <f t="shared" si="0"/>
        <v>0</v>
      </c>
      <c r="G18" s="12"/>
      <c r="H18" s="52">
        <f>VLOOKUP($A18,'AN-ACC Lookup Tables'!$A$28:$F$43,5)*'AN-ACC Worksheet'!$B18</f>
        <v>0</v>
      </c>
      <c r="I18" s="52">
        <f t="shared" si="1"/>
        <v>0</v>
      </c>
      <c r="J18" s="12"/>
      <c r="K18" s="52">
        <f>VLOOKUP($A18,'AN-ACC Lookup Tables'!$A$28:$F$43,6)*'AN-ACC Worksheet'!$B18</f>
        <v>0</v>
      </c>
      <c r="L18" s="52">
        <f t="shared" si="2"/>
        <v>0</v>
      </c>
    </row>
    <row r="19" spans="1:12" x14ac:dyDescent="0.25">
      <c r="A19" s="11" t="s">
        <v>108</v>
      </c>
      <c r="B19" s="139">
        <v>1</v>
      </c>
      <c r="C19" s="43">
        <f>VLOOKUP($A19,'AN-ACC Lookup Tables'!$A$6:$C$24,3)*'AN-ACC Worksheet'!$B19</f>
        <v>201.77</v>
      </c>
      <c r="D19" s="43">
        <f>B19*'AN-ACC Lookup Tables'!$I$6</f>
        <v>119.12</v>
      </c>
      <c r="E19" s="43">
        <f>$B19*'AN-ACC Lookup Tables'!$I$15</f>
        <v>10.8</v>
      </c>
      <c r="F19" s="43">
        <f t="shared" si="0"/>
        <v>331.69</v>
      </c>
      <c r="G19" s="12"/>
      <c r="H19" s="52">
        <f>VLOOKUP($A19,'AN-ACC Lookup Tables'!$A$28:$F$43,5)*'AN-ACC Worksheet'!$B19</f>
        <v>274</v>
      </c>
      <c r="I19" s="52">
        <f t="shared" si="1"/>
        <v>4.5666666666666664</v>
      </c>
      <c r="J19" s="12"/>
      <c r="K19" s="52">
        <f>VLOOKUP($A19,'AN-ACC Lookup Tables'!$A$28:$F$43,6)*'AN-ACC Worksheet'!$B19</f>
        <v>41</v>
      </c>
      <c r="L19" s="52">
        <f t="shared" si="2"/>
        <v>0.68333333333333335</v>
      </c>
    </row>
    <row r="20" spans="1:12" x14ac:dyDescent="0.25">
      <c r="A20" s="11" t="s">
        <v>109</v>
      </c>
      <c r="B20" s="139">
        <v>2</v>
      </c>
      <c r="C20" s="43">
        <f>VLOOKUP($A20,'AN-ACC Lookup Tables'!$A$6:$C$24,3)*'AN-ACC Worksheet'!$B20</f>
        <v>393.82</v>
      </c>
      <c r="D20" s="43">
        <f>B20*'AN-ACC Lookup Tables'!$I$6</f>
        <v>238.24</v>
      </c>
      <c r="E20" s="43">
        <f>$B20*'AN-ACC Lookup Tables'!$I$15</f>
        <v>21.6</v>
      </c>
      <c r="F20" s="43">
        <f t="shared" si="0"/>
        <v>653.66</v>
      </c>
      <c r="G20" s="12"/>
      <c r="H20" s="52">
        <f>VLOOKUP($A20,'AN-ACC Lookup Tables'!$A$28:$F$43,5)*'AN-ACC Worksheet'!$B20</f>
        <v>538</v>
      </c>
      <c r="I20" s="52">
        <f t="shared" si="1"/>
        <v>8.9666666666666668</v>
      </c>
      <c r="J20" s="12"/>
      <c r="K20" s="52">
        <f>VLOOKUP($A20,'AN-ACC Lookup Tables'!$A$28:$F$43,6)*'AN-ACC Worksheet'!$B20</f>
        <v>84</v>
      </c>
      <c r="L20" s="52">
        <f t="shared" si="2"/>
        <v>1.4</v>
      </c>
    </row>
    <row r="21" spans="1:12" x14ac:dyDescent="0.25">
      <c r="A21" s="11" t="s">
        <v>110</v>
      </c>
      <c r="B21" s="139">
        <v>3</v>
      </c>
      <c r="C21" s="43">
        <f>VLOOKUP($A21,'AN-ACC Lookup Tables'!$A$6:$C$24,3)*'AN-ACC Worksheet'!$B21</f>
        <v>729.3</v>
      </c>
      <c r="D21" s="43">
        <f>B21*'AN-ACC Lookup Tables'!$I$6</f>
        <v>357.36</v>
      </c>
      <c r="E21" s="43">
        <f>$B21*'AN-ACC Lookup Tables'!$I$15</f>
        <v>32.400000000000006</v>
      </c>
      <c r="F21" s="43">
        <f t="shared" si="0"/>
        <v>1119.06</v>
      </c>
      <c r="G21" s="12"/>
      <c r="H21" s="52">
        <f>VLOOKUP($A21,'AN-ACC Lookup Tables'!$A$28:$F$43,5)*'AN-ACC Worksheet'!$B21</f>
        <v>951</v>
      </c>
      <c r="I21" s="52">
        <f t="shared" si="1"/>
        <v>15.85</v>
      </c>
      <c r="J21" s="12"/>
      <c r="K21" s="52">
        <f>VLOOKUP($A21,'AN-ACC Lookup Tables'!$A$28:$F$43,6)*'AN-ACC Worksheet'!$B21</f>
        <v>171</v>
      </c>
      <c r="L21" s="52">
        <f t="shared" si="2"/>
        <v>2.85</v>
      </c>
    </row>
    <row r="22" spans="1:12" x14ac:dyDescent="0.25">
      <c r="A22" s="11" t="s">
        <v>127</v>
      </c>
      <c r="B22" s="139">
        <v>0</v>
      </c>
      <c r="C22" s="43">
        <f>VLOOKUP($A22,'AN-ACC Lookup Tables'!$A$6:$C$24,3)*'AN-ACC Worksheet'!$B22</f>
        <v>0</v>
      </c>
      <c r="D22" s="43">
        <f>B22*'AN-ACC Lookup Tables'!$I$6</f>
        <v>0</v>
      </c>
      <c r="E22" s="43">
        <f>$B22*'AN-ACC Lookup Tables'!$I$15</f>
        <v>0</v>
      </c>
      <c r="F22" s="43">
        <f t="shared" si="0"/>
        <v>0</v>
      </c>
      <c r="G22" s="12"/>
      <c r="H22" s="52">
        <f>VLOOKUP($A22,'AN-ACC Lookup Tables'!$A$28:$F$43,5)*'AN-ACC Worksheet'!$B22</f>
        <v>0</v>
      </c>
      <c r="I22" s="52">
        <f t="shared" si="1"/>
        <v>0</v>
      </c>
      <c r="J22" s="12"/>
      <c r="K22" s="52">
        <f>VLOOKUP($A22,'AN-ACC Lookup Tables'!$A$28:$F$43,6)*'AN-ACC Worksheet'!$B22</f>
        <v>0</v>
      </c>
      <c r="L22" s="52">
        <f t="shared" si="2"/>
        <v>0</v>
      </c>
    </row>
    <row r="23" spans="1:12" x14ac:dyDescent="0.25">
      <c r="A23" s="11" t="s">
        <v>111</v>
      </c>
      <c r="B23" s="139">
        <v>0</v>
      </c>
      <c r="C23" s="43">
        <f>VLOOKUP($A23,'AN-ACC Lookup Tables'!$A$6:$C$24,3)*'AN-ACC Worksheet'!$B23</f>
        <v>0</v>
      </c>
      <c r="D23" s="43">
        <f>B23*'AN-ACC Lookup Tables'!$I$6</f>
        <v>0</v>
      </c>
      <c r="E23" s="43">
        <f>$B23*'AN-ACC Lookup Tables'!$I$15</f>
        <v>0</v>
      </c>
      <c r="F23" s="43">
        <f t="shared" si="0"/>
        <v>0</v>
      </c>
      <c r="G23" s="12"/>
      <c r="H23" s="52">
        <f>VLOOKUP($A23,'AN-ACC Lookup Tables'!$A$28:$F$43,5)*'AN-ACC Worksheet'!$B23</f>
        <v>0</v>
      </c>
      <c r="I23" s="52">
        <f t="shared" si="1"/>
        <v>0</v>
      </c>
      <c r="J23" s="12"/>
      <c r="K23" s="52">
        <f>VLOOKUP($A23,'AN-ACC Lookup Tables'!$A$28:$F$43,6)*'AN-ACC Worksheet'!$B23</f>
        <v>0</v>
      </c>
      <c r="L23" s="52">
        <f t="shared" si="2"/>
        <v>0</v>
      </c>
    </row>
    <row r="24" spans="1:12" x14ac:dyDescent="0.25">
      <c r="A24" s="11" t="s">
        <v>128</v>
      </c>
      <c r="B24" s="139">
        <v>0</v>
      </c>
      <c r="C24" s="43">
        <f>VLOOKUP($A24,'AN-ACC Lookup Tables'!$A$6:$C$24,3)*'AN-ACC Worksheet'!$B24</f>
        <v>0</v>
      </c>
      <c r="D24" s="43">
        <f>B24*'AN-ACC Lookup Tables'!$I$6</f>
        <v>0</v>
      </c>
      <c r="E24" s="43">
        <f>$B24*'AN-ACC Lookup Tables'!$I$15</f>
        <v>0</v>
      </c>
      <c r="F24" s="43">
        <f t="shared" si="0"/>
        <v>0</v>
      </c>
      <c r="G24" s="12"/>
      <c r="H24" s="52">
        <f>VLOOKUP($A24,'AN-ACC Lookup Tables'!$A$28:$F$43,5)*'AN-ACC Worksheet'!$B24</f>
        <v>0</v>
      </c>
      <c r="I24" s="52">
        <f t="shared" si="1"/>
        <v>0</v>
      </c>
      <c r="J24" s="12"/>
      <c r="K24" s="52">
        <f>VLOOKUP($A24,'AN-ACC Lookup Tables'!$A$28:$F$43,6)*'AN-ACC Worksheet'!$B24</f>
        <v>0</v>
      </c>
      <c r="L24" s="52">
        <f t="shared" si="2"/>
        <v>0</v>
      </c>
    </row>
    <row r="25" spans="1:12" x14ac:dyDescent="0.25">
      <c r="A25" s="11" t="s">
        <v>112</v>
      </c>
      <c r="B25" s="139">
        <v>0</v>
      </c>
      <c r="C25" s="43">
        <f>VLOOKUP($A25,'AN-ACC Lookup Tables'!$A$6:$C$24,3)*'AN-ACC Worksheet'!$B25</f>
        <v>0</v>
      </c>
      <c r="D25" s="43">
        <f>B25*'AN-ACC Lookup Tables'!$I$6</f>
        <v>0</v>
      </c>
      <c r="E25" s="43">
        <f>$B25*'AN-ACC Lookup Tables'!$I$15</f>
        <v>0</v>
      </c>
      <c r="F25" s="43">
        <f t="shared" si="0"/>
        <v>0</v>
      </c>
      <c r="G25" s="12"/>
      <c r="H25" s="52">
        <f>VLOOKUP($A25,'AN-ACC Lookup Tables'!$A$28:$F$43,5)*'AN-ACC Worksheet'!$B25</f>
        <v>0</v>
      </c>
      <c r="I25" s="52">
        <f t="shared" si="1"/>
        <v>0</v>
      </c>
      <c r="J25" s="12"/>
      <c r="K25" s="52">
        <f>VLOOKUP($A25,'AN-ACC Lookup Tables'!$A$28:$F$43,6)*'AN-ACC Worksheet'!$B25</f>
        <v>0</v>
      </c>
      <c r="L25" s="52">
        <f t="shared" si="2"/>
        <v>0</v>
      </c>
    </row>
    <row r="26" spans="1:12" x14ac:dyDescent="0.25">
      <c r="A26" s="11" t="s">
        <v>113</v>
      </c>
      <c r="B26" s="139">
        <v>0</v>
      </c>
      <c r="C26" s="43">
        <f>VLOOKUP($A26,'AN-ACC Lookup Tables'!$A$6:$C$24,3)*'AN-ACC Worksheet'!$B26</f>
        <v>0</v>
      </c>
      <c r="D26" s="43">
        <f>B26*'AN-ACC Lookup Tables'!$I$6</f>
        <v>0</v>
      </c>
      <c r="E26" s="43">
        <f>$B26*'AN-ACC Lookup Tables'!$I$15</f>
        <v>0</v>
      </c>
      <c r="F26" s="43">
        <f t="shared" si="0"/>
        <v>0</v>
      </c>
      <c r="G26" s="12"/>
      <c r="H26" s="52">
        <f>VLOOKUP($A26,'AN-ACC Lookup Tables'!$A$28:$F$43,5)*'AN-ACC Worksheet'!$B26</f>
        <v>0</v>
      </c>
      <c r="I26" s="52">
        <f t="shared" si="1"/>
        <v>0</v>
      </c>
      <c r="J26" s="12"/>
      <c r="K26" s="52">
        <f>VLOOKUP($A26,'AN-ACC Lookup Tables'!$A$28:$F$43,6)*'AN-ACC Worksheet'!$B26</f>
        <v>0</v>
      </c>
      <c r="L26" s="52">
        <f t="shared" si="2"/>
        <v>0</v>
      </c>
    </row>
    <row r="27" spans="1:12" x14ac:dyDescent="0.25">
      <c r="A27" s="11" t="s">
        <v>129</v>
      </c>
      <c r="B27" s="139">
        <v>0</v>
      </c>
      <c r="C27" s="43">
        <f>VLOOKUP($A27,'AN-ACC Lookup Tables'!$A$6:$C$24,3)*'AN-ACC Worksheet'!$B27</f>
        <v>0</v>
      </c>
      <c r="D27" s="43">
        <f>B27*'AN-ACC Lookup Tables'!$I$6</f>
        <v>0</v>
      </c>
      <c r="E27" s="43">
        <f>$B27*'AN-ACC Lookup Tables'!$I$15</f>
        <v>0</v>
      </c>
      <c r="F27" s="43">
        <f t="shared" si="0"/>
        <v>0</v>
      </c>
      <c r="G27" s="12"/>
      <c r="H27" s="52">
        <f>VLOOKUP($A27,'AN-ACC Lookup Tables'!$A$28:$F$43,5)*'AN-ACC Worksheet'!$B27</f>
        <v>0</v>
      </c>
      <c r="I27" s="52">
        <f t="shared" si="1"/>
        <v>0</v>
      </c>
      <c r="J27" s="12"/>
      <c r="K27" s="52">
        <f>VLOOKUP($A27,'AN-ACC Lookup Tables'!$A$28:$F$43,6)*'AN-ACC Worksheet'!$B27</f>
        <v>0</v>
      </c>
      <c r="L27" s="52">
        <f t="shared" si="2"/>
        <v>0</v>
      </c>
    </row>
    <row r="28" spans="1:12" x14ac:dyDescent="0.25">
      <c r="B28" s="52"/>
      <c r="C28" s="43"/>
      <c r="D28" s="43"/>
      <c r="E28" s="43"/>
      <c r="F28" s="43"/>
      <c r="G28" s="12"/>
      <c r="H28" s="52"/>
      <c r="I28" s="52"/>
      <c r="J28" s="12"/>
      <c r="K28" s="52"/>
      <c r="L28" s="52"/>
    </row>
    <row r="29" spans="1:12" x14ac:dyDescent="0.25">
      <c r="A29" s="1" t="s">
        <v>31</v>
      </c>
      <c r="B29" s="18">
        <f>SUM(B9:B28)</f>
        <v>99</v>
      </c>
      <c r="C29" s="51">
        <f>SUM(C9:C28)</f>
        <v>13533</v>
      </c>
      <c r="D29" s="51">
        <f>SUM(D9:D28)</f>
        <v>11792.880000000001</v>
      </c>
      <c r="E29" s="51">
        <f>SUM(E9:E28)</f>
        <v>1069.2</v>
      </c>
      <c r="F29" s="51">
        <f>SUM(F9:F28)</f>
        <v>26395.08</v>
      </c>
      <c r="G29" s="19"/>
      <c r="H29" s="18">
        <f>SUM(H9:H28)</f>
        <v>20549</v>
      </c>
      <c r="I29" s="18">
        <f>SUM(I9:I28)</f>
        <v>342.48333333333335</v>
      </c>
      <c r="J29" s="19"/>
      <c r="K29" s="18">
        <f t="shared" ref="K29:L29" si="3">SUM(K9:K28)</f>
        <v>4574</v>
      </c>
      <c r="L29" s="18">
        <f t="shared" si="3"/>
        <v>76.233333333333334</v>
      </c>
    </row>
    <row r="30" spans="1:12" x14ac:dyDescent="0.25">
      <c r="A30" s="1" t="s">
        <v>130</v>
      </c>
      <c r="C30" s="42">
        <f>C29/$B29</f>
        <v>136.69696969696969</v>
      </c>
      <c r="D30" s="42">
        <f>D29/$B29</f>
        <v>119.12</v>
      </c>
      <c r="E30" s="42"/>
      <c r="F30" s="42">
        <f>F29/$B29</f>
        <v>266.6169696969697</v>
      </c>
      <c r="H30" s="19">
        <f>H29/$B29</f>
        <v>207.56565656565655</v>
      </c>
      <c r="K30" s="19">
        <f>K29/$B29</f>
        <v>46.202020202020201</v>
      </c>
    </row>
    <row r="31" spans="1:12" x14ac:dyDescent="0.25">
      <c r="H31" s="57"/>
      <c r="K31" s="57"/>
    </row>
    <row r="32" spans="1:12" x14ac:dyDescent="0.25">
      <c r="A32" s="1" t="s">
        <v>21</v>
      </c>
      <c r="B32" s="1" t="str">
        <f>'Primary Inputs'!C10</f>
        <v>Used for Carers Only</v>
      </c>
    </row>
    <row r="33" spans="1:12" x14ac:dyDescent="0.25">
      <c r="C33" s="182" t="s">
        <v>116</v>
      </c>
      <c r="D33" s="182"/>
      <c r="E33" s="182"/>
      <c r="F33" s="182"/>
    </row>
    <row r="34" spans="1:12" ht="45" x14ac:dyDescent="0.25">
      <c r="A34" s="14" t="s">
        <v>117</v>
      </c>
      <c r="B34" s="14" t="s">
        <v>159</v>
      </c>
      <c r="C34" s="14" t="s">
        <v>132</v>
      </c>
      <c r="D34" s="14" t="s">
        <v>119</v>
      </c>
      <c r="E34" s="14" t="s">
        <v>41</v>
      </c>
      <c r="F34" s="14" t="s">
        <v>120</v>
      </c>
      <c r="G34" s="14"/>
      <c r="H34" s="14" t="s">
        <v>121</v>
      </c>
      <c r="I34" s="14" t="s">
        <v>122</v>
      </c>
      <c r="J34" s="14"/>
      <c r="K34" s="14" t="s">
        <v>124</v>
      </c>
      <c r="L34" s="14" t="s">
        <v>125</v>
      </c>
    </row>
    <row r="35" spans="1:12" x14ac:dyDescent="0.25">
      <c r="A35" s="11" t="s">
        <v>126</v>
      </c>
      <c r="B35" s="139">
        <v>0</v>
      </c>
      <c r="C35" s="43">
        <f>VLOOKUP($A35,'AN-ACC Lookup Tables'!$A$6:$C$24,3)*'AN-ACC Worksheet'!$B35</f>
        <v>0</v>
      </c>
      <c r="D35" s="43">
        <f>B35*'AN-ACC Lookup Tables'!$I$6</f>
        <v>0</v>
      </c>
      <c r="E35" s="43">
        <f>$B35*'AN-ACC Lookup Tables'!$I$15</f>
        <v>0</v>
      </c>
      <c r="F35" s="43">
        <f>SUM(C35:E35)</f>
        <v>0</v>
      </c>
      <c r="G35" s="12"/>
      <c r="H35" s="52">
        <f>VLOOKUP($A35,'AN-ACC Lookup Tables'!$A$28:$F$43,5)*'AN-ACC Worksheet'!$B35</f>
        <v>0</v>
      </c>
      <c r="I35" s="52">
        <f>H35/60</f>
        <v>0</v>
      </c>
      <c r="J35" s="12"/>
      <c r="K35" s="52">
        <f>VLOOKUP($A35,'AN-ACC Lookup Tables'!$A$28:$F$43,6)*'AN-ACC Worksheet'!$B35</f>
        <v>0</v>
      </c>
      <c r="L35" s="52">
        <f>K35/60</f>
        <v>0</v>
      </c>
    </row>
    <row r="36" spans="1:12" x14ac:dyDescent="0.25">
      <c r="A36" s="11" t="s">
        <v>99</v>
      </c>
      <c r="B36" s="139">
        <v>0</v>
      </c>
      <c r="C36" s="43">
        <f>VLOOKUP($A36,'AN-ACC Lookup Tables'!$A$6:$C$24,3)*'AN-ACC Worksheet'!$B36</f>
        <v>0</v>
      </c>
      <c r="D36" s="43">
        <f>B36*'AN-ACC Lookup Tables'!$I$6</f>
        <v>0</v>
      </c>
      <c r="E36" s="43">
        <f>$B36*'AN-ACC Lookup Tables'!$I$15</f>
        <v>0</v>
      </c>
      <c r="F36" s="43">
        <f t="shared" ref="F36:F53" si="4">SUM(C36:E36)</f>
        <v>0</v>
      </c>
      <c r="G36" s="12"/>
      <c r="H36" s="52">
        <f>VLOOKUP($A36,'AN-ACC Lookup Tables'!$A$28:$F$43,5)*'AN-ACC Worksheet'!$B36</f>
        <v>0</v>
      </c>
      <c r="I36" s="52">
        <f t="shared" ref="I36:I53" si="5">H36/60</f>
        <v>0</v>
      </c>
      <c r="J36" s="12"/>
      <c r="K36" s="52">
        <f>VLOOKUP($A36,'AN-ACC Lookup Tables'!$A$28:$F$43,6)*'AN-ACC Worksheet'!$B36</f>
        <v>0</v>
      </c>
      <c r="L36" s="52">
        <f t="shared" ref="L36:L53" si="6">K36/60</f>
        <v>0</v>
      </c>
    </row>
    <row r="37" spans="1:12" x14ac:dyDescent="0.25">
      <c r="A37" s="11" t="s">
        <v>100</v>
      </c>
      <c r="B37" s="139">
        <v>0</v>
      </c>
      <c r="C37" s="43">
        <f>VLOOKUP($A37,'AN-ACC Lookup Tables'!$A$6:$C$24,3)*'AN-ACC Worksheet'!$B37</f>
        <v>0</v>
      </c>
      <c r="D37" s="43">
        <f>B37*'AN-ACC Lookup Tables'!$I$6</f>
        <v>0</v>
      </c>
      <c r="E37" s="43">
        <f>$B37*'AN-ACC Lookup Tables'!$I$15</f>
        <v>0</v>
      </c>
      <c r="F37" s="43">
        <f t="shared" si="4"/>
        <v>0</v>
      </c>
      <c r="G37" s="12"/>
      <c r="H37" s="52">
        <f>VLOOKUP($A37,'AN-ACC Lookup Tables'!$A$28:$F$43,5)*'AN-ACC Worksheet'!$B37</f>
        <v>0</v>
      </c>
      <c r="I37" s="52">
        <f t="shared" si="5"/>
        <v>0</v>
      </c>
      <c r="J37" s="12"/>
      <c r="K37" s="52">
        <f>VLOOKUP($A37,'AN-ACC Lookup Tables'!$A$28:$F$43,6)*'AN-ACC Worksheet'!$B37</f>
        <v>0</v>
      </c>
      <c r="L37" s="52">
        <f t="shared" si="6"/>
        <v>0</v>
      </c>
    </row>
    <row r="38" spans="1:12" x14ac:dyDescent="0.25">
      <c r="A38" s="11" t="s">
        <v>101</v>
      </c>
      <c r="B38" s="139">
        <v>0</v>
      </c>
      <c r="C38" s="43">
        <f>VLOOKUP($A38,'AN-ACC Lookup Tables'!$A$6:$C$24,3)*'AN-ACC Worksheet'!$B38</f>
        <v>0</v>
      </c>
      <c r="D38" s="43">
        <f>B38*'AN-ACC Lookup Tables'!$I$6</f>
        <v>0</v>
      </c>
      <c r="E38" s="43">
        <f>$B38*'AN-ACC Lookup Tables'!$I$15</f>
        <v>0</v>
      </c>
      <c r="F38" s="43">
        <f t="shared" si="4"/>
        <v>0</v>
      </c>
      <c r="G38" s="12"/>
      <c r="H38" s="52">
        <f>VLOOKUP($A38,'AN-ACC Lookup Tables'!$A$28:$F$43,5)*'AN-ACC Worksheet'!$B38</f>
        <v>0</v>
      </c>
      <c r="I38" s="52">
        <f t="shared" si="5"/>
        <v>0</v>
      </c>
      <c r="J38" s="12"/>
      <c r="K38" s="52">
        <f>VLOOKUP($A38,'AN-ACC Lookup Tables'!$A$28:$F$43,6)*'AN-ACC Worksheet'!$B38</f>
        <v>0</v>
      </c>
      <c r="L38" s="52">
        <f t="shared" si="6"/>
        <v>0</v>
      </c>
    </row>
    <row r="39" spans="1:12" x14ac:dyDescent="0.25">
      <c r="A39" s="11" t="s">
        <v>102</v>
      </c>
      <c r="B39" s="139">
        <v>0</v>
      </c>
      <c r="C39" s="43">
        <f>VLOOKUP($A39,'AN-ACC Lookup Tables'!$A$6:$C$24,3)*'AN-ACC Worksheet'!$B39</f>
        <v>0</v>
      </c>
      <c r="D39" s="43">
        <f>B39*'AN-ACC Lookup Tables'!$I$6</f>
        <v>0</v>
      </c>
      <c r="E39" s="43">
        <f>$B39*'AN-ACC Lookup Tables'!$I$15</f>
        <v>0</v>
      </c>
      <c r="F39" s="43">
        <f t="shared" si="4"/>
        <v>0</v>
      </c>
      <c r="G39" s="12"/>
      <c r="H39" s="52">
        <f>VLOOKUP($A39,'AN-ACC Lookup Tables'!$A$28:$F$43,5)*'AN-ACC Worksheet'!$B39</f>
        <v>0</v>
      </c>
      <c r="I39" s="52">
        <f t="shared" si="5"/>
        <v>0</v>
      </c>
      <c r="J39" s="12"/>
      <c r="K39" s="52">
        <f>VLOOKUP($A39,'AN-ACC Lookup Tables'!$A$28:$F$43,6)*'AN-ACC Worksheet'!$B39</f>
        <v>0</v>
      </c>
      <c r="L39" s="52">
        <f t="shared" si="6"/>
        <v>0</v>
      </c>
    </row>
    <row r="40" spans="1:12" x14ac:dyDescent="0.25">
      <c r="A40" s="11" t="s">
        <v>103</v>
      </c>
      <c r="B40" s="139">
        <v>0</v>
      </c>
      <c r="C40" s="43">
        <f>VLOOKUP($A40,'AN-ACC Lookup Tables'!$A$6:$C$24,3)*'AN-ACC Worksheet'!$B40</f>
        <v>0</v>
      </c>
      <c r="D40" s="43">
        <f>B40*'AN-ACC Lookup Tables'!$I$6</f>
        <v>0</v>
      </c>
      <c r="E40" s="43">
        <f>$B40*'AN-ACC Lookup Tables'!$I$15</f>
        <v>0</v>
      </c>
      <c r="F40" s="43">
        <f t="shared" si="4"/>
        <v>0</v>
      </c>
      <c r="G40" s="12"/>
      <c r="H40" s="52">
        <f>VLOOKUP($A40,'AN-ACC Lookup Tables'!$A$28:$F$43,5)*'AN-ACC Worksheet'!$B40</f>
        <v>0</v>
      </c>
      <c r="I40" s="52">
        <f t="shared" si="5"/>
        <v>0</v>
      </c>
      <c r="J40" s="12"/>
      <c r="K40" s="52">
        <f>VLOOKUP($A40,'AN-ACC Lookup Tables'!$A$28:$F$43,6)*'AN-ACC Worksheet'!$B40</f>
        <v>0</v>
      </c>
      <c r="L40" s="52">
        <f t="shared" si="6"/>
        <v>0</v>
      </c>
    </row>
    <row r="41" spans="1:12" x14ac:dyDescent="0.25">
      <c r="A41" s="11" t="s">
        <v>104</v>
      </c>
      <c r="B41" s="139">
        <v>0</v>
      </c>
      <c r="C41" s="43">
        <f>VLOOKUP($A41,'AN-ACC Lookup Tables'!$A$6:$C$24,3)*'AN-ACC Worksheet'!$B41</f>
        <v>0</v>
      </c>
      <c r="D41" s="43">
        <f>B41*'AN-ACC Lookup Tables'!$I$6</f>
        <v>0</v>
      </c>
      <c r="E41" s="43">
        <f>$B41*'AN-ACC Lookup Tables'!$I$15</f>
        <v>0</v>
      </c>
      <c r="F41" s="43">
        <f t="shared" si="4"/>
        <v>0</v>
      </c>
      <c r="G41" s="12"/>
      <c r="H41" s="52">
        <f>VLOOKUP($A41,'AN-ACC Lookup Tables'!$A$28:$F$43,5)*'AN-ACC Worksheet'!$B41</f>
        <v>0</v>
      </c>
      <c r="I41" s="52">
        <f t="shared" si="5"/>
        <v>0</v>
      </c>
      <c r="J41" s="12"/>
      <c r="K41" s="52">
        <f>VLOOKUP($A41,'AN-ACC Lookup Tables'!$A$28:$F$43,6)*'AN-ACC Worksheet'!$B41</f>
        <v>0</v>
      </c>
      <c r="L41" s="52">
        <f t="shared" si="6"/>
        <v>0</v>
      </c>
    </row>
    <row r="42" spans="1:12" x14ac:dyDescent="0.25">
      <c r="A42" s="11" t="s">
        <v>105</v>
      </c>
      <c r="B42" s="139">
        <v>0</v>
      </c>
      <c r="C42" s="43">
        <f>VLOOKUP($A42,'AN-ACC Lookup Tables'!$A$6:$C$24,3)*'AN-ACC Worksheet'!$B42</f>
        <v>0</v>
      </c>
      <c r="D42" s="43">
        <f>B42*'AN-ACC Lookup Tables'!$I$6</f>
        <v>0</v>
      </c>
      <c r="E42" s="43">
        <f>$B42*'AN-ACC Lookup Tables'!$I$15</f>
        <v>0</v>
      </c>
      <c r="F42" s="43">
        <f t="shared" si="4"/>
        <v>0</v>
      </c>
      <c r="G42" s="12"/>
      <c r="H42" s="52">
        <f>VLOOKUP($A42,'AN-ACC Lookup Tables'!$A$28:$F$43,5)*'AN-ACC Worksheet'!$B42</f>
        <v>0</v>
      </c>
      <c r="I42" s="52">
        <f t="shared" si="5"/>
        <v>0</v>
      </c>
      <c r="J42" s="12"/>
      <c r="K42" s="52">
        <f>VLOOKUP($A42,'AN-ACC Lookup Tables'!$A$28:$F$43,6)*'AN-ACC Worksheet'!$B42</f>
        <v>0</v>
      </c>
      <c r="L42" s="52">
        <f t="shared" si="6"/>
        <v>0</v>
      </c>
    </row>
    <row r="43" spans="1:12" x14ac:dyDescent="0.25">
      <c r="A43" s="11" t="s">
        <v>106</v>
      </c>
      <c r="B43" s="139">
        <f>'AN-ACC Simple'!B8-SUM('AN-ACC Worksheet'!B35:B42,'AN-ACC Worksheet'!B44:B53)</f>
        <v>-6</v>
      </c>
      <c r="C43" s="43">
        <f>VLOOKUP($A43,'AN-ACC Lookup Tables'!$A$6:$C$24,3)*'AN-ACC Worksheet'!$B43</f>
        <v>-787.62000000000012</v>
      </c>
      <c r="D43" s="43">
        <f>B43*'AN-ACC Lookup Tables'!$I$6</f>
        <v>-714.72</v>
      </c>
      <c r="E43" s="43">
        <f>$B43*'AN-ACC Lookup Tables'!$I$15</f>
        <v>-64.800000000000011</v>
      </c>
      <c r="F43" s="43">
        <f t="shared" si="4"/>
        <v>-1567.14</v>
      </c>
      <c r="G43" s="12"/>
      <c r="H43" s="52">
        <f>VLOOKUP($A43,'AN-ACC Lookup Tables'!$A$28:$F$43,5)*'AN-ACC Worksheet'!$B43</f>
        <v>-1212</v>
      </c>
      <c r="I43" s="52">
        <f t="shared" si="5"/>
        <v>-20.2</v>
      </c>
      <c r="J43" s="12"/>
      <c r="K43" s="52">
        <f>VLOOKUP($A43,'AN-ACC Lookup Tables'!$A$28:$F$43,6)*'AN-ACC Worksheet'!$B43</f>
        <v>-276</v>
      </c>
      <c r="L43" s="52">
        <f t="shared" si="6"/>
        <v>-4.5999999999999996</v>
      </c>
    </row>
    <row r="44" spans="1:12" x14ac:dyDescent="0.25">
      <c r="A44" s="11" t="s">
        <v>107</v>
      </c>
      <c r="B44" s="139">
        <v>0</v>
      </c>
      <c r="C44" s="43">
        <f>VLOOKUP($A44,'AN-ACC Lookup Tables'!$A$6:$C$24,3)*'AN-ACC Worksheet'!$B44</f>
        <v>0</v>
      </c>
      <c r="D44" s="43">
        <f>B44*'AN-ACC Lookup Tables'!$I$6</f>
        <v>0</v>
      </c>
      <c r="E44" s="43">
        <f>$B44*'AN-ACC Lookup Tables'!$I$15</f>
        <v>0</v>
      </c>
      <c r="F44" s="43">
        <f t="shared" si="4"/>
        <v>0</v>
      </c>
      <c r="G44" s="12"/>
      <c r="H44" s="52">
        <f>VLOOKUP($A44,'AN-ACC Lookup Tables'!$A$28:$F$43,5)*'AN-ACC Worksheet'!$B44</f>
        <v>0</v>
      </c>
      <c r="I44" s="52">
        <f t="shared" si="5"/>
        <v>0</v>
      </c>
      <c r="J44" s="12"/>
      <c r="K44" s="52">
        <f>VLOOKUP($A44,'AN-ACC Lookup Tables'!$A$28:$F$43,6)*'AN-ACC Worksheet'!$B44</f>
        <v>0</v>
      </c>
      <c r="L44" s="52">
        <f t="shared" si="6"/>
        <v>0</v>
      </c>
    </row>
    <row r="45" spans="1:12" x14ac:dyDescent="0.25">
      <c r="A45" s="11" t="s">
        <v>108</v>
      </c>
      <c r="B45" s="139">
        <v>1</v>
      </c>
      <c r="C45" s="43">
        <f>VLOOKUP($A45,'AN-ACC Lookup Tables'!$A$6:$C$24,3)*'AN-ACC Worksheet'!$B45</f>
        <v>201.77</v>
      </c>
      <c r="D45" s="43">
        <f>B45*'AN-ACC Lookup Tables'!$I$6</f>
        <v>119.12</v>
      </c>
      <c r="E45" s="43">
        <f>$B45*'AN-ACC Lookup Tables'!$I$15</f>
        <v>10.8</v>
      </c>
      <c r="F45" s="43">
        <f t="shared" si="4"/>
        <v>331.69</v>
      </c>
      <c r="G45" s="12"/>
      <c r="H45" s="52">
        <f>VLOOKUP($A45,'AN-ACC Lookup Tables'!$A$28:$F$43,5)*'AN-ACC Worksheet'!$B45</f>
        <v>274</v>
      </c>
      <c r="I45" s="52">
        <f t="shared" si="5"/>
        <v>4.5666666666666664</v>
      </c>
      <c r="J45" s="12"/>
      <c r="K45" s="52">
        <f>VLOOKUP($A45,'AN-ACC Lookup Tables'!$A$28:$F$43,6)*'AN-ACC Worksheet'!$B45</f>
        <v>41</v>
      </c>
      <c r="L45" s="52">
        <f t="shared" si="6"/>
        <v>0.68333333333333335</v>
      </c>
    </row>
    <row r="46" spans="1:12" x14ac:dyDescent="0.25">
      <c r="A46" s="11" t="s">
        <v>109</v>
      </c>
      <c r="B46" s="139">
        <v>5</v>
      </c>
      <c r="C46" s="43">
        <f>VLOOKUP($A46,'AN-ACC Lookup Tables'!$A$6:$C$24,3)*'AN-ACC Worksheet'!$B46</f>
        <v>984.55</v>
      </c>
      <c r="D46" s="43">
        <f>B46*'AN-ACC Lookup Tables'!$I$6</f>
        <v>595.6</v>
      </c>
      <c r="E46" s="43">
        <f>$B46*'AN-ACC Lookup Tables'!$I$15</f>
        <v>54</v>
      </c>
      <c r="F46" s="43">
        <f t="shared" si="4"/>
        <v>1634.15</v>
      </c>
      <c r="G46" s="12"/>
      <c r="H46" s="52">
        <f>VLOOKUP($A46,'AN-ACC Lookup Tables'!$A$28:$F$43,5)*'AN-ACC Worksheet'!$B46</f>
        <v>1345</v>
      </c>
      <c r="I46" s="52">
        <f t="shared" si="5"/>
        <v>22.416666666666668</v>
      </c>
      <c r="J46" s="12"/>
      <c r="K46" s="52">
        <f>VLOOKUP($A46,'AN-ACC Lookup Tables'!$A$28:$F$43,6)*'AN-ACC Worksheet'!$B46</f>
        <v>210</v>
      </c>
      <c r="L46" s="52">
        <f t="shared" si="6"/>
        <v>3.5</v>
      </c>
    </row>
    <row r="47" spans="1:12" x14ac:dyDescent="0.25">
      <c r="A47" s="11" t="s">
        <v>110</v>
      </c>
      <c r="B47" s="139">
        <v>0</v>
      </c>
      <c r="C47" s="43">
        <f>VLOOKUP($A47,'AN-ACC Lookup Tables'!$A$6:$C$24,3)*'AN-ACC Worksheet'!$B47</f>
        <v>0</v>
      </c>
      <c r="D47" s="43">
        <f>B47*'AN-ACC Lookup Tables'!$I$6</f>
        <v>0</v>
      </c>
      <c r="E47" s="43">
        <f>$B47*'AN-ACC Lookup Tables'!$I$15</f>
        <v>0</v>
      </c>
      <c r="F47" s="43">
        <f t="shared" si="4"/>
        <v>0</v>
      </c>
      <c r="G47" s="12"/>
      <c r="H47" s="52">
        <f>VLOOKUP($A47,'AN-ACC Lookup Tables'!$A$28:$F$43,5)*'AN-ACC Worksheet'!$B47</f>
        <v>0</v>
      </c>
      <c r="I47" s="52">
        <f t="shared" si="5"/>
        <v>0</v>
      </c>
      <c r="J47" s="12"/>
      <c r="K47" s="52">
        <f>VLOOKUP($A47,'AN-ACC Lookup Tables'!$A$28:$F$43,6)*'AN-ACC Worksheet'!$B47</f>
        <v>0</v>
      </c>
      <c r="L47" s="52">
        <f t="shared" si="6"/>
        <v>0</v>
      </c>
    </row>
    <row r="48" spans="1:12" x14ac:dyDescent="0.25">
      <c r="A48" s="11" t="s">
        <v>127</v>
      </c>
      <c r="B48" s="139">
        <v>0</v>
      </c>
      <c r="C48" s="43">
        <f>VLOOKUP($A48,'AN-ACC Lookup Tables'!$A$6:$C$24,3)*'AN-ACC Worksheet'!$B48</f>
        <v>0</v>
      </c>
      <c r="D48" s="43">
        <f>B48*'AN-ACC Lookup Tables'!$I$6</f>
        <v>0</v>
      </c>
      <c r="E48" s="43">
        <f>$B48*'AN-ACC Lookup Tables'!$I$15</f>
        <v>0</v>
      </c>
      <c r="F48" s="43">
        <f t="shared" si="4"/>
        <v>0</v>
      </c>
      <c r="G48" s="12"/>
      <c r="H48" s="52">
        <f>VLOOKUP($A48,'AN-ACC Lookup Tables'!$A$28:$F$43,5)*'AN-ACC Worksheet'!$B48</f>
        <v>0</v>
      </c>
      <c r="I48" s="52">
        <f t="shared" si="5"/>
        <v>0</v>
      </c>
      <c r="J48" s="12"/>
      <c r="K48" s="52">
        <f>VLOOKUP($A48,'AN-ACC Lookup Tables'!$A$28:$F$43,6)*'AN-ACC Worksheet'!$B48</f>
        <v>0</v>
      </c>
      <c r="L48" s="52">
        <f t="shared" si="6"/>
        <v>0</v>
      </c>
    </row>
    <row r="49" spans="1:12" x14ac:dyDescent="0.25">
      <c r="A49" s="11" t="s">
        <v>111</v>
      </c>
      <c r="B49" s="139">
        <v>0</v>
      </c>
      <c r="C49" s="43">
        <f>VLOOKUP($A49,'AN-ACC Lookup Tables'!$A$6:$C$24,3)*'AN-ACC Worksheet'!$B49</f>
        <v>0</v>
      </c>
      <c r="D49" s="43">
        <f>B49*'AN-ACC Lookup Tables'!$I$6</f>
        <v>0</v>
      </c>
      <c r="E49" s="43">
        <f>$B49*'AN-ACC Lookup Tables'!$I$15</f>
        <v>0</v>
      </c>
      <c r="F49" s="43">
        <f t="shared" si="4"/>
        <v>0</v>
      </c>
      <c r="G49" s="12"/>
      <c r="H49" s="52">
        <f>VLOOKUP($A49,'AN-ACC Lookup Tables'!$A$28:$F$43,5)*'AN-ACC Worksheet'!$B49</f>
        <v>0</v>
      </c>
      <c r="I49" s="52">
        <f t="shared" si="5"/>
        <v>0</v>
      </c>
      <c r="J49" s="12"/>
      <c r="K49" s="52">
        <f>VLOOKUP($A49,'AN-ACC Lookup Tables'!$A$28:$F$43,6)*'AN-ACC Worksheet'!$B49</f>
        <v>0</v>
      </c>
      <c r="L49" s="52">
        <f t="shared" si="6"/>
        <v>0</v>
      </c>
    </row>
    <row r="50" spans="1:12" x14ac:dyDescent="0.25">
      <c r="A50" s="11" t="s">
        <v>128</v>
      </c>
      <c r="B50" s="139">
        <v>0</v>
      </c>
      <c r="C50" s="43">
        <f>VLOOKUP($A50,'AN-ACC Lookup Tables'!$A$6:$C$24,3)*'AN-ACC Worksheet'!$B50</f>
        <v>0</v>
      </c>
      <c r="D50" s="43">
        <f>B50*'AN-ACC Lookup Tables'!$I$6</f>
        <v>0</v>
      </c>
      <c r="E50" s="43">
        <f>$B50*'AN-ACC Lookup Tables'!$I$15</f>
        <v>0</v>
      </c>
      <c r="F50" s="43">
        <f t="shared" si="4"/>
        <v>0</v>
      </c>
      <c r="G50" s="12"/>
      <c r="H50" s="52">
        <f>VLOOKUP($A50,'AN-ACC Lookup Tables'!$A$28:$F$43,5)*'AN-ACC Worksheet'!$B50</f>
        <v>0</v>
      </c>
      <c r="I50" s="52">
        <f t="shared" si="5"/>
        <v>0</v>
      </c>
      <c r="J50" s="12"/>
      <c r="K50" s="52">
        <f>VLOOKUP($A50,'AN-ACC Lookup Tables'!$A$28:$F$43,6)*'AN-ACC Worksheet'!$B50</f>
        <v>0</v>
      </c>
      <c r="L50" s="52">
        <f t="shared" si="6"/>
        <v>0</v>
      </c>
    </row>
    <row r="51" spans="1:12" x14ac:dyDescent="0.25">
      <c r="A51" s="11" t="s">
        <v>112</v>
      </c>
      <c r="B51" s="139">
        <v>0</v>
      </c>
      <c r="C51" s="43">
        <f>VLOOKUP($A51,'AN-ACC Lookup Tables'!$A$6:$C$24,3)*'AN-ACC Worksheet'!$B51</f>
        <v>0</v>
      </c>
      <c r="D51" s="43">
        <f>B51*'AN-ACC Lookup Tables'!$I$6</f>
        <v>0</v>
      </c>
      <c r="E51" s="43">
        <f>$B51*'AN-ACC Lookup Tables'!$I$15</f>
        <v>0</v>
      </c>
      <c r="F51" s="43">
        <f t="shared" si="4"/>
        <v>0</v>
      </c>
      <c r="G51" s="12"/>
      <c r="H51" s="52">
        <f>VLOOKUP($A51,'AN-ACC Lookup Tables'!$A$28:$F$43,5)*'AN-ACC Worksheet'!$B51</f>
        <v>0</v>
      </c>
      <c r="I51" s="52">
        <f t="shared" si="5"/>
        <v>0</v>
      </c>
      <c r="J51" s="12"/>
      <c r="K51" s="52">
        <f>VLOOKUP($A51,'AN-ACC Lookup Tables'!$A$28:$F$43,6)*'AN-ACC Worksheet'!$B51</f>
        <v>0</v>
      </c>
      <c r="L51" s="52">
        <f t="shared" si="6"/>
        <v>0</v>
      </c>
    </row>
    <row r="52" spans="1:12" x14ac:dyDescent="0.25">
      <c r="A52" s="11" t="s">
        <v>113</v>
      </c>
      <c r="B52" s="139">
        <v>0</v>
      </c>
      <c r="C52" s="43">
        <f>VLOOKUP($A52,'AN-ACC Lookup Tables'!$A$6:$C$24,3)*'AN-ACC Worksheet'!$B52</f>
        <v>0</v>
      </c>
      <c r="D52" s="43">
        <f>B52*'AN-ACC Lookup Tables'!$I$6</f>
        <v>0</v>
      </c>
      <c r="E52" s="43">
        <f>$B52*'AN-ACC Lookup Tables'!$I$15</f>
        <v>0</v>
      </c>
      <c r="F52" s="43">
        <f t="shared" si="4"/>
        <v>0</v>
      </c>
      <c r="G52" s="12"/>
      <c r="H52" s="52">
        <f>VLOOKUP($A52,'AN-ACC Lookup Tables'!$A$28:$F$43,5)*'AN-ACC Worksheet'!$B52</f>
        <v>0</v>
      </c>
      <c r="I52" s="52">
        <f t="shared" si="5"/>
        <v>0</v>
      </c>
      <c r="J52" s="12"/>
      <c r="K52" s="52">
        <f>VLOOKUP($A52,'AN-ACC Lookup Tables'!$A$28:$F$43,6)*'AN-ACC Worksheet'!$B52</f>
        <v>0</v>
      </c>
      <c r="L52" s="52">
        <f t="shared" si="6"/>
        <v>0</v>
      </c>
    </row>
    <row r="53" spans="1:12" x14ac:dyDescent="0.25">
      <c r="A53" s="11" t="s">
        <v>129</v>
      </c>
      <c r="B53" s="139">
        <v>0</v>
      </c>
      <c r="C53" s="43">
        <f>VLOOKUP($A53,'AN-ACC Lookup Tables'!$A$6:$C$24,3)*'AN-ACC Worksheet'!$B53</f>
        <v>0</v>
      </c>
      <c r="D53" s="43">
        <f>B53*'AN-ACC Lookup Tables'!$I$6</f>
        <v>0</v>
      </c>
      <c r="E53" s="43">
        <f>$B53*'AN-ACC Lookup Tables'!$I$15</f>
        <v>0</v>
      </c>
      <c r="F53" s="43">
        <f t="shared" si="4"/>
        <v>0</v>
      </c>
      <c r="G53" s="12"/>
      <c r="H53" s="52">
        <f>VLOOKUP($A53,'AN-ACC Lookup Tables'!$A$28:$F$43,5)*'AN-ACC Worksheet'!$B53</f>
        <v>0</v>
      </c>
      <c r="I53" s="52">
        <f t="shared" si="5"/>
        <v>0</v>
      </c>
      <c r="J53" s="12"/>
      <c r="K53" s="52">
        <f>VLOOKUP($A53,'AN-ACC Lookup Tables'!$A$28:$F$43,6)*'AN-ACC Worksheet'!$B53</f>
        <v>0</v>
      </c>
      <c r="L53" s="52">
        <f t="shared" si="6"/>
        <v>0</v>
      </c>
    </row>
    <row r="54" spans="1:12" x14ac:dyDescent="0.25">
      <c r="B54" s="12"/>
      <c r="C54" s="43"/>
      <c r="D54" s="43"/>
      <c r="E54" s="43"/>
      <c r="F54" s="43"/>
      <c r="G54" s="12"/>
      <c r="H54" s="52"/>
      <c r="I54" s="52"/>
      <c r="J54" s="12"/>
      <c r="K54" s="52"/>
      <c r="L54" s="52"/>
    </row>
    <row r="55" spans="1:12" x14ac:dyDescent="0.25">
      <c r="A55" s="1" t="s">
        <v>31</v>
      </c>
      <c r="B55" s="18">
        <f>SUM(B35:B54)</f>
        <v>0</v>
      </c>
      <c r="C55" s="51">
        <f>SUM(C35:C54)</f>
        <v>398.69999999999982</v>
      </c>
      <c r="D55" s="51">
        <f>SUM(D35:D54)</f>
        <v>0</v>
      </c>
      <c r="E55" s="51">
        <f>SUM(E35:E54)</f>
        <v>-1.4210854715202004E-14</v>
      </c>
      <c r="F55" s="51">
        <f>SUM(F35:F54)</f>
        <v>398.70000000000005</v>
      </c>
      <c r="G55" s="19"/>
      <c r="H55" s="18">
        <f>SUM(H35:H54)</f>
        <v>407</v>
      </c>
      <c r="I55" s="18">
        <f>SUM(I35:I54)</f>
        <v>6.783333333333335</v>
      </c>
      <c r="J55" s="19"/>
      <c r="K55" s="18">
        <f t="shared" ref="K55:L55" si="7">SUM(K35:K54)</f>
        <v>-25</v>
      </c>
      <c r="L55" s="18">
        <f t="shared" si="7"/>
        <v>-0.41666666666666607</v>
      </c>
    </row>
    <row r="56" spans="1:12" x14ac:dyDescent="0.25">
      <c r="A56" s="1" t="s">
        <v>130</v>
      </c>
      <c r="C56" s="42" t="e">
        <f>C55/$B55</f>
        <v>#DIV/0!</v>
      </c>
      <c r="D56" s="42" t="e">
        <f>D55/$B55</f>
        <v>#DIV/0!</v>
      </c>
      <c r="E56" s="42"/>
      <c r="F56" s="42" t="e">
        <f>F55/$B55</f>
        <v>#DIV/0!</v>
      </c>
      <c r="H56" s="19" t="e">
        <f>H55/$B55</f>
        <v>#DIV/0!</v>
      </c>
      <c r="K56" s="19" t="e">
        <f>K55/$B55</f>
        <v>#DIV/0!</v>
      </c>
    </row>
    <row r="57" spans="1:12" x14ac:dyDescent="0.25">
      <c r="H57" s="57"/>
      <c r="K57" s="57"/>
    </row>
    <row r="58" spans="1:12" x14ac:dyDescent="0.25">
      <c r="A58" s="1" t="s">
        <v>21</v>
      </c>
      <c r="B58" s="1" t="str">
        <f>'Primary Inputs'!C11</f>
        <v>Hidden</v>
      </c>
    </row>
    <row r="59" spans="1:12" x14ac:dyDescent="0.25">
      <c r="C59" s="182" t="s">
        <v>116</v>
      </c>
      <c r="D59" s="182"/>
      <c r="E59" s="182"/>
      <c r="F59" s="182"/>
    </row>
    <row r="60" spans="1:12" ht="45" x14ac:dyDescent="0.25">
      <c r="A60" s="14" t="s">
        <v>117</v>
      </c>
      <c r="B60" s="14" t="s">
        <v>159</v>
      </c>
      <c r="C60" s="14" t="s">
        <v>118</v>
      </c>
      <c r="D60" s="14" t="s">
        <v>119</v>
      </c>
      <c r="E60" s="14" t="s">
        <v>41</v>
      </c>
      <c r="F60" s="14" t="s">
        <v>120</v>
      </c>
      <c r="G60" s="14"/>
      <c r="H60" s="14" t="s">
        <v>121</v>
      </c>
      <c r="I60" s="14" t="s">
        <v>122</v>
      </c>
      <c r="J60" s="14"/>
      <c r="K60" s="14" t="s">
        <v>124</v>
      </c>
      <c r="L60" s="14" t="s">
        <v>125</v>
      </c>
    </row>
    <row r="61" spans="1:12" x14ac:dyDescent="0.25">
      <c r="A61" s="11" t="s">
        <v>126</v>
      </c>
      <c r="B61" s="139">
        <v>0</v>
      </c>
      <c r="C61" s="43">
        <f>VLOOKUP($A61,'AN-ACC Lookup Tables'!$A$6:$C$24,3)*'AN-ACC Worksheet'!$B61</f>
        <v>0</v>
      </c>
      <c r="D61" s="43">
        <f>B61*'AN-ACC Lookup Tables'!$I$6</f>
        <v>0</v>
      </c>
      <c r="E61" s="43">
        <f>$B61*'AN-ACC Lookup Tables'!$I$15</f>
        <v>0</v>
      </c>
      <c r="F61" s="43">
        <f>SUM(C61:E61)</f>
        <v>0</v>
      </c>
      <c r="G61" s="12"/>
      <c r="H61" s="52">
        <f>VLOOKUP($A61,'AN-ACC Lookup Tables'!$A$28:$F$43,5)*'AN-ACC Worksheet'!$B61</f>
        <v>0</v>
      </c>
      <c r="I61" s="52">
        <f>H61/60</f>
        <v>0</v>
      </c>
      <c r="J61" s="12"/>
      <c r="K61" s="52">
        <f>VLOOKUP($A61,'AN-ACC Lookup Tables'!$A$28:$F$43,6)*'AN-ACC Worksheet'!$B61</f>
        <v>0</v>
      </c>
      <c r="L61" s="52">
        <f>K61/60</f>
        <v>0</v>
      </c>
    </row>
    <row r="62" spans="1:12" x14ac:dyDescent="0.25">
      <c r="A62" s="11" t="s">
        <v>99</v>
      </c>
      <c r="B62" s="139">
        <v>0</v>
      </c>
      <c r="C62" s="43">
        <f>VLOOKUP($A62,'AN-ACC Lookup Tables'!$A$6:$C$24,3)*'AN-ACC Worksheet'!$B62</f>
        <v>0</v>
      </c>
      <c r="D62" s="43">
        <f>B62*'AN-ACC Lookup Tables'!$I$6</f>
        <v>0</v>
      </c>
      <c r="E62" s="43">
        <f>$B62*'AN-ACC Lookup Tables'!$I$15</f>
        <v>0</v>
      </c>
      <c r="F62" s="43">
        <f t="shared" ref="F62:F79" si="8">SUM(C62:E62)</f>
        <v>0</v>
      </c>
      <c r="G62" s="12"/>
      <c r="H62" s="52">
        <f>VLOOKUP($A62,'AN-ACC Lookup Tables'!$A$28:$F$43,5)*'AN-ACC Worksheet'!$B62</f>
        <v>0</v>
      </c>
      <c r="I62" s="52">
        <f t="shared" ref="I62:I79" si="9">H62/60</f>
        <v>0</v>
      </c>
      <c r="J62" s="12"/>
      <c r="K62" s="52">
        <f>VLOOKUP($A62,'AN-ACC Lookup Tables'!$A$28:$F$43,6)*'AN-ACC Worksheet'!$B62</f>
        <v>0</v>
      </c>
      <c r="L62" s="52">
        <f t="shared" ref="L62:L79" si="10">K62/60</f>
        <v>0</v>
      </c>
    </row>
    <row r="63" spans="1:12" x14ac:dyDescent="0.25">
      <c r="A63" s="11" t="s">
        <v>100</v>
      </c>
      <c r="B63" s="139">
        <v>0</v>
      </c>
      <c r="C63" s="43">
        <f>VLOOKUP($A63,'AN-ACC Lookup Tables'!$A$6:$C$24,3)*'AN-ACC Worksheet'!$B63</f>
        <v>0</v>
      </c>
      <c r="D63" s="43">
        <f>B63*'AN-ACC Lookup Tables'!$I$6</f>
        <v>0</v>
      </c>
      <c r="E63" s="43">
        <f>$B63*'AN-ACC Lookup Tables'!$I$15</f>
        <v>0</v>
      </c>
      <c r="F63" s="43">
        <f t="shared" si="8"/>
        <v>0</v>
      </c>
      <c r="G63" s="12"/>
      <c r="H63" s="52">
        <f>VLOOKUP($A63,'AN-ACC Lookup Tables'!$A$28:$F$43,5)*'AN-ACC Worksheet'!$B63</f>
        <v>0</v>
      </c>
      <c r="I63" s="52">
        <f t="shared" si="9"/>
        <v>0</v>
      </c>
      <c r="J63" s="12"/>
      <c r="K63" s="52">
        <f>VLOOKUP($A63,'AN-ACC Lookup Tables'!$A$28:$F$43,6)*'AN-ACC Worksheet'!$B63</f>
        <v>0</v>
      </c>
      <c r="L63" s="52">
        <f t="shared" si="10"/>
        <v>0</v>
      </c>
    </row>
    <row r="64" spans="1:12" x14ac:dyDescent="0.25">
      <c r="A64" s="11" t="s">
        <v>101</v>
      </c>
      <c r="B64" s="139">
        <v>0</v>
      </c>
      <c r="C64" s="43">
        <f>VLOOKUP($A64,'AN-ACC Lookup Tables'!$A$6:$C$24,3)*'AN-ACC Worksheet'!$B64</f>
        <v>0</v>
      </c>
      <c r="D64" s="43">
        <f>B64*'AN-ACC Lookup Tables'!$I$6</f>
        <v>0</v>
      </c>
      <c r="E64" s="43">
        <f>$B64*'AN-ACC Lookup Tables'!$I$15</f>
        <v>0</v>
      </c>
      <c r="F64" s="43">
        <f t="shared" si="8"/>
        <v>0</v>
      </c>
      <c r="G64" s="12"/>
      <c r="H64" s="52">
        <f>VLOOKUP($A64,'AN-ACC Lookup Tables'!$A$28:$F$43,5)*'AN-ACC Worksheet'!$B64</f>
        <v>0</v>
      </c>
      <c r="I64" s="52">
        <f t="shared" si="9"/>
        <v>0</v>
      </c>
      <c r="J64" s="12"/>
      <c r="K64" s="52">
        <f>VLOOKUP($A64,'AN-ACC Lookup Tables'!$A$28:$F$43,6)*'AN-ACC Worksheet'!$B64</f>
        <v>0</v>
      </c>
      <c r="L64" s="52">
        <f t="shared" si="10"/>
        <v>0</v>
      </c>
    </row>
    <row r="65" spans="1:12" x14ac:dyDescent="0.25">
      <c r="A65" s="11" t="s">
        <v>102</v>
      </c>
      <c r="B65" s="139">
        <v>0</v>
      </c>
      <c r="C65" s="43">
        <f>VLOOKUP($A65,'AN-ACC Lookup Tables'!$A$6:$C$24,3)*'AN-ACC Worksheet'!$B65</f>
        <v>0</v>
      </c>
      <c r="D65" s="43">
        <f>B65*'AN-ACC Lookup Tables'!$I$6</f>
        <v>0</v>
      </c>
      <c r="E65" s="43">
        <f>$B65*'AN-ACC Lookup Tables'!$I$15</f>
        <v>0</v>
      </c>
      <c r="F65" s="43">
        <f t="shared" si="8"/>
        <v>0</v>
      </c>
      <c r="G65" s="12"/>
      <c r="H65" s="52">
        <f>VLOOKUP($A65,'AN-ACC Lookup Tables'!$A$28:$F$43,5)*'AN-ACC Worksheet'!$B65</f>
        <v>0</v>
      </c>
      <c r="I65" s="52">
        <f t="shared" si="9"/>
        <v>0</v>
      </c>
      <c r="J65" s="12"/>
      <c r="K65" s="52">
        <f>VLOOKUP($A65,'AN-ACC Lookup Tables'!$A$28:$F$43,6)*'AN-ACC Worksheet'!$B65</f>
        <v>0</v>
      </c>
      <c r="L65" s="52">
        <f t="shared" si="10"/>
        <v>0</v>
      </c>
    </row>
    <row r="66" spans="1:12" x14ac:dyDescent="0.25">
      <c r="A66" s="11" t="s">
        <v>103</v>
      </c>
      <c r="B66" s="139">
        <v>0</v>
      </c>
      <c r="C66" s="43">
        <f>VLOOKUP($A66,'AN-ACC Lookup Tables'!$A$6:$C$24,3)*'AN-ACC Worksheet'!$B66</f>
        <v>0</v>
      </c>
      <c r="D66" s="43">
        <f>B66*'AN-ACC Lookup Tables'!$I$6</f>
        <v>0</v>
      </c>
      <c r="E66" s="43">
        <f>$B66*'AN-ACC Lookup Tables'!$I$15</f>
        <v>0</v>
      </c>
      <c r="F66" s="43">
        <f t="shared" si="8"/>
        <v>0</v>
      </c>
      <c r="G66" s="12"/>
      <c r="H66" s="52">
        <f>VLOOKUP($A66,'AN-ACC Lookup Tables'!$A$28:$F$43,5)*'AN-ACC Worksheet'!$B66</f>
        <v>0</v>
      </c>
      <c r="I66" s="52">
        <f t="shared" si="9"/>
        <v>0</v>
      </c>
      <c r="J66" s="12"/>
      <c r="K66" s="52">
        <f>VLOOKUP($A66,'AN-ACC Lookup Tables'!$A$28:$F$43,6)*'AN-ACC Worksheet'!$B66</f>
        <v>0</v>
      </c>
      <c r="L66" s="52">
        <f t="shared" si="10"/>
        <v>0</v>
      </c>
    </row>
    <row r="67" spans="1:12" x14ac:dyDescent="0.25">
      <c r="A67" s="11" t="s">
        <v>104</v>
      </c>
      <c r="B67" s="139">
        <v>1</v>
      </c>
      <c r="C67" s="43">
        <f>VLOOKUP($A67,'AN-ACC Lookup Tables'!$A$6:$C$24,3)*'AN-ACC Worksheet'!$B67</f>
        <v>119.12</v>
      </c>
      <c r="D67" s="43">
        <f>B67*'AN-ACC Lookup Tables'!$I$6</f>
        <v>119.12</v>
      </c>
      <c r="E67" s="43">
        <f>$B67*'AN-ACC Lookup Tables'!$I$15</f>
        <v>10.8</v>
      </c>
      <c r="F67" s="43">
        <f t="shared" si="8"/>
        <v>249.04000000000002</v>
      </c>
      <c r="G67" s="12"/>
      <c r="H67" s="52">
        <f>VLOOKUP($A67,'AN-ACC Lookup Tables'!$A$28:$F$43,5)*'AN-ACC Worksheet'!$B67</f>
        <v>186</v>
      </c>
      <c r="I67" s="52">
        <f t="shared" si="9"/>
        <v>3.1</v>
      </c>
      <c r="J67" s="12"/>
      <c r="K67" s="52">
        <f>VLOOKUP($A67,'AN-ACC Lookup Tables'!$A$28:$F$43,6)*'AN-ACC Worksheet'!$B67</f>
        <v>37</v>
      </c>
      <c r="L67" s="52">
        <f t="shared" si="10"/>
        <v>0.6166666666666667</v>
      </c>
    </row>
    <row r="68" spans="1:12" x14ac:dyDescent="0.25">
      <c r="A68" s="11" t="s">
        <v>105</v>
      </c>
      <c r="B68" s="139">
        <v>1</v>
      </c>
      <c r="C68" s="43">
        <f>VLOOKUP($A68,'AN-ACC Lookup Tables'!$A$6:$C$24,3)*'AN-ACC Worksheet'!$B68</f>
        <v>131.27000000000001</v>
      </c>
      <c r="D68" s="43">
        <f>B68*'AN-ACC Lookup Tables'!$I$6</f>
        <v>119.12</v>
      </c>
      <c r="E68" s="43">
        <f>$B68*'AN-ACC Lookup Tables'!$I$15</f>
        <v>10.8</v>
      </c>
      <c r="F68" s="43">
        <f t="shared" si="8"/>
        <v>261.19</v>
      </c>
      <c r="G68" s="12"/>
      <c r="H68" s="52">
        <f>VLOOKUP($A68,'AN-ACC Lookup Tables'!$A$28:$F$43,5)*'AN-ACC Worksheet'!$B68</f>
        <v>200</v>
      </c>
      <c r="I68" s="52">
        <f t="shared" si="9"/>
        <v>3.3333333333333335</v>
      </c>
      <c r="J68" s="12"/>
      <c r="K68" s="52">
        <f>VLOOKUP($A68,'AN-ACC Lookup Tables'!$A$28:$F$43,6)*'AN-ACC Worksheet'!$B68</f>
        <v>38</v>
      </c>
      <c r="L68" s="52">
        <f t="shared" si="10"/>
        <v>0.6333333333333333</v>
      </c>
    </row>
    <row r="69" spans="1:12" x14ac:dyDescent="0.25">
      <c r="A69" s="11" t="s">
        <v>106</v>
      </c>
      <c r="B69" s="139">
        <f>'AN-ACC Simple'!B9-SUM('AN-ACC Worksheet'!B61:B68,'AN-ACC Worksheet'!B70:B79)</f>
        <v>-6</v>
      </c>
      <c r="C69" s="43">
        <f>VLOOKUP($A69,'AN-ACC Lookup Tables'!$A$6:$C$24,3)*'AN-ACC Worksheet'!$B69</f>
        <v>-787.62000000000012</v>
      </c>
      <c r="D69" s="43">
        <f>B69*'AN-ACC Lookup Tables'!$I$6</f>
        <v>-714.72</v>
      </c>
      <c r="E69" s="43">
        <f>$B69*'AN-ACC Lookup Tables'!$I$15</f>
        <v>-64.800000000000011</v>
      </c>
      <c r="F69" s="43">
        <f t="shared" si="8"/>
        <v>-1567.14</v>
      </c>
      <c r="G69" s="12"/>
      <c r="H69" s="52">
        <f>VLOOKUP($A69,'AN-ACC Lookup Tables'!$A$28:$F$43,5)*'AN-ACC Worksheet'!$B69</f>
        <v>-1212</v>
      </c>
      <c r="I69" s="52">
        <f t="shared" si="9"/>
        <v>-20.2</v>
      </c>
      <c r="J69" s="12"/>
      <c r="K69" s="52">
        <f>VLOOKUP($A69,'AN-ACC Lookup Tables'!$A$28:$F$43,6)*'AN-ACC Worksheet'!$B69</f>
        <v>-276</v>
      </c>
      <c r="L69" s="52">
        <f t="shared" si="10"/>
        <v>-4.5999999999999996</v>
      </c>
    </row>
    <row r="70" spans="1:12" x14ac:dyDescent="0.25">
      <c r="A70" s="11" t="s">
        <v>107</v>
      </c>
      <c r="B70" s="139"/>
      <c r="C70" s="43">
        <f>VLOOKUP($A70,'AN-ACC Lookup Tables'!$A$6:$C$24,3)*'AN-ACC Worksheet'!$B70</f>
        <v>0</v>
      </c>
      <c r="D70" s="43">
        <f>B70*'AN-ACC Lookup Tables'!$I$6</f>
        <v>0</v>
      </c>
      <c r="E70" s="43">
        <f>$B70*'AN-ACC Lookup Tables'!$I$15</f>
        <v>0</v>
      </c>
      <c r="F70" s="43">
        <f t="shared" si="8"/>
        <v>0</v>
      </c>
      <c r="G70" s="12"/>
      <c r="H70" s="52">
        <f>VLOOKUP($A70,'AN-ACC Lookup Tables'!$A$28:$F$43,5)*'AN-ACC Worksheet'!$B70</f>
        <v>0</v>
      </c>
      <c r="I70" s="52">
        <f t="shared" si="9"/>
        <v>0</v>
      </c>
      <c r="J70" s="12"/>
      <c r="K70" s="52">
        <f>VLOOKUP($A70,'AN-ACC Lookup Tables'!$A$28:$F$43,6)*'AN-ACC Worksheet'!$B70</f>
        <v>0</v>
      </c>
      <c r="L70" s="52">
        <f t="shared" si="10"/>
        <v>0</v>
      </c>
    </row>
    <row r="71" spans="1:12" x14ac:dyDescent="0.25">
      <c r="A71" s="11" t="s">
        <v>108</v>
      </c>
      <c r="B71" s="139">
        <v>1</v>
      </c>
      <c r="C71" s="43">
        <f>VLOOKUP($A71,'AN-ACC Lookup Tables'!$A$6:$C$24,3)*'AN-ACC Worksheet'!$B71</f>
        <v>201.77</v>
      </c>
      <c r="D71" s="43">
        <f>B71*'AN-ACC Lookup Tables'!$I$6</f>
        <v>119.12</v>
      </c>
      <c r="E71" s="43">
        <f>$B71*'AN-ACC Lookup Tables'!$I$15</f>
        <v>10.8</v>
      </c>
      <c r="F71" s="43">
        <f t="shared" si="8"/>
        <v>331.69</v>
      </c>
      <c r="G71" s="12"/>
      <c r="H71" s="52">
        <f>VLOOKUP($A71,'AN-ACC Lookup Tables'!$A$28:$F$43,5)*'AN-ACC Worksheet'!$B71</f>
        <v>274</v>
      </c>
      <c r="I71" s="52">
        <f t="shared" si="9"/>
        <v>4.5666666666666664</v>
      </c>
      <c r="J71" s="12"/>
      <c r="K71" s="52">
        <f>VLOOKUP($A71,'AN-ACC Lookup Tables'!$A$28:$F$43,6)*'AN-ACC Worksheet'!$B71</f>
        <v>41</v>
      </c>
      <c r="L71" s="52">
        <f t="shared" si="10"/>
        <v>0.68333333333333335</v>
      </c>
    </row>
    <row r="72" spans="1:12" x14ac:dyDescent="0.25">
      <c r="A72" s="11" t="s">
        <v>109</v>
      </c>
      <c r="B72" s="139">
        <v>1</v>
      </c>
      <c r="C72" s="43">
        <f>VLOOKUP($A72,'AN-ACC Lookup Tables'!$A$6:$C$24,3)*'AN-ACC Worksheet'!$B72</f>
        <v>196.91</v>
      </c>
      <c r="D72" s="43">
        <f>B72*'AN-ACC Lookup Tables'!$I$6</f>
        <v>119.12</v>
      </c>
      <c r="E72" s="43">
        <f>$B72*'AN-ACC Lookup Tables'!$I$15</f>
        <v>10.8</v>
      </c>
      <c r="F72" s="43">
        <f t="shared" si="8"/>
        <v>326.83</v>
      </c>
      <c r="G72" s="12"/>
      <c r="H72" s="52">
        <f>VLOOKUP($A72,'AN-ACC Lookup Tables'!$A$28:$F$43,5)*'AN-ACC Worksheet'!$B72</f>
        <v>269</v>
      </c>
      <c r="I72" s="52">
        <f t="shared" si="9"/>
        <v>4.4833333333333334</v>
      </c>
      <c r="J72" s="12"/>
      <c r="K72" s="52">
        <f>VLOOKUP($A72,'AN-ACC Lookup Tables'!$A$28:$F$43,6)*'AN-ACC Worksheet'!$B72</f>
        <v>42</v>
      </c>
      <c r="L72" s="52">
        <f t="shared" si="10"/>
        <v>0.7</v>
      </c>
    </row>
    <row r="73" spans="1:12" x14ac:dyDescent="0.25">
      <c r="A73" s="11" t="s">
        <v>110</v>
      </c>
      <c r="B73" s="139">
        <v>2</v>
      </c>
      <c r="C73" s="43">
        <f>VLOOKUP($A73,'AN-ACC Lookup Tables'!$A$6:$C$24,3)*'AN-ACC Worksheet'!$B73</f>
        <v>486.2</v>
      </c>
      <c r="D73" s="43">
        <f>B73*'AN-ACC Lookup Tables'!$I$6</f>
        <v>238.24</v>
      </c>
      <c r="E73" s="43">
        <f>$B73*'AN-ACC Lookup Tables'!$I$15</f>
        <v>21.6</v>
      </c>
      <c r="F73" s="43">
        <f t="shared" si="8"/>
        <v>746.04000000000008</v>
      </c>
      <c r="G73" s="12"/>
      <c r="H73" s="52">
        <f>VLOOKUP($A73,'AN-ACC Lookup Tables'!$A$28:$F$43,5)*'AN-ACC Worksheet'!$B73</f>
        <v>634</v>
      </c>
      <c r="I73" s="52">
        <f t="shared" si="9"/>
        <v>10.566666666666666</v>
      </c>
      <c r="J73" s="12"/>
      <c r="K73" s="52">
        <f>VLOOKUP($A73,'AN-ACC Lookup Tables'!$A$28:$F$43,6)*'AN-ACC Worksheet'!$B73</f>
        <v>114</v>
      </c>
      <c r="L73" s="52">
        <f t="shared" si="10"/>
        <v>1.9</v>
      </c>
    </row>
    <row r="74" spans="1:12" x14ac:dyDescent="0.25">
      <c r="A74" s="11" t="s">
        <v>127</v>
      </c>
      <c r="B74" s="139">
        <v>0</v>
      </c>
      <c r="C74" s="43">
        <f>VLOOKUP($A74,'AN-ACC Lookup Tables'!$A$6:$C$24,3)*'AN-ACC Worksheet'!$B74</f>
        <v>0</v>
      </c>
      <c r="D74" s="43">
        <f>B74*'AN-ACC Lookup Tables'!$I$6</f>
        <v>0</v>
      </c>
      <c r="E74" s="43">
        <f>$B74*'AN-ACC Lookup Tables'!$I$15</f>
        <v>0</v>
      </c>
      <c r="F74" s="43">
        <f t="shared" si="8"/>
        <v>0</v>
      </c>
      <c r="G74" s="12"/>
      <c r="H74" s="52">
        <f>VLOOKUP($A74,'AN-ACC Lookup Tables'!$A$28:$F$43,5)*'AN-ACC Worksheet'!$B74</f>
        <v>0</v>
      </c>
      <c r="I74" s="52">
        <f t="shared" si="9"/>
        <v>0</v>
      </c>
      <c r="J74" s="12"/>
      <c r="K74" s="52">
        <f>VLOOKUP($A74,'AN-ACC Lookup Tables'!$A$28:$F$43,6)*'AN-ACC Worksheet'!$B74</f>
        <v>0</v>
      </c>
      <c r="L74" s="52">
        <f t="shared" si="10"/>
        <v>0</v>
      </c>
    </row>
    <row r="75" spans="1:12" x14ac:dyDescent="0.25">
      <c r="A75" s="11" t="s">
        <v>111</v>
      </c>
      <c r="B75" s="139">
        <v>0</v>
      </c>
      <c r="C75" s="43">
        <f>VLOOKUP($A75,'AN-ACC Lookup Tables'!$A$6:$C$24,3)*'AN-ACC Worksheet'!$B75</f>
        <v>0</v>
      </c>
      <c r="D75" s="43">
        <f>B75*'AN-ACC Lookup Tables'!$I$6</f>
        <v>0</v>
      </c>
      <c r="E75" s="43">
        <f>$B75*'AN-ACC Lookup Tables'!$I$15</f>
        <v>0</v>
      </c>
      <c r="F75" s="43">
        <f t="shared" si="8"/>
        <v>0</v>
      </c>
      <c r="G75" s="12"/>
      <c r="H75" s="52">
        <f>VLOOKUP($A75,'AN-ACC Lookup Tables'!$A$28:$F$43,5)*'AN-ACC Worksheet'!$B75</f>
        <v>0</v>
      </c>
      <c r="I75" s="52">
        <f t="shared" si="9"/>
        <v>0</v>
      </c>
      <c r="J75" s="12"/>
      <c r="K75" s="52">
        <f>VLOOKUP($A75,'AN-ACC Lookup Tables'!$A$28:$F$43,6)*'AN-ACC Worksheet'!$B75</f>
        <v>0</v>
      </c>
      <c r="L75" s="52">
        <f t="shared" si="10"/>
        <v>0</v>
      </c>
    </row>
    <row r="76" spans="1:12" x14ac:dyDescent="0.25">
      <c r="A76" s="11" t="s">
        <v>128</v>
      </c>
      <c r="B76" s="139">
        <v>0</v>
      </c>
      <c r="C76" s="43">
        <f>VLOOKUP($A76,'AN-ACC Lookup Tables'!$A$6:$C$24,3)*'AN-ACC Worksheet'!$B76</f>
        <v>0</v>
      </c>
      <c r="D76" s="43">
        <f>B76*'AN-ACC Lookup Tables'!$I$6</f>
        <v>0</v>
      </c>
      <c r="E76" s="43">
        <f>$B76*'AN-ACC Lookup Tables'!$I$15</f>
        <v>0</v>
      </c>
      <c r="F76" s="43">
        <f t="shared" si="8"/>
        <v>0</v>
      </c>
      <c r="G76" s="12"/>
      <c r="H76" s="52">
        <f>VLOOKUP($A76,'AN-ACC Lookup Tables'!$A$28:$F$43,5)*'AN-ACC Worksheet'!$B76</f>
        <v>0</v>
      </c>
      <c r="I76" s="52">
        <f t="shared" si="9"/>
        <v>0</v>
      </c>
      <c r="J76" s="12"/>
      <c r="K76" s="52">
        <f>VLOOKUP($A76,'AN-ACC Lookup Tables'!$A$28:$F$43,6)*'AN-ACC Worksheet'!$B76</f>
        <v>0</v>
      </c>
      <c r="L76" s="52">
        <f t="shared" si="10"/>
        <v>0</v>
      </c>
    </row>
    <row r="77" spans="1:12" x14ac:dyDescent="0.25">
      <c r="A77" s="11" t="s">
        <v>112</v>
      </c>
      <c r="B77" s="139">
        <v>0</v>
      </c>
      <c r="C77" s="43">
        <f>VLOOKUP($A77,'AN-ACC Lookup Tables'!$A$6:$C$24,3)*'AN-ACC Worksheet'!$B77</f>
        <v>0</v>
      </c>
      <c r="D77" s="43">
        <f>B77*'AN-ACC Lookup Tables'!$I$6</f>
        <v>0</v>
      </c>
      <c r="E77" s="43">
        <f>$B77*'AN-ACC Lookup Tables'!$I$15</f>
        <v>0</v>
      </c>
      <c r="F77" s="43">
        <f t="shared" si="8"/>
        <v>0</v>
      </c>
      <c r="G77" s="12"/>
      <c r="H77" s="52">
        <f>VLOOKUP($A77,'AN-ACC Lookup Tables'!$A$28:$F$43,5)*'AN-ACC Worksheet'!$B77</f>
        <v>0</v>
      </c>
      <c r="I77" s="52">
        <f t="shared" si="9"/>
        <v>0</v>
      </c>
      <c r="J77" s="12"/>
      <c r="K77" s="52">
        <f>VLOOKUP($A77,'AN-ACC Lookup Tables'!$A$28:$F$43,6)*'AN-ACC Worksheet'!$B77</f>
        <v>0</v>
      </c>
      <c r="L77" s="52">
        <f t="shared" si="10"/>
        <v>0</v>
      </c>
    </row>
    <row r="78" spans="1:12" x14ac:dyDescent="0.25">
      <c r="A78" s="11" t="s">
        <v>113</v>
      </c>
      <c r="B78" s="139">
        <v>0</v>
      </c>
      <c r="C78" s="43">
        <f>VLOOKUP($A78,'AN-ACC Lookup Tables'!$A$6:$C$24,3)*'AN-ACC Worksheet'!$B78</f>
        <v>0</v>
      </c>
      <c r="D78" s="43">
        <f>B78*'AN-ACC Lookup Tables'!$I$6</f>
        <v>0</v>
      </c>
      <c r="E78" s="43">
        <f>$B78*'AN-ACC Lookup Tables'!$I$15</f>
        <v>0</v>
      </c>
      <c r="F78" s="43">
        <f t="shared" si="8"/>
        <v>0</v>
      </c>
      <c r="G78" s="12"/>
      <c r="H78" s="52">
        <f>VLOOKUP($A78,'AN-ACC Lookup Tables'!$A$28:$F$43,5)*'AN-ACC Worksheet'!$B78</f>
        <v>0</v>
      </c>
      <c r="I78" s="52">
        <f t="shared" si="9"/>
        <v>0</v>
      </c>
      <c r="J78" s="12"/>
      <c r="K78" s="52">
        <f>VLOOKUP($A78,'AN-ACC Lookup Tables'!$A$28:$F$43,6)*'AN-ACC Worksheet'!$B78</f>
        <v>0</v>
      </c>
      <c r="L78" s="52">
        <f t="shared" si="10"/>
        <v>0</v>
      </c>
    </row>
    <row r="79" spans="1:12" x14ac:dyDescent="0.25">
      <c r="A79" s="11" t="s">
        <v>129</v>
      </c>
      <c r="B79" s="139">
        <v>0</v>
      </c>
      <c r="C79" s="43">
        <f>VLOOKUP($A79,'AN-ACC Lookup Tables'!$A$6:$C$24,3)*'AN-ACC Worksheet'!$B79</f>
        <v>0</v>
      </c>
      <c r="D79" s="43">
        <f>B79*'AN-ACC Lookup Tables'!$I$6</f>
        <v>0</v>
      </c>
      <c r="E79" s="43">
        <f>$B79*'AN-ACC Lookup Tables'!$I$15</f>
        <v>0</v>
      </c>
      <c r="F79" s="43">
        <f t="shared" si="8"/>
        <v>0</v>
      </c>
      <c r="G79" s="12"/>
      <c r="H79" s="52">
        <f>VLOOKUP($A79,'AN-ACC Lookup Tables'!$A$28:$F$43,5)*'AN-ACC Worksheet'!$B79</f>
        <v>0</v>
      </c>
      <c r="I79" s="52">
        <f t="shared" si="9"/>
        <v>0</v>
      </c>
      <c r="J79" s="12"/>
      <c r="K79" s="52">
        <f>VLOOKUP($A79,'AN-ACC Lookup Tables'!$A$28:$F$43,6)*'AN-ACC Worksheet'!$B79</f>
        <v>0</v>
      </c>
      <c r="L79" s="52">
        <f t="shared" si="10"/>
        <v>0</v>
      </c>
    </row>
    <row r="80" spans="1:12" x14ac:dyDescent="0.25">
      <c r="B80" s="52"/>
      <c r="C80" s="43"/>
      <c r="D80" s="43"/>
      <c r="E80" s="43"/>
      <c r="F80" s="43"/>
      <c r="G80" s="12"/>
      <c r="H80" s="52"/>
      <c r="I80" s="52"/>
      <c r="J80" s="12"/>
      <c r="K80" s="52"/>
      <c r="L80" s="52"/>
    </row>
    <row r="81" spans="1:12" x14ac:dyDescent="0.25">
      <c r="A81" s="1" t="s">
        <v>31</v>
      </c>
      <c r="B81" s="53">
        <f>SUM(B61:B80)</f>
        <v>0</v>
      </c>
      <c r="C81" s="51">
        <f>SUM(C61:C80)</f>
        <v>347.64999999999986</v>
      </c>
      <c r="D81" s="51">
        <f>SUM(D61:D80)</f>
        <v>0</v>
      </c>
      <c r="E81" s="51">
        <f>SUM(E61:E80)</f>
        <v>-3.5527136788005009E-15</v>
      </c>
      <c r="F81" s="51">
        <f>SUM(F61:F80)</f>
        <v>347.65000000000003</v>
      </c>
      <c r="G81" s="19"/>
      <c r="H81" s="18">
        <f>SUM(H61:H80)</f>
        <v>351</v>
      </c>
      <c r="I81" s="18">
        <f>SUM(I61:I80)</f>
        <v>5.8500000000000005</v>
      </c>
      <c r="J81" s="19"/>
      <c r="K81" s="18">
        <f t="shared" ref="K81:L81" si="11">SUM(K61:K80)</f>
        <v>-4</v>
      </c>
      <c r="L81" s="18">
        <f t="shared" si="11"/>
        <v>-6.6666666666666208E-2</v>
      </c>
    </row>
    <row r="82" spans="1:12" x14ac:dyDescent="0.25">
      <c r="A82" s="1" t="s">
        <v>130</v>
      </c>
      <c r="C82" s="42" t="e">
        <f>C81/$B81</f>
        <v>#DIV/0!</v>
      </c>
      <c r="D82" s="42" t="e">
        <f>D81/$B81</f>
        <v>#DIV/0!</v>
      </c>
      <c r="E82" s="42"/>
      <c r="F82" s="42" t="e">
        <f>F81/$B81</f>
        <v>#DIV/0!</v>
      </c>
      <c r="H82" s="19" t="e">
        <f>H81/$B81</f>
        <v>#DIV/0!</v>
      </c>
      <c r="K82" s="19" t="e">
        <f>K81/$B81</f>
        <v>#DIV/0!</v>
      </c>
    </row>
    <row r="83" spans="1:12" x14ac:dyDescent="0.25">
      <c r="H83" s="57"/>
      <c r="K83" s="57"/>
    </row>
  </sheetData>
  <mergeCells count="3">
    <mergeCell ref="C33:F33"/>
    <mergeCell ref="C7:F7"/>
    <mergeCell ref="C59:F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F851-5B35-43C0-8666-EC36CAC1A31C}">
  <sheetPr>
    <tabColor theme="0" tint="-0.34998626667073579"/>
  </sheetPr>
  <dimension ref="A1:K43"/>
  <sheetViews>
    <sheetView zoomScale="115" zoomScaleNormal="115" workbookViewId="0">
      <selection activeCell="E35" sqref="E35"/>
    </sheetView>
  </sheetViews>
  <sheetFormatPr defaultRowHeight="15" x14ac:dyDescent="0.25"/>
  <cols>
    <col min="5" max="5" width="12" bestFit="1" customWidth="1"/>
    <col min="11" max="11" width="12" bestFit="1" customWidth="1"/>
  </cols>
  <sheetData>
    <row r="1" spans="1:11" x14ac:dyDescent="0.25">
      <c r="A1" t="s">
        <v>135</v>
      </c>
    </row>
    <row r="3" spans="1:11" x14ac:dyDescent="0.25">
      <c r="A3" t="s">
        <v>136</v>
      </c>
      <c r="G3" t="s">
        <v>137</v>
      </c>
    </row>
    <row r="4" spans="1:11" x14ac:dyDescent="0.25">
      <c r="A4" t="s">
        <v>133</v>
      </c>
      <c r="B4" t="s">
        <v>138</v>
      </c>
      <c r="C4" t="s">
        <v>139</v>
      </c>
    </row>
    <row r="5" spans="1:11" x14ac:dyDescent="0.25">
      <c r="A5" t="s">
        <v>140</v>
      </c>
      <c r="B5" t="s">
        <v>141</v>
      </c>
      <c r="C5" t="s">
        <v>142</v>
      </c>
      <c r="E5" t="s">
        <v>131</v>
      </c>
      <c r="G5" t="s">
        <v>149</v>
      </c>
      <c r="H5" t="s">
        <v>141</v>
      </c>
      <c r="I5" t="s">
        <v>142</v>
      </c>
      <c r="K5" t="s">
        <v>131</v>
      </c>
    </row>
    <row r="6" spans="1:11" x14ac:dyDescent="0.25">
      <c r="A6" s="11" t="s">
        <v>126</v>
      </c>
      <c r="B6" s="20">
        <v>216.8</v>
      </c>
      <c r="C6" s="20">
        <v>243.1</v>
      </c>
      <c r="E6" s="56">
        <f>C6/B6-1</f>
        <v>0.12130996309963082</v>
      </c>
      <c r="G6">
        <v>1</v>
      </c>
      <c r="H6">
        <v>106.232</v>
      </c>
      <c r="I6" s="4">
        <v>119.12</v>
      </c>
      <c r="K6" s="2">
        <f>I6/H6-1</f>
        <v>0.12131937645907076</v>
      </c>
    </row>
    <row r="7" spans="1:11" x14ac:dyDescent="0.25">
      <c r="A7" s="11" t="s">
        <v>99</v>
      </c>
      <c r="B7" s="20">
        <v>41.19</v>
      </c>
      <c r="C7" s="20">
        <v>46.19</v>
      </c>
      <c r="E7" s="56">
        <f t="shared" ref="E7:E24" si="0">C7/B7-1</f>
        <v>0.12138868657441138</v>
      </c>
      <c r="G7">
        <v>2</v>
      </c>
      <c r="H7">
        <v>106.232</v>
      </c>
      <c r="I7" s="4">
        <v>119.12</v>
      </c>
      <c r="K7" s="2">
        <f t="shared" ref="K7:K13" si="1">I7/H7-1</f>
        <v>0.12131937645907076</v>
      </c>
    </row>
    <row r="8" spans="1:11" x14ac:dyDescent="0.25">
      <c r="A8" s="11" t="s">
        <v>100</v>
      </c>
      <c r="B8" s="20">
        <v>67.209999999999994</v>
      </c>
      <c r="C8" s="20">
        <v>75.36</v>
      </c>
      <c r="E8" s="56">
        <f t="shared" si="0"/>
        <v>0.12126171700639787</v>
      </c>
      <c r="G8">
        <v>3</v>
      </c>
      <c r="H8">
        <v>106.232</v>
      </c>
      <c r="I8" s="4">
        <v>119.12</v>
      </c>
      <c r="K8" s="2">
        <f t="shared" si="1"/>
        <v>0.12131937645907076</v>
      </c>
    </row>
    <row r="9" spans="1:11" x14ac:dyDescent="0.25">
      <c r="A9" s="11" t="s">
        <v>101</v>
      </c>
      <c r="B9" s="20">
        <v>45.53</v>
      </c>
      <c r="C9" s="20">
        <v>51.05</v>
      </c>
      <c r="E9" s="56">
        <f t="shared" si="0"/>
        <v>0.12123874368548204</v>
      </c>
      <c r="G9">
        <v>4</v>
      </c>
      <c r="H9">
        <v>106.232</v>
      </c>
      <c r="I9" s="4">
        <v>119.12</v>
      </c>
      <c r="K9" s="2">
        <f t="shared" si="1"/>
        <v>0.12131937645907076</v>
      </c>
    </row>
    <row r="10" spans="1:11" x14ac:dyDescent="0.25">
      <c r="A10" s="11" t="s">
        <v>102</v>
      </c>
      <c r="B10" s="20">
        <v>80.22</v>
      </c>
      <c r="C10" s="20">
        <v>89.95</v>
      </c>
      <c r="E10" s="56">
        <f t="shared" si="0"/>
        <v>0.12129144851657947</v>
      </c>
      <c r="G10">
        <v>5</v>
      </c>
      <c r="H10">
        <v>119.24</v>
      </c>
      <c r="I10" s="4">
        <v>133.71</v>
      </c>
      <c r="K10" s="2">
        <f t="shared" si="1"/>
        <v>0.12135189533713531</v>
      </c>
    </row>
    <row r="11" spans="1:11" x14ac:dyDescent="0.25">
      <c r="A11" s="11" t="s">
        <v>103</v>
      </c>
      <c r="B11" s="20">
        <v>75.88</v>
      </c>
      <c r="C11" s="20">
        <v>85.09</v>
      </c>
      <c r="E11" s="56">
        <f t="shared" si="0"/>
        <v>0.12137585661570904</v>
      </c>
      <c r="G11">
        <v>6</v>
      </c>
      <c r="H11">
        <v>147.41999999999999</v>
      </c>
      <c r="I11" s="4">
        <v>165.30799999999999</v>
      </c>
      <c r="K11" s="2">
        <f t="shared" si="1"/>
        <v>0.12134038800705471</v>
      </c>
    </row>
    <row r="12" spans="1:11" x14ac:dyDescent="0.25">
      <c r="A12" s="11" t="s">
        <v>104</v>
      </c>
      <c r="B12" s="20">
        <v>106.23</v>
      </c>
      <c r="C12" s="20">
        <v>119.12</v>
      </c>
      <c r="E12" s="56">
        <f t="shared" si="0"/>
        <v>0.1213404876211992</v>
      </c>
      <c r="G12">
        <v>7</v>
      </c>
      <c r="H12">
        <v>169.10400000000001</v>
      </c>
      <c r="I12" s="4">
        <v>189.61799999999999</v>
      </c>
      <c r="K12" s="2">
        <f t="shared" si="1"/>
        <v>0.12130996309963082</v>
      </c>
    </row>
    <row r="13" spans="1:11" x14ac:dyDescent="0.25">
      <c r="A13" s="11" t="s">
        <v>105</v>
      </c>
      <c r="B13" s="20">
        <v>117.07</v>
      </c>
      <c r="C13" s="20">
        <v>131.27000000000001</v>
      </c>
      <c r="E13" s="56">
        <f t="shared" si="0"/>
        <v>0.12129495173827642</v>
      </c>
      <c r="G13">
        <v>8</v>
      </c>
      <c r="H13">
        <v>390.24</v>
      </c>
      <c r="I13" s="4">
        <v>437.28</v>
      </c>
      <c r="K13" s="2">
        <f t="shared" si="1"/>
        <v>0.12054120541205404</v>
      </c>
    </row>
    <row r="14" spans="1:11" x14ac:dyDescent="0.25">
      <c r="A14" s="11" t="s">
        <v>106</v>
      </c>
      <c r="B14" s="20">
        <v>117.07</v>
      </c>
      <c r="C14" s="20">
        <v>131.27000000000001</v>
      </c>
      <c r="E14" s="56">
        <f t="shared" si="0"/>
        <v>0.12129495173827642</v>
      </c>
    </row>
    <row r="15" spans="1:11" x14ac:dyDescent="0.25">
      <c r="A15" s="11" t="s">
        <v>107</v>
      </c>
      <c r="B15" s="20">
        <v>188.62</v>
      </c>
      <c r="C15" s="20">
        <v>211.5</v>
      </c>
      <c r="E15" s="56">
        <f t="shared" si="0"/>
        <v>0.12130208885590066</v>
      </c>
      <c r="G15" t="s">
        <v>143</v>
      </c>
      <c r="I15" s="35">
        <v>10.8</v>
      </c>
    </row>
    <row r="16" spans="1:11" x14ac:dyDescent="0.25">
      <c r="A16" s="11" t="s">
        <v>108</v>
      </c>
      <c r="B16" s="20">
        <v>179.94</v>
      </c>
      <c r="C16" s="20">
        <v>201.77</v>
      </c>
      <c r="E16" s="56">
        <f t="shared" si="0"/>
        <v>0.12131821718350566</v>
      </c>
    </row>
    <row r="17" spans="1:9" x14ac:dyDescent="0.25">
      <c r="A17" s="11" t="s">
        <v>109</v>
      </c>
      <c r="B17" s="20">
        <v>175.61</v>
      </c>
      <c r="C17" s="20">
        <v>196.91</v>
      </c>
      <c r="E17" s="56">
        <f t="shared" si="0"/>
        <v>0.12129149820625229</v>
      </c>
      <c r="G17" t="s">
        <v>144</v>
      </c>
      <c r="I17" s="35">
        <v>1283.57</v>
      </c>
    </row>
    <row r="18" spans="1:9" x14ac:dyDescent="0.25">
      <c r="A18" s="11" t="s">
        <v>110</v>
      </c>
      <c r="B18" s="20">
        <v>216.8</v>
      </c>
      <c r="C18" s="20">
        <v>243.1</v>
      </c>
      <c r="E18" s="56">
        <f t="shared" si="0"/>
        <v>0.12130996309963082</v>
      </c>
    </row>
    <row r="19" spans="1:9" x14ac:dyDescent="0.25">
      <c r="A19" s="11" t="s">
        <v>127</v>
      </c>
      <c r="B19" s="20">
        <v>216.8</v>
      </c>
      <c r="C19" s="20">
        <v>243.1</v>
      </c>
      <c r="E19" s="56">
        <f t="shared" si="0"/>
        <v>0.12130996309963082</v>
      </c>
    </row>
    <row r="20" spans="1:9" x14ac:dyDescent="0.25">
      <c r="A20" s="11" t="s">
        <v>111</v>
      </c>
      <c r="B20" s="20">
        <v>117.07</v>
      </c>
      <c r="C20" s="20">
        <v>131.27000000000001</v>
      </c>
      <c r="E20" s="56">
        <f t="shared" si="0"/>
        <v>0.12129495173827642</v>
      </c>
    </row>
    <row r="21" spans="1:9" x14ac:dyDescent="0.25">
      <c r="A21" s="11" t="s">
        <v>128</v>
      </c>
      <c r="B21" s="20">
        <v>87.59</v>
      </c>
      <c r="C21" s="20">
        <v>98.21</v>
      </c>
      <c r="E21" s="56">
        <f t="shared" si="0"/>
        <v>0.12124671766183348</v>
      </c>
    </row>
    <row r="22" spans="1:9" x14ac:dyDescent="0.25">
      <c r="A22" s="11" t="s">
        <v>112</v>
      </c>
      <c r="B22" s="20">
        <v>65.91</v>
      </c>
      <c r="C22" s="20">
        <v>73.900000000000006</v>
      </c>
      <c r="E22" s="56">
        <f t="shared" si="0"/>
        <v>0.12122591412532246</v>
      </c>
    </row>
    <row r="23" spans="1:9" x14ac:dyDescent="0.25">
      <c r="A23" s="11" t="s">
        <v>113</v>
      </c>
      <c r="B23" s="20">
        <v>87.59</v>
      </c>
      <c r="C23" s="20">
        <v>98.21</v>
      </c>
      <c r="E23" s="56">
        <f t="shared" si="0"/>
        <v>0.12124671766183348</v>
      </c>
    </row>
    <row r="24" spans="1:9" x14ac:dyDescent="0.25">
      <c r="A24" s="11" t="s">
        <v>129</v>
      </c>
      <c r="B24" s="20">
        <v>187.32</v>
      </c>
      <c r="C24" s="20">
        <v>210.04</v>
      </c>
      <c r="E24" s="56">
        <f t="shared" si="0"/>
        <v>0.12128977151398668</v>
      </c>
    </row>
    <row r="26" spans="1:9" x14ac:dyDescent="0.25">
      <c r="B26" t="s">
        <v>145</v>
      </c>
      <c r="E26" t="s">
        <v>146</v>
      </c>
      <c r="H26" t="s">
        <v>147</v>
      </c>
    </row>
    <row r="27" spans="1:9" x14ac:dyDescent="0.25">
      <c r="B27" t="s">
        <v>148</v>
      </c>
      <c r="C27" t="s">
        <v>123</v>
      </c>
    </row>
    <row r="28" spans="1:9" x14ac:dyDescent="0.25">
      <c r="A28" s="11" t="s">
        <v>126</v>
      </c>
      <c r="B28">
        <v>284</v>
      </c>
      <c r="C28">
        <v>53</v>
      </c>
      <c r="E28" s="4">
        <v>317</v>
      </c>
      <c r="F28" s="4">
        <v>53</v>
      </c>
      <c r="H28">
        <f>E28-B28</f>
        <v>33</v>
      </c>
      <c r="I28">
        <f>F28-C28</f>
        <v>0</v>
      </c>
    </row>
    <row r="29" spans="1:9" x14ac:dyDescent="0.25">
      <c r="A29" s="11" t="s">
        <v>99</v>
      </c>
      <c r="B29">
        <v>135</v>
      </c>
      <c r="C29">
        <v>32</v>
      </c>
      <c r="E29" s="4">
        <v>110</v>
      </c>
      <c r="F29" s="4">
        <v>32</v>
      </c>
      <c r="H29">
        <f t="shared" ref="H29:I43" si="2">E29-B29</f>
        <v>-25</v>
      </c>
      <c r="I29">
        <f t="shared" si="2"/>
        <v>0</v>
      </c>
    </row>
    <row r="30" spans="1:9" x14ac:dyDescent="0.25">
      <c r="A30" s="11" t="s">
        <v>100</v>
      </c>
      <c r="B30">
        <v>157</v>
      </c>
      <c r="C30">
        <v>34</v>
      </c>
      <c r="E30" s="4">
        <v>143</v>
      </c>
      <c r="F30" s="4">
        <v>34</v>
      </c>
      <c r="H30">
        <f t="shared" si="2"/>
        <v>-14</v>
      </c>
      <c r="I30">
        <f t="shared" si="2"/>
        <v>0</v>
      </c>
    </row>
    <row r="31" spans="1:9" x14ac:dyDescent="0.25">
      <c r="A31" s="11" t="s">
        <v>101</v>
      </c>
      <c r="B31">
        <v>139</v>
      </c>
      <c r="C31">
        <v>30</v>
      </c>
      <c r="E31" s="4">
        <v>115</v>
      </c>
      <c r="F31" s="4">
        <v>30</v>
      </c>
      <c r="H31">
        <f t="shared" si="2"/>
        <v>-24</v>
      </c>
      <c r="I31">
        <f t="shared" si="2"/>
        <v>0</v>
      </c>
    </row>
    <row r="32" spans="1:9" x14ac:dyDescent="0.25">
      <c r="A32" s="11" t="s">
        <v>102</v>
      </c>
      <c r="B32">
        <v>169</v>
      </c>
      <c r="C32">
        <v>39</v>
      </c>
      <c r="E32" s="4">
        <v>157</v>
      </c>
      <c r="F32" s="4">
        <v>39</v>
      </c>
      <c r="H32">
        <f t="shared" si="2"/>
        <v>-12</v>
      </c>
      <c r="I32">
        <f t="shared" si="2"/>
        <v>0</v>
      </c>
    </row>
    <row r="33" spans="1:9" x14ac:dyDescent="0.25">
      <c r="A33" s="11" t="s">
        <v>103</v>
      </c>
      <c r="B33">
        <v>166</v>
      </c>
      <c r="C33">
        <v>35</v>
      </c>
      <c r="E33" s="4">
        <v>152</v>
      </c>
      <c r="F33" s="4">
        <v>35</v>
      </c>
      <c r="H33">
        <f t="shared" si="2"/>
        <v>-14</v>
      </c>
      <c r="I33">
        <f t="shared" si="2"/>
        <v>0</v>
      </c>
    </row>
    <row r="34" spans="1:9" x14ac:dyDescent="0.25">
      <c r="A34" s="11" t="s">
        <v>104</v>
      </c>
      <c r="B34">
        <v>189</v>
      </c>
      <c r="C34">
        <v>37</v>
      </c>
      <c r="E34" s="4">
        <v>186</v>
      </c>
      <c r="F34" s="4">
        <v>37</v>
      </c>
      <c r="H34">
        <f t="shared" si="2"/>
        <v>-3</v>
      </c>
      <c r="I34">
        <f t="shared" si="2"/>
        <v>0</v>
      </c>
    </row>
    <row r="35" spans="1:9" x14ac:dyDescent="0.25">
      <c r="A35" s="11" t="s">
        <v>105</v>
      </c>
      <c r="B35">
        <v>200</v>
      </c>
      <c r="C35">
        <v>38</v>
      </c>
      <c r="E35" s="4">
        <v>200</v>
      </c>
      <c r="F35" s="4">
        <v>38</v>
      </c>
      <c r="H35">
        <f t="shared" si="2"/>
        <v>0</v>
      </c>
      <c r="I35">
        <f t="shared" si="2"/>
        <v>0</v>
      </c>
    </row>
    <row r="36" spans="1:9" x14ac:dyDescent="0.25">
      <c r="A36" s="11" t="s">
        <v>106</v>
      </c>
      <c r="B36">
        <v>200</v>
      </c>
      <c r="C36">
        <v>44</v>
      </c>
      <c r="E36" s="4">
        <v>202</v>
      </c>
      <c r="F36" s="4">
        <v>46</v>
      </c>
      <c r="H36">
        <f t="shared" si="2"/>
        <v>2</v>
      </c>
      <c r="I36">
        <f t="shared" si="2"/>
        <v>2</v>
      </c>
    </row>
    <row r="37" spans="1:9" x14ac:dyDescent="0.25">
      <c r="A37" s="11" t="s">
        <v>107</v>
      </c>
      <c r="B37">
        <v>261</v>
      </c>
      <c r="C37">
        <v>52</v>
      </c>
      <c r="E37" s="4">
        <v>282</v>
      </c>
      <c r="F37" s="4">
        <v>56</v>
      </c>
      <c r="H37">
        <f t="shared" si="2"/>
        <v>21</v>
      </c>
      <c r="I37">
        <f t="shared" si="2"/>
        <v>4</v>
      </c>
    </row>
    <row r="38" spans="1:9" x14ac:dyDescent="0.25">
      <c r="A38" s="11" t="s">
        <v>108</v>
      </c>
      <c r="B38">
        <v>254</v>
      </c>
      <c r="C38">
        <v>41</v>
      </c>
      <c r="E38" s="4">
        <v>274</v>
      </c>
      <c r="F38" s="4">
        <v>41</v>
      </c>
      <c r="H38">
        <f t="shared" si="2"/>
        <v>20</v>
      </c>
      <c r="I38">
        <f t="shared" si="2"/>
        <v>0</v>
      </c>
    </row>
    <row r="39" spans="1:9" x14ac:dyDescent="0.25">
      <c r="A39" s="11" t="s">
        <v>109</v>
      </c>
      <c r="B39">
        <v>250</v>
      </c>
      <c r="C39">
        <v>42</v>
      </c>
      <c r="E39" s="4">
        <v>269</v>
      </c>
      <c r="F39" s="4">
        <v>42</v>
      </c>
      <c r="H39">
        <f t="shared" si="2"/>
        <v>19</v>
      </c>
      <c r="I39">
        <f t="shared" si="2"/>
        <v>0</v>
      </c>
    </row>
    <row r="40" spans="1:9" x14ac:dyDescent="0.25">
      <c r="A40" s="11" t="s">
        <v>110</v>
      </c>
      <c r="B40">
        <v>284</v>
      </c>
      <c r="C40">
        <v>53</v>
      </c>
      <c r="E40" s="4">
        <v>317</v>
      </c>
      <c r="F40" s="4">
        <v>57</v>
      </c>
      <c r="H40">
        <f t="shared" si="2"/>
        <v>33</v>
      </c>
      <c r="I40">
        <f t="shared" si="2"/>
        <v>4</v>
      </c>
    </row>
    <row r="41" spans="1:9" x14ac:dyDescent="0.25">
      <c r="A41" s="11" t="s">
        <v>112</v>
      </c>
      <c r="B41">
        <v>137</v>
      </c>
      <c r="C41">
        <v>33</v>
      </c>
      <c r="E41" s="4">
        <v>120</v>
      </c>
      <c r="F41" s="4">
        <v>31</v>
      </c>
      <c r="H41">
        <f t="shared" si="2"/>
        <v>-17</v>
      </c>
      <c r="I41">
        <f t="shared" si="2"/>
        <v>-2</v>
      </c>
    </row>
    <row r="42" spans="1:9" x14ac:dyDescent="0.25">
      <c r="A42" s="11" t="s">
        <v>113</v>
      </c>
      <c r="B42">
        <v>173</v>
      </c>
      <c r="C42">
        <v>37</v>
      </c>
      <c r="E42" s="4">
        <v>165</v>
      </c>
      <c r="F42" s="4">
        <v>36</v>
      </c>
      <c r="H42">
        <f t="shared" si="2"/>
        <v>-8</v>
      </c>
      <c r="I42">
        <f t="shared" si="2"/>
        <v>-1</v>
      </c>
    </row>
    <row r="43" spans="1:9" x14ac:dyDescent="0.25">
      <c r="A43" s="11" t="s">
        <v>129</v>
      </c>
      <c r="B43">
        <v>257</v>
      </c>
      <c r="C43">
        <v>46</v>
      </c>
      <c r="E43" s="4">
        <v>273</v>
      </c>
      <c r="F43" s="4">
        <v>48</v>
      </c>
      <c r="H43">
        <f t="shared" si="2"/>
        <v>16</v>
      </c>
      <c r="I43">
        <f t="shared" si="2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2F6516-D81D-4ADE-8F50-4C185ACC3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DC4443-1E43-4DEB-B6AC-EB1F2C393051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b568fc2f-4d2a-4f1a-a92d-be6ea9d479bf"/>
    <ds:schemaRef ds:uri="http://purl.org/dc/elements/1.1/"/>
    <ds:schemaRef ds:uri="http://schemas.microsoft.com/office/infopath/2007/PartnerControls"/>
    <ds:schemaRef ds:uri="cb0fa578-f870-47d6-b0d9-5a423e2a9cfb"/>
    <ds:schemaRef ds:uri="http://schemas.microsoft.com/office/2006/metadata/properties"/>
    <ds:schemaRef ds:uri="http://purl.org/dc/dcmitype/"/>
    <ds:schemaRef ds:uri="f574b478-68e4-495d-9b17-0f93d51a8ef7"/>
    <ds:schemaRef ds:uri="a6ef9c2c-1ad1-4c09-9d1c-8c71a768c11f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CB42B34A-10C5-4515-94B0-EAEE7E226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Primary Inputs</vt:lpstr>
      <vt:lpstr>AN-ACC Minutes</vt:lpstr>
      <vt:lpstr>AN-ACC Simple</vt:lpstr>
      <vt:lpstr>Summary Roster</vt:lpstr>
      <vt:lpstr>Roster - G1 - RN</vt:lpstr>
      <vt:lpstr>Roster - G2 - Carer</vt:lpstr>
      <vt:lpstr>Roster - G3 - Ward 3</vt:lpstr>
      <vt:lpstr>Roster - G4 - Services</vt:lpstr>
      <vt:lpstr>Roster - G5 - Mgmt</vt:lpstr>
      <vt:lpstr>AN-ACC Worksheet</vt:lpstr>
      <vt:lpstr>AN-ACC Lookup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Rooke</dc:creator>
  <cp:keywords/>
  <dc:description/>
  <cp:lastModifiedBy>Alex James</cp:lastModifiedBy>
  <cp:revision/>
  <dcterms:created xsi:type="dcterms:W3CDTF">2023-06-15T07:38:18Z</dcterms:created>
  <dcterms:modified xsi:type="dcterms:W3CDTF">2026-09-25T02:27:10Z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